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fJpGlsD0yhbS8aMlG2JNW5RoWr3+s6l8U/rstOLy/8="/>
    </ext>
  </extLst>
</workbook>
</file>

<file path=xl/sharedStrings.xml><?xml version="1.0" encoding="utf-8"?>
<sst xmlns="http://schemas.openxmlformats.org/spreadsheetml/2006/main" count="35062" uniqueCount="26018">
  <si>
    <t>word</t>
  </si>
  <si>
    <t>level</t>
  </si>
  <si>
    <t>pinyin</t>
  </si>
  <si>
    <t>part of speech</t>
  </si>
  <si>
    <t>translation</t>
  </si>
  <si>
    <t>translation(ko)</t>
  </si>
  <si>
    <t>爱</t>
  </si>
  <si>
    <t>ài</t>
  </si>
  <si>
    <t>动</t>
  </si>
  <si>
    <t>to love</t>
  </si>
  <si>
    <t>八</t>
  </si>
  <si>
    <t>bā</t>
  </si>
  <si>
    <t>数</t>
  </si>
  <si>
    <t>eight</t>
  </si>
  <si>
    <t>爸爸</t>
  </si>
  <si>
    <t>bà ba</t>
  </si>
  <si>
    <t>名</t>
  </si>
  <si>
    <t>father</t>
  </si>
  <si>
    <t>杯子</t>
  </si>
  <si>
    <t>bēi zi</t>
  </si>
  <si>
    <t>cup; glass; mug</t>
  </si>
  <si>
    <t>北京</t>
  </si>
  <si>
    <t>běi jīng</t>
  </si>
  <si>
    <t>Beijing</t>
  </si>
  <si>
    <t>本</t>
  </si>
  <si>
    <t>běn</t>
  </si>
  <si>
    <t>量</t>
  </si>
  <si>
    <t>root; [measure word for books]</t>
  </si>
  <si>
    <t>不客气</t>
  </si>
  <si>
    <t>bú kè qi</t>
  </si>
  <si>
    <t>you're welcome; impolite</t>
  </si>
  <si>
    <t>不</t>
  </si>
  <si>
    <t>bù</t>
  </si>
  <si>
    <t>副</t>
  </si>
  <si>
    <t>not; no</t>
  </si>
  <si>
    <t>菜</t>
  </si>
  <si>
    <t>cài</t>
  </si>
  <si>
    <t>vegetable</t>
  </si>
  <si>
    <t>茶</t>
  </si>
  <si>
    <t>chá</t>
  </si>
  <si>
    <t>tea</t>
  </si>
  <si>
    <t>吃</t>
  </si>
  <si>
    <t>chī</t>
  </si>
  <si>
    <t>to eat</t>
  </si>
  <si>
    <t>出租车</t>
  </si>
  <si>
    <t>chū zū chē</t>
  </si>
  <si>
    <t>taxi</t>
  </si>
  <si>
    <t>打电话</t>
  </si>
  <si>
    <t>dǎ diàn huà</t>
  </si>
  <si>
    <t>to make a telephone call</t>
  </si>
  <si>
    <t>大</t>
  </si>
  <si>
    <t>dà</t>
  </si>
  <si>
    <t>形</t>
  </si>
  <si>
    <t>big</t>
  </si>
  <si>
    <t>的</t>
  </si>
  <si>
    <t>de</t>
  </si>
  <si>
    <t>助</t>
  </si>
  <si>
    <t>of</t>
  </si>
  <si>
    <t>点</t>
  </si>
  <si>
    <t>diǎn</t>
  </si>
  <si>
    <t>o’clock; spot; dot</t>
  </si>
  <si>
    <t>电脑</t>
  </si>
  <si>
    <t>diàn nǎo</t>
  </si>
  <si>
    <t>computer</t>
  </si>
  <si>
    <t>电视</t>
  </si>
  <si>
    <t>diàn shì</t>
  </si>
  <si>
    <t>TV</t>
  </si>
  <si>
    <t>电影</t>
  </si>
  <si>
    <t>diàn yǐng</t>
  </si>
  <si>
    <t>film; movie</t>
  </si>
  <si>
    <t>东西</t>
  </si>
  <si>
    <t>dōng xi</t>
  </si>
  <si>
    <t>thing</t>
  </si>
  <si>
    <t>都</t>
  </si>
  <si>
    <t>dōu</t>
  </si>
  <si>
    <t>both; all</t>
  </si>
  <si>
    <t>读</t>
  </si>
  <si>
    <t>dú</t>
  </si>
  <si>
    <t>read aloud</t>
  </si>
  <si>
    <t>对不起</t>
  </si>
  <si>
    <t>duì bu qǐ</t>
  </si>
  <si>
    <t>sorry</t>
  </si>
  <si>
    <t>多</t>
  </si>
  <si>
    <t>duō</t>
  </si>
  <si>
    <t>形/代</t>
  </si>
  <si>
    <t>much/many; how [+adjective]</t>
  </si>
  <si>
    <t>多少</t>
  </si>
  <si>
    <t>duō shǎo</t>
  </si>
  <si>
    <t>代</t>
  </si>
  <si>
    <t>how much/many?</t>
  </si>
  <si>
    <t>儿子</t>
  </si>
  <si>
    <t>ér zi</t>
  </si>
  <si>
    <t>son</t>
  </si>
  <si>
    <t>二</t>
  </si>
  <si>
    <t>èr</t>
  </si>
  <si>
    <t>two</t>
  </si>
  <si>
    <t>饭店</t>
  </si>
  <si>
    <t>fàn diàn</t>
  </si>
  <si>
    <t>restaurant</t>
  </si>
  <si>
    <t>飞机</t>
  </si>
  <si>
    <t>fēi jī</t>
  </si>
  <si>
    <t>plane</t>
  </si>
  <si>
    <t>分钟</t>
  </si>
  <si>
    <t>fēn zhōng</t>
  </si>
  <si>
    <t>minute</t>
  </si>
  <si>
    <t>高兴</t>
  </si>
  <si>
    <t>gāo xìng</t>
  </si>
  <si>
    <t>pleased; happy</t>
  </si>
  <si>
    <t>个</t>
  </si>
  <si>
    <t>gè</t>
  </si>
  <si>
    <t>individual; [general measure word]</t>
  </si>
  <si>
    <t>工作</t>
  </si>
  <si>
    <t>gōng zuò</t>
  </si>
  <si>
    <t>名/动</t>
  </si>
  <si>
    <t>job; work</t>
  </si>
  <si>
    <t>狗</t>
  </si>
  <si>
    <t>gǒu</t>
  </si>
  <si>
    <t>dog</t>
  </si>
  <si>
    <t>汉语</t>
  </si>
  <si>
    <t>hàn yǔ</t>
  </si>
  <si>
    <t>Standard Chinese language</t>
  </si>
  <si>
    <t>好</t>
  </si>
  <si>
    <t>hǎo</t>
  </si>
  <si>
    <t>good</t>
  </si>
  <si>
    <t>号</t>
  </si>
  <si>
    <t>hào</t>
  </si>
  <si>
    <t>number; day of a month</t>
  </si>
  <si>
    <t>喝</t>
  </si>
  <si>
    <t>hē</t>
  </si>
  <si>
    <t>to drink</t>
  </si>
  <si>
    <t>和</t>
  </si>
  <si>
    <t>hé</t>
  </si>
  <si>
    <t>连/介</t>
  </si>
  <si>
    <t>and</t>
  </si>
  <si>
    <t>很</t>
  </si>
  <si>
    <t>hěn</t>
  </si>
  <si>
    <t>very</t>
  </si>
  <si>
    <t>后面</t>
  </si>
  <si>
    <t>hòu miàn</t>
  </si>
  <si>
    <t>at the back; behind; later</t>
  </si>
  <si>
    <t>回</t>
  </si>
  <si>
    <t>huí</t>
  </si>
  <si>
    <t>to return</t>
  </si>
  <si>
    <t>会</t>
  </si>
  <si>
    <t>huì</t>
  </si>
  <si>
    <t>to know how to; can; meeting</t>
  </si>
  <si>
    <t>几</t>
  </si>
  <si>
    <t>jǐ</t>
  </si>
  <si>
    <t>代/数</t>
  </si>
  <si>
    <t>how much/many? [expecting a small number]</t>
  </si>
  <si>
    <t>家</t>
  </si>
  <si>
    <t>jiā</t>
  </si>
  <si>
    <t>family; home</t>
  </si>
  <si>
    <t>叫</t>
  </si>
  <si>
    <t>jiào</t>
  </si>
  <si>
    <t>to call; to be named</t>
  </si>
  <si>
    <t>今天</t>
  </si>
  <si>
    <t>jīn tiān</t>
  </si>
  <si>
    <t>today</t>
  </si>
  <si>
    <t>九</t>
  </si>
  <si>
    <t>jiǔ</t>
  </si>
  <si>
    <t>nine</t>
  </si>
  <si>
    <t>开</t>
  </si>
  <si>
    <t>kāi</t>
  </si>
  <si>
    <t>to switch on; open</t>
  </si>
  <si>
    <t>看</t>
  </si>
  <si>
    <t>kàn</t>
  </si>
  <si>
    <t>to see; to read; to watch; to look at</t>
  </si>
  <si>
    <t>看见</t>
  </si>
  <si>
    <t>kàn jiàn</t>
  </si>
  <si>
    <t>see</t>
  </si>
  <si>
    <t>块</t>
  </si>
  <si>
    <t>kuài</t>
  </si>
  <si>
    <t>lump; piece</t>
  </si>
  <si>
    <t>来</t>
  </si>
  <si>
    <t>lái</t>
  </si>
  <si>
    <t>to come</t>
  </si>
  <si>
    <t>老师</t>
  </si>
  <si>
    <t>lǎo shī</t>
  </si>
  <si>
    <t>teacher</t>
  </si>
  <si>
    <t>了</t>
  </si>
  <si>
    <t>le</t>
  </si>
  <si>
    <t>[makes an exclamation]</t>
  </si>
  <si>
    <t>冷</t>
  </si>
  <si>
    <t>lěng</t>
  </si>
  <si>
    <t>cold</t>
  </si>
  <si>
    <t>里</t>
  </si>
  <si>
    <t>lǐ</t>
  </si>
  <si>
    <t>in</t>
  </si>
  <si>
    <t>六</t>
  </si>
  <si>
    <t>liù</t>
  </si>
  <si>
    <t>six</t>
  </si>
  <si>
    <t>妈妈</t>
  </si>
  <si>
    <t>mā ma</t>
  </si>
  <si>
    <t>mother</t>
  </si>
  <si>
    <t>吗</t>
  </si>
  <si>
    <t>ma</t>
  </si>
  <si>
    <t>[makes a yes; no question]</t>
  </si>
  <si>
    <t>买</t>
  </si>
  <si>
    <t>mǎi</t>
  </si>
  <si>
    <t>buy</t>
  </si>
  <si>
    <t>猫</t>
  </si>
  <si>
    <t>māo</t>
  </si>
  <si>
    <t>cat</t>
  </si>
  <si>
    <t>没关系</t>
  </si>
  <si>
    <t>méi guān xi</t>
  </si>
  <si>
    <t>no problem</t>
  </si>
  <si>
    <t>没有</t>
  </si>
  <si>
    <t>méi yǒu</t>
  </si>
  <si>
    <t>动/副</t>
  </si>
  <si>
    <t>don't have</t>
  </si>
  <si>
    <t>米饭</t>
  </si>
  <si>
    <t>mǐ fàn</t>
  </si>
  <si>
    <t>rice [cooked; boiled]</t>
  </si>
  <si>
    <t>明天</t>
  </si>
  <si>
    <t>míng tiān</t>
  </si>
  <si>
    <t>tomorrow</t>
  </si>
  <si>
    <t>名字</t>
  </si>
  <si>
    <t>míng zi</t>
  </si>
  <si>
    <t>given name</t>
  </si>
  <si>
    <t>哪</t>
  </si>
  <si>
    <t>nǎ</t>
  </si>
  <si>
    <t>which?</t>
  </si>
  <si>
    <t>哪儿</t>
  </si>
  <si>
    <t>nǎ er</t>
  </si>
  <si>
    <t>where?</t>
  </si>
  <si>
    <t>那</t>
  </si>
  <si>
    <t>nà</t>
  </si>
  <si>
    <t>that</t>
  </si>
  <si>
    <t>呢</t>
  </si>
  <si>
    <t>ne</t>
  </si>
  <si>
    <t>[returns; forwards a question]</t>
  </si>
  <si>
    <t>能</t>
  </si>
  <si>
    <t>néng</t>
  </si>
  <si>
    <t>to be able to; can</t>
  </si>
  <si>
    <t>你</t>
  </si>
  <si>
    <t>nǐ</t>
  </si>
  <si>
    <t>you</t>
  </si>
  <si>
    <t>年</t>
  </si>
  <si>
    <t>nián</t>
  </si>
  <si>
    <t>名/量</t>
  </si>
  <si>
    <t>year</t>
  </si>
  <si>
    <t>女儿</t>
  </si>
  <si>
    <t>nǚ ér</t>
  </si>
  <si>
    <t>daughter</t>
  </si>
  <si>
    <t>朋友</t>
  </si>
  <si>
    <t>péng you</t>
  </si>
  <si>
    <t>friend</t>
  </si>
  <si>
    <t>漂亮</t>
  </si>
  <si>
    <t>piào liang</t>
  </si>
  <si>
    <t>beautiful</t>
  </si>
  <si>
    <t>苹果</t>
  </si>
  <si>
    <t>píng guǒ</t>
  </si>
  <si>
    <t>apple</t>
  </si>
  <si>
    <t>七</t>
  </si>
  <si>
    <t>qī</t>
  </si>
  <si>
    <t>seven</t>
  </si>
  <si>
    <t>钱</t>
  </si>
  <si>
    <t>qián</t>
  </si>
  <si>
    <t>money</t>
  </si>
  <si>
    <t>前面</t>
  </si>
  <si>
    <t>qián miàn</t>
  </si>
  <si>
    <t>front</t>
  </si>
  <si>
    <t>请</t>
  </si>
  <si>
    <t>qǐng</t>
  </si>
  <si>
    <t>to invite; please</t>
  </si>
  <si>
    <t>去</t>
  </si>
  <si>
    <t>qù</t>
  </si>
  <si>
    <t>to go</t>
  </si>
  <si>
    <t>热</t>
  </si>
  <si>
    <t>rè</t>
  </si>
  <si>
    <t>hot</t>
  </si>
  <si>
    <t>人</t>
  </si>
  <si>
    <t>rén</t>
  </si>
  <si>
    <t>person; people</t>
  </si>
  <si>
    <t>认识</t>
  </si>
  <si>
    <t>rèn shi</t>
  </si>
  <si>
    <t>to know [be familiar with]</t>
  </si>
  <si>
    <t>三</t>
  </si>
  <si>
    <t>sān</t>
  </si>
  <si>
    <t>three</t>
  </si>
  <si>
    <t>商店</t>
  </si>
  <si>
    <t>shāng diàn</t>
  </si>
  <si>
    <t>shop</t>
  </si>
  <si>
    <t>上</t>
  </si>
  <si>
    <t>shàng</t>
  </si>
  <si>
    <t>up; above</t>
  </si>
  <si>
    <t>上午</t>
  </si>
  <si>
    <t>shàng wǔ</t>
  </si>
  <si>
    <t>morning</t>
  </si>
  <si>
    <t>少</t>
  </si>
  <si>
    <t>shǎo</t>
  </si>
  <si>
    <t>few</t>
  </si>
  <si>
    <t>谁</t>
  </si>
  <si>
    <t>shéi</t>
  </si>
  <si>
    <t>who?</t>
  </si>
  <si>
    <t>什么</t>
  </si>
  <si>
    <t>shén me</t>
  </si>
  <si>
    <t>what?</t>
  </si>
  <si>
    <t>十</t>
  </si>
  <si>
    <t>shí</t>
  </si>
  <si>
    <t>ten</t>
  </si>
  <si>
    <t>时候</t>
  </si>
  <si>
    <t>shí hou</t>
  </si>
  <si>
    <t>[duration of] time</t>
  </si>
  <si>
    <t>是</t>
  </si>
  <si>
    <t>shì</t>
  </si>
  <si>
    <t>to be</t>
  </si>
  <si>
    <t>书</t>
  </si>
  <si>
    <t>shū</t>
  </si>
  <si>
    <t>book</t>
  </si>
  <si>
    <t>水</t>
  </si>
  <si>
    <t>shuǐ</t>
  </si>
  <si>
    <t>water</t>
  </si>
  <si>
    <t>水果</t>
  </si>
  <si>
    <t>shuǐ guǒ</t>
  </si>
  <si>
    <t>fruit</t>
  </si>
  <si>
    <t>睡觉</t>
  </si>
  <si>
    <t>shuì jiào</t>
  </si>
  <si>
    <t>to go to bed; to sleep</t>
  </si>
  <si>
    <t>说</t>
  </si>
  <si>
    <t>shuō</t>
  </si>
  <si>
    <t>speak</t>
  </si>
  <si>
    <t>四</t>
  </si>
  <si>
    <t>sì</t>
  </si>
  <si>
    <t>four</t>
  </si>
  <si>
    <t>岁</t>
  </si>
  <si>
    <t>suì</t>
  </si>
  <si>
    <t>year (of crop harvests)</t>
  </si>
  <si>
    <t>他</t>
  </si>
  <si>
    <t>tā</t>
  </si>
  <si>
    <t>he; him</t>
  </si>
  <si>
    <t>她</t>
  </si>
  <si>
    <t>she; her</t>
  </si>
  <si>
    <t>太</t>
  </si>
  <si>
    <t>tài</t>
  </si>
  <si>
    <t>天气</t>
  </si>
  <si>
    <t>tiān qì</t>
  </si>
  <si>
    <t>weather</t>
  </si>
  <si>
    <t>听</t>
  </si>
  <si>
    <t>tīng</t>
  </si>
  <si>
    <t>to listen; hear</t>
  </si>
  <si>
    <t>同学</t>
  </si>
  <si>
    <t>tóng xué</t>
  </si>
  <si>
    <t>schoolmate; classmate</t>
  </si>
  <si>
    <t>喂</t>
  </si>
  <si>
    <t>wèi</t>
  </si>
  <si>
    <t>hello</t>
  </si>
  <si>
    <t>我</t>
  </si>
  <si>
    <t>wǒ</t>
  </si>
  <si>
    <t>I; me</t>
  </si>
  <si>
    <t>我们</t>
  </si>
  <si>
    <t>wǒ men</t>
  </si>
  <si>
    <t>we; us</t>
  </si>
  <si>
    <t>五</t>
  </si>
  <si>
    <t>wǔ</t>
  </si>
  <si>
    <t>five</t>
  </si>
  <si>
    <t>喜欢</t>
  </si>
  <si>
    <t>xǐ huan</t>
  </si>
  <si>
    <t>to like</t>
  </si>
  <si>
    <t>下</t>
  </si>
  <si>
    <t>xià</t>
  </si>
  <si>
    <t>down; below</t>
  </si>
  <si>
    <t>下午</t>
  </si>
  <si>
    <t>xià wǔ</t>
  </si>
  <si>
    <t>afternoon</t>
  </si>
  <si>
    <t>下雨</t>
  </si>
  <si>
    <t>xià yǔ</t>
  </si>
  <si>
    <t>rain</t>
  </si>
  <si>
    <t>先生</t>
  </si>
  <si>
    <t>xiān sheng</t>
  </si>
  <si>
    <t>Mr; Sir</t>
  </si>
  <si>
    <t>现在</t>
  </si>
  <si>
    <t>xiàn zài</t>
  </si>
  <si>
    <t>now</t>
  </si>
  <si>
    <t>想</t>
  </si>
  <si>
    <t>xiǎng</t>
  </si>
  <si>
    <t>to want; to think</t>
  </si>
  <si>
    <t>小</t>
  </si>
  <si>
    <t>xiǎo</t>
  </si>
  <si>
    <t>small</t>
  </si>
  <si>
    <t>小姐</t>
  </si>
  <si>
    <t>xiǎo jiě</t>
  </si>
  <si>
    <t>Miss; young lady</t>
  </si>
  <si>
    <t>些</t>
  </si>
  <si>
    <t>xiē</t>
  </si>
  <si>
    <t>some</t>
  </si>
  <si>
    <t>写</t>
  </si>
  <si>
    <t>xiě</t>
  </si>
  <si>
    <t>to write</t>
  </si>
  <si>
    <t>谢谢</t>
  </si>
  <si>
    <t>xiè xie</t>
  </si>
  <si>
    <t>thank you</t>
  </si>
  <si>
    <t>星期</t>
  </si>
  <si>
    <t>xīng qī</t>
  </si>
  <si>
    <t>week</t>
  </si>
  <si>
    <t>学生</t>
  </si>
  <si>
    <t>xué sheng</t>
  </si>
  <si>
    <t>student</t>
  </si>
  <si>
    <t>学习</t>
  </si>
  <si>
    <t>xué xí</t>
  </si>
  <si>
    <t>to learn; to study</t>
  </si>
  <si>
    <t>学校</t>
  </si>
  <si>
    <t>xué xiào</t>
  </si>
  <si>
    <t>school</t>
  </si>
  <si>
    <t>一</t>
  </si>
  <si>
    <t>yī</t>
  </si>
  <si>
    <t>one; once; first; structural word between two of the same verb; as soon as; throughout</t>
  </si>
  <si>
    <t>一点儿</t>
  </si>
  <si>
    <t>yī diǎn er</t>
  </si>
  <si>
    <t>数量</t>
  </si>
  <si>
    <t>a bit</t>
  </si>
  <si>
    <t>衣服</t>
  </si>
  <si>
    <t>yī fu</t>
  </si>
  <si>
    <t>clothes</t>
  </si>
  <si>
    <t>医生</t>
  </si>
  <si>
    <t>yī shēng</t>
  </si>
  <si>
    <t>doctor</t>
  </si>
  <si>
    <t>医院</t>
  </si>
  <si>
    <t>yī yuàn</t>
  </si>
  <si>
    <t>hospital</t>
  </si>
  <si>
    <t>椅子</t>
  </si>
  <si>
    <t>yǐ zi</t>
  </si>
  <si>
    <t>chair</t>
  </si>
  <si>
    <t>有</t>
  </si>
  <si>
    <t>yǒu</t>
  </si>
  <si>
    <t>to have</t>
  </si>
  <si>
    <t>月</t>
  </si>
  <si>
    <t>yuè</t>
  </si>
  <si>
    <t>month; moon</t>
  </si>
  <si>
    <t>在</t>
  </si>
  <si>
    <t>zài</t>
  </si>
  <si>
    <t>动/介</t>
  </si>
  <si>
    <t>in; at; on</t>
  </si>
  <si>
    <t>再见</t>
  </si>
  <si>
    <t>zài jiàn</t>
  </si>
  <si>
    <t>goodbye</t>
  </si>
  <si>
    <t>怎么</t>
  </si>
  <si>
    <t>zěn me</t>
  </si>
  <si>
    <t>how?</t>
  </si>
  <si>
    <t>怎么样</t>
  </si>
  <si>
    <t>zěn me yàng</t>
  </si>
  <si>
    <t>how about it</t>
  </si>
  <si>
    <t>这</t>
  </si>
  <si>
    <t>zhè</t>
  </si>
  <si>
    <t>this</t>
  </si>
  <si>
    <t>中国</t>
  </si>
  <si>
    <t>zhōng guó</t>
  </si>
  <si>
    <t>China</t>
  </si>
  <si>
    <t>中午</t>
  </si>
  <si>
    <t>zhōng wǔ</t>
  </si>
  <si>
    <t>midday</t>
  </si>
  <si>
    <t>住</t>
  </si>
  <si>
    <t>zhù</t>
  </si>
  <si>
    <t>to live; stay (a number of nights)</t>
  </si>
  <si>
    <t>桌子</t>
  </si>
  <si>
    <t>zhuō zi</t>
  </si>
  <si>
    <t>table</t>
  </si>
  <si>
    <t>字</t>
  </si>
  <si>
    <t>zì</t>
  </si>
  <si>
    <t>(Chinese) character</t>
  </si>
  <si>
    <t>昨天</t>
  </si>
  <si>
    <t>zuó tiān</t>
  </si>
  <si>
    <t>yesterday</t>
  </si>
  <si>
    <t>坐</t>
  </si>
  <si>
    <t>zuò</t>
  </si>
  <si>
    <t>to sit</t>
  </si>
  <si>
    <t>做</t>
  </si>
  <si>
    <t>to do; to be; become (an occupation)</t>
  </si>
  <si>
    <t>吧</t>
  </si>
  <si>
    <t>ba</t>
  </si>
  <si>
    <t>[makes a suggestion, eg. "Let's …")]</t>
  </si>
  <si>
    <t>白</t>
  </si>
  <si>
    <t>bái</t>
  </si>
  <si>
    <t>white</t>
  </si>
  <si>
    <t>百</t>
  </si>
  <si>
    <t>bǎi</t>
  </si>
  <si>
    <t>hundred</t>
  </si>
  <si>
    <t>帮助</t>
  </si>
  <si>
    <t>bāng zhù</t>
  </si>
  <si>
    <t>to help</t>
  </si>
  <si>
    <t>报纸</t>
  </si>
  <si>
    <t>bào zhǐ</t>
  </si>
  <si>
    <t>newspaper</t>
  </si>
  <si>
    <t>比</t>
  </si>
  <si>
    <t>bǐ</t>
  </si>
  <si>
    <t>介</t>
  </si>
  <si>
    <t>to compare</t>
  </si>
  <si>
    <t>别</t>
  </si>
  <si>
    <t>bié</t>
  </si>
  <si>
    <t>separate</t>
  </si>
  <si>
    <t>宾馆</t>
  </si>
  <si>
    <t>bīn guǎn</t>
  </si>
  <si>
    <t>guesthouse</t>
  </si>
  <si>
    <t>长</t>
  </si>
  <si>
    <t>zhǎng</t>
  </si>
  <si>
    <t>to grow</t>
  </si>
  <si>
    <t>唱歌</t>
  </si>
  <si>
    <t>chàng gē</t>
  </si>
  <si>
    <t>to sing; singing</t>
  </si>
  <si>
    <t>出</t>
  </si>
  <si>
    <t>chū</t>
  </si>
  <si>
    <t>to go out</t>
  </si>
  <si>
    <t>穿</t>
  </si>
  <si>
    <t>chuān</t>
  </si>
  <si>
    <t>to wear; to put on</t>
  </si>
  <si>
    <t>次</t>
  </si>
  <si>
    <t>cì</t>
  </si>
  <si>
    <t>time</t>
  </si>
  <si>
    <t>从</t>
  </si>
  <si>
    <t>cóng</t>
  </si>
  <si>
    <t>from; follow; comply with</t>
  </si>
  <si>
    <t>错</t>
  </si>
  <si>
    <t>cuò</t>
  </si>
  <si>
    <t>wrong</t>
  </si>
  <si>
    <t>打篮球</t>
  </si>
  <si>
    <t>dǎ lán qiú</t>
  </si>
  <si>
    <t>play basketball</t>
  </si>
  <si>
    <t>大家</t>
  </si>
  <si>
    <t>dà jiā</t>
  </si>
  <si>
    <t>everybody</t>
  </si>
  <si>
    <t>到</t>
  </si>
  <si>
    <t>dào</t>
  </si>
  <si>
    <t>to arrive; to get to</t>
  </si>
  <si>
    <t>得</t>
  </si>
  <si>
    <t>助动</t>
  </si>
  <si>
    <t>feel</t>
  </si>
  <si>
    <t>等</t>
  </si>
  <si>
    <t>děng</t>
  </si>
  <si>
    <t>etc.</t>
  </si>
  <si>
    <t>弟弟</t>
  </si>
  <si>
    <t>dì di</t>
  </si>
  <si>
    <t>younger brother</t>
  </si>
  <si>
    <t>第一</t>
  </si>
  <si>
    <t>dì yī</t>
  </si>
  <si>
    <t>firstly</t>
  </si>
  <si>
    <t>懂</t>
  </si>
  <si>
    <t>dǒng</t>
  </si>
  <si>
    <t>to understand</t>
  </si>
  <si>
    <t>对</t>
  </si>
  <si>
    <t>duì</t>
  </si>
  <si>
    <t>介/形</t>
  </si>
  <si>
    <t>correct; right</t>
  </si>
  <si>
    <t>房间</t>
  </si>
  <si>
    <t>fáng jiān</t>
  </si>
  <si>
    <t>room</t>
  </si>
  <si>
    <t>非常</t>
  </si>
  <si>
    <t>fēi cháng</t>
  </si>
  <si>
    <t>extremely</t>
  </si>
  <si>
    <t>服务员</t>
  </si>
  <si>
    <t>fú wù yuán</t>
  </si>
  <si>
    <t>waiter/waitress; attendant</t>
  </si>
  <si>
    <t>高</t>
  </si>
  <si>
    <t>gāo</t>
  </si>
  <si>
    <t>high; tall</t>
  </si>
  <si>
    <t>告诉</t>
  </si>
  <si>
    <t>gào su</t>
  </si>
  <si>
    <t>to tell</t>
  </si>
  <si>
    <t>哥哥</t>
  </si>
  <si>
    <t>gē ge</t>
  </si>
  <si>
    <t>elder brother</t>
  </si>
  <si>
    <t>给</t>
  </si>
  <si>
    <t>gěi</t>
  </si>
  <si>
    <t>to give</t>
  </si>
  <si>
    <t>公共汽车</t>
  </si>
  <si>
    <t>gōng gòng qì chē</t>
  </si>
  <si>
    <t>bus</t>
  </si>
  <si>
    <t>公司</t>
  </si>
  <si>
    <t>gōng sī</t>
  </si>
  <si>
    <t>company; office</t>
  </si>
  <si>
    <t>贵</t>
  </si>
  <si>
    <t>guì</t>
  </si>
  <si>
    <t>expensive</t>
  </si>
  <si>
    <t>过</t>
  </si>
  <si>
    <t>guò</t>
  </si>
  <si>
    <t>to celebrate (a birthday)</t>
  </si>
  <si>
    <t>还</t>
  </si>
  <si>
    <t>huán</t>
  </si>
  <si>
    <t>孩子</t>
  </si>
  <si>
    <t>hái zi</t>
  </si>
  <si>
    <t>child; children</t>
  </si>
  <si>
    <t>好吃</t>
  </si>
  <si>
    <t>hǎo chī</t>
  </si>
  <si>
    <t>delicious</t>
  </si>
  <si>
    <t>黑</t>
  </si>
  <si>
    <t>hēi</t>
  </si>
  <si>
    <t>black</t>
  </si>
  <si>
    <t>红</t>
  </si>
  <si>
    <t>hóng</t>
  </si>
  <si>
    <t>red</t>
  </si>
  <si>
    <t>火车站</t>
  </si>
  <si>
    <t>huǒ chē zhàn</t>
  </si>
  <si>
    <t>railway station</t>
  </si>
  <si>
    <t>机场</t>
  </si>
  <si>
    <t>jī chǎng</t>
  </si>
  <si>
    <t>airport</t>
  </si>
  <si>
    <t>鸡蛋</t>
  </si>
  <si>
    <t>jī dàn</t>
  </si>
  <si>
    <t>(chicken) egg</t>
  </si>
  <si>
    <t>件</t>
  </si>
  <si>
    <t>jiàn</t>
  </si>
  <si>
    <t>item; [measure word for items of clothing]</t>
  </si>
  <si>
    <t>教室</t>
  </si>
  <si>
    <t>jiào shì</t>
  </si>
  <si>
    <t>classroom</t>
  </si>
  <si>
    <t>姐姐</t>
  </si>
  <si>
    <t>jiě jie</t>
  </si>
  <si>
    <t>elder sister</t>
  </si>
  <si>
    <t>介绍</t>
  </si>
  <si>
    <t>jiè shào</t>
  </si>
  <si>
    <t>introduce</t>
  </si>
  <si>
    <t>近</t>
  </si>
  <si>
    <t>jìn</t>
  </si>
  <si>
    <t>near; close by</t>
  </si>
  <si>
    <t>进</t>
  </si>
  <si>
    <t>to enter</t>
  </si>
  <si>
    <t>就</t>
  </si>
  <si>
    <t>jiù</t>
  </si>
  <si>
    <t>simply</t>
  </si>
  <si>
    <t>觉得</t>
  </si>
  <si>
    <t>jué de</t>
  </si>
  <si>
    <t>to think; feel</t>
  </si>
  <si>
    <t>咖啡</t>
  </si>
  <si>
    <t>kā fēi</t>
  </si>
  <si>
    <t>coffee</t>
  </si>
  <si>
    <t>开始</t>
  </si>
  <si>
    <t>kāi shǐ</t>
  </si>
  <si>
    <t>to begin</t>
  </si>
  <si>
    <t>考试</t>
  </si>
  <si>
    <t>kǎo shì</t>
  </si>
  <si>
    <t>examination</t>
  </si>
  <si>
    <t>可能</t>
  </si>
  <si>
    <t>kě néng</t>
  </si>
  <si>
    <t>perhaps; possibly</t>
  </si>
  <si>
    <t>可以</t>
  </si>
  <si>
    <t>kě yǐ</t>
  </si>
  <si>
    <t>can; may</t>
  </si>
  <si>
    <t>课</t>
  </si>
  <si>
    <t>kè</t>
  </si>
  <si>
    <t>lesson</t>
  </si>
  <si>
    <t>快</t>
  </si>
  <si>
    <t>fast; quick</t>
  </si>
  <si>
    <t>快乐</t>
  </si>
  <si>
    <t>kuài lè</t>
  </si>
  <si>
    <t>happy</t>
  </si>
  <si>
    <t>累</t>
  </si>
  <si>
    <t>lèi</t>
  </si>
  <si>
    <t>tired</t>
  </si>
  <si>
    <t>离</t>
  </si>
  <si>
    <t>lí</t>
  </si>
  <si>
    <t>to be distant from; to leave</t>
  </si>
  <si>
    <t>两</t>
  </si>
  <si>
    <t>liǎng</t>
  </si>
  <si>
    <t>two (of something)</t>
  </si>
  <si>
    <t>零</t>
  </si>
  <si>
    <t>líng</t>
  </si>
  <si>
    <t>zero</t>
  </si>
  <si>
    <t>路</t>
  </si>
  <si>
    <t>lù</t>
  </si>
  <si>
    <t>road; route; bus number</t>
  </si>
  <si>
    <t>旅游</t>
  </si>
  <si>
    <t>lǚ yóu</t>
  </si>
  <si>
    <t>tourism</t>
  </si>
  <si>
    <t>卖</t>
  </si>
  <si>
    <t>mài</t>
  </si>
  <si>
    <t>to sell</t>
  </si>
  <si>
    <t>慢</t>
  </si>
  <si>
    <t>màn</t>
  </si>
  <si>
    <t>slow</t>
  </si>
  <si>
    <t>忙</t>
  </si>
  <si>
    <t>máng</t>
  </si>
  <si>
    <t>busy</t>
  </si>
  <si>
    <t>每</t>
  </si>
  <si>
    <t>měi</t>
  </si>
  <si>
    <t>every; each</t>
  </si>
  <si>
    <t>妹妹</t>
  </si>
  <si>
    <t>mèi mei</t>
  </si>
  <si>
    <t>younger sister</t>
  </si>
  <si>
    <t>门</t>
  </si>
  <si>
    <t>mén</t>
  </si>
  <si>
    <t>door</t>
  </si>
  <si>
    <t>面条</t>
  </si>
  <si>
    <t>miàn tiáo</t>
  </si>
  <si>
    <t>noodles</t>
  </si>
  <si>
    <t>男</t>
  </si>
  <si>
    <t>nán</t>
  </si>
  <si>
    <t>区别</t>
  </si>
  <si>
    <t>male</t>
  </si>
  <si>
    <t>您</t>
  </si>
  <si>
    <t>nín</t>
  </si>
  <si>
    <t>you [polite form]</t>
  </si>
  <si>
    <t>牛奶</t>
  </si>
  <si>
    <t>niú nǎi</t>
  </si>
  <si>
    <t>milk</t>
  </si>
  <si>
    <t>女</t>
  </si>
  <si>
    <t>nǚ</t>
  </si>
  <si>
    <t>female</t>
  </si>
  <si>
    <t>旁边</t>
  </si>
  <si>
    <t>páng biān</t>
  </si>
  <si>
    <t>next to</t>
  </si>
  <si>
    <t>跑步</t>
  </si>
  <si>
    <t>pǎo bù</t>
  </si>
  <si>
    <t>running; jogging</t>
  </si>
  <si>
    <t>便宜</t>
  </si>
  <si>
    <t>pián yi</t>
  </si>
  <si>
    <t>cheap</t>
  </si>
  <si>
    <t>票</t>
  </si>
  <si>
    <t>piào</t>
  </si>
  <si>
    <t>ticket</t>
  </si>
  <si>
    <t>妻子</t>
  </si>
  <si>
    <t>qī zi</t>
  </si>
  <si>
    <t>wife</t>
  </si>
  <si>
    <t>起床</t>
  </si>
  <si>
    <t>qǐ chuáng</t>
  </si>
  <si>
    <t>get up (out of bed)</t>
  </si>
  <si>
    <t>千</t>
  </si>
  <si>
    <t>qiān</t>
  </si>
  <si>
    <t>thousand</t>
  </si>
  <si>
    <t>铅笔</t>
  </si>
  <si>
    <t>qiān bǐ</t>
  </si>
  <si>
    <t>pencil</t>
  </si>
  <si>
    <t>晴</t>
  </si>
  <si>
    <t>qíng</t>
  </si>
  <si>
    <t>fine; sunny</t>
  </si>
  <si>
    <t>去年</t>
  </si>
  <si>
    <t>qù nián</t>
  </si>
  <si>
    <t>last year</t>
  </si>
  <si>
    <t>让</t>
  </si>
  <si>
    <t>ràng</t>
  </si>
  <si>
    <t>to let; allow</t>
  </si>
  <si>
    <t>日</t>
  </si>
  <si>
    <t>rì</t>
  </si>
  <si>
    <t>day [date]; sun</t>
  </si>
  <si>
    <t>上班</t>
  </si>
  <si>
    <t>shàng bān</t>
  </si>
  <si>
    <t>start work</t>
  </si>
  <si>
    <t>身体</t>
  </si>
  <si>
    <t>shēn tǐ</t>
  </si>
  <si>
    <t>body; health</t>
  </si>
  <si>
    <t>生病</t>
  </si>
  <si>
    <t>shēng bìng</t>
  </si>
  <si>
    <t>ill; sick; unwell</t>
  </si>
  <si>
    <t>生日</t>
  </si>
  <si>
    <t>shēng rì</t>
  </si>
  <si>
    <t>birthday</t>
  </si>
  <si>
    <t>时间</t>
  </si>
  <si>
    <t>shí jiān</t>
  </si>
  <si>
    <t>事情</t>
  </si>
  <si>
    <t>shì qing</t>
  </si>
  <si>
    <t>matter; affair; thing</t>
  </si>
  <si>
    <t>手表</t>
  </si>
  <si>
    <t>shǒu biǎo</t>
  </si>
  <si>
    <t>watch</t>
  </si>
  <si>
    <t>手机</t>
  </si>
  <si>
    <t>shǒu jī</t>
  </si>
  <si>
    <t>mobile phone</t>
  </si>
  <si>
    <t>说话</t>
  </si>
  <si>
    <t>shuō huà</t>
  </si>
  <si>
    <t>送</t>
  </si>
  <si>
    <t>sòng</t>
  </si>
  <si>
    <t>to give (present); deliver; see someone off</t>
  </si>
  <si>
    <t>虽然……但是……</t>
  </si>
  <si>
    <t>suī rán ……dàn shì ……</t>
  </si>
  <si>
    <t>关联</t>
  </si>
  <si>
    <t>although</t>
  </si>
  <si>
    <t>它</t>
  </si>
  <si>
    <t>it</t>
  </si>
  <si>
    <t>踢足球</t>
  </si>
  <si>
    <t>tī zú qiú</t>
  </si>
  <si>
    <t>play football</t>
  </si>
  <si>
    <t>题</t>
  </si>
  <si>
    <t>tí</t>
  </si>
  <si>
    <t>question</t>
  </si>
  <si>
    <t>跳舞</t>
  </si>
  <si>
    <t>tiào wǔ</t>
  </si>
  <si>
    <t>to dance</t>
  </si>
  <si>
    <t>外</t>
  </si>
  <si>
    <t>wài</t>
  </si>
  <si>
    <t>outside</t>
  </si>
  <si>
    <t>完</t>
  </si>
  <si>
    <t>wán</t>
  </si>
  <si>
    <t>to finish; [+ verb indicates completion]</t>
  </si>
  <si>
    <t>玩</t>
  </si>
  <si>
    <t>to play</t>
  </si>
  <si>
    <t>晚上</t>
  </si>
  <si>
    <t>wǎn shang</t>
  </si>
  <si>
    <t>evening</t>
  </si>
  <si>
    <t>往</t>
  </si>
  <si>
    <t>wǎng</t>
  </si>
  <si>
    <t>towards</t>
  </si>
  <si>
    <t>为什么</t>
  </si>
  <si>
    <t>wèi shén me</t>
  </si>
  <si>
    <t>why?</t>
  </si>
  <si>
    <t>问</t>
  </si>
  <si>
    <t>wèn</t>
  </si>
  <si>
    <t>to ask</t>
  </si>
  <si>
    <t>问题</t>
  </si>
  <si>
    <t>wèn tí</t>
  </si>
  <si>
    <t>problem</t>
  </si>
  <si>
    <t>西瓜</t>
  </si>
  <si>
    <t>xī guā</t>
  </si>
  <si>
    <t>watermelon</t>
  </si>
  <si>
    <t>希望</t>
  </si>
  <si>
    <t>xī wàng</t>
  </si>
  <si>
    <t>hope; wish</t>
  </si>
  <si>
    <t>洗</t>
  </si>
  <si>
    <t>xǐ</t>
  </si>
  <si>
    <t>to wash</t>
  </si>
  <si>
    <t>小时</t>
  </si>
  <si>
    <t>xiǎo shí</t>
  </si>
  <si>
    <t>hour</t>
  </si>
  <si>
    <t>笑</t>
  </si>
  <si>
    <t>xiào</t>
  </si>
  <si>
    <t>to laugh; smile</t>
  </si>
  <si>
    <t>新</t>
  </si>
  <si>
    <t>xīn</t>
  </si>
  <si>
    <t>new</t>
  </si>
  <si>
    <t>姓</t>
  </si>
  <si>
    <t>xìng</t>
  </si>
  <si>
    <t>surname</t>
  </si>
  <si>
    <t>休息</t>
  </si>
  <si>
    <t>xiū xi</t>
  </si>
  <si>
    <t>to rest</t>
  </si>
  <si>
    <t>雪</t>
  </si>
  <si>
    <t>xuě</t>
  </si>
  <si>
    <t>snow</t>
  </si>
  <si>
    <t>颜色</t>
  </si>
  <si>
    <t>yán sè</t>
  </si>
  <si>
    <t>colour</t>
  </si>
  <si>
    <t>眼睛</t>
  </si>
  <si>
    <t>yǎn jing</t>
  </si>
  <si>
    <t>eye</t>
  </si>
  <si>
    <t>羊肉</t>
  </si>
  <si>
    <t>yáng ròu</t>
  </si>
  <si>
    <t>mutton</t>
  </si>
  <si>
    <t>要</t>
  </si>
  <si>
    <t>yào</t>
  </si>
  <si>
    <t>want; be going to; ask for; demand</t>
  </si>
  <si>
    <t>药</t>
  </si>
  <si>
    <t>medicine</t>
  </si>
  <si>
    <t>也</t>
  </si>
  <si>
    <t>yě</t>
  </si>
  <si>
    <t>too; also</t>
  </si>
  <si>
    <t>一下</t>
  </si>
  <si>
    <t>yī xià</t>
  </si>
  <si>
    <t>[used after a verb] give something a go</t>
  </si>
  <si>
    <t>已经</t>
  </si>
  <si>
    <t>yǐ jīng</t>
  </si>
  <si>
    <t>already</t>
  </si>
  <si>
    <t>一起</t>
  </si>
  <si>
    <t>yì qǐ</t>
  </si>
  <si>
    <t>together</t>
  </si>
  <si>
    <t>意思</t>
  </si>
  <si>
    <t>yì si</t>
  </si>
  <si>
    <t>meaning</t>
  </si>
  <si>
    <t>阴</t>
  </si>
  <si>
    <t>yīn</t>
  </si>
  <si>
    <t>cloudy</t>
  </si>
  <si>
    <t>因为……所以……</t>
  </si>
  <si>
    <t>yīn wèi ……suǒ yǐ ……</t>
  </si>
  <si>
    <t>because</t>
  </si>
  <si>
    <t>游泳</t>
  </si>
  <si>
    <t>yóu yǒng</t>
  </si>
  <si>
    <t>swimming</t>
  </si>
  <si>
    <t>右边</t>
  </si>
  <si>
    <t>yòu bian</t>
  </si>
  <si>
    <t>on the right</t>
  </si>
  <si>
    <t>鱼</t>
  </si>
  <si>
    <t>yú</t>
  </si>
  <si>
    <t>fish</t>
  </si>
  <si>
    <t>远</t>
  </si>
  <si>
    <t>yuǎn</t>
  </si>
  <si>
    <t>far</t>
  </si>
  <si>
    <t>运动</t>
  </si>
  <si>
    <t>yùn dòng</t>
  </si>
  <si>
    <t>动/名</t>
  </si>
  <si>
    <t>sport</t>
  </si>
  <si>
    <t>再</t>
  </si>
  <si>
    <t>again</t>
  </si>
  <si>
    <t>早上</t>
  </si>
  <si>
    <t>zǎo shang</t>
  </si>
  <si>
    <t>early morning</t>
  </si>
  <si>
    <t>丈夫</t>
  </si>
  <si>
    <t>zhàng fu</t>
  </si>
  <si>
    <t>husband</t>
  </si>
  <si>
    <t>找</t>
  </si>
  <si>
    <t>zhǎo</t>
  </si>
  <si>
    <t>to find; to look for</t>
  </si>
  <si>
    <t>着</t>
  </si>
  <si>
    <t>zhe</t>
  </si>
  <si>
    <t>-ing</t>
  </si>
  <si>
    <t>真</t>
  </si>
  <si>
    <t>zhēn</t>
  </si>
  <si>
    <t>real; so (+adjective)</t>
  </si>
  <si>
    <t>正在</t>
  </si>
  <si>
    <t>zhèng zài</t>
  </si>
  <si>
    <t>to be in the process of</t>
  </si>
  <si>
    <t>只</t>
  </si>
  <si>
    <t>zhǐ</t>
  </si>
  <si>
    <t>only</t>
  </si>
  <si>
    <t>知道</t>
  </si>
  <si>
    <t>zhī dào</t>
  </si>
  <si>
    <t>know; realise; be aware of</t>
  </si>
  <si>
    <t>准备</t>
  </si>
  <si>
    <t>zhǔn bèi</t>
  </si>
  <si>
    <t>to prepare</t>
  </si>
  <si>
    <t>走</t>
  </si>
  <si>
    <t>zǒu</t>
  </si>
  <si>
    <t>go; walk</t>
  </si>
  <si>
    <t>最</t>
  </si>
  <si>
    <t>zuì</t>
  </si>
  <si>
    <t>most</t>
  </si>
  <si>
    <t>左边</t>
  </si>
  <si>
    <t>zuǒ bian</t>
  </si>
  <si>
    <t>on the left</t>
  </si>
  <si>
    <t>阿姨</t>
  </si>
  <si>
    <t>ā yí</t>
  </si>
  <si>
    <t>auntie [mother's younger sister]</t>
  </si>
  <si>
    <t>啊</t>
  </si>
  <si>
    <t>a</t>
  </si>
  <si>
    <t>ah</t>
  </si>
  <si>
    <t>矮</t>
  </si>
  <si>
    <t>ǎi</t>
  </si>
  <si>
    <t>short [height]</t>
  </si>
  <si>
    <t>爱好</t>
  </si>
  <si>
    <t>ài hào</t>
  </si>
  <si>
    <t>interests; hobbies</t>
  </si>
  <si>
    <t>安静</t>
  </si>
  <si>
    <t>ān jìng</t>
  </si>
  <si>
    <t>to be quiet</t>
  </si>
  <si>
    <t>把</t>
  </si>
  <si>
    <t>bǎ</t>
  </si>
  <si>
    <t>grasp; [measure word for knives]</t>
  </si>
  <si>
    <t>搬</t>
  </si>
  <si>
    <t>bān</t>
  </si>
  <si>
    <t>to move</t>
  </si>
  <si>
    <t>班</t>
  </si>
  <si>
    <t>class</t>
  </si>
  <si>
    <t>半</t>
  </si>
  <si>
    <t>bàn</t>
  </si>
  <si>
    <t>half</t>
  </si>
  <si>
    <t>办法</t>
  </si>
  <si>
    <t>bàn fǎ</t>
  </si>
  <si>
    <t>way; method; solution</t>
  </si>
  <si>
    <t>办公室</t>
  </si>
  <si>
    <t>bàn gōng shì</t>
  </si>
  <si>
    <t>office</t>
  </si>
  <si>
    <t>帮忙</t>
  </si>
  <si>
    <t>bāng máng</t>
  </si>
  <si>
    <t>lend a hand</t>
  </si>
  <si>
    <t>包</t>
  </si>
  <si>
    <t>bāo</t>
  </si>
  <si>
    <t>a packet of; package</t>
  </si>
  <si>
    <t>饱</t>
  </si>
  <si>
    <t>bǎo</t>
  </si>
  <si>
    <t>full up; eaten to one’s satisfaction</t>
  </si>
  <si>
    <t>北方</t>
  </si>
  <si>
    <t>běi fāng</t>
  </si>
  <si>
    <t>the north</t>
  </si>
  <si>
    <t>被</t>
  </si>
  <si>
    <t>bèi</t>
  </si>
  <si>
    <t>quilt; by (somebody/something)</t>
  </si>
  <si>
    <t>鼻子</t>
  </si>
  <si>
    <t>bí zi</t>
  </si>
  <si>
    <t>nose</t>
  </si>
  <si>
    <t>笔记本</t>
  </si>
  <si>
    <t>bǐ jì běn</t>
  </si>
  <si>
    <t>notebook</t>
  </si>
  <si>
    <t>比较</t>
  </si>
  <si>
    <t>bǐ jiào</t>
  </si>
  <si>
    <t>compare</t>
  </si>
  <si>
    <t>比赛</t>
  </si>
  <si>
    <t>bǐ sài</t>
  </si>
  <si>
    <t>competition; match</t>
  </si>
  <si>
    <t>必须</t>
  </si>
  <si>
    <t>bì xū</t>
  </si>
  <si>
    <t>must</t>
  </si>
  <si>
    <t>变化</t>
  </si>
  <si>
    <t>biàn huà</t>
  </si>
  <si>
    <t>change</t>
  </si>
  <si>
    <t>别人</t>
  </si>
  <si>
    <t>bié ren</t>
  </si>
  <si>
    <t>other people</t>
  </si>
  <si>
    <t>冰箱</t>
  </si>
  <si>
    <t>bīng xiāng</t>
  </si>
  <si>
    <t>fridge</t>
  </si>
  <si>
    <t>不但……而且……</t>
  </si>
  <si>
    <t>bù dàn ……ér qiě ……</t>
  </si>
  <si>
    <t>not only……but also……</t>
  </si>
  <si>
    <t>菜单</t>
  </si>
  <si>
    <t>cài dān</t>
  </si>
  <si>
    <t>menu</t>
  </si>
  <si>
    <t>参加</t>
  </si>
  <si>
    <t>cān jiā</t>
  </si>
  <si>
    <t>to take part</t>
  </si>
  <si>
    <t>草</t>
  </si>
  <si>
    <t>cǎo</t>
  </si>
  <si>
    <t>grass</t>
  </si>
  <si>
    <t>层</t>
  </si>
  <si>
    <t>céng</t>
  </si>
  <si>
    <t>storey</t>
  </si>
  <si>
    <t>差</t>
  </si>
  <si>
    <t>chà</t>
  </si>
  <si>
    <t>动/形</t>
  </si>
  <si>
    <t>lack; lacking</t>
  </si>
  <si>
    <t>尝</t>
  </si>
  <si>
    <t>cháng</t>
  </si>
  <si>
    <t>taste</t>
  </si>
  <si>
    <t>超市</t>
  </si>
  <si>
    <t>chāo shì</t>
  </si>
  <si>
    <t>supermarket</t>
  </si>
  <si>
    <t>衬衫</t>
  </si>
  <si>
    <t>chèn shān</t>
  </si>
  <si>
    <t>shirt</t>
  </si>
  <si>
    <t>成绩</t>
  </si>
  <si>
    <t>chéng jì</t>
  </si>
  <si>
    <t>results; marks; achievement</t>
  </si>
  <si>
    <t>城市</t>
  </si>
  <si>
    <t>chéng shì</t>
  </si>
  <si>
    <t>city</t>
  </si>
  <si>
    <t>迟到</t>
  </si>
  <si>
    <t>chí dào</t>
  </si>
  <si>
    <t>arrive late</t>
  </si>
  <si>
    <t>除了</t>
  </si>
  <si>
    <t>chú le</t>
  </si>
  <si>
    <t>apart from ("chule...yiwai" construction)</t>
  </si>
  <si>
    <t>船</t>
  </si>
  <si>
    <t>chuán</t>
  </si>
  <si>
    <t>boat; ship; ferry</t>
  </si>
  <si>
    <t>春</t>
  </si>
  <si>
    <t>chūn</t>
  </si>
  <si>
    <t>spring</t>
  </si>
  <si>
    <t>词典</t>
  </si>
  <si>
    <t>cí diǎn</t>
  </si>
  <si>
    <t>dictionary</t>
  </si>
  <si>
    <t>聪明</t>
  </si>
  <si>
    <t>cōng ming</t>
  </si>
  <si>
    <t>clever; intelligent</t>
  </si>
  <si>
    <t>打扫</t>
  </si>
  <si>
    <t>dǎ sǎo</t>
  </si>
  <si>
    <t>to clean</t>
  </si>
  <si>
    <t>打算</t>
  </si>
  <si>
    <t>dǎ suàn</t>
  </si>
  <si>
    <t>plan; intention</t>
  </si>
  <si>
    <t>带</t>
  </si>
  <si>
    <t>dài</t>
  </si>
  <si>
    <t>carry</t>
  </si>
  <si>
    <t>担心</t>
  </si>
  <si>
    <t>dān xīn</t>
  </si>
  <si>
    <t>worry</t>
  </si>
  <si>
    <t>蛋糕</t>
  </si>
  <si>
    <t>dàn gāo</t>
  </si>
  <si>
    <t>cake</t>
  </si>
  <si>
    <t>当然</t>
  </si>
  <si>
    <t>dāng rán</t>
  </si>
  <si>
    <t>of course</t>
  </si>
  <si>
    <t>地</t>
  </si>
  <si>
    <t>...ly [particle to connect adverb to verb]</t>
  </si>
  <si>
    <t>灯</t>
  </si>
  <si>
    <t>dēng</t>
  </si>
  <si>
    <t>lamp</t>
  </si>
  <si>
    <t>地方</t>
  </si>
  <si>
    <t>dì fang</t>
  </si>
  <si>
    <t>place</t>
  </si>
  <si>
    <t>地铁</t>
  </si>
  <si>
    <t>dì tiě</t>
  </si>
  <si>
    <t>underground train; tube; metro</t>
  </si>
  <si>
    <t>地图</t>
  </si>
  <si>
    <t>dì tú</t>
  </si>
  <si>
    <t>map</t>
  </si>
  <si>
    <t>电梯</t>
  </si>
  <si>
    <t>diàn tī</t>
  </si>
  <si>
    <t>lift; elevator</t>
  </si>
  <si>
    <t>电子邮件</t>
  </si>
  <si>
    <t>diàn zǐ yóu jiàn</t>
  </si>
  <si>
    <t>email</t>
  </si>
  <si>
    <t>东</t>
  </si>
  <si>
    <t>dōng</t>
  </si>
  <si>
    <t>east</t>
  </si>
  <si>
    <t>冬</t>
  </si>
  <si>
    <t>winter</t>
  </si>
  <si>
    <t>动物</t>
  </si>
  <si>
    <t>dòng wù</t>
  </si>
  <si>
    <t>animals</t>
  </si>
  <si>
    <t>短</t>
  </si>
  <si>
    <t>duǎn</t>
  </si>
  <si>
    <t>short</t>
  </si>
  <si>
    <t>段</t>
  </si>
  <si>
    <t>duàn</t>
  </si>
  <si>
    <t>section; paragraph; [measure word for stories, pieces of music, recordings etc.]</t>
  </si>
  <si>
    <t>锻炼</t>
  </si>
  <si>
    <t>duàn liàn</t>
  </si>
  <si>
    <t>to engage in physical exercise</t>
  </si>
  <si>
    <t>多么</t>
  </si>
  <si>
    <t>duō me</t>
  </si>
  <si>
    <t>how ...</t>
  </si>
  <si>
    <t>饿</t>
  </si>
  <si>
    <t>è</t>
  </si>
  <si>
    <t>hungry</t>
  </si>
  <si>
    <t>耳朵</t>
  </si>
  <si>
    <t>ěr duo</t>
  </si>
  <si>
    <t>ears</t>
  </si>
  <si>
    <t>发</t>
  </si>
  <si>
    <t>fā</t>
  </si>
  <si>
    <t>to send (an email)</t>
  </si>
  <si>
    <t>发烧</t>
  </si>
  <si>
    <t>fā shāo</t>
  </si>
  <si>
    <t>fever; have a fever</t>
  </si>
  <si>
    <t>发现</t>
  </si>
  <si>
    <t>fā xiàn</t>
  </si>
  <si>
    <t>discover</t>
  </si>
  <si>
    <t>方便</t>
  </si>
  <si>
    <t>fāng biàn</t>
  </si>
  <si>
    <t>convenient</t>
  </si>
  <si>
    <t>放</t>
  </si>
  <si>
    <t>fàng</t>
  </si>
  <si>
    <t>to put; set free</t>
  </si>
  <si>
    <t>放心</t>
  </si>
  <si>
    <t>fàng xīn</t>
  </si>
  <si>
    <t>relax; feel relieved</t>
  </si>
  <si>
    <t>分</t>
  </si>
  <si>
    <t>fēn</t>
  </si>
  <si>
    <t>量/动</t>
  </si>
  <si>
    <t>附近</t>
  </si>
  <si>
    <t>fù jìn</t>
  </si>
  <si>
    <t>nearby</t>
  </si>
  <si>
    <t>复习</t>
  </si>
  <si>
    <t>fù xí</t>
  </si>
  <si>
    <t>revise</t>
  </si>
  <si>
    <t>干净</t>
  </si>
  <si>
    <t>gān jìng</t>
  </si>
  <si>
    <t>clean</t>
  </si>
  <si>
    <t>感冒</t>
  </si>
  <si>
    <t>gǎn mào</t>
  </si>
  <si>
    <t>to catch a cold</t>
  </si>
  <si>
    <t>感兴趣</t>
  </si>
  <si>
    <t>gǎn xìng qù</t>
  </si>
  <si>
    <t>to be interested (in)</t>
  </si>
  <si>
    <t>刚才</t>
  </si>
  <si>
    <t>gāng cái</t>
  </si>
  <si>
    <t>just now</t>
  </si>
  <si>
    <t>个子</t>
  </si>
  <si>
    <t>gè zi</t>
  </si>
  <si>
    <t>height; stature</t>
  </si>
  <si>
    <t>跟</t>
  </si>
  <si>
    <t>gēn</t>
  </si>
  <si>
    <t>with</t>
  </si>
  <si>
    <t>根据</t>
  </si>
  <si>
    <t>gēn jù</t>
  </si>
  <si>
    <t>介/名</t>
  </si>
  <si>
    <t>according to</t>
  </si>
  <si>
    <t>更</t>
  </si>
  <si>
    <t>gèng</t>
  </si>
  <si>
    <t>even more</t>
  </si>
  <si>
    <t>公斤</t>
  </si>
  <si>
    <t>gōng jīn</t>
  </si>
  <si>
    <t>kilogram</t>
  </si>
  <si>
    <t>公园</t>
  </si>
  <si>
    <t>gōng yuán</t>
  </si>
  <si>
    <t>park</t>
  </si>
  <si>
    <t>故事</t>
  </si>
  <si>
    <t>gù shi</t>
  </si>
  <si>
    <t>story; tale; plot</t>
  </si>
  <si>
    <t>刮风</t>
  </si>
  <si>
    <t>guā fēng</t>
  </si>
  <si>
    <t>windy</t>
  </si>
  <si>
    <t>关</t>
  </si>
  <si>
    <t>guān</t>
  </si>
  <si>
    <t>to close</t>
  </si>
  <si>
    <t>关系</t>
  </si>
  <si>
    <t>guān xì</t>
  </si>
  <si>
    <t>relationship</t>
  </si>
  <si>
    <t>关心</t>
  </si>
  <si>
    <t>guān xīn</t>
  </si>
  <si>
    <t>care about</t>
  </si>
  <si>
    <t>关于</t>
  </si>
  <si>
    <t>guān yú</t>
  </si>
  <si>
    <t>about</t>
  </si>
  <si>
    <t>国家</t>
  </si>
  <si>
    <t>guó jiā</t>
  </si>
  <si>
    <t>country</t>
  </si>
  <si>
    <t>过去</t>
  </si>
  <si>
    <t>guò qu</t>
  </si>
  <si>
    <t>(in the) past</t>
  </si>
  <si>
    <t>还是</t>
  </si>
  <si>
    <t>hái shì</t>
  </si>
  <si>
    <t>副/连</t>
  </si>
  <si>
    <t>...or...? [in a question]</t>
  </si>
  <si>
    <t>害怕</t>
  </si>
  <si>
    <t>hài pà</t>
  </si>
  <si>
    <t>afraid</t>
  </si>
  <si>
    <t>黑板</t>
  </si>
  <si>
    <t>hēi bǎn</t>
  </si>
  <si>
    <t>blackboard</t>
  </si>
  <si>
    <t>后来</t>
  </si>
  <si>
    <t>hòu lái</t>
  </si>
  <si>
    <t>afterward</t>
  </si>
  <si>
    <t>护照</t>
  </si>
  <si>
    <t>hù zhào</t>
  </si>
  <si>
    <t>passport</t>
  </si>
  <si>
    <t>花</t>
  </si>
  <si>
    <t>huā</t>
  </si>
  <si>
    <t>spend</t>
  </si>
  <si>
    <t>画</t>
  </si>
  <si>
    <t>huà</t>
  </si>
  <si>
    <t>to draw; paint (pictures)</t>
  </si>
  <si>
    <t>坏</t>
  </si>
  <si>
    <t>huài</t>
  </si>
  <si>
    <t>bad</t>
  </si>
  <si>
    <t>欢迎</t>
  </si>
  <si>
    <t>huān yíng</t>
  </si>
  <si>
    <t>to welcome</t>
  </si>
  <si>
    <t>环境</t>
  </si>
  <si>
    <t>huán jìng</t>
  </si>
  <si>
    <t>environment</t>
  </si>
  <si>
    <t>换</t>
  </si>
  <si>
    <t>huàn</t>
  </si>
  <si>
    <t>to change (to another one)</t>
  </si>
  <si>
    <t>黄河</t>
  </si>
  <si>
    <t>huáng hé</t>
  </si>
  <si>
    <t>Yellow River</t>
  </si>
  <si>
    <t>回答</t>
  </si>
  <si>
    <t>huí dá</t>
  </si>
  <si>
    <t>reply</t>
  </si>
  <si>
    <t>会议</t>
  </si>
  <si>
    <t>huì yì</t>
  </si>
  <si>
    <t>meeting</t>
  </si>
  <si>
    <t>或者</t>
  </si>
  <si>
    <t>huò zhě</t>
  </si>
  <si>
    <t>perhaps</t>
  </si>
  <si>
    <t>几乎</t>
  </si>
  <si>
    <t>jī hū</t>
  </si>
  <si>
    <t>almost</t>
  </si>
  <si>
    <t>机会</t>
  </si>
  <si>
    <t>jī huì</t>
  </si>
  <si>
    <t>opportunity</t>
  </si>
  <si>
    <t>极</t>
  </si>
  <si>
    <t>jí</t>
  </si>
  <si>
    <t>extreme</t>
  </si>
  <si>
    <t>记得</t>
  </si>
  <si>
    <t>jì de</t>
  </si>
  <si>
    <t>to remember</t>
  </si>
  <si>
    <t>季节</t>
  </si>
  <si>
    <t>jì jié</t>
  </si>
  <si>
    <t>season</t>
  </si>
  <si>
    <t>检查</t>
  </si>
  <si>
    <t>jiǎn chá</t>
  </si>
  <si>
    <t>inspect</t>
  </si>
  <si>
    <t>简单</t>
  </si>
  <si>
    <t>jiǎn dān</t>
  </si>
  <si>
    <t>simple</t>
  </si>
  <si>
    <t>健康</t>
  </si>
  <si>
    <t>jiàn kāng</t>
  </si>
  <si>
    <t>healthy; health</t>
  </si>
  <si>
    <t>见面</t>
  </si>
  <si>
    <t>jiàn miàn</t>
  </si>
  <si>
    <t>to meet</t>
  </si>
  <si>
    <t>讲</t>
  </si>
  <si>
    <t>jiǎng</t>
  </si>
  <si>
    <t>教</t>
  </si>
  <si>
    <t>jiāo</t>
  </si>
  <si>
    <t>to teach</t>
  </si>
  <si>
    <t>脚</t>
  </si>
  <si>
    <t>jiǎo</t>
  </si>
  <si>
    <t>foot</t>
  </si>
  <si>
    <t>角</t>
  </si>
  <si>
    <t>horn; corner; jiao (written) [unit of currency = 0.1 yuan]</t>
  </si>
  <si>
    <t>接</t>
  </si>
  <si>
    <t>jiē</t>
  </si>
  <si>
    <t>connect</t>
  </si>
  <si>
    <t>街道</t>
  </si>
  <si>
    <t>jiē dào</t>
  </si>
  <si>
    <t>road</t>
  </si>
  <si>
    <t>结婚</t>
  </si>
  <si>
    <t>jié hūn</t>
  </si>
  <si>
    <t>marry</t>
  </si>
  <si>
    <t>节目</t>
  </si>
  <si>
    <t>jié mù</t>
  </si>
  <si>
    <t>programme</t>
  </si>
  <si>
    <t>节日</t>
  </si>
  <si>
    <t>jié rì</t>
  </si>
  <si>
    <t>festival</t>
  </si>
  <si>
    <t>结束</t>
  </si>
  <si>
    <t>jié shù</t>
  </si>
  <si>
    <t>finish</t>
  </si>
  <si>
    <t>解决</t>
  </si>
  <si>
    <t>jiě jué</t>
  </si>
  <si>
    <t>to resolve; solve</t>
  </si>
  <si>
    <t>借</t>
  </si>
  <si>
    <t>jiè</t>
  </si>
  <si>
    <t>to lend</t>
  </si>
  <si>
    <t>经常</t>
  </si>
  <si>
    <t>jīng cháng</t>
  </si>
  <si>
    <t>often; regularly</t>
  </si>
  <si>
    <t>经过</t>
  </si>
  <si>
    <t>jīng guò</t>
  </si>
  <si>
    <t>pass through</t>
  </si>
  <si>
    <t>经理</t>
  </si>
  <si>
    <t>jīng lǐ</t>
  </si>
  <si>
    <t>manager</t>
  </si>
  <si>
    <t>久</t>
  </si>
  <si>
    <t>long time</t>
  </si>
  <si>
    <t>旧</t>
  </si>
  <si>
    <t>old; former</t>
  </si>
  <si>
    <t>句子</t>
  </si>
  <si>
    <t>jù zi</t>
  </si>
  <si>
    <t>sentence</t>
  </si>
  <si>
    <t>决定</t>
  </si>
  <si>
    <t>jué dìng</t>
  </si>
  <si>
    <t>decide</t>
  </si>
  <si>
    <t>渴</t>
  </si>
  <si>
    <t>kě</t>
  </si>
  <si>
    <t>thirsty</t>
  </si>
  <si>
    <t>可爱</t>
  </si>
  <si>
    <t>kě ài</t>
  </si>
  <si>
    <t>lovely; loveable</t>
  </si>
  <si>
    <t>刻</t>
  </si>
  <si>
    <t>quarter (of an hour); to carve</t>
  </si>
  <si>
    <t>客人</t>
  </si>
  <si>
    <t>kè rén</t>
  </si>
  <si>
    <t>guest</t>
  </si>
  <si>
    <t>空调</t>
  </si>
  <si>
    <t>kōng tiáo</t>
  </si>
  <si>
    <t>air-conditioning</t>
  </si>
  <si>
    <t>口</t>
  </si>
  <si>
    <t>kǒu</t>
  </si>
  <si>
    <t>mouth; [measure word for family members]</t>
  </si>
  <si>
    <t>哭</t>
  </si>
  <si>
    <t>kū</t>
  </si>
  <si>
    <t>cry</t>
  </si>
  <si>
    <t>裤子</t>
  </si>
  <si>
    <t>kù zi</t>
  </si>
  <si>
    <t>trousers</t>
  </si>
  <si>
    <t>筷子</t>
  </si>
  <si>
    <t>kuài zi</t>
  </si>
  <si>
    <t>chopsticks</t>
  </si>
  <si>
    <t>蓝</t>
  </si>
  <si>
    <t>lán</t>
  </si>
  <si>
    <t>blue</t>
  </si>
  <si>
    <t>老</t>
  </si>
  <si>
    <t>lǎo</t>
  </si>
  <si>
    <t>old; aged</t>
  </si>
  <si>
    <t>离开</t>
  </si>
  <si>
    <t>lí kāi</t>
  </si>
  <si>
    <t>leave</t>
  </si>
  <si>
    <t>礼物</t>
  </si>
  <si>
    <t>lǐ wù</t>
  </si>
  <si>
    <t>gift; present</t>
  </si>
  <si>
    <t>历史</t>
  </si>
  <si>
    <t>lì shǐ</t>
  </si>
  <si>
    <t>history</t>
  </si>
  <si>
    <t>脸</t>
  </si>
  <si>
    <t>liǎn</t>
  </si>
  <si>
    <t>face</t>
  </si>
  <si>
    <t>练习</t>
  </si>
  <si>
    <t>liàn xí</t>
  </si>
  <si>
    <t>to practise</t>
  </si>
  <si>
    <t>辆</t>
  </si>
  <si>
    <t>liàng</t>
  </si>
  <si>
    <t>[measure word for vehicles]</t>
  </si>
  <si>
    <t>聊天</t>
  </si>
  <si>
    <t>liáo tiān</t>
  </si>
  <si>
    <t>to chat</t>
  </si>
  <si>
    <t>了解</t>
  </si>
  <si>
    <t>liǎo jiě</t>
  </si>
  <si>
    <t>understand</t>
  </si>
  <si>
    <t>邻居</t>
  </si>
  <si>
    <t>lín jū</t>
  </si>
  <si>
    <t>neighbour</t>
  </si>
  <si>
    <t>留学</t>
  </si>
  <si>
    <t>liú xué</t>
  </si>
  <si>
    <t>study abroad</t>
  </si>
  <si>
    <t>楼</t>
  </si>
  <si>
    <t>lóu</t>
  </si>
  <si>
    <t>multi-storied building</t>
  </si>
  <si>
    <t>绿</t>
  </si>
  <si>
    <t>lǜ</t>
  </si>
  <si>
    <t>green</t>
  </si>
  <si>
    <t>马</t>
  </si>
  <si>
    <t>mǎ</t>
  </si>
  <si>
    <t>horse</t>
  </si>
  <si>
    <t>马上</t>
  </si>
  <si>
    <t>mǎ shàng</t>
  </si>
  <si>
    <t>immediately</t>
  </si>
  <si>
    <t>满意</t>
  </si>
  <si>
    <t>mǎn yì</t>
  </si>
  <si>
    <t>pleased; satisfied</t>
  </si>
  <si>
    <t>帽子</t>
  </si>
  <si>
    <t>mào zi</t>
  </si>
  <si>
    <t>hat</t>
  </si>
  <si>
    <t>米</t>
  </si>
  <si>
    <t>mǐ</t>
  </si>
  <si>
    <t>rice; metre</t>
  </si>
  <si>
    <t>面包</t>
  </si>
  <si>
    <t>miàn bāo</t>
  </si>
  <si>
    <t>bread</t>
  </si>
  <si>
    <t>明白</t>
  </si>
  <si>
    <t>míng bai</t>
  </si>
  <si>
    <t>拿</t>
  </si>
  <si>
    <t>ná</t>
  </si>
  <si>
    <t>to take</t>
  </si>
  <si>
    <t>奶奶</t>
  </si>
  <si>
    <t>nǎi nai</t>
  </si>
  <si>
    <t>grandmother [father's mother]</t>
  </si>
  <si>
    <t>难</t>
  </si>
  <si>
    <t>hard; difficult</t>
  </si>
  <si>
    <t>南</t>
  </si>
  <si>
    <t>south</t>
  </si>
  <si>
    <t>难过</t>
  </si>
  <si>
    <t>nán guò</t>
  </si>
  <si>
    <t>have a hard time</t>
  </si>
  <si>
    <t>年级</t>
  </si>
  <si>
    <t>nián jí</t>
  </si>
  <si>
    <t>(school) year/grade</t>
  </si>
  <si>
    <t>年轻</t>
  </si>
  <si>
    <t>nián qīng</t>
  </si>
  <si>
    <t>young</t>
  </si>
  <si>
    <t>鸟</t>
  </si>
  <si>
    <t>niǎo</t>
  </si>
  <si>
    <t>bird</t>
  </si>
  <si>
    <t>努力</t>
  </si>
  <si>
    <t>nǔ lì</t>
  </si>
  <si>
    <t>hardworking</t>
  </si>
  <si>
    <t>爬山</t>
  </si>
  <si>
    <t>pá shān</t>
  </si>
  <si>
    <t>to climb hills/mountains</t>
  </si>
  <si>
    <t>盘子</t>
  </si>
  <si>
    <t>pán zi</t>
  </si>
  <si>
    <t>tray</t>
  </si>
  <si>
    <t>胖</t>
  </si>
  <si>
    <t>pàng</t>
  </si>
  <si>
    <t>fat</t>
  </si>
  <si>
    <t>啤酒</t>
  </si>
  <si>
    <t>pí jiǔ</t>
  </si>
  <si>
    <t>beer</t>
  </si>
  <si>
    <t>皮鞋</t>
  </si>
  <si>
    <t>pí xié</t>
  </si>
  <si>
    <t>leather shoes</t>
  </si>
  <si>
    <t>瓶子</t>
  </si>
  <si>
    <t>píng zi</t>
  </si>
  <si>
    <t>bottle</t>
  </si>
  <si>
    <t>骑</t>
  </si>
  <si>
    <t>qí</t>
  </si>
  <si>
    <t>to ride (a bicycle, horse)</t>
  </si>
  <si>
    <t>奇怪</t>
  </si>
  <si>
    <t>qí guài</t>
  </si>
  <si>
    <t>strange</t>
  </si>
  <si>
    <t>其实</t>
  </si>
  <si>
    <t>qí shí</t>
  </si>
  <si>
    <t>in fact</t>
  </si>
  <si>
    <t>其他</t>
  </si>
  <si>
    <t>qí tā</t>
  </si>
  <si>
    <t>other</t>
  </si>
  <si>
    <t>起飞</t>
  </si>
  <si>
    <t>qǐ fēi</t>
  </si>
  <si>
    <t>take off [plane]</t>
  </si>
  <si>
    <t>起来</t>
  </si>
  <si>
    <t>qǐ lái</t>
  </si>
  <si>
    <t>stand up; sit up; rise to one's feet</t>
  </si>
  <si>
    <t>清楚</t>
  </si>
  <si>
    <t>qīng chu</t>
  </si>
  <si>
    <t>clear</t>
  </si>
  <si>
    <t>请假</t>
  </si>
  <si>
    <t>qǐng jià</t>
  </si>
  <si>
    <t>ask for leave</t>
  </si>
  <si>
    <t>秋</t>
  </si>
  <si>
    <t>qiū</t>
  </si>
  <si>
    <t>autumn</t>
  </si>
  <si>
    <t>裙子</t>
  </si>
  <si>
    <t>qún zi</t>
  </si>
  <si>
    <t>skirt</t>
  </si>
  <si>
    <t>然后</t>
  </si>
  <si>
    <t>rán hòu</t>
  </si>
  <si>
    <t>连</t>
  </si>
  <si>
    <t>and then; after that</t>
  </si>
  <si>
    <t>热情</t>
  </si>
  <si>
    <t>rè qíng</t>
  </si>
  <si>
    <t>enthusiastic</t>
  </si>
  <si>
    <t>认为</t>
  </si>
  <si>
    <t>rèn wéi</t>
  </si>
  <si>
    <t>to think that; consider</t>
  </si>
  <si>
    <t>认真</t>
  </si>
  <si>
    <t>rèn zhēn</t>
  </si>
  <si>
    <t>earnest</t>
  </si>
  <si>
    <t>容易</t>
  </si>
  <si>
    <t>róng yì</t>
  </si>
  <si>
    <t>easy</t>
  </si>
  <si>
    <t>如果</t>
  </si>
  <si>
    <t>rú guǒ</t>
  </si>
  <si>
    <t>if</t>
  </si>
  <si>
    <t>伞</t>
  </si>
  <si>
    <t>sǎn</t>
  </si>
  <si>
    <t>umbrella</t>
  </si>
  <si>
    <t>上网</t>
  </si>
  <si>
    <t>shàng wǎng</t>
  </si>
  <si>
    <t>get on the internet</t>
  </si>
  <si>
    <t>生气</t>
  </si>
  <si>
    <t>shēng qì</t>
  </si>
  <si>
    <t>to get angry</t>
  </si>
  <si>
    <t>声音</t>
  </si>
  <si>
    <t>shēng yīn</t>
  </si>
  <si>
    <t>sound</t>
  </si>
  <si>
    <t>试</t>
  </si>
  <si>
    <t>to try</t>
  </si>
  <si>
    <t>世界</t>
  </si>
  <si>
    <t>shì jiè</t>
  </si>
  <si>
    <t>world</t>
  </si>
  <si>
    <t>瘦</t>
  </si>
  <si>
    <t>shòu</t>
  </si>
  <si>
    <t>thin</t>
  </si>
  <si>
    <t>舒服</t>
  </si>
  <si>
    <t>shū fu</t>
  </si>
  <si>
    <t>comfortable</t>
  </si>
  <si>
    <t>叔叔</t>
  </si>
  <si>
    <t>shū shu</t>
  </si>
  <si>
    <t>uncle [father's younger brother]</t>
  </si>
  <si>
    <t>树</t>
  </si>
  <si>
    <t>shù</t>
  </si>
  <si>
    <t>tree</t>
  </si>
  <si>
    <t>数学</t>
  </si>
  <si>
    <t>shù xué</t>
  </si>
  <si>
    <t>maths</t>
  </si>
  <si>
    <t>刷牙</t>
  </si>
  <si>
    <t>shuā yá</t>
  </si>
  <si>
    <t>brush teeth</t>
  </si>
  <si>
    <t>双</t>
  </si>
  <si>
    <t>shuāng</t>
  </si>
  <si>
    <t>a pair of</t>
  </si>
  <si>
    <t>水平</t>
  </si>
  <si>
    <t>shuǐ píng</t>
  </si>
  <si>
    <t>司机</t>
  </si>
  <si>
    <t>sī jī</t>
  </si>
  <si>
    <t>driver</t>
  </si>
  <si>
    <t>太阳</t>
  </si>
  <si>
    <t>tài yáng</t>
  </si>
  <si>
    <t>sun</t>
  </si>
  <si>
    <t>特别</t>
  </si>
  <si>
    <t>tè bié</t>
  </si>
  <si>
    <t>副/形</t>
  </si>
  <si>
    <t>special; especially</t>
  </si>
  <si>
    <t>疼</t>
  </si>
  <si>
    <t>téng</t>
  </si>
  <si>
    <t>pain</t>
  </si>
  <si>
    <t>提高</t>
  </si>
  <si>
    <t>tí gāo</t>
  </si>
  <si>
    <t>raise</t>
  </si>
  <si>
    <t>体育</t>
  </si>
  <si>
    <t>tǐ yù</t>
  </si>
  <si>
    <t>physical education</t>
  </si>
  <si>
    <t>甜</t>
  </si>
  <si>
    <t>tián</t>
  </si>
  <si>
    <t>sweet</t>
  </si>
  <si>
    <t>条</t>
  </si>
  <si>
    <t>tiáo</t>
  </si>
  <si>
    <t>[measure word for long pieces (hair, branch, trousers etc.)]</t>
  </si>
  <si>
    <t>同事</t>
  </si>
  <si>
    <t>tóng shì</t>
  </si>
  <si>
    <t>colleague</t>
  </si>
  <si>
    <t>同意</t>
  </si>
  <si>
    <t>tóng yì</t>
  </si>
  <si>
    <t>to agree</t>
  </si>
  <si>
    <t>头发</t>
  </si>
  <si>
    <t>tóu fa</t>
  </si>
  <si>
    <t>hair</t>
  </si>
  <si>
    <t>突然</t>
  </si>
  <si>
    <t>tū rán</t>
  </si>
  <si>
    <t>suddenly</t>
  </si>
  <si>
    <t>图书馆</t>
  </si>
  <si>
    <t>tú shū guǎn</t>
  </si>
  <si>
    <t>library</t>
  </si>
  <si>
    <t>腿</t>
  </si>
  <si>
    <t>tuǐ</t>
  </si>
  <si>
    <t>leg</t>
  </si>
  <si>
    <t>完成</t>
  </si>
  <si>
    <t>wán chéng</t>
  </si>
  <si>
    <t>complete</t>
  </si>
  <si>
    <t>碗</t>
  </si>
  <si>
    <t>wǎn</t>
  </si>
  <si>
    <t>a bowl of</t>
  </si>
  <si>
    <t>万</t>
  </si>
  <si>
    <t>wàn</t>
  </si>
  <si>
    <t>ten thousand</t>
  </si>
  <si>
    <t>忘记</t>
  </si>
  <si>
    <t>wàng jì</t>
  </si>
  <si>
    <t>forget</t>
  </si>
  <si>
    <t>位</t>
  </si>
  <si>
    <t>position</t>
  </si>
  <si>
    <t>为</t>
  </si>
  <si>
    <t>for (someone; something); to do; to be</t>
  </si>
  <si>
    <t>为了</t>
  </si>
  <si>
    <t>wèi le</t>
  </si>
  <si>
    <t>in order to</t>
  </si>
  <si>
    <t>文化</t>
  </si>
  <si>
    <t>wén huà</t>
  </si>
  <si>
    <t>culture</t>
  </si>
  <si>
    <t>西</t>
  </si>
  <si>
    <t>xī</t>
  </si>
  <si>
    <t>west</t>
  </si>
  <si>
    <t>习惯</t>
  </si>
  <si>
    <t>xí guàn</t>
  </si>
  <si>
    <t>be used to</t>
  </si>
  <si>
    <t>洗手间</t>
  </si>
  <si>
    <t>xǐ shǒu jiān</t>
  </si>
  <si>
    <t>toilets; washroom</t>
  </si>
  <si>
    <t>洗澡</t>
  </si>
  <si>
    <t>xǐ zǎo</t>
  </si>
  <si>
    <t>have a shower; bath</t>
  </si>
  <si>
    <t>夏</t>
  </si>
  <si>
    <t>summer</t>
  </si>
  <si>
    <t>先</t>
  </si>
  <si>
    <t>xiān</t>
  </si>
  <si>
    <t>first</t>
  </si>
  <si>
    <t>香蕉</t>
  </si>
  <si>
    <t>xiāng jiāo</t>
  </si>
  <si>
    <t>banana</t>
  </si>
  <si>
    <t>相信</t>
  </si>
  <si>
    <t>xiāng xìn</t>
  </si>
  <si>
    <t>to believe</t>
  </si>
  <si>
    <t>像</t>
  </si>
  <si>
    <t>xiàng</t>
  </si>
  <si>
    <t>likeness; resemble; look as if</t>
  </si>
  <si>
    <t>向</t>
  </si>
  <si>
    <t>小心</t>
  </si>
  <si>
    <t>xiǎo xīn</t>
  </si>
  <si>
    <t>形/动</t>
  </si>
  <si>
    <t>take care</t>
  </si>
  <si>
    <t>校长</t>
  </si>
  <si>
    <t>xiào zhǎng</t>
  </si>
  <si>
    <t>head teacher; principal</t>
  </si>
  <si>
    <t>新闻</t>
  </si>
  <si>
    <t>xīn wén</t>
  </si>
  <si>
    <t>news</t>
  </si>
  <si>
    <t>新鲜</t>
  </si>
  <si>
    <t>xīn xiān</t>
  </si>
  <si>
    <t>fresh</t>
  </si>
  <si>
    <t>信用卡</t>
  </si>
  <si>
    <t>xìn yòng kǎ</t>
  </si>
  <si>
    <t>credit card</t>
  </si>
  <si>
    <t>行李箱</t>
  </si>
  <si>
    <t>xíng li xiāng</t>
  </si>
  <si>
    <t>trunk [luggage]</t>
  </si>
  <si>
    <t>熊猫</t>
  </si>
  <si>
    <t>xióng māo</t>
  </si>
  <si>
    <t>panda</t>
  </si>
  <si>
    <t>需要</t>
  </si>
  <si>
    <t>xū yào</t>
  </si>
  <si>
    <t>need</t>
  </si>
  <si>
    <t>选择</t>
  </si>
  <si>
    <t>xuǎn zé</t>
  </si>
  <si>
    <t>choice</t>
  </si>
  <si>
    <t>越</t>
  </si>
  <si>
    <t>the more...the more….</t>
  </si>
  <si>
    <t>要求</t>
  </si>
  <si>
    <t>yāo qiú</t>
  </si>
  <si>
    <t>requirement</t>
  </si>
  <si>
    <t>爷爷</t>
  </si>
  <si>
    <t>yé ye</t>
  </si>
  <si>
    <t>grandfather [father's father]</t>
  </si>
  <si>
    <t>一般</t>
  </si>
  <si>
    <t>yī bān</t>
  </si>
  <si>
    <t>ordinary</t>
  </si>
  <si>
    <t>一边</t>
  </si>
  <si>
    <t>yī biān</t>
  </si>
  <si>
    <t>on the one hand …</t>
  </si>
  <si>
    <t>一定</t>
  </si>
  <si>
    <t>yī dìng</t>
  </si>
  <si>
    <t>definitely</t>
  </si>
  <si>
    <t>一共</t>
  </si>
  <si>
    <t>yī gòng</t>
  </si>
  <si>
    <t>altogether</t>
  </si>
  <si>
    <t>一会儿</t>
  </si>
  <si>
    <t>yī huì er</t>
  </si>
  <si>
    <t>a short while</t>
  </si>
  <si>
    <t>一样</t>
  </si>
  <si>
    <t>yī yàng</t>
  </si>
  <si>
    <t>same; identical</t>
  </si>
  <si>
    <t>一直</t>
  </si>
  <si>
    <t>yī zhí</t>
  </si>
  <si>
    <t>straight on; always</t>
  </si>
  <si>
    <t>以前</t>
  </si>
  <si>
    <t>yǐ qián</t>
  </si>
  <si>
    <t>before</t>
  </si>
  <si>
    <t>音乐</t>
  </si>
  <si>
    <t>yīn yuè</t>
  </si>
  <si>
    <t>music</t>
  </si>
  <si>
    <t>银行</t>
  </si>
  <si>
    <t>yín háng</t>
  </si>
  <si>
    <t>bank</t>
  </si>
  <si>
    <t>饮料</t>
  </si>
  <si>
    <t>yǐn liào</t>
  </si>
  <si>
    <t>drink</t>
  </si>
  <si>
    <t>应该</t>
  </si>
  <si>
    <t>yīng gāi</t>
  </si>
  <si>
    <t>should</t>
  </si>
  <si>
    <t>影响</t>
  </si>
  <si>
    <t>yǐng xiǎng</t>
  </si>
  <si>
    <t>influence; to affect</t>
  </si>
  <si>
    <t>用</t>
  </si>
  <si>
    <t>yòng</t>
  </si>
  <si>
    <t>to use</t>
  </si>
  <si>
    <t>游戏</t>
  </si>
  <si>
    <t>yóu xì</t>
  </si>
  <si>
    <t>game</t>
  </si>
  <si>
    <t>有名</t>
  </si>
  <si>
    <t>yǒu míng</t>
  </si>
  <si>
    <t>famous</t>
  </si>
  <si>
    <t>又</t>
  </si>
  <si>
    <t>yòu</t>
  </si>
  <si>
    <t>遇到</t>
  </si>
  <si>
    <t>yù dào</t>
  </si>
  <si>
    <t>元</t>
  </si>
  <si>
    <t>yuán</t>
  </si>
  <si>
    <t>yuan [unit of Chinese currency]; dollar</t>
  </si>
  <si>
    <t>愿意</t>
  </si>
  <si>
    <t>yuàn yì</t>
  </si>
  <si>
    <t>willing</t>
  </si>
  <si>
    <t>月亮</t>
  </si>
  <si>
    <t>yuè liang</t>
  </si>
  <si>
    <t>moon</t>
  </si>
  <si>
    <t>站</t>
  </si>
  <si>
    <t>zhàn</t>
  </si>
  <si>
    <t>stand</t>
  </si>
  <si>
    <t>张</t>
  </si>
  <si>
    <t>zhāng</t>
  </si>
  <si>
    <t>to open up; to spread; [measure word for table, picture, paper etc]</t>
  </si>
  <si>
    <t>着急</t>
  </si>
  <si>
    <t>zháo jí</t>
  </si>
  <si>
    <t>anxious</t>
  </si>
  <si>
    <t>照顾</t>
  </si>
  <si>
    <t>zhào gu</t>
  </si>
  <si>
    <t>to look after</t>
  </si>
  <si>
    <t>照片</t>
  </si>
  <si>
    <t>zhào piàn</t>
  </si>
  <si>
    <t>photograph</t>
  </si>
  <si>
    <t>照相机</t>
  </si>
  <si>
    <t>zhào xiàng jī</t>
  </si>
  <si>
    <t>camera</t>
  </si>
  <si>
    <t>只有……才……</t>
  </si>
  <si>
    <t>zhǐ yǒu ……cái</t>
  </si>
  <si>
    <t>only if…then...</t>
  </si>
  <si>
    <t>中间</t>
  </si>
  <si>
    <t>zhōng jiān</t>
  </si>
  <si>
    <t>middle</t>
  </si>
  <si>
    <t>中文</t>
  </si>
  <si>
    <t>zhōng wén</t>
  </si>
  <si>
    <t>Chinese [written language]</t>
  </si>
  <si>
    <t>终于</t>
  </si>
  <si>
    <t>zhōng yú</t>
  </si>
  <si>
    <t>at last</t>
  </si>
  <si>
    <t>种</t>
  </si>
  <si>
    <t>zhǒng</t>
  </si>
  <si>
    <t>kind</t>
  </si>
  <si>
    <t>重要</t>
  </si>
  <si>
    <t>zhòng yào</t>
  </si>
  <si>
    <t>important</t>
  </si>
  <si>
    <t>周末</t>
  </si>
  <si>
    <t>zhōu mò</t>
  </si>
  <si>
    <t>weekend</t>
  </si>
  <si>
    <t>主要</t>
  </si>
  <si>
    <t>zhǔ yào</t>
  </si>
  <si>
    <t>mainly</t>
  </si>
  <si>
    <t>注意</t>
  </si>
  <si>
    <t>zhù yì</t>
  </si>
  <si>
    <t>take note of</t>
  </si>
  <si>
    <t>自己</t>
  </si>
  <si>
    <t>zì jǐ</t>
  </si>
  <si>
    <t>self; oneself</t>
  </si>
  <si>
    <t>自行车</t>
  </si>
  <si>
    <t>zì xíng chē</t>
  </si>
  <si>
    <t>bicycle</t>
  </si>
  <si>
    <t>总是</t>
  </si>
  <si>
    <t>zǒng shì</t>
  </si>
  <si>
    <t>always</t>
  </si>
  <si>
    <t>嘴</t>
  </si>
  <si>
    <t>zuǐ</t>
  </si>
  <si>
    <t>mouth</t>
  </si>
  <si>
    <t>最后</t>
  </si>
  <si>
    <t>zuì hòu</t>
  </si>
  <si>
    <t>lastly</t>
  </si>
  <si>
    <t>最近</t>
  </si>
  <si>
    <t>zuì jìn</t>
  </si>
  <si>
    <t>recently</t>
  </si>
  <si>
    <t>作业</t>
  </si>
  <si>
    <t>zuò yè</t>
  </si>
  <si>
    <t>homework</t>
  </si>
  <si>
    <t>爱情</t>
  </si>
  <si>
    <t>ài qíng</t>
  </si>
  <si>
    <t>romantic love</t>
  </si>
  <si>
    <t>安排</t>
  </si>
  <si>
    <t>ān pái</t>
  </si>
  <si>
    <t>to arrange; plan</t>
  </si>
  <si>
    <t>安全</t>
  </si>
  <si>
    <t>ān quán</t>
  </si>
  <si>
    <t>safe; security</t>
  </si>
  <si>
    <t>按时</t>
  </si>
  <si>
    <t>àn shí</t>
  </si>
  <si>
    <t>on time</t>
  </si>
  <si>
    <t>按照</t>
  </si>
  <si>
    <t>àn zhào</t>
  </si>
  <si>
    <t>百分之</t>
  </si>
  <si>
    <t>bǎi fēn zhī</t>
  </si>
  <si>
    <t>percent</t>
  </si>
  <si>
    <t>棒</t>
  </si>
  <si>
    <t>bàng</t>
  </si>
  <si>
    <t>stick; staff; excellent</t>
  </si>
  <si>
    <t>包子</t>
  </si>
  <si>
    <t>bāo zi</t>
  </si>
  <si>
    <t>bao zi [steamed stuffed bun]</t>
  </si>
  <si>
    <t>保护</t>
  </si>
  <si>
    <t>bǎo hù</t>
  </si>
  <si>
    <t>protection; to protect</t>
  </si>
  <si>
    <t>保证</t>
  </si>
  <si>
    <t>bǎo zhèng</t>
  </si>
  <si>
    <t>guarantee</t>
  </si>
  <si>
    <t>抱</t>
  </si>
  <si>
    <t>bào</t>
  </si>
  <si>
    <t>to hold</t>
  </si>
  <si>
    <t>报名</t>
  </si>
  <si>
    <t>bào míng</t>
  </si>
  <si>
    <t>sign up</t>
  </si>
  <si>
    <t>抱歉</t>
  </si>
  <si>
    <t>bào qiàn</t>
  </si>
  <si>
    <t>apologise</t>
  </si>
  <si>
    <t>倍</t>
  </si>
  <si>
    <t>times; double; twice as much</t>
  </si>
  <si>
    <t>本来</t>
  </si>
  <si>
    <t>běn lái</t>
  </si>
  <si>
    <t>originally</t>
  </si>
  <si>
    <t>笨</t>
  </si>
  <si>
    <t>bèn</t>
  </si>
  <si>
    <t>stupid</t>
  </si>
  <si>
    <t>比如</t>
  </si>
  <si>
    <t>bǐ rú</t>
  </si>
  <si>
    <t>for example; for instance; such as</t>
  </si>
  <si>
    <t>毕业</t>
  </si>
  <si>
    <t>bì yè</t>
  </si>
  <si>
    <t>graduate</t>
  </si>
  <si>
    <t>遍</t>
  </si>
  <si>
    <t>biàn</t>
  </si>
  <si>
    <t>time [when doing something repeatedly]</t>
  </si>
  <si>
    <t>标准</t>
  </si>
  <si>
    <t>biāo zhǔn</t>
  </si>
  <si>
    <t>名/形</t>
  </si>
  <si>
    <t>standard; standardised</t>
  </si>
  <si>
    <t>表格</t>
  </si>
  <si>
    <t>biǎo gé</t>
  </si>
  <si>
    <t>form; table</t>
  </si>
  <si>
    <t>表示</t>
  </si>
  <si>
    <t>biǎo shì</t>
  </si>
  <si>
    <t>express; indicate</t>
  </si>
  <si>
    <t>表演</t>
  </si>
  <si>
    <t>biǎo yǎn</t>
  </si>
  <si>
    <t>performance</t>
  </si>
  <si>
    <t>表扬</t>
  </si>
  <si>
    <t>biǎo yáng</t>
  </si>
  <si>
    <t>to praise</t>
  </si>
  <si>
    <t>饼干</t>
  </si>
  <si>
    <t>bǐng gān</t>
  </si>
  <si>
    <t>cookie; biscuit</t>
  </si>
  <si>
    <t>并且</t>
  </si>
  <si>
    <t>bìng qiě</t>
  </si>
  <si>
    <t>博士</t>
  </si>
  <si>
    <t>bó shì</t>
  </si>
  <si>
    <t>不过</t>
  </si>
  <si>
    <t>bú guò</t>
  </si>
  <si>
    <t>however</t>
  </si>
  <si>
    <t>不得不</t>
  </si>
  <si>
    <t>bù dé bù</t>
  </si>
  <si>
    <t>to have to</t>
  </si>
  <si>
    <t>部分</t>
  </si>
  <si>
    <t>bù fen</t>
  </si>
  <si>
    <t>part; section; portion</t>
  </si>
  <si>
    <t>不管</t>
  </si>
  <si>
    <t>bù guǎn</t>
  </si>
  <si>
    <t>regardless of; no matter (what/how)</t>
  </si>
  <si>
    <t>不仅</t>
  </si>
  <si>
    <t>bù jǐn</t>
  </si>
  <si>
    <t>not only [this one]</t>
  </si>
  <si>
    <t>擦</t>
  </si>
  <si>
    <t>cā</t>
  </si>
  <si>
    <t>rub</t>
  </si>
  <si>
    <t>猜</t>
  </si>
  <si>
    <t>cāi</t>
  </si>
  <si>
    <t>guess</t>
  </si>
  <si>
    <t>材料</t>
  </si>
  <si>
    <t>cái liào</t>
  </si>
  <si>
    <t>material</t>
  </si>
  <si>
    <t>参观</t>
  </si>
  <si>
    <t>cān guān</t>
  </si>
  <si>
    <t>to visit (a place; a museum; etc.)</t>
  </si>
  <si>
    <t>餐厅</t>
  </si>
  <si>
    <t>cān tīng</t>
  </si>
  <si>
    <t>canteen</t>
  </si>
  <si>
    <t>厕所</t>
  </si>
  <si>
    <t>cè suǒ</t>
  </si>
  <si>
    <t>toilets; lavatory</t>
  </si>
  <si>
    <t>差不多</t>
  </si>
  <si>
    <t>chà bu duō</t>
  </si>
  <si>
    <t>长城</t>
  </si>
  <si>
    <t>Cháng chéng</t>
  </si>
  <si>
    <t>The Great Wall</t>
  </si>
  <si>
    <t>长江</t>
  </si>
  <si>
    <t>Cháng jiāng</t>
  </si>
  <si>
    <t>Yangtze River</t>
  </si>
  <si>
    <t>场</t>
  </si>
  <si>
    <t>chǎng</t>
  </si>
  <si>
    <t>[a level open space (eg. a threshing ground, market, sports field, square etc)]</t>
  </si>
  <si>
    <t>超过</t>
  </si>
  <si>
    <t>chāo guò</t>
  </si>
  <si>
    <t>exceed</t>
  </si>
  <si>
    <t>成功</t>
  </si>
  <si>
    <t>chéng gōng</t>
  </si>
  <si>
    <t>success; successful</t>
  </si>
  <si>
    <t>诚实</t>
  </si>
  <si>
    <t>chéng shí</t>
  </si>
  <si>
    <t>honest</t>
  </si>
  <si>
    <t>成为</t>
  </si>
  <si>
    <t>chéng wéi</t>
  </si>
  <si>
    <t>become</t>
  </si>
  <si>
    <t>乘坐</t>
  </si>
  <si>
    <t>chéng zuò</t>
  </si>
  <si>
    <t>to ride (in a vehicle)</t>
  </si>
  <si>
    <t>吃惊</t>
  </si>
  <si>
    <t>chī jīng</t>
  </si>
  <si>
    <t>to be startled</t>
  </si>
  <si>
    <t>重新</t>
  </si>
  <si>
    <t>chóng xīn</t>
  </si>
  <si>
    <t>抽烟</t>
  </si>
  <si>
    <t>chōu yān</t>
  </si>
  <si>
    <t>to smoke</t>
  </si>
  <si>
    <t>出差</t>
  </si>
  <si>
    <t>chū chāi</t>
  </si>
  <si>
    <t>go on business trip</t>
  </si>
  <si>
    <t>出发</t>
  </si>
  <si>
    <t>chū fā</t>
  </si>
  <si>
    <t>set off; depart</t>
  </si>
  <si>
    <t>出生</t>
  </si>
  <si>
    <t>chū shēng</t>
  </si>
  <si>
    <t>birth; to be born</t>
  </si>
  <si>
    <t>出现</t>
  </si>
  <si>
    <t>chū xiàn</t>
  </si>
  <si>
    <t>emerge</t>
  </si>
  <si>
    <t>厨房</t>
  </si>
  <si>
    <t>chú fáng</t>
  </si>
  <si>
    <t>kitchen</t>
  </si>
  <si>
    <t>传真</t>
  </si>
  <si>
    <t>chuán zhēn</t>
  </si>
  <si>
    <t>fax</t>
  </si>
  <si>
    <t>窗户</t>
  </si>
  <si>
    <t>chuāng hu</t>
  </si>
  <si>
    <t>window</t>
  </si>
  <si>
    <t>词语</t>
  </si>
  <si>
    <t>cí yǔ</t>
  </si>
  <si>
    <t>words and expressions</t>
  </si>
  <si>
    <t>从来</t>
  </si>
  <si>
    <t>cóng lái</t>
  </si>
  <si>
    <t>粗心</t>
  </si>
  <si>
    <t>cū xīn</t>
  </si>
  <si>
    <t>careless</t>
  </si>
  <si>
    <t>存</t>
  </si>
  <si>
    <t>cún</t>
  </si>
  <si>
    <t>store; keep; survive</t>
  </si>
  <si>
    <t>错误</t>
  </si>
  <si>
    <t>cuò wù</t>
  </si>
  <si>
    <t>error; mistake</t>
  </si>
  <si>
    <t>答案</t>
  </si>
  <si>
    <t>dá àn</t>
  </si>
  <si>
    <t>answer</t>
  </si>
  <si>
    <t>打扮</t>
  </si>
  <si>
    <t>dǎ ban</t>
  </si>
  <si>
    <t>to decorate</t>
  </si>
  <si>
    <t>打扰</t>
  </si>
  <si>
    <t>dǎ rǎo</t>
  </si>
  <si>
    <t>disturb</t>
  </si>
  <si>
    <t>打印</t>
  </si>
  <si>
    <t>dǎ yìn</t>
  </si>
  <si>
    <t>print</t>
  </si>
  <si>
    <t>打招呼</t>
  </si>
  <si>
    <t>dǎ zhāo hu</t>
  </si>
  <si>
    <t>greet somebody</t>
  </si>
  <si>
    <t>打折</t>
  </si>
  <si>
    <t>dǎ zhé</t>
  </si>
  <si>
    <t>to give a discount</t>
  </si>
  <si>
    <t>打针</t>
  </si>
  <si>
    <t>dǎ zhēn</t>
  </si>
  <si>
    <t>give/have an injection</t>
  </si>
  <si>
    <t>大概</t>
  </si>
  <si>
    <t>dà gài</t>
  </si>
  <si>
    <t>probably; maybe</t>
  </si>
  <si>
    <t>大使馆</t>
  </si>
  <si>
    <t>dà shǐ guǎn</t>
  </si>
  <si>
    <t>embassy</t>
  </si>
  <si>
    <t>大约</t>
  </si>
  <si>
    <t>dà yuē</t>
  </si>
  <si>
    <t>形/副</t>
  </si>
  <si>
    <t>approximately; around; about</t>
  </si>
  <si>
    <t>戴</t>
  </si>
  <si>
    <t>to wear (accessories)</t>
  </si>
  <si>
    <t>大夫</t>
  </si>
  <si>
    <t>dài fu</t>
  </si>
  <si>
    <t>当</t>
  </si>
  <si>
    <t>dāng</t>
  </si>
  <si>
    <t>work as</t>
  </si>
  <si>
    <t>当时</t>
  </si>
  <si>
    <t>dāng shí</t>
  </si>
  <si>
    <t>at that time</t>
  </si>
  <si>
    <t>刀</t>
  </si>
  <si>
    <t>dāo</t>
  </si>
  <si>
    <t>knife</t>
  </si>
  <si>
    <t>导游</t>
  </si>
  <si>
    <t>dǎo yóu</t>
  </si>
  <si>
    <t>lead a site-seeing tour</t>
  </si>
  <si>
    <t>倒</t>
  </si>
  <si>
    <t>to reverse; turn upside down; to pour</t>
  </si>
  <si>
    <t>到处</t>
  </si>
  <si>
    <t>dào chù</t>
  </si>
  <si>
    <t>everywhere</t>
  </si>
  <si>
    <t>到底</t>
  </si>
  <si>
    <t>dào dǐ</t>
  </si>
  <si>
    <t>in the end</t>
  </si>
  <si>
    <t>道歉</t>
  </si>
  <si>
    <t>dào qiàn</t>
  </si>
  <si>
    <t>apology</t>
  </si>
  <si>
    <t>得意</t>
  </si>
  <si>
    <t>dé yì</t>
  </si>
  <si>
    <t>proud of oneself</t>
  </si>
  <si>
    <t>登机牌</t>
  </si>
  <si>
    <t>dēng jī pái</t>
  </si>
  <si>
    <t>boarding pass</t>
  </si>
  <si>
    <t>低</t>
  </si>
  <si>
    <t>dī</t>
  </si>
  <si>
    <t>low</t>
  </si>
  <si>
    <t>底</t>
  </si>
  <si>
    <t>dǐ</t>
  </si>
  <si>
    <t>bottom</t>
  </si>
  <si>
    <t>地点</t>
  </si>
  <si>
    <t>dì diǎn</t>
  </si>
  <si>
    <t>location</t>
  </si>
  <si>
    <t>地球</t>
  </si>
  <si>
    <t>dì qiú</t>
  </si>
  <si>
    <t>earth</t>
  </si>
  <si>
    <t>地址</t>
  </si>
  <si>
    <t>dì zhǐ</t>
  </si>
  <si>
    <t>address</t>
  </si>
  <si>
    <t>掉</t>
  </si>
  <si>
    <t>diào</t>
  </si>
  <si>
    <t>lose; [as a complement after some verbs to indicate result of action]</t>
  </si>
  <si>
    <t>调查</t>
  </si>
  <si>
    <t>diào chá</t>
  </si>
  <si>
    <t>investigation</t>
  </si>
  <si>
    <t>丢</t>
  </si>
  <si>
    <t>diū</t>
  </si>
  <si>
    <t>lose</t>
  </si>
  <si>
    <t>动作</t>
  </si>
  <si>
    <t>dòng zuò</t>
  </si>
  <si>
    <t>movement</t>
  </si>
  <si>
    <t>堵车</t>
  </si>
  <si>
    <t>dǔ chē</t>
  </si>
  <si>
    <t>traffic jam</t>
  </si>
  <si>
    <t>肚子</t>
  </si>
  <si>
    <t>dù zi</t>
  </si>
  <si>
    <t>belly</t>
  </si>
  <si>
    <t>短信</t>
  </si>
  <si>
    <t>duǎn xìn</t>
  </si>
  <si>
    <t>text message; SMS</t>
  </si>
  <si>
    <t>对话</t>
  </si>
  <si>
    <t>duì huà</t>
  </si>
  <si>
    <t>dialogue</t>
  </si>
  <si>
    <t>对面</t>
  </si>
  <si>
    <t>duì miàn</t>
  </si>
  <si>
    <t>opposite</t>
  </si>
  <si>
    <t>对于</t>
  </si>
  <si>
    <t>duì yú</t>
  </si>
  <si>
    <t>about; with regard to</t>
  </si>
  <si>
    <t>而</t>
  </si>
  <si>
    <t>ér</t>
  </si>
  <si>
    <t>and; while</t>
  </si>
  <si>
    <t>儿童</t>
  </si>
  <si>
    <t>ér tóng</t>
  </si>
  <si>
    <t>发生</t>
  </si>
  <si>
    <t>fā shēng</t>
  </si>
  <si>
    <t>happen</t>
  </si>
  <si>
    <t>发展</t>
  </si>
  <si>
    <t>fā zhǎn</t>
  </si>
  <si>
    <t>develop</t>
  </si>
  <si>
    <t>法律</t>
  </si>
  <si>
    <t>fǎ lǜ</t>
  </si>
  <si>
    <t>law</t>
  </si>
  <si>
    <t>翻译</t>
  </si>
  <si>
    <t>fān yì</t>
  </si>
  <si>
    <t>to translate</t>
  </si>
  <si>
    <t>烦恼</t>
  </si>
  <si>
    <t>fán nǎo</t>
  </si>
  <si>
    <t>to be worried</t>
  </si>
  <si>
    <t>反对</t>
  </si>
  <si>
    <t>fǎn duì</t>
  </si>
  <si>
    <t>to fight against; to opposed to something</t>
  </si>
  <si>
    <t>方法</t>
  </si>
  <si>
    <t>fāng fǎ</t>
  </si>
  <si>
    <t>method</t>
  </si>
  <si>
    <t>方面</t>
  </si>
  <si>
    <t>fāng miàn</t>
  </si>
  <si>
    <t>aspect</t>
  </si>
  <si>
    <t>方式</t>
  </si>
  <si>
    <t>fāng shì</t>
  </si>
  <si>
    <t>way; fashion; pattern</t>
  </si>
  <si>
    <t>方向</t>
  </si>
  <si>
    <t>fāng xiàng</t>
  </si>
  <si>
    <t>direction</t>
  </si>
  <si>
    <t>房东</t>
  </si>
  <si>
    <t>fáng dōng</t>
  </si>
  <si>
    <t>landlord/landlady</t>
  </si>
  <si>
    <t>放弃</t>
  </si>
  <si>
    <t>fàng qì</t>
  </si>
  <si>
    <t>to renounce</t>
  </si>
  <si>
    <t>放暑假</t>
  </si>
  <si>
    <t>fàng shǔ jià</t>
  </si>
  <si>
    <t>to be on summer vacation</t>
  </si>
  <si>
    <t>放松</t>
  </si>
  <si>
    <t>fàng sōng</t>
  </si>
  <si>
    <t>to relax; slacken; loosen</t>
  </si>
  <si>
    <t>份</t>
  </si>
  <si>
    <t>fèn</t>
  </si>
  <si>
    <t>portion</t>
  </si>
  <si>
    <t>丰富</t>
  </si>
  <si>
    <t>fēng fù</t>
  </si>
  <si>
    <t>enrich; abundant rich; plentiful</t>
  </si>
  <si>
    <t>否则</t>
  </si>
  <si>
    <t>fǒu zé</t>
  </si>
  <si>
    <t>if not</t>
  </si>
  <si>
    <t>符合</t>
  </si>
  <si>
    <t>fú hé</t>
  </si>
  <si>
    <t>tally with; accord with</t>
  </si>
  <si>
    <t>富</t>
  </si>
  <si>
    <t>fù</t>
  </si>
  <si>
    <t>rich</t>
  </si>
  <si>
    <t>付款</t>
  </si>
  <si>
    <t>fù kuǎn</t>
  </si>
  <si>
    <t>pay a sum of money</t>
  </si>
  <si>
    <t>父亲</t>
  </si>
  <si>
    <t>fù qīn</t>
  </si>
  <si>
    <t>复印</t>
  </si>
  <si>
    <t>fù yìn</t>
  </si>
  <si>
    <t>to photocopy</t>
  </si>
  <si>
    <t>复杂</t>
  </si>
  <si>
    <t>fù zá</t>
  </si>
  <si>
    <t>complicated</t>
  </si>
  <si>
    <t>负责</t>
  </si>
  <si>
    <t>fù zé</t>
  </si>
  <si>
    <t>responsible for</t>
  </si>
  <si>
    <t>改变</t>
  </si>
  <si>
    <t>gǎi biàn</t>
  </si>
  <si>
    <t>to change</t>
  </si>
  <si>
    <t>干杯</t>
  </si>
  <si>
    <t>gān bēi</t>
  </si>
  <si>
    <t>cheers</t>
  </si>
  <si>
    <t>赶</t>
  </si>
  <si>
    <t>gǎn</t>
  </si>
  <si>
    <t>to catch up</t>
  </si>
  <si>
    <t>敢</t>
  </si>
  <si>
    <t>dare to</t>
  </si>
  <si>
    <t>感动</t>
  </si>
  <si>
    <t>gǎn dòng</t>
  </si>
  <si>
    <t>move (emotionally)</t>
  </si>
  <si>
    <t>感觉</t>
  </si>
  <si>
    <t>gǎn jué</t>
  </si>
  <si>
    <t>感情</t>
  </si>
  <si>
    <t>gǎn qíng</t>
  </si>
  <si>
    <t>feeling</t>
  </si>
  <si>
    <t>感谢</t>
  </si>
  <si>
    <t>gǎn xiè</t>
  </si>
  <si>
    <t>to thank</t>
  </si>
  <si>
    <t>干</t>
  </si>
  <si>
    <t>gàn</t>
  </si>
  <si>
    <t>trunk; main part; do; work</t>
  </si>
  <si>
    <t>刚</t>
  </si>
  <si>
    <t>gāng</t>
  </si>
  <si>
    <t>just</t>
  </si>
  <si>
    <t>高速公路</t>
  </si>
  <si>
    <t>gāo sù gōng lù</t>
  </si>
  <si>
    <t>expressway; motorway; freeway</t>
  </si>
  <si>
    <t>胳膊</t>
  </si>
  <si>
    <t>gē bo</t>
  </si>
  <si>
    <t>arm</t>
  </si>
  <si>
    <t>各</t>
  </si>
  <si>
    <t>each</t>
  </si>
  <si>
    <t>功夫</t>
  </si>
  <si>
    <t>gōng fu</t>
  </si>
  <si>
    <t>labour; ability; kung fu</t>
  </si>
  <si>
    <t>公里</t>
  </si>
  <si>
    <t>gōng lǐ</t>
  </si>
  <si>
    <t>kilometre</t>
  </si>
  <si>
    <t>工资</t>
  </si>
  <si>
    <t>gōng zī</t>
  </si>
  <si>
    <t>wage; salary</t>
  </si>
  <si>
    <t>共同</t>
  </si>
  <si>
    <t>gòng tóng</t>
  </si>
  <si>
    <t>jointly</t>
  </si>
  <si>
    <t>够</t>
  </si>
  <si>
    <t>gòu</t>
  </si>
  <si>
    <t>enough</t>
  </si>
  <si>
    <t>购物</t>
  </si>
  <si>
    <t>gòu wù</t>
  </si>
  <si>
    <t>shopping</t>
  </si>
  <si>
    <t>估计</t>
  </si>
  <si>
    <t>gū jì</t>
  </si>
  <si>
    <t>to estimate</t>
  </si>
  <si>
    <t>鼓励</t>
  </si>
  <si>
    <t>gǔ lì</t>
  </si>
  <si>
    <t>encourage</t>
  </si>
  <si>
    <t>顾客</t>
  </si>
  <si>
    <t>gù kè</t>
  </si>
  <si>
    <t>customer</t>
  </si>
  <si>
    <t>故意</t>
  </si>
  <si>
    <t>gù yì</t>
  </si>
  <si>
    <t>intentional</t>
  </si>
  <si>
    <t>挂</t>
  </si>
  <si>
    <t>guà</t>
  </si>
  <si>
    <t>hang up</t>
  </si>
  <si>
    <t>关键</t>
  </si>
  <si>
    <t>guān jiàn</t>
  </si>
  <si>
    <t>crucial (point)</t>
  </si>
  <si>
    <t>观众</t>
  </si>
  <si>
    <t>guān zhòng</t>
  </si>
  <si>
    <t>audience</t>
  </si>
  <si>
    <t>管理</t>
  </si>
  <si>
    <t>guǎn lǐ</t>
  </si>
  <si>
    <t>to supervise</t>
  </si>
  <si>
    <t>光</t>
  </si>
  <si>
    <t>guāng</t>
  </si>
  <si>
    <t>light</t>
  </si>
  <si>
    <t>广播</t>
  </si>
  <si>
    <t>guǎng bō</t>
  </si>
  <si>
    <t>broadcast</t>
  </si>
  <si>
    <t>广告</t>
  </si>
  <si>
    <t>guǎng gào</t>
  </si>
  <si>
    <t>advertisement</t>
  </si>
  <si>
    <t>逛</t>
  </si>
  <si>
    <t>guàng</t>
  </si>
  <si>
    <t>stroll</t>
  </si>
  <si>
    <t>规定</t>
  </si>
  <si>
    <t>guī dìng</t>
  </si>
  <si>
    <t>rule</t>
  </si>
  <si>
    <t>国籍</t>
  </si>
  <si>
    <t>guó jí</t>
  </si>
  <si>
    <t>nationality</t>
  </si>
  <si>
    <t>国际</t>
  </si>
  <si>
    <t>guó jì</t>
  </si>
  <si>
    <t>international</t>
  </si>
  <si>
    <t>果汁</t>
  </si>
  <si>
    <t>guǒ zhī</t>
  </si>
  <si>
    <t>fruit juice</t>
  </si>
  <si>
    <t>过程</t>
  </si>
  <si>
    <t>guò chéng</t>
  </si>
  <si>
    <t>course of events</t>
  </si>
  <si>
    <t>海洋</t>
  </si>
  <si>
    <t>hǎi yáng</t>
  </si>
  <si>
    <t>ocean</t>
  </si>
  <si>
    <t>害羞</t>
  </si>
  <si>
    <t>hài xiū</t>
  </si>
  <si>
    <t>shy</t>
  </si>
  <si>
    <t>寒假</t>
  </si>
  <si>
    <t>hán jià</t>
  </si>
  <si>
    <t>winter holiday</t>
  </si>
  <si>
    <t>汗</t>
  </si>
  <si>
    <t>hàn</t>
  </si>
  <si>
    <t>sweat</t>
  </si>
  <si>
    <t>航班</t>
  </si>
  <si>
    <t>háng bān</t>
  </si>
  <si>
    <t>flight</t>
  </si>
  <si>
    <t>好处</t>
  </si>
  <si>
    <t>hǎo chu</t>
  </si>
  <si>
    <t>advantage; benefit</t>
  </si>
  <si>
    <t>好像</t>
  </si>
  <si>
    <t>hǎo xiàng</t>
  </si>
  <si>
    <t>to seem</t>
  </si>
  <si>
    <t>号码</t>
  </si>
  <si>
    <t>hào mǎ</t>
  </si>
  <si>
    <t>number</t>
  </si>
  <si>
    <t>合格</t>
  </si>
  <si>
    <t>hé gé</t>
  </si>
  <si>
    <t>qualified</t>
  </si>
  <si>
    <t>合适</t>
  </si>
  <si>
    <t>hé shì</t>
  </si>
  <si>
    <t>suitable</t>
  </si>
  <si>
    <t>盒子</t>
  </si>
  <si>
    <t>hé zi</t>
  </si>
  <si>
    <t>small box</t>
  </si>
  <si>
    <t>厚</t>
  </si>
  <si>
    <t>hòu</t>
  </si>
  <si>
    <t>thick</t>
  </si>
  <si>
    <t>后悔</t>
  </si>
  <si>
    <t>hòu huǐ</t>
  </si>
  <si>
    <t>to regret</t>
  </si>
  <si>
    <t>互联网</t>
  </si>
  <si>
    <t>hù lián wǎng</t>
  </si>
  <si>
    <t>Internet</t>
  </si>
  <si>
    <t>护士</t>
  </si>
  <si>
    <t>hù shi</t>
  </si>
  <si>
    <t>nurse</t>
  </si>
  <si>
    <t>互相</t>
  </si>
  <si>
    <t>hù xiāng</t>
  </si>
  <si>
    <t>each other</t>
  </si>
  <si>
    <t>怀疑</t>
  </si>
  <si>
    <t>huái yí</t>
  </si>
  <si>
    <t>doubt</t>
  </si>
  <si>
    <t>回忆</t>
  </si>
  <si>
    <t>huí yì</t>
  </si>
  <si>
    <t>to recall</t>
  </si>
  <si>
    <t>活动</t>
  </si>
  <si>
    <t>huó dòng</t>
  </si>
  <si>
    <t>activity</t>
  </si>
  <si>
    <t>活泼</t>
  </si>
  <si>
    <t>huó po</t>
  </si>
  <si>
    <t>brisk; lively</t>
  </si>
  <si>
    <t>火</t>
  </si>
  <si>
    <t>huǒ</t>
  </si>
  <si>
    <t>fire</t>
  </si>
  <si>
    <t>获得</t>
  </si>
  <si>
    <t>huò dé</t>
  </si>
  <si>
    <t>obtain; win</t>
  </si>
  <si>
    <t>基础</t>
  </si>
  <si>
    <t>jī chǔ</t>
  </si>
  <si>
    <t>base</t>
  </si>
  <si>
    <t>激动</t>
  </si>
  <si>
    <t>jī dòng</t>
  </si>
  <si>
    <t>to excite</t>
  </si>
  <si>
    <t>积极</t>
  </si>
  <si>
    <t>jī jí</t>
  </si>
  <si>
    <t>active</t>
  </si>
  <si>
    <t>积累</t>
  </si>
  <si>
    <t>jī lěi</t>
  </si>
  <si>
    <t>to accumulate</t>
  </si>
  <si>
    <t>及时</t>
  </si>
  <si>
    <t>jí shí</t>
  </si>
  <si>
    <t>in time</t>
  </si>
  <si>
    <t>即使</t>
  </si>
  <si>
    <t>jí shǐ</t>
  </si>
  <si>
    <t>even if</t>
  </si>
  <si>
    <t>寄</t>
  </si>
  <si>
    <t>jì</t>
  </si>
  <si>
    <t>to send (mail; post)</t>
  </si>
  <si>
    <t>计划</t>
  </si>
  <si>
    <t>jì huà</t>
  </si>
  <si>
    <t>plan</t>
  </si>
  <si>
    <t>既然</t>
  </si>
  <si>
    <t>jì rán</t>
  </si>
  <si>
    <t>since</t>
  </si>
  <si>
    <t>技术</t>
  </si>
  <si>
    <t>jì shù</t>
  </si>
  <si>
    <t>technology</t>
  </si>
  <si>
    <t>继续</t>
  </si>
  <si>
    <t>jì xù</t>
  </si>
  <si>
    <t>to carry on; continue</t>
  </si>
  <si>
    <t>记者</t>
  </si>
  <si>
    <t>jì zhě</t>
  </si>
  <si>
    <t>journalist</t>
  </si>
  <si>
    <t>加班</t>
  </si>
  <si>
    <t>jiā bān</t>
  </si>
  <si>
    <t>over work</t>
  </si>
  <si>
    <t>家具</t>
  </si>
  <si>
    <t>jiā jù</t>
  </si>
  <si>
    <t>furniture</t>
  </si>
  <si>
    <t>加油站</t>
  </si>
  <si>
    <t>jiā yóu zhàn</t>
  </si>
  <si>
    <t>petrol station</t>
  </si>
  <si>
    <t>假</t>
  </si>
  <si>
    <t>jiǎ</t>
  </si>
  <si>
    <t>false</t>
  </si>
  <si>
    <t>价格</t>
  </si>
  <si>
    <t>jià gé</t>
  </si>
  <si>
    <t>price</t>
  </si>
  <si>
    <t>坚持</t>
  </si>
  <si>
    <t>jiān chí</t>
  </si>
  <si>
    <t>to persevere with</t>
  </si>
  <si>
    <t>减肥</t>
  </si>
  <si>
    <t>jiǎn féi</t>
  </si>
  <si>
    <t>to lose weight</t>
  </si>
  <si>
    <t>减少</t>
  </si>
  <si>
    <t>jiǎn shǎo</t>
  </si>
  <si>
    <t>to reduce; to cut back; decrease</t>
  </si>
  <si>
    <t>建议</t>
  </si>
  <si>
    <t>jiàn yì</t>
  </si>
  <si>
    <t>to propose; suggest; recommend</t>
  </si>
  <si>
    <t>将来</t>
  </si>
  <si>
    <t>jiāng lái</t>
  </si>
  <si>
    <t>in the future; future</t>
  </si>
  <si>
    <t>奖金</t>
  </si>
  <si>
    <t>jiǎng jīn</t>
  </si>
  <si>
    <t>premium</t>
  </si>
  <si>
    <t>降低</t>
  </si>
  <si>
    <t>jiàng dī</t>
  </si>
  <si>
    <t>to reduce</t>
  </si>
  <si>
    <t>降落</t>
  </si>
  <si>
    <t>jiàng luò</t>
  </si>
  <si>
    <t>to land [plane]; to descend</t>
  </si>
  <si>
    <t>交</t>
  </si>
  <si>
    <t>exchange to hand over; to accociate with</t>
  </si>
  <si>
    <t>骄傲</t>
  </si>
  <si>
    <t>jiāo ào</t>
  </si>
  <si>
    <t>proud; arrogant</t>
  </si>
  <si>
    <t>交流</t>
  </si>
  <si>
    <t>jiāo liú</t>
  </si>
  <si>
    <t>exchange; communication</t>
  </si>
  <si>
    <t>郊区</t>
  </si>
  <si>
    <t>jiāo qū</t>
  </si>
  <si>
    <t>suburbs; outskirts</t>
  </si>
  <si>
    <t>交通</t>
  </si>
  <si>
    <t>jiāo tōng</t>
  </si>
  <si>
    <t>transport; traffic</t>
  </si>
  <si>
    <t>饺子</t>
  </si>
  <si>
    <t>jiǎo zi</t>
  </si>
  <si>
    <t>dumpling</t>
  </si>
  <si>
    <t>教授</t>
  </si>
  <si>
    <t>jiào shòu</t>
  </si>
  <si>
    <t>professor</t>
  </si>
  <si>
    <t>教育</t>
  </si>
  <si>
    <t>jiào yù</t>
  </si>
  <si>
    <t>education</t>
  </si>
  <si>
    <t>接受</t>
  </si>
  <si>
    <t>jiē shòu</t>
  </si>
  <si>
    <t>accept</t>
  </si>
  <si>
    <t>接着</t>
  </si>
  <si>
    <t>jiē zhe</t>
  </si>
  <si>
    <t>to catch; to carry on</t>
  </si>
  <si>
    <t>节</t>
  </si>
  <si>
    <t>jié</t>
  </si>
  <si>
    <t>festival; [measure word for something segmented (e.g. lesson; paragraph, railway coach, etc.)]</t>
  </si>
  <si>
    <t>结果</t>
  </si>
  <si>
    <t>jié guǒ</t>
  </si>
  <si>
    <t>result; outcome; fruit</t>
  </si>
  <si>
    <t>节约</t>
  </si>
  <si>
    <t>jié yuē</t>
  </si>
  <si>
    <t>to save; economise</t>
  </si>
  <si>
    <t>解释</t>
  </si>
  <si>
    <t>jiě shì</t>
  </si>
  <si>
    <t>to justify; explanation</t>
  </si>
  <si>
    <t>尽管</t>
  </si>
  <si>
    <t>jǐn guǎn</t>
  </si>
  <si>
    <t>without hesitating; despite</t>
  </si>
  <si>
    <t>紧张</t>
  </si>
  <si>
    <t>jǐn zhāng</t>
  </si>
  <si>
    <t>nervous; anxious</t>
  </si>
  <si>
    <t>进行</t>
  </si>
  <si>
    <t>jìn xíng</t>
  </si>
  <si>
    <t>advance; progress</t>
  </si>
  <si>
    <t>禁止</t>
  </si>
  <si>
    <t>jìn zhǐ</t>
  </si>
  <si>
    <t>to ban; prohibit; forbid</t>
  </si>
  <si>
    <t>精彩</t>
  </si>
  <si>
    <t>jīng cǎi</t>
  </si>
  <si>
    <t>brilliant</t>
  </si>
  <si>
    <t>经济</t>
  </si>
  <si>
    <t>jīng jì</t>
  </si>
  <si>
    <t>economics</t>
  </si>
  <si>
    <t>京剧</t>
  </si>
  <si>
    <t>jīng jù</t>
  </si>
  <si>
    <t>Beijing opera</t>
  </si>
  <si>
    <t>经历</t>
  </si>
  <si>
    <t>jīng lì</t>
  </si>
  <si>
    <t>experience</t>
  </si>
  <si>
    <t>经验</t>
  </si>
  <si>
    <t>jīng yàn</t>
  </si>
  <si>
    <t>警察</t>
  </si>
  <si>
    <t>jǐng chá</t>
  </si>
  <si>
    <t>police</t>
  </si>
  <si>
    <t>景色</t>
  </si>
  <si>
    <t>jǐng sè</t>
  </si>
  <si>
    <t>scenery; view; landscape</t>
  </si>
  <si>
    <t>竟然</t>
  </si>
  <si>
    <t>jìng rán</t>
  </si>
  <si>
    <t>[indicates unexpectedness]</t>
  </si>
  <si>
    <t>竞争</t>
  </si>
  <si>
    <t>jìng zhēng</t>
  </si>
  <si>
    <t>to compete</t>
  </si>
  <si>
    <t>镜子</t>
  </si>
  <si>
    <t>jìng zi</t>
  </si>
  <si>
    <t>mirror</t>
  </si>
  <si>
    <t>究竟</t>
  </si>
  <si>
    <t>jiū jìng</t>
  </si>
  <si>
    <t>after all; when all is said and done</t>
  </si>
  <si>
    <t>举</t>
  </si>
  <si>
    <t>jǔ</t>
  </si>
  <si>
    <t>raise up; hold up</t>
  </si>
  <si>
    <t>举办</t>
  </si>
  <si>
    <t>jǔ bàn</t>
  </si>
  <si>
    <t>hold; conduct; run [an event]</t>
  </si>
  <si>
    <t>举行</t>
  </si>
  <si>
    <t>jǔ xíng</t>
  </si>
  <si>
    <t>hold (an event)</t>
  </si>
  <si>
    <t>聚会</t>
  </si>
  <si>
    <t>jù huì</t>
  </si>
  <si>
    <t>get together; meet; gathering</t>
  </si>
  <si>
    <t>拒绝</t>
  </si>
  <si>
    <t>jù jué</t>
  </si>
  <si>
    <t>to refuse</t>
  </si>
  <si>
    <t>距离</t>
  </si>
  <si>
    <t>jù lí</t>
  </si>
  <si>
    <t>distance; be away from</t>
  </si>
  <si>
    <t>开玩笑</t>
  </si>
  <si>
    <t>kāi wán xiào</t>
  </si>
  <si>
    <t>joke</t>
  </si>
  <si>
    <t>开心</t>
  </si>
  <si>
    <t>kāi xīn</t>
  </si>
  <si>
    <t>看法</t>
  </si>
  <si>
    <t>kàn fǎ</t>
  </si>
  <si>
    <t>opinion</t>
  </si>
  <si>
    <t>考虑</t>
  </si>
  <si>
    <t>kǎo lǜ</t>
  </si>
  <si>
    <t>consider</t>
  </si>
  <si>
    <t>烤鸭</t>
  </si>
  <si>
    <t>kǎo yā</t>
  </si>
  <si>
    <t>roast duck</t>
  </si>
  <si>
    <t>棵</t>
  </si>
  <si>
    <t>kē</t>
  </si>
  <si>
    <t>individual [measure word for trees, cabbages, plants etc]</t>
  </si>
  <si>
    <t>科学</t>
  </si>
  <si>
    <t>kē xué</t>
  </si>
  <si>
    <t>science</t>
  </si>
  <si>
    <t>咳嗽</t>
  </si>
  <si>
    <t>ké sou</t>
  </si>
  <si>
    <t>cough</t>
  </si>
  <si>
    <t>可怜</t>
  </si>
  <si>
    <t>kě lián</t>
  </si>
  <si>
    <t>pitiful; to have pity on</t>
  </si>
  <si>
    <t>可是</t>
  </si>
  <si>
    <t>kě shì</t>
  </si>
  <si>
    <t>but</t>
  </si>
  <si>
    <t>可惜</t>
  </si>
  <si>
    <t>kě xī</t>
  </si>
  <si>
    <t>it's a pity</t>
  </si>
  <si>
    <t>客厅</t>
  </si>
  <si>
    <t>kè tīng</t>
  </si>
  <si>
    <t>living room</t>
  </si>
  <si>
    <t>肯定</t>
  </si>
  <si>
    <t>kěn dìng</t>
  </si>
  <si>
    <t>certain; definite</t>
  </si>
  <si>
    <t>空</t>
  </si>
  <si>
    <t>kōng</t>
  </si>
  <si>
    <t>air/space</t>
  </si>
  <si>
    <t>空气</t>
  </si>
  <si>
    <t>kōng qì</t>
  </si>
  <si>
    <t>air</t>
  </si>
  <si>
    <t>恐怕</t>
  </si>
  <si>
    <t>kǒng pà</t>
  </si>
  <si>
    <t>苦</t>
  </si>
  <si>
    <t>kǔ</t>
  </si>
  <si>
    <t>bitter</t>
  </si>
  <si>
    <t>矿泉水</t>
  </si>
  <si>
    <t>kuàng quán shuǐ</t>
  </si>
  <si>
    <t>mineral water</t>
  </si>
  <si>
    <t>困</t>
  </si>
  <si>
    <t>kùn</t>
  </si>
  <si>
    <t>difficulty; sleepy</t>
  </si>
  <si>
    <t>困难</t>
  </si>
  <si>
    <t>kùn nan</t>
  </si>
  <si>
    <t>difficulty</t>
  </si>
  <si>
    <t>拉</t>
  </si>
  <si>
    <t>lā</t>
  </si>
  <si>
    <t>to play (a bowed instrument) to pull</t>
  </si>
  <si>
    <t>垃圾桶</t>
  </si>
  <si>
    <t>lā jī tǒng</t>
  </si>
  <si>
    <t>rubbish bin</t>
  </si>
  <si>
    <t>辣</t>
  </si>
  <si>
    <t>là</t>
  </si>
  <si>
    <t>spicy</t>
  </si>
  <si>
    <t>来不及</t>
  </si>
  <si>
    <t>lái bu jí</t>
  </si>
  <si>
    <t>there's not enough time (to do something)</t>
  </si>
  <si>
    <t>来得及</t>
  </si>
  <si>
    <t>lái de jí</t>
  </si>
  <si>
    <t>there's still time</t>
  </si>
  <si>
    <t>来自</t>
  </si>
  <si>
    <t>lái zì</t>
  </si>
  <si>
    <t>come from</t>
  </si>
  <si>
    <t>懒</t>
  </si>
  <si>
    <t>lǎn</t>
  </si>
  <si>
    <t>lazy</t>
  </si>
  <si>
    <t>浪费</t>
  </si>
  <si>
    <t>làng fèi</t>
  </si>
  <si>
    <t>waste</t>
  </si>
  <si>
    <t>浪漫</t>
  </si>
  <si>
    <t>làng màn</t>
  </si>
  <si>
    <t>romantic</t>
  </si>
  <si>
    <t>老虎</t>
  </si>
  <si>
    <t>lǎo hǔ</t>
  </si>
  <si>
    <t>tiger</t>
  </si>
  <si>
    <t>冷静</t>
  </si>
  <si>
    <t>lěng jìng</t>
  </si>
  <si>
    <t>calm</t>
  </si>
  <si>
    <t>礼拜天</t>
  </si>
  <si>
    <t>lǐ bài tiān</t>
  </si>
  <si>
    <t>Sunday</t>
  </si>
  <si>
    <t>理发</t>
  </si>
  <si>
    <t>lǐ fà</t>
  </si>
  <si>
    <t>hair-dressing</t>
  </si>
  <si>
    <t>理解</t>
  </si>
  <si>
    <t>lǐ jiě</t>
  </si>
  <si>
    <t>comprehend; understanding</t>
  </si>
  <si>
    <t>礼貌</t>
  </si>
  <si>
    <t>lǐ mào</t>
  </si>
  <si>
    <t>courtesy; politeness</t>
  </si>
  <si>
    <t>理想</t>
  </si>
  <si>
    <t>lǐ xiǎng</t>
  </si>
  <si>
    <t>ideal; ambition</t>
  </si>
  <si>
    <t>厉害</t>
  </si>
  <si>
    <t>lì hai</t>
  </si>
  <si>
    <t>difficult to deal with</t>
  </si>
  <si>
    <t>力气</t>
  </si>
  <si>
    <t>lì qi</t>
  </si>
  <si>
    <t>strength</t>
  </si>
  <si>
    <t>例如</t>
  </si>
  <si>
    <t>lì rú</t>
  </si>
  <si>
    <t>for example</t>
  </si>
  <si>
    <t>俩</t>
  </si>
  <si>
    <t>liǎ</t>
  </si>
  <si>
    <t>two; both (people)</t>
  </si>
  <si>
    <t>lián</t>
  </si>
  <si>
    <t>联系</t>
  </si>
  <si>
    <t>lián xì</t>
  </si>
  <si>
    <t>to make contact</t>
  </si>
  <si>
    <t>凉快</t>
  </si>
  <si>
    <t>liáng kuai</t>
  </si>
  <si>
    <t>cool</t>
  </si>
  <si>
    <t>零钱</t>
  </si>
  <si>
    <t>líng qián</t>
  </si>
  <si>
    <t>(small) change [money]</t>
  </si>
  <si>
    <t>另外</t>
  </si>
  <si>
    <t>lìng wài</t>
  </si>
  <si>
    <t>连/代</t>
  </si>
  <si>
    <t>another</t>
  </si>
  <si>
    <t>留</t>
  </si>
  <si>
    <t>liú</t>
  </si>
  <si>
    <t>remain</t>
  </si>
  <si>
    <t>流利</t>
  </si>
  <si>
    <t>liú lì</t>
  </si>
  <si>
    <t>fluent</t>
  </si>
  <si>
    <t>流行</t>
  </si>
  <si>
    <t>liú xíng</t>
  </si>
  <si>
    <t>popular</t>
  </si>
  <si>
    <t>乱</t>
  </si>
  <si>
    <t>luàn</t>
  </si>
  <si>
    <t>chaotic</t>
  </si>
  <si>
    <t>旅行</t>
  </si>
  <si>
    <t>lǚ xíng</t>
  </si>
  <si>
    <t>to travel</t>
  </si>
  <si>
    <t>律师</t>
  </si>
  <si>
    <t>lǜ shī</t>
  </si>
  <si>
    <t>lawyer</t>
  </si>
  <si>
    <t>麻烦</t>
  </si>
  <si>
    <t>má fan</t>
  </si>
  <si>
    <t>hassle; to trouble somebody</t>
  </si>
  <si>
    <t>马虎</t>
  </si>
  <si>
    <t>mǎ hu</t>
  </si>
  <si>
    <t>满</t>
  </si>
  <si>
    <t>mǎn</t>
  </si>
  <si>
    <t>reach a quota or limit; full</t>
  </si>
  <si>
    <t>毛</t>
  </si>
  <si>
    <t>máo</t>
  </si>
  <si>
    <t>hair; fur; crude</t>
  </si>
  <si>
    <t>毛巾</t>
  </si>
  <si>
    <t>máo jīn</t>
  </si>
  <si>
    <t>towel</t>
  </si>
  <si>
    <t>美丽</t>
  </si>
  <si>
    <t>měi lì</t>
  </si>
  <si>
    <t>pretty</t>
  </si>
  <si>
    <t>梦</t>
  </si>
  <si>
    <t>mèng</t>
  </si>
  <si>
    <t>dream</t>
  </si>
  <si>
    <t>迷路</t>
  </si>
  <si>
    <t>mí lù</t>
  </si>
  <si>
    <t>lose the way; get lost</t>
  </si>
  <si>
    <t>密码</t>
  </si>
  <si>
    <t>mì mǎ</t>
  </si>
  <si>
    <t>code</t>
  </si>
  <si>
    <t>免费</t>
  </si>
  <si>
    <t>miǎn fèi</t>
  </si>
  <si>
    <t>free</t>
  </si>
  <si>
    <t>秒</t>
  </si>
  <si>
    <t>miǎo</t>
  </si>
  <si>
    <t>second</t>
  </si>
  <si>
    <t>民族</t>
  </si>
  <si>
    <t>mín zú</t>
  </si>
  <si>
    <t>母亲</t>
  </si>
  <si>
    <t>mǔ qīn</t>
  </si>
  <si>
    <t>目的</t>
  </si>
  <si>
    <t>mù dì</t>
  </si>
  <si>
    <t>objective; purpose</t>
  </si>
  <si>
    <t>耐心</t>
  </si>
  <si>
    <t>nài xīn</t>
  </si>
  <si>
    <t>patient</t>
  </si>
  <si>
    <t>难道</t>
  </si>
  <si>
    <t>nán dào</t>
  </si>
  <si>
    <t>could it be...?</t>
  </si>
  <si>
    <t>难受</t>
  </si>
  <si>
    <t>nán shòu</t>
  </si>
  <si>
    <t>feel unwell; difficult to bear</t>
  </si>
  <si>
    <t>内</t>
  </si>
  <si>
    <t>nèi</t>
  </si>
  <si>
    <t>within</t>
  </si>
  <si>
    <t>内容</t>
  </si>
  <si>
    <t>nèi róng</t>
  </si>
  <si>
    <t>content</t>
  </si>
  <si>
    <t>能力</t>
  </si>
  <si>
    <t>néng lì</t>
  </si>
  <si>
    <t>skills; ability</t>
  </si>
  <si>
    <t>年龄</t>
  </si>
  <si>
    <t>nián líng</t>
  </si>
  <si>
    <t>age</t>
  </si>
  <si>
    <t>弄</t>
  </si>
  <si>
    <t>nòng</t>
  </si>
  <si>
    <t>play with; fix; manage</t>
  </si>
  <si>
    <t>暖和</t>
  </si>
  <si>
    <t>nuǎn huo</t>
  </si>
  <si>
    <t>warm</t>
  </si>
  <si>
    <t>偶尔</t>
  </si>
  <si>
    <t>ǒu ěr</t>
  </si>
  <si>
    <t>occasionally</t>
  </si>
  <si>
    <t>排队</t>
  </si>
  <si>
    <t>pái duì</t>
  </si>
  <si>
    <t>queue up; line up</t>
  </si>
  <si>
    <t>排列</t>
  </si>
  <si>
    <t>pái liè</t>
  </si>
  <si>
    <t>array</t>
  </si>
  <si>
    <t>判断</t>
  </si>
  <si>
    <t>pàn duàn</t>
  </si>
  <si>
    <t>to decide</t>
  </si>
  <si>
    <t>陪</t>
  </si>
  <si>
    <t>péi</t>
  </si>
  <si>
    <t>accompany</t>
  </si>
  <si>
    <t>批评</t>
  </si>
  <si>
    <t>pī píng</t>
  </si>
  <si>
    <t>criticise</t>
  </si>
  <si>
    <t>皮肤</t>
  </si>
  <si>
    <t>pí fū</t>
  </si>
  <si>
    <t>skin</t>
  </si>
  <si>
    <t>脾气</t>
  </si>
  <si>
    <t>pí qi</t>
  </si>
  <si>
    <t>temperament; disposition</t>
  </si>
  <si>
    <t>篇</t>
  </si>
  <si>
    <t>piān</t>
  </si>
  <si>
    <t>sheet</t>
  </si>
  <si>
    <t>骗</t>
  </si>
  <si>
    <t>piàn</t>
  </si>
  <si>
    <t>deceive; cheat</t>
  </si>
  <si>
    <t>乒乓球</t>
  </si>
  <si>
    <t>pīng pāng qiú</t>
  </si>
  <si>
    <t>table tennis; ping-pong</t>
  </si>
  <si>
    <t>平时</t>
  </si>
  <si>
    <t>píng shí</t>
  </si>
  <si>
    <t>ordinarily</t>
  </si>
  <si>
    <t>破</t>
  </si>
  <si>
    <t>pò</t>
  </si>
  <si>
    <t>break</t>
  </si>
  <si>
    <t>葡萄</t>
  </si>
  <si>
    <t>pú tao</t>
  </si>
  <si>
    <t>grapes</t>
  </si>
  <si>
    <t>普遍</t>
  </si>
  <si>
    <t>pǔ biàn</t>
  </si>
  <si>
    <t>universal</t>
  </si>
  <si>
    <t>普通话</t>
  </si>
  <si>
    <t>pǔ tōng huà</t>
  </si>
  <si>
    <t>Standard Chinese [language]</t>
  </si>
  <si>
    <t>其次</t>
  </si>
  <si>
    <t>qí cì</t>
  </si>
  <si>
    <t>next</t>
  </si>
  <si>
    <t>其中</t>
  </si>
  <si>
    <t>qí zhōng</t>
  </si>
  <si>
    <t>among which</t>
  </si>
  <si>
    <t>气候</t>
  </si>
  <si>
    <t>qì hòu</t>
  </si>
  <si>
    <t>climate</t>
  </si>
  <si>
    <t>千万</t>
  </si>
  <si>
    <t>qiān wàn</t>
  </si>
  <si>
    <t>ten million</t>
  </si>
  <si>
    <t>签证</t>
  </si>
  <si>
    <t>qiān zhèng</t>
  </si>
  <si>
    <t>visa</t>
  </si>
  <si>
    <t>敲</t>
  </si>
  <si>
    <t>qiāo</t>
  </si>
  <si>
    <t>to hit</t>
  </si>
  <si>
    <t>桥</t>
  </si>
  <si>
    <t>qiáo</t>
  </si>
  <si>
    <t>bridge</t>
  </si>
  <si>
    <t>巧克力</t>
  </si>
  <si>
    <t>qiǎo kè lì</t>
  </si>
  <si>
    <t>chocolate</t>
  </si>
  <si>
    <t>亲戚</t>
  </si>
  <si>
    <t>qīn qi</t>
  </si>
  <si>
    <t>relatives</t>
  </si>
  <si>
    <t>轻</t>
  </si>
  <si>
    <t>qīng</t>
  </si>
  <si>
    <t>light-weight</t>
  </si>
  <si>
    <t>轻松</t>
  </si>
  <si>
    <t>qīng sōng</t>
  </si>
  <si>
    <t>gentle</t>
  </si>
  <si>
    <t>情况</t>
  </si>
  <si>
    <t>qíng kuàng</t>
  </si>
  <si>
    <t>happening</t>
  </si>
  <si>
    <t>穷</t>
  </si>
  <si>
    <t>qióng</t>
  </si>
  <si>
    <t>poor</t>
  </si>
  <si>
    <t>qū bié</t>
  </si>
  <si>
    <t>difference</t>
  </si>
  <si>
    <t>取</t>
  </si>
  <si>
    <t>qǔ</t>
  </si>
  <si>
    <t>take; get</t>
  </si>
  <si>
    <t>全部</t>
  </si>
  <si>
    <t>quán bù</t>
  </si>
  <si>
    <t>all</t>
  </si>
  <si>
    <t>缺点</t>
  </si>
  <si>
    <t>quē diǎn</t>
  </si>
  <si>
    <t>disadvantage</t>
  </si>
  <si>
    <t>缺少</t>
  </si>
  <si>
    <t>quē shǎo</t>
  </si>
  <si>
    <t>lack</t>
  </si>
  <si>
    <t>却</t>
  </si>
  <si>
    <t>què</t>
  </si>
  <si>
    <t>确实</t>
  </si>
  <si>
    <t>què shí</t>
  </si>
  <si>
    <t>indeed</t>
  </si>
  <si>
    <t>然而</t>
  </si>
  <si>
    <t>rán ér</t>
  </si>
  <si>
    <t>热闹</t>
  </si>
  <si>
    <t>rè nao</t>
  </si>
  <si>
    <t>bustling; lively</t>
  </si>
  <si>
    <t>任何</t>
  </si>
  <si>
    <t>rèn hé</t>
  </si>
  <si>
    <t>any</t>
  </si>
  <si>
    <t>任务</t>
  </si>
  <si>
    <t>rèn wu</t>
  </si>
  <si>
    <t>task</t>
  </si>
  <si>
    <t>扔</t>
  </si>
  <si>
    <t>rēng</t>
  </si>
  <si>
    <t>to throw</t>
  </si>
  <si>
    <t>仍然</t>
  </si>
  <si>
    <t>réng rán</t>
  </si>
  <si>
    <t>still</t>
  </si>
  <si>
    <t>日记</t>
  </si>
  <si>
    <t>rì jì</t>
  </si>
  <si>
    <t>diary</t>
  </si>
  <si>
    <t>入口</t>
  </si>
  <si>
    <t>rù kǒu</t>
  </si>
  <si>
    <t>entrance [to a building]</t>
  </si>
  <si>
    <t>散步</t>
  </si>
  <si>
    <t>sàn bù</t>
  </si>
  <si>
    <t>to go for a walk; stroll</t>
  </si>
  <si>
    <t>森林</t>
  </si>
  <si>
    <t>sēn lín</t>
  </si>
  <si>
    <t>forest</t>
  </si>
  <si>
    <t>沙发</t>
  </si>
  <si>
    <t>shā fā</t>
  </si>
  <si>
    <t>sofa</t>
  </si>
  <si>
    <t>商量</t>
  </si>
  <si>
    <t>shāng liang</t>
  </si>
  <si>
    <t>to consult</t>
  </si>
  <si>
    <t>伤心</t>
  </si>
  <si>
    <t>shāng xīn</t>
  </si>
  <si>
    <t>sad</t>
  </si>
  <si>
    <t>稍微</t>
  </si>
  <si>
    <t>shāo wēi</t>
  </si>
  <si>
    <t>a little bit</t>
  </si>
  <si>
    <t>勺子</t>
  </si>
  <si>
    <t>sháo zi</t>
  </si>
  <si>
    <t>spoon; ladle; scoop</t>
  </si>
  <si>
    <t>社会</t>
  </si>
  <si>
    <t>shè huì</t>
  </si>
  <si>
    <t>society</t>
  </si>
  <si>
    <t>深</t>
  </si>
  <si>
    <t>shēn</t>
  </si>
  <si>
    <t>dark [colour]; deep</t>
  </si>
  <si>
    <t>申请</t>
  </si>
  <si>
    <t>shēn qǐng</t>
  </si>
  <si>
    <t>to apply; application</t>
  </si>
  <si>
    <t>甚至</t>
  </si>
  <si>
    <t>shèn zhì</t>
  </si>
  <si>
    <t>even</t>
  </si>
  <si>
    <t>生活</t>
  </si>
  <si>
    <t>shēng huó</t>
  </si>
  <si>
    <t>life</t>
  </si>
  <si>
    <t>生命</t>
  </si>
  <si>
    <t>shēng mìng</t>
  </si>
  <si>
    <t>生意</t>
  </si>
  <si>
    <t>shēng yi</t>
  </si>
  <si>
    <t>business</t>
  </si>
  <si>
    <t>省</t>
  </si>
  <si>
    <t>shěng</t>
  </si>
  <si>
    <t>to save</t>
  </si>
  <si>
    <t>剩</t>
  </si>
  <si>
    <t>shèng</t>
  </si>
  <si>
    <t>spare</t>
  </si>
  <si>
    <t>失败</t>
  </si>
  <si>
    <t>shī bài</t>
  </si>
  <si>
    <t>fail</t>
  </si>
  <si>
    <t>师傅</t>
  </si>
  <si>
    <t>shī fu</t>
  </si>
  <si>
    <t>master</t>
  </si>
  <si>
    <t>失望</t>
  </si>
  <si>
    <t>shī wàng</t>
  </si>
  <si>
    <t>disappointed</t>
  </si>
  <si>
    <t>十分</t>
  </si>
  <si>
    <t>shí fēn</t>
  </si>
  <si>
    <t>completely; utterly [literally "ten points"]</t>
  </si>
  <si>
    <t>实际</t>
  </si>
  <si>
    <t>shí jì</t>
  </si>
  <si>
    <t>reality; specific; actual</t>
  </si>
  <si>
    <t>实在</t>
  </si>
  <si>
    <t>shí zài</t>
  </si>
  <si>
    <t>truly</t>
  </si>
  <si>
    <t>使</t>
  </si>
  <si>
    <t>shǐ</t>
  </si>
  <si>
    <t>to send (someone); cause</t>
  </si>
  <si>
    <t>使用</t>
  </si>
  <si>
    <t>shǐ yòng</t>
  </si>
  <si>
    <t>use</t>
  </si>
  <si>
    <t>是否</t>
  </si>
  <si>
    <t>shì fǒu</t>
  </si>
  <si>
    <t>whether or not</t>
  </si>
  <si>
    <t>适合</t>
  </si>
  <si>
    <t>shì hé</t>
  </si>
  <si>
    <t>suitable for</t>
  </si>
  <si>
    <t>世纪</t>
  </si>
  <si>
    <t>shì jì</t>
  </si>
  <si>
    <t>century</t>
  </si>
  <si>
    <t>适应</t>
  </si>
  <si>
    <t>shì yìng</t>
  </si>
  <si>
    <t>to adapt</t>
  </si>
  <si>
    <t>收</t>
  </si>
  <si>
    <t>shōu</t>
  </si>
  <si>
    <t>to receive</t>
  </si>
  <si>
    <t>收入</t>
  </si>
  <si>
    <t>shōu rù</t>
  </si>
  <si>
    <t>income</t>
  </si>
  <si>
    <t>收拾</t>
  </si>
  <si>
    <t>shōu shi</t>
  </si>
  <si>
    <t>to put in order</t>
  </si>
  <si>
    <t>首都</t>
  </si>
  <si>
    <t>shǒu dū</t>
  </si>
  <si>
    <t>capital (city)</t>
  </si>
  <si>
    <t>首先</t>
  </si>
  <si>
    <t>shǒu xiān</t>
  </si>
  <si>
    <t>受不了</t>
  </si>
  <si>
    <t>shòu bù liǎo</t>
  </si>
  <si>
    <t>cannot bear it</t>
  </si>
  <si>
    <t>受到</t>
  </si>
  <si>
    <t>shòu dào</t>
  </si>
  <si>
    <t>receive</t>
  </si>
  <si>
    <t>售货员</t>
  </si>
  <si>
    <t>shòu huò yuán</t>
  </si>
  <si>
    <t>sales assistant</t>
  </si>
  <si>
    <t>输</t>
  </si>
  <si>
    <t>to lose</t>
  </si>
  <si>
    <t>熟悉</t>
  </si>
  <si>
    <t>shú xī</t>
  </si>
  <si>
    <t>to be familiar with</t>
  </si>
  <si>
    <t>shù liàng</t>
  </si>
  <si>
    <t>amount</t>
  </si>
  <si>
    <t>数字</t>
  </si>
  <si>
    <t>shù zì</t>
  </si>
  <si>
    <t>digital</t>
  </si>
  <si>
    <t>帅</t>
  </si>
  <si>
    <t>shuài</t>
  </si>
  <si>
    <t>handsome</t>
  </si>
  <si>
    <t>顺便</t>
  </si>
  <si>
    <t>shùn biàn</t>
  </si>
  <si>
    <t>in passing; incidentally</t>
  </si>
  <si>
    <t>顺利</t>
  </si>
  <si>
    <t>shùn lì</t>
  </si>
  <si>
    <t>smooth</t>
  </si>
  <si>
    <t>顺序</t>
  </si>
  <si>
    <t>shùn xù</t>
  </si>
  <si>
    <t>sequence</t>
  </si>
  <si>
    <t>说明</t>
  </si>
  <si>
    <t>shuō míng</t>
  </si>
  <si>
    <t>to explain; instruction</t>
  </si>
  <si>
    <t>硕士</t>
  </si>
  <si>
    <t>shuò shì</t>
  </si>
  <si>
    <t>master's degree</t>
  </si>
  <si>
    <t>死</t>
  </si>
  <si>
    <t>sǐ</t>
  </si>
  <si>
    <t>die; extremely; rigid</t>
  </si>
  <si>
    <t>速度</t>
  </si>
  <si>
    <t>sù dù</t>
  </si>
  <si>
    <t>speed</t>
  </si>
  <si>
    <t>塑料袋</t>
  </si>
  <si>
    <t>sù liào dài</t>
  </si>
  <si>
    <t>plastic bag</t>
  </si>
  <si>
    <t>酸</t>
  </si>
  <si>
    <t>suān</t>
  </si>
  <si>
    <t>sour</t>
  </si>
  <si>
    <t>随便</t>
  </si>
  <si>
    <t>suí biàn</t>
  </si>
  <si>
    <t>as one wishes</t>
  </si>
  <si>
    <t>随着</t>
  </si>
  <si>
    <t>suí zhe</t>
  </si>
  <si>
    <t>along with</t>
  </si>
  <si>
    <t>孙子</t>
  </si>
  <si>
    <t>sūn zi</t>
  </si>
  <si>
    <t>grandson [father's family]</t>
  </si>
  <si>
    <t>所有</t>
  </si>
  <si>
    <t>suǒ yǒu</t>
  </si>
  <si>
    <t>抬</t>
  </si>
  <si>
    <t>tái</t>
  </si>
  <si>
    <t>to lift</t>
  </si>
  <si>
    <t>台</t>
  </si>
  <si>
    <t>platform</t>
  </si>
  <si>
    <t>态度</t>
  </si>
  <si>
    <t>tài du</t>
  </si>
  <si>
    <t>manner</t>
  </si>
  <si>
    <t>谈</t>
  </si>
  <si>
    <t>tán</t>
  </si>
  <si>
    <t>talk</t>
  </si>
  <si>
    <t>弹钢琴</t>
  </si>
  <si>
    <t>tán gāng qín</t>
  </si>
  <si>
    <t>to play the piano</t>
  </si>
  <si>
    <t>汤</t>
  </si>
  <si>
    <t>tāng</t>
  </si>
  <si>
    <t>soup</t>
  </si>
  <si>
    <t>糖</t>
  </si>
  <si>
    <t>táng</t>
  </si>
  <si>
    <t>sugar</t>
  </si>
  <si>
    <t>躺</t>
  </si>
  <si>
    <t>tǎng</t>
  </si>
  <si>
    <t>lie down</t>
  </si>
  <si>
    <t>趟</t>
  </si>
  <si>
    <t>tàng</t>
  </si>
  <si>
    <t>[measure word for trips, times and rows]</t>
  </si>
  <si>
    <t>讨论</t>
  </si>
  <si>
    <t>tǎo lùn</t>
  </si>
  <si>
    <t>to discuss</t>
  </si>
  <si>
    <t>讨厌</t>
  </si>
  <si>
    <t>tǎo yàn</t>
  </si>
  <si>
    <t>dislike; loathe</t>
  </si>
  <si>
    <t>特点</t>
  </si>
  <si>
    <t>tè diǎn</t>
  </si>
  <si>
    <t>characteristic feature</t>
  </si>
  <si>
    <t>提</t>
  </si>
  <si>
    <t>to carry</t>
  </si>
  <si>
    <t>提供</t>
  </si>
  <si>
    <t>tí gōng</t>
  </si>
  <si>
    <t>to offer</t>
  </si>
  <si>
    <t>提前</t>
  </si>
  <si>
    <t>tí qián</t>
  </si>
  <si>
    <t>in advance</t>
  </si>
  <si>
    <t>提醒</t>
  </si>
  <si>
    <t>tí xǐng</t>
  </si>
  <si>
    <t>remind</t>
  </si>
  <si>
    <t>填空</t>
  </si>
  <si>
    <t>tián kòng</t>
  </si>
  <si>
    <t>fill in blanks</t>
  </si>
  <si>
    <t>条件</t>
  </si>
  <si>
    <t>tiáo jiàn</t>
  </si>
  <si>
    <t>condition</t>
  </si>
  <si>
    <t>停</t>
  </si>
  <si>
    <t>tíng</t>
  </si>
  <si>
    <t>stop</t>
  </si>
  <si>
    <t>挺</t>
  </si>
  <si>
    <t>tǐng</t>
  </si>
  <si>
    <t>quite</t>
  </si>
  <si>
    <t>通过</t>
  </si>
  <si>
    <t>tōng guò</t>
  </si>
  <si>
    <t>介/动</t>
  </si>
  <si>
    <t>by means of; through; via</t>
  </si>
  <si>
    <t>通知</t>
  </si>
  <si>
    <t>tōng zhī</t>
  </si>
  <si>
    <t>notify</t>
  </si>
  <si>
    <t>同情</t>
  </si>
  <si>
    <t>tóng qíng</t>
  </si>
  <si>
    <t>to sympathize with</t>
  </si>
  <si>
    <t>同时</t>
  </si>
  <si>
    <t>tóng shí</t>
  </si>
  <si>
    <t>at the same time; simultaneously; concurrently</t>
  </si>
  <si>
    <t>推</t>
  </si>
  <si>
    <t>tuī</t>
  </si>
  <si>
    <t>to push; refuse</t>
  </si>
  <si>
    <t>推迟</t>
  </si>
  <si>
    <t>tuī chí</t>
  </si>
  <si>
    <t>to postpone</t>
  </si>
  <si>
    <t>脱</t>
  </si>
  <si>
    <t>tuō</t>
  </si>
  <si>
    <t>to escape; shed</t>
  </si>
  <si>
    <t>袜子</t>
  </si>
  <si>
    <t>wà zi</t>
  </si>
  <si>
    <t>socks</t>
  </si>
  <si>
    <t>完全</t>
  </si>
  <si>
    <t>wán quán</t>
  </si>
  <si>
    <t>网球</t>
  </si>
  <si>
    <t>wǎng qiú</t>
  </si>
  <si>
    <t>tennis</t>
  </si>
  <si>
    <t>往往</t>
  </si>
  <si>
    <t>wǎng wǎng</t>
  </si>
  <si>
    <t>often</t>
  </si>
  <si>
    <t>网站</t>
  </si>
  <si>
    <t>wǎng zhàn</t>
  </si>
  <si>
    <t>website</t>
  </si>
  <si>
    <t>危险</t>
  </si>
  <si>
    <t>wēi xiǎn</t>
  </si>
  <si>
    <t>dangerous; danger</t>
  </si>
  <si>
    <t>味道</t>
  </si>
  <si>
    <t>wèi dào</t>
  </si>
  <si>
    <t>flavour</t>
  </si>
  <si>
    <t>卫生间</t>
  </si>
  <si>
    <t>wèi shēng jiān</t>
  </si>
  <si>
    <t>toilet</t>
  </si>
  <si>
    <t>温度</t>
  </si>
  <si>
    <t>wēn dù</t>
  </si>
  <si>
    <t>temperature</t>
  </si>
  <si>
    <t>文章</t>
  </si>
  <si>
    <t>wén zhāng</t>
  </si>
  <si>
    <t>essay</t>
  </si>
  <si>
    <t>污染</t>
  </si>
  <si>
    <t>wū rǎn</t>
  </si>
  <si>
    <t>pollution; to contaminate</t>
  </si>
  <si>
    <t>无</t>
  </si>
  <si>
    <t>wú</t>
  </si>
  <si>
    <t>without</t>
  </si>
  <si>
    <t>无聊</t>
  </si>
  <si>
    <t>wú liáo</t>
  </si>
  <si>
    <t>bored; boring</t>
  </si>
  <si>
    <t>无论</t>
  </si>
  <si>
    <t>wú lùn</t>
  </si>
  <si>
    <t>no matter what or how</t>
  </si>
  <si>
    <t>误会</t>
  </si>
  <si>
    <t>wù huì</t>
  </si>
  <si>
    <t>to misunderstand</t>
  </si>
  <si>
    <t>西红柿</t>
  </si>
  <si>
    <t>xī hóng shì</t>
  </si>
  <si>
    <t>tomato</t>
  </si>
  <si>
    <t>吸引</t>
  </si>
  <si>
    <t>xī yǐn</t>
  </si>
  <si>
    <t>to attract (interest, investment etc)</t>
  </si>
  <si>
    <t>咸</t>
  </si>
  <si>
    <t>xián</t>
  </si>
  <si>
    <t>salty</t>
  </si>
  <si>
    <t>现金</t>
  </si>
  <si>
    <t>xiàn jīn</t>
  </si>
  <si>
    <t>cash</t>
  </si>
  <si>
    <t>羡慕</t>
  </si>
  <si>
    <t>xiàn mù</t>
  </si>
  <si>
    <t>to envy</t>
  </si>
  <si>
    <t>香</t>
  </si>
  <si>
    <t>xiāng</t>
  </si>
  <si>
    <t>fragrant</t>
  </si>
  <si>
    <t>相反</t>
  </si>
  <si>
    <t>xiāng fǎn</t>
  </si>
  <si>
    <t>形/连</t>
  </si>
  <si>
    <t>opposite; on the contrary</t>
  </si>
  <si>
    <t>相同</t>
  </si>
  <si>
    <t>xiāng tóng</t>
  </si>
  <si>
    <t>same</t>
  </si>
  <si>
    <t>详细</t>
  </si>
  <si>
    <t>xiáng xì</t>
  </si>
  <si>
    <t>detailed</t>
  </si>
  <si>
    <t>响</t>
  </si>
  <si>
    <t>echo</t>
  </si>
  <si>
    <t>橡皮</t>
  </si>
  <si>
    <t>xiàng pí</t>
  </si>
  <si>
    <t>rubber; eraser</t>
  </si>
  <si>
    <t>消息</t>
  </si>
  <si>
    <t>xiāo xi</t>
  </si>
  <si>
    <t>小吃</t>
  </si>
  <si>
    <t>xiǎo chī</t>
  </si>
  <si>
    <t>snack</t>
  </si>
  <si>
    <t>小伙子</t>
  </si>
  <si>
    <t>xiǎo huǒ zi</t>
  </si>
  <si>
    <t>youngster; lad</t>
  </si>
  <si>
    <t>小说</t>
  </si>
  <si>
    <t>xiǎo shuō</t>
  </si>
  <si>
    <t>novel</t>
  </si>
  <si>
    <t>效果</t>
  </si>
  <si>
    <t>xiào guǒ</t>
  </si>
  <si>
    <t>result</t>
  </si>
  <si>
    <t>笑话</t>
  </si>
  <si>
    <t>xiào huà</t>
  </si>
  <si>
    <t>辛苦</t>
  </si>
  <si>
    <t>xīn kǔ</t>
  </si>
  <si>
    <t>hard; tough [work; life]</t>
  </si>
  <si>
    <t>心情</t>
  </si>
  <si>
    <t>xīn qíng</t>
  </si>
  <si>
    <t>mood</t>
  </si>
  <si>
    <t>信封</t>
  </si>
  <si>
    <t>xìn fēng</t>
  </si>
  <si>
    <t>envelope</t>
  </si>
  <si>
    <t>信息</t>
  </si>
  <si>
    <t>xìn xī</t>
  </si>
  <si>
    <t>news; information</t>
  </si>
  <si>
    <t>信心</t>
  </si>
  <si>
    <t>xìn xīn</t>
  </si>
  <si>
    <t>confidence</t>
  </si>
  <si>
    <t>兴奋</t>
  </si>
  <si>
    <t>xīng fèn</t>
  </si>
  <si>
    <t>excited</t>
  </si>
  <si>
    <t>行</t>
  </si>
  <si>
    <t>xíng</t>
  </si>
  <si>
    <t>OK</t>
  </si>
  <si>
    <t>醒</t>
  </si>
  <si>
    <t>xǐng</t>
  </si>
  <si>
    <t>wake; awake</t>
  </si>
  <si>
    <t>性别</t>
  </si>
  <si>
    <t>xìng bié</t>
  </si>
  <si>
    <t>sex; gender</t>
  </si>
  <si>
    <t>幸福</t>
  </si>
  <si>
    <t>xìng fú</t>
  </si>
  <si>
    <t>happiness</t>
  </si>
  <si>
    <t>性格</t>
  </si>
  <si>
    <t>xìng gé</t>
  </si>
  <si>
    <t>temperament</t>
  </si>
  <si>
    <t>修理</t>
  </si>
  <si>
    <t>xiū lǐ</t>
  </si>
  <si>
    <t>repair; mend; fix</t>
  </si>
  <si>
    <t>许多</t>
  </si>
  <si>
    <t>xǔ duō</t>
  </si>
  <si>
    <t>many</t>
  </si>
  <si>
    <t>学期</t>
  </si>
  <si>
    <t>xué qī</t>
  </si>
  <si>
    <t>school term; semester</t>
  </si>
  <si>
    <t>压力</t>
  </si>
  <si>
    <t>yā lì</t>
  </si>
  <si>
    <t>pressure</t>
  </si>
  <si>
    <t>牙膏</t>
  </si>
  <si>
    <t>yá gāo</t>
  </si>
  <si>
    <t>toothpaste</t>
  </si>
  <si>
    <t>亚洲</t>
  </si>
  <si>
    <t>Yà zhōu</t>
  </si>
  <si>
    <t>Asia</t>
  </si>
  <si>
    <t>呀</t>
  </si>
  <si>
    <t>ya</t>
  </si>
  <si>
    <t>盐</t>
  </si>
  <si>
    <t>yán</t>
  </si>
  <si>
    <t>salt</t>
  </si>
  <si>
    <t>严格</t>
  </si>
  <si>
    <t>yán gé</t>
  </si>
  <si>
    <t>strict</t>
  </si>
  <si>
    <t>研究</t>
  </si>
  <si>
    <t>yán jiū</t>
  </si>
  <si>
    <t>to study</t>
  </si>
  <si>
    <t>严重</t>
  </si>
  <si>
    <t>yán zhòng</t>
  </si>
  <si>
    <t>serious</t>
  </si>
  <si>
    <t>演出</t>
  </si>
  <si>
    <t>yǎn chū</t>
  </si>
  <si>
    <t>眼镜</t>
  </si>
  <si>
    <t>yǎn jìng</t>
  </si>
  <si>
    <t>(eye) glasses</t>
  </si>
  <si>
    <t>演员</t>
  </si>
  <si>
    <t>yǎn yuán</t>
  </si>
  <si>
    <t>actor/actress</t>
  </si>
  <si>
    <t>阳光</t>
  </si>
  <si>
    <t>yáng guāng</t>
  </si>
  <si>
    <t>optimistic; cheerful; sunlight</t>
  </si>
  <si>
    <t>养成</t>
  </si>
  <si>
    <t>yǎng chéng</t>
  </si>
  <si>
    <t>to cultivate</t>
  </si>
  <si>
    <t>样子</t>
  </si>
  <si>
    <t>yàng zi</t>
  </si>
  <si>
    <t>appearance</t>
  </si>
  <si>
    <t>邀请</t>
  </si>
  <si>
    <t>yāo qǐng</t>
  </si>
  <si>
    <t>invitation</t>
  </si>
  <si>
    <t>钥匙</t>
  </si>
  <si>
    <t>yào shi</t>
  </si>
  <si>
    <t>key</t>
  </si>
  <si>
    <t>要是</t>
  </si>
  <si>
    <t>if; suppose; in case</t>
  </si>
  <si>
    <t>也许</t>
  </si>
  <si>
    <t>yě xǔ</t>
  </si>
  <si>
    <t>页</t>
  </si>
  <si>
    <t>yè</t>
  </si>
  <si>
    <t>page</t>
  </si>
  <si>
    <t>叶子</t>
  </si>
  <si>
    <t>yè zi</t>
  </si>
  <si>
    <t>foliage</t>
  </si>
  <si>
    <t>一切</t>
  </si>
  <si>
    <t>yī qiè</t>
  </si>
  <si>
    <t>everything</t>
  </si>
  <si>
    <t>以</t>
  </si>
  <si>
    <t>yǐ</t>
  </si>
  <si>
    <t>using because of; so as to</t>
  </si>
  <si>
    <t>以为</t>
  </si>
  <si>
    <t>yǐ wéi</t>
  </si>
  <si>
    <t>think; feel; reckon</t>
  </si>
  <si>
    <t>意见</t>
  </si>
  <si>
    <t>yì jiàn</t>
  </si>
  <si>
    <t>idea</t>
  </si>
  <si>
    <t>艺术</t>
  </si>
  <si>
    <t>yì shù</t>
  </si>
  <si>
    <t>art</t>
  </si>
  <si>
    <t>因此</t>
  </si>
  <si>
    <t>yīn cǐ</t>
  </si>
  <si>
    <t>because of this</t>
  </si>
  <si>
    <t>引起</t>
  </si>
  <si>
    <t>yǐn qǐ</t>
  </si>
  <si>
    <t>to give rise to</t>
  </si>
  <si>
    <t>印象</t>
  </si>
  <si>
    <t>yìn xiàng</t>
  </si>
  <si>
    <t>impression</t>
  </si>
  <si>
    <t>赢</t>
  </si>
  <si>
    <t>yíng</t>
  </si>
  <si>
    <t>win</t>
  </si>
  <si>
    <t>应聘</t>
  </si>
  <si>
    <t>yìng pìn</t>
  </si>
  <si>
    <t>accept an offer of employment</t>
  </si>
  <si>
    <t>勇敢</t>
  </si>
  <si>
    <t>yǒng gǎn</t>
  </si>
  <si>
    <t>brave</t>
  </si>
  <si>
    <t>永远</t>
  </si>
  <si>
    <t>yǒng yuǎn</t>
  </si>
  <si>
    <t>forever</t>
  </si>
  <si>
    <t>优点</t>
  </si>
  <si>
    <t>yōu diǎn</t>
  </si>
  <si>
    <t>advantage</t>
  </si>
  <si>
    <t>幽默</t>
  </si>
  <si>
    <t>yōu mò</t>
  </si>
  <si>
    <t>humorous</t>
  </si>
  <si>
    <t>优秀</t>
  </si>
  <si>
    <t>yōu xiù</t>
  </si>
  <si>
    <t>outstanding</t>
  </si>
  <si>
    <t>由</t>
  </si>
  <si>
    <t>yóu</t>
  </si>
  <si>
    <t>from</t>
  </si>
  <si>
    <t>邮局</t>
  </si>
  <si>
    <t>yóu jú</t>
  </si>
  <si>
    <t>post office</t>
  </si>
  <si>
    <t>尤其</t>
  </si>
  <si>
    <t>yóu qí</t>
  </si>
  <si>
    <t>especially</t>
  </si>
  <si>
    <t>由于</t>
  </si>
  <si>
    <t>yóu yú</t>
  </si>
  <si>
    <t>介/连</t>
  </si>
  <si>
    <t>due to</t>
  </si>
  <si>
    <t>友好</t>
  </si>
  <si>
    <t>yǒu hǎo</t>
  </si>
  <si>
    <t>friendly</t>
  </si>
  <si>
    <t>有趣</t>
  </si>
  <si>
    <t>yǒu qù</t>
  </si>
  <si>
    <t>interesting; fascinating</t>
  </si>
  <si>
    <t>友谊</t>
  </si>
  <si>
    <t>yǒu yì</t>
  </si>
  <si>
    <t>companionship</t>
  </si>
  <si>
    <t>愉快</t>
  </si>
  <si>
    <t>yú kuài</t>
  </si>
  <si>
    <t>joyful</t>
  </si>
  <si>
    <t>于是</t>
  </si>
  <si>
    <t>yú shì</t>
  </si>
  <si>
    <t>as a result</t>
  </si>
  <si>
    <t>与</t>
  </si>
  <si>
    <t>yǔ</t>
  </si>
  <si>
    <t>together with</t>
  </si>
  <si>
    <t>语法</t>
  </si>
  <si>
    <t>yǔ fǎ</t>
  </si>
  <si>
    <t>grammar</t>
  </si>
  <si>
    <t>羽毛球</t>
  </si>
  <si>
    <t>yǔ máo qiú</t>
  </si>
  <si>
    <t>badminton</t>
  </si>
  <si>
    <t>语言</t>
  </si>
  <si>
    <t>yǔ yán</t>
  </si>
  <si>
    <t>language</t>
  </si>
  <si>
    <t>预习</t>
  </si>
  <si>
    <t>yù xí</t>
  </si>
  <si>
    <t>to prepare a lesson</t>
  </si>
  <si>
    <t>原来</t>
  </si>
  <si>
    <t>yuán lái</t>
  </si>
  <si>
    <t>原谅</t>
  </si>
  <si>
    <t>yuán liàng</t>
  </si>
  <si>
    <t>to excuse</t>
  </si>
  <si>
    <t>原因</t>
  </si>
  <si>
    <t>yuán yīn</t>
  </si>
  <si>
    <t>reason</t>
  </si>
  <si>
    <t>约会</t>
  </si>
  <si>
    <t>yuē huì</t>
  </si>
  <si>
    <t>appointment</t>
  </si>
  <si>
    <t>阅读</t>
  </si>
  <si>
    <t>yuè dú</t>
  </si>
  <si>
    <t>reading</t>
  </si>
  <si>
    <t>云</t>
  </si>
  <si>
    <t>yún</t>
  </si>
  <si>
    <t>cloud</t>
  </si>
  <si>
    <t>允许</t>
  </si>
  <si>
    <t>yǔn xǔ</t>
  </si>
  <si>
    <t>allow; permit</t>
  </si>
  <si>
    <t>杂志</t>
  </si>
  <si>
    <t>zá zhì</t>
  </si>
  <si>
    <t>magazine</t>
  </si>
  <si>
    <t>咱们</t>
  </si>
  <si>
    <t>zán men</t>
  </si>
  <si>
    <t>we [you and me etc.]</t>
  </si>
  <si>
    <t>暂时</t>
  </si>
  <si>
    <t>zàn shí</t>
  </si>
  <si>
    <t>for the time being; temporary</t>
  </si>
  <si>
    <t>脏</t>
  </si>
  <si>
    <t>zāng</t>
  </si>
  <si>
    <t>dirty</t>
  </si>
  <si>
    <t>责任</t>
  </si>
  <si>
    <t>zé rèn</t>
  </si>
  <si>
    <t>responsibility</t>
  </si>
  <si>
    <t>增加</t>
  </si>
  <si>
    <t>zēng jiā</t>
  </si>
  <si>
    <t>to increase; add; raise</t>
  </si>
  <si>
    <t>占线</t>
  </si>
  <si>
    <t>zhàn xiàn</t>
  </si>
  <si>
    <t>busy line; engaged (line)</t>
  </si>
  <si>
    <t>招聘</t>
  </si>
  <si>
    <t>zhāo pìn</t>
  </si>
  <si>
    <t>recruitment</t>
  </si>
  <si>
    <t>照</t>
  </si>
  <si>
    <t>zhào</t>
  </si>
  <si>
    <t>take (a photo)</t>
  </si>
  <si>
    <t>真正</t>
  </si>
  <si>
    <t>zhēn zhèng</t>
  </si>
  <si>
    <t>real</t>
  </si>
  <si>
    <t>整理</t>
  </si>
  <si>
    <t>zhěng lǐ</t>
  </si>
  <si>
    <t>to arrange</t>
  </si>
  <si>
    <t>正常</t>
  </si>
  <si>
    <t>zhèng cháng</t>
  </si>
  <si>
    <t>normal; fine; generally speaking</t>
  </si>
  <si>
    <t>正好</t>
  </si>
  <si>
    <t>zhèng hǎo</t>
  </si>
  <si>
    <t>just right</t>
  </si>
  <si>
    <t>证明</t>
  </si>
  <si>
    <t>zhèng míng</t>
  </si>
  <si>
    <t>proof</t>
  </si>
  <si>
    <t>正确</t>
  </si>
  <si>
    <t>zhèng què</t>
  </si>
  <si>
    <t>correct</t>
  </si>
  <si>
    <t>正式</t>
  </si>
  <si>
    <t>zhèng shì</t>
  </si>
  <si>
    <t>formal</t>
  </si>
  <si>
    <t>之</t>
  </si>
  <si>
    <t>zhī</t>
  </si>
  <si>
    <t>[a more literary form of 的; showing possession]</t>
  </si>
  <si>
    <t>支持</t>
  </si>
  <si>
    <t>zhī chí</t>
  </si>
  <si>
    <t>to be in favour of</t>
  </si>
  <si>
    <t>知识</t>
  </si>
  <si>
    <t>zhī shi</t>
  </si>
  <si>
    <t>knowledge</t>
  </si>
  <si>
    <t>值得</t>
  </si>
  <si>
    <t>zhí de</t>
  </si>
  <si>
    <t>worthy</t>
  </si>
  <si>
    <t>直接</t>
  </si>
  <si>
    <t>zhí jiē</t>
  </si>
  <si>
    <t>direct</t>
  </si>
  <si>
    <t>植物</t>
  </si>
  <si>
    <t>zhí wù</t>
  </si>
  <si>
    <t>plants</t>
  </si>
  <si>
    <t>职业</t>
  </si>
  <si>
    <t>zhí yè</t>
  </si>
  <si>
    <t>profession; career</t>
  </si>
  <si>
    <t>指</t>
  </si>
  <si>
    <t>finger; point at</t>
  </si>
  <si>
    <t>只好</t>
  </si>
  <si>
    <t>zhǐ hǎo</t>
  </si>
  <si>
    <t>have to; forced to</t>
  </si>
  <si>
    <t>只要</t>
  </si>
  <si>
    <t>zhǐ yào</t>
  </si>
  <si>
    <t>so long as ...</t>
  </si>
  <si>
    <t>质量</t>
  </si>
  <si>
    <t>zhì liàng</t>
  </si>
  <si>
    <t>quality</t>
  </si>
  <si>
    <t>至少</t>
  </si>
  <si>
    <t>zhì shǎo</t>
  </si>
  <si>
    <t>at least</t>
  </si>
  <si>
    <t>重</t>
  </si>
  <si>
    <t>zhòng</t>
  </si>
  <si>
    <t>heavy; serious; once more</t>
  </si>
  <si>
    <t>重点</t>
  </si>
  <si>
    <t>zhòng diǎn</t>
  </si>
  <si>
    <t>main point</t>
  </si>
  <si>
    <t>重视</t>
  </si>
  <si>
    <t>zhòng shì</t>
  </si>
  <si>
    <t>value</t>
  </si>
  <si>
    <t>周围</t>
  </si>
  <si>
    <t>zhōu wéi</t>
  </si>
  <si>
    <t>around</t>
  </si>
  <si>
    <t>主意</t>
  </si>
  <si>
    <t>zhǔ yi</t>
  </si>
  <si>
    <t>祝贺</t>
  </si>
  <si>
    <t>zhù hè</t>
  </si>
  <si>
    <t>to congratulate</t>
  </si>
  <si>
    <t>著名</t>
  </si>
  <si>
    <t>zhù míng</t>
  </si>
  <si>
    <t>专门</t>
  </si>
  <si>
    <t>zhuān mén</t>
  </si>
  <si>
    <t>specialised</t>
  </si>
  <si>
    <t>专业</t>
  </si>
  <si>
    <t>zhuān yè</t>
  </si>
  <si>
    <t>professional</t>
  </si>
  <si>
    <t>转</t>
  </si>
  <si>
    <t>zhuǎn</t>
  </si>
  <si>
    <t>turn</t>
  </si>
  <si>
    <t>赚</t>
  </si>
  <si>
    <t>zhuàn</t>
  </si>
  <si>
    <t>to earn</t>
  </si>
  <si>
    <t>准确</t>
  </si>
  <si>
    <t>zhǔn què</t>
  </si>
  <si>
    <t>accurate</t>
  </si>
  <si>
    <t>准时</t>
  </si>
  <si>
    <t>zhǔn shí</t>
  </si>
  <si>
    <t>punctual</t>
  </si>
  <si>
    <t>仔细</t>
  </si>
  <si>
    <t>zǐ xì</t>
  </si>
  <si>
    <t>careful</t>
  </si>
  <si>
    <t>自然</t>
  </si>
  <si>
    <t>zì rán</t>
  </si>
  <si>
    <t>名/副</t>
  </si>
  <si>
    <t>natural</t>
  </si>
  <si>
    <t>自信</t>
  </si>
  <si>
    <t>zì xìn</t>
  </si>
  <si>
    <t>self-confident; believe in oneself</t>
  </si>
  <si>
    <t>总结</t>
  </si>
  <si>
    <t>zǒng jié</t>
  </si>
  <si>
    <t>to sum up</t>
  </si>
  <si>
    <t>租</t>
  </si>
  <si>
    <t>zū</t>
  </si>
  <si>
    <t>to rent</t>
  </si>
  <si>
    <t>最好</t>
  </si>
  <si>
    <t>zuì hǎo</t>
  </si>
  <si>
    <t>best</t>
  </si>
  <si>
    <t>尊重</t>
  </si>
  <si>
    <t>zūn zhòng</t>
  </si>
  <si>
    <t>to honour</t>
  </si>
  <si>
    <t>左右</t>
  </si>
  <si>
    <t>zuǒ yòu</t>
  </si>
  <si>
    <t>left and right; about</t>
  </si>
  <si>
    <t>座</t>
  </si>
  <si>
    <t>seat</t>
  </si>
  <si>
    <t>作家</t>
  </si>
  <si>
    <t>zuò jiā</t>
  </si>
  <si>
    <t>writer</t>
  </si>
  <si>
    <t>座位</t>
  </si>
  <si>
    <t>zuò wèi</t>
  </si>
  <si>
    <t>place; seat</t>
  </si>
  <si>
    <t>作用</t>
  </si>
  <si>
    <t>zuò yòng</t>
  </si>
  <si>
    <t>effect</t>
  </si>
  <si>
    <t>作者</t>
  </si>
  <si>
    <t>zuò zhě</t>
  </si>
  <si>
    <t>author</t>
  </si>
  <si>
    <t>哎</t>
  </si>
  <si>
    <t>āi</t>
  </si>
  <si>
    <t>叹</t>
  </si>
  <si>
    <t>hey</t>
  </si>
  <si>
    <t>熬夜</t>
  </si>
  <si>
    <t>áo yè</t>
  </si>
  <si>
    <t>to stay up late or all night</t>
  </si>
  <si>
    <t>唉</t>
  </si>
  <si>
    <t>oh; ah; well</t>
  </si>
  <si>
    <t>爱护</t>
  </si>
  <si>
    <t>ài hù</t>
  </si>
  <si>
    <t>care; cherish; take good care of</t>
  </si>
  <si>
    <t>爱惜</t>
  </si>
  <si>
    <t>ài xī</t>
  </si>
  <si>
    <t>value; cherish; treasure</t>
  </si>
  <si>
    <t>爱心</t>
  </si>
  <si>
    <t>ài xīn</t>
  </si>
  <si>
    <t>compassion; kindness; consideration</t>
  </si>
  <si>
    <t>安慰</t>
  </si>
  <si>
    <t>ān wèi</t>
  </si>
  <si>
    <t>to comfort; console</t>
  </si>
  <si>
    <t>安装</t>
  </si>
  <si>
    <t>ān zhuāng</t>
  </si>
  <si>
    <t>to install; mount; erect</t>
  </si>
  <si>
    <t>暗</t>
  </si>
  <si>
    <t>àn</t>
  </si>
  <si>
    <t>dark</t>
  </si>
  <si>
    <t>岸</t>
  </si>
  <si>
    <t>shore; coast; bank;</t>
  </si>
  <si>
    <t>把握</t>
  </si>
  <si>
    <t>bǎ wò</t>
  </si>
  <si>
    <t>to grasp; to hold; seize</t>
  </si>
  <si>
    <t>摆</t>
  </si>
  <si>
    <t>to arrange; set in order; pendulum; lower hem (of a gown/jacket/skirt)</t>
  </si>
  <si>
    <t>办理</t>
  </si>
  <si>
    <t>bàn lǐ</t>
  </si>
  <si>
    <t>deal with; attend to; handle</t>
  </si>
  <si>
    <t>傍晚</t>
  </si>
  <si>
    <t>bàng wǎn</t>
  </si>
  <si>
    <t>towards evening; at nightfall; at dusk</t>
  </si>
  <si>
    <t>包裹</t>
  </si>
  <si>
    <t>bāo guǒ</t>
  </si>
  <si>
    <t>wrap up; pack up</t>
  </si>
  <si>
    <t>包含</t>
  </si>
  <si>
    <t>bāo hán</t>
  </si>
  <si>
    <t>to contain; embody; include; inclusion</t>
  </si>
  <si>
    <t>包括</t>
  </si>
  <si>
    <t>bāo kuò</t>
  </si>
  <si>
    <t>include</t>
  </si>
  <si>
    <t>薄</t>
  </si>
  <si>
    <t>báo</t>
  </si>
  <si>
    <t>thin; flimsy</t>
  </si>
  <si>
    <t>宝贝</t>
  </si>
  <si>
    <t>bǎo bèi</t>
  </si>
  <si>
    <t>treasure; baby</t>
  </si>
  <si>
    <t>保持</t>
  </si>
  <si>
    <t>bǎo chí</t>
  </si>
  <si>
    <t>to keep; hold; retain; maintain</t>
  </si>
  <si>
    <t>保存</t>
  </si>
  <si>
    <t>bǎo cún</t>
  </si>
  <si>
    <t>preserve; keep; conserve</t>
  </si>
  <si>
    <t>宝贵</t>
  </si>
  <si>
    <t>bǎo guì</t>
  </si>
  <si>
    <t>valuable; precious</t>
  </si>
  <si>
    <t>保留</t>
  </si>
  <si>
    <t>bǎo liú</t>
  </si>
  <si>
    <t>continue to have; persist; to retain; hold back</t>
  </si>
  <si>
    <t>保险</t>
  </si>
  <si>
    <t>bǎo xiǎn</t>
  </si>
  <si>
    <t>guarantee; insurance</t>
  </si>
  <si>
    <t>报道</t>
  </si>
  <si>
    <t>bào dào</t>
  </si>
  <si>
    <t>report</t>
  </si>
  <si>
    <t>报到</t>
  </si>
  <si>
    <t>report for duty; check in; register</t>
  </si>
  <si>
    <t>报告</t>
  </si>
  <si>
    <t>bào gào</t>
  </si>
  <si>
    <t>report; make known; inform</t>
  </si>
  <si>
    <t>报社</t>
  </si>
  <si>
    <t>bào shè</t>
  </si>
  <si>
    <t>newspaper office</t>
  </si>
  <si>
    <t>抱怨</t>
  </si>
  <si>
    <t>bào yuàn</t>
  </si>
  <si>
    <t>complain; grumble</t>
  </si>
  <si>
    <t>悲观</t>
  </si>
  <si>
    <t>bēi guān</t>
  </si>
  <si>
    <t>pessimistic</t>
  </si>
  <si>
    <t>背</t>
  </si>
  <si>
    <t>back</t>
  </si>
  <si>
    <t>背景</t>
  </si>
  <si>
    <t>bèi jǐng</t>
  </si>
  <si>
    <t>background</t>
  </si>
  <si>
    <t>被子</t>
  </si>
  <si>
    <t>bèi zi</t>
  </si>
  <si>
    <t>quilt</t>
  </si>
  <si>
    <t>本科</t>
  </si>
  <si>
    <t>běn kē</t>
  </si>
  <si>
    <t>undergraduate course; regular college course</t>
  </si>
  <si>
    <t>本领</t>
  </si>
  <si>
    <t>běn lǐng</t>
  </si>
  <si>
    <t>capability; capacity; faculty</t>
  </si>
  <si>
    <t>本质</t>
  </si>
  <si>
    <t>běn zhì</t>
  </si>
  <si>
    <t>nature; innate character; intrinsic quality</t>
  </si>
  <si>
    <t>彼此</t>
  </si>
  <si>
    <t>bǐ cǐ</t>
  </si>
  <si>
    <t>each other; both parties; one another</t>
  </si>
  <si>
    <t>比例</t>
  </si>
  <si>
    <t>bǐ lì</t>
  </si>
  <si>
    <t>scale; proportion; ratio</t>
  </si>
  <si>
    <t>毕竟</t>
  </si>
  <si>
    <t>bì jìng</t>
  </si>
  <si>
    <t>after all; all in all; when all is said and done</t>
  </si>
  <si>
    <t>避免</t>
  </si>
  <si>
    <t>bì miǎn</t>
  </si>
  <si>
    <t>to avoid; refrain from; prevent something from happening</t>
  </si>
  <si>
    <t>必然</t>
  </si>
  <si>
    <t>bì rán</t>
  </si>
  <si>
    <t>inevitable; certain; necessarily</t>
  </si>
  <si>
    <t>必要</t>
  </si>
  <si>
    <t>bì yào</t>
  </si>
  <si>
    <t>requisite; necessary; essential</t>
  </si>
  <si>
    <t>编辑</t>
  </si>
  <si>
    <t>biān jí</t>
  </si>
  <si>
    <t>edit; compile</t>
  </si>
  <si>
    <t>鞭炮</t>
  </si>
  <si>
    <t>biān pào</t>
  </si>
  <si>
    <t>firecrackers</t>
  </si>
  <si>
    <t>便</t>
  </si>
  <si>
    <t>convenience; excrement or urine; relieve oneself</t>
  </si>
  <si>
    <t>辩论</t>
  </si>
  <si>
    <t>biàn lùn</t>
  </si>
  <si>
    <t>argue; debate</t>
  </si>
  <si>
    <t>标点</t>
  </si>
  <si>
    <t>biāo diǎn</t>
  </si>
  <si>
    <t>punctuation</t>
  </si>
  <si>
    <t>标志</t>
  </si>
  <si>
    <t>biāo zhì</t>
  </si>
  <si>
    <t>sign; symbol; hallmark</t>
  </si>
  <si>
    <t>表达</t>
  </si>
  <si>
    <t>biǎo dá</t>
  </si>
  <si>
    <t>to voice (an opinion)</t>
  </si>
  <si>
    <t>表面</t>
  </si>
  <si>
    <t>biǎo miàn</t>
  </si>
  <si>
    <t>surface</t>
  </si>
  <si>
    <t>表明</t>
  </si>
  <si>
    <t>biǎo míng</t>
  </si>
  <si>
    <t>make known; state clearly; indicate</t>
  </si>
  <si>
    <t>表情</t>
  </si>
  <si>
    <t>biǎo qíng</t>
  </si>
  <si>
    <t>expression; look</t>
  </si>
  <si>
    <t>表现</t>
  </si>
  <si>
    <t>biǎo xiàn</t>
  </si>
  <si>
    <t>expression; representation; display</t>
  </si>
  <si>
    <t>冰激凌</t>
  </si>
  <si>
    <t>bīng jī líng</t>
  </si>
  <si>
    <t>ice cream</t>
  </si>
  <si>
    <t>病毒</t>
  </si>
  <si>
    <t>bìng dú</t>
  </si>
  <si>
    <t>virus</t>
  </si>
  <si>
    <t>播放</t>
  </si>
  <si>
    <t>bō fàng</t>
  </si>
  <si>
    <t>玻璃</t>
  </si>
  <si>
    <t>bō li</t>
  </si>
  <si>
    <t>glass</t>
  </si>
  <si>
    <t>博物馆</t>
  </si>
  <si>
    <t>bó wù guǎn</t>
  </si>
  <si>
    <t>museum</t>
  </si>
  <si>
    <t>脖子</t>
  </si>
  <si>
    <t>bó zi</t>
  </si>
  <si>
    <t>neck</t>
  </si>
  <si>
    <t>不断</t>
  </si>
  <si>
    <t>bú duàn</t>
  </si>
  <si>
    <t>ceaseless; uninterrupted; continual continuous; unceasing</t>
  </si>
  <si>
    <t>不见得</t>
  </si>
  <si>
    <t>bú jiàn de</t>
  </si>
  <si>
    <t>not likely; not necessarily</t>
  </si>
  <si>
    <t>不耐烦</t>
  </si>
  <si>
    <t>bú nài fán</t>
  </si>
  <si>
    <t>impatient</t>
  </si>
  <si>
    <t>不要紧</t>
  </si>
  <si>
    <t>bú yào jǐn</t>
  </si>
  <si>
    <t>not important; not serious It doesn't matter; never mind</t>
  </si>
  <si>
    <t>补充</t>
  </si>
  <si>
    <t>bǔ chōng</t>
  </si>
  <si>
    <t>add; supplement; replenish</t>
  </si>
  <si>
    <t>布</t>
  </si>
  <si>
    <t>cloth; textile; proclaim</t>
  </si>
  <si>
    <t>不安</t>
  </si>
  <si>
    <t>bù ān</t>
  </si>
  <si>
    <t>uneasy; unsettled; unstable</t>
  </si>
  <si>
    <t>不得了</t>
  </si>
  <si>
    <t>bù dé liǎo</t>
  </si>
  <si>
    <t>desperately serious disastrous; terrible</t>
  </si>
  <si>
    <t>部门</t>
  </si>
  <si>
    <t>bù mén</t>
  </si>
  <si>
    <t>department; branch; section</t>
  </si>
  <si>
    <t>不然</t>
  </si>
  <si>
    <t>bù rán</t>
  </si>
  <si>
    <t>not the case; otherwise</t>
  </si>
  <si>
    <t>不如</t>
  </si>
  <si>
    <t>bù rú</t>
  </si>
  <si>
    <t>it would be better to …not as good as</t>
  </si>
  <si>
    <t>步骤</t>
  </si>
  <si>
    <t>bù zhòu</t>
  </si>
  <si>
    <t>step; move; procedure</t>
  </si>
  <si>
    <t>不足</t>
  </si>
  <si>
    <t>bù zú</t>
  </si>
  <si>
    <t>not enough; insufficient</t>
  </si>
  <si>
    <t>财产</t>
  </si>
  <si>
    <t>cái chǎn</t>
  </si>
  <si>
    <t>property; assets; estate</t>
  </si>
  <si>
    <t>踩</t>
  </si>
  <si>
    <t>cǎi</t>
  </si>
  <si>
    <t>to step on; to stamp on; trample</t>
  </si>
  <si>
    <t>采访</t>
  </si>
  <si>
    <t>cǎi fǎng</t>
  </si>
  <si>
    <t>to interview</t>
  </si>
  <si>
    <t>彩虹</t>
  </si>
  <si>
    <t>cǎi hóng</t>
  </si>
  <si>
    <t>rainbow</t>
  </si>
  <si>
    <t>采取</t>
  </si>
  <si>
    <t>cǎi qǔ</t>
  </si>
  <si>
    <t>to carry out; adopt; take</t>
  </si>
  <si>
    <t>参考</t>
  </si>
  <si>
    <t>cān kǎo</t>
  </si>
  <si>
    <t>to consult; to refer to</t>
  </si>
  <si>
    <t>参与</t>
  </si>
  <si>
    <t>cān yù</t>
  </si>
  <si>
    <t>to take part; to participate in</t>
  </si>
  <si>
    <t>惭愧</t>
  </si>
  <si>
    <t>cán kuì</t>
  </si>
  <si>
    <t>ashamed</t>
  </si>
  <si>
    <t>操场</t>
  </si>
  <si>
    <t>cāo chǎng</t>
  </si>
  <si>
    <t>playground; sports ground; drill ground</t>
  </si>
  <si>
    <t>操心</t>
  </si>
  <si>
    <t>cāo xīn</t>
  </si>
  <si>
    <t>to worry about; to take pains over; be concerned over</t>
  </si>
  <si>
    <t>册</t>
  </si>
  <si>
    <t>cè</t>
  </si>
  <si>
    <t>volume; copy [measure word for books]</t>
  </si>
  <si>
    <t>测验</t>
  </si>
  <si>
    <t>cè yàn</t>
  </si>
  <si>
    <t>test; trial run; examination</t>
  </si>
  <si>
    <t>曾经</t>
  </si>
  <si>
    <t>céng jīng</t>
  </si>
  <si>
    <t>once</t>
  </si>
  <si>
    <t>插</t>
  </si>
  <si>
    <t>chā</t>
  </si>
  <si>
    <t>stick in; to insert; interpose</t>
  </si>
  <si>
    <t>差别</t>
  </si>
  <si>
    <t>chā bié</t>
  </si>
  <si>
    <t>差距</t>
  </si>
  <si>
    <t>chā jù</t>
  </si>
  <si>
    <t>gap; disparity</t>
  </si>
  <si>
    <t>叉子</t>
  </si>
  <si>
    <t>chā zi</t>
  </si>
  <si>
    <t>fork; prong</t>
  </si>
  <si>
    <t>拆</t>
  </si>
  <si>
    <t>chāi</t>
  </si>
  <si>
    <t>to tear open; take apart; pull down</t>
  </si>
  <si>
    <t>产品</t>
  </si>
  <si>
    <t>chǎn pǐn</t>
  </si>
  <si>
    <t>product</t>
  </si>
  <si>
    <t>产生</t>
  </si>
  <si>
    <t>chǎn shēng</t>
  </si>
  <si>
    <t>produce</t>
  </si>
  <si>
    <t>常识</t>
  </si>
  <si>
    <t>cháng shí</t>
  </si>
  <si>
    <t>general knowledge</t>
  </si>
  <si>
    <t>长途</t>
  </si>
  <si>
    <t>cháng tú</t>
  </si>
  <si>
    <t>long-distance</t>
  </si>
  <si>
    <t>抄</t>
  </si>
  <si>
    <t>chāo</t>
  </si>
  <si>
    <t>to copy; transcribe; plagiarise</t>
  </si>
  <si>
    <t>超级</t>
  </si>
  <si>
    <t>chāo jí</t>
  </si>
  <si>
    <t>super</t>
  </si>
  <si>
    <t>朝</t>
  </si>
  <si>
    <t>cháo</t>
  </si>
  <si>
    <t>dynasty; court; government</t>
  </si>
  <si>
    <t>潮湿</t>
  </si>
  <si>
    <t>cháo shī</t>
  </si>
  <si>
    <t>damp; moist; humidy</t>
  </si>
  <si>
    <t>吵</t>
  </si>
  <si>
    <t>chǎo</t>
  </si>
  <si>
    <t>noisy</t>
  </si>
  <si>
    <t>炒</t>
  </si>
  <si>
    <t>stir-fry</t>
  </si>
  <si>
    <t>吵架</t>
  </si>
  <si>
    <t>chǎo jià</t>
  </si>
  <si>
    <t>to quarrel; have a row</t>
  </si>
  <si>
    <t>车库</t>
  </si>
  <si>
    <t>chē kù</t>
  </si>
  <si>
    <t>garage</t>
  </si>
  <si>
    <t>车厢</t>
  </si>
  <si>
    <t>chē xiāng</t>
  </si>
  <si>
    <t>railway carriage; compartment</t>
  </si>
  <si>
    <t>彻底</t>
  </si>
  <si>
    <t>chè dǐ</t>
  </si>
  <si>
    <t>thorough</t>
  </si>
  <si>
    <t>沉默</t>
  </si>
  <si>
    <t>chén mò</t>
  </si>
  <si>
    <t>reticent; taciturn; uncommunicative</t>
  </si>
  <si>
    <t>趁</t>
  </si>
  <si>
    <t>chèn</t>
  </si>
  <si>
    <t>to take advantage of; avail oneself of</t>
  </si>
  <si>
    <t>称</t>
  </si>
  <si>
    <t>chēng</t>
  </si>
  <si>
    <t>fit; match; to name</t>
  </si>
  <si>
    <t>称呼</t>
  </si>
  <si>
    <t>chēng hu</t>
  </si>
  <si>
    <t>call; address</t>
  </si>
  <si>
    <t>称赞</t>
  </si>
  <si>
    <t>chēng zàn</t>
  </si>
  <si>
    <t>to praise; to acclaim; to commend</t>
  </si>
  <si>
    <t>承担</t>
  </si>
  <si>
    <t>chéng dān</t>
  </si>
  <si>
    <t>bear; to undertake; assume</t>
  </si>
  <si>
    <t>程度</t>
  </si>
  <si>
    <t>chéng dù</t>
  </si>
  <si>
    <t>level; degree; extent</t>
  </si>
  <si>
    <t>成分</t>
  </si>
  <si>
    <t>chéng fèn</t>
  </si>
  <si>
    <t>composition; component part; ingredient</t>
  </si>
  <si>
    <t>成果</t>
  </si>
  <si>
    <t>chéng guǒ</t>
  </si>
  <si>
    <t>achievement; gain; positive result</t>
  </si>
  <si>
    <t>成就</t>
  </si>
  <si>
    <t>chéng jiù</t>
  </si>
  <si>
    <t>achievement; accomplishment; attainment</t>
  </si>
  <si>
    <t>诚恳</t>
  </si>
  <si>
    <t>chéng kěn</t>
  </si>
  <si>
    <t>sincere; earnest</t>
  </si>
  <si>
    <t>成立</t>
  </si>
  <si>
    <t>chéng lì</t>
  </si>
  <si>
    <t>found; to establish; set up</t>
  </si>
  <si>
    <t>成人</t>
  </si>
  <si>
    <t>chéng rén</t>
  </si>
  <si>
    <t>adult</t>
  </si>
  <si>
    <t>承认</t>
  </si>
  <si>
    <t>chéng rèn</t>
  </si>
  <si>
    <t>to admit; to acknowledge; to recognise</t>
  </si>
  <si>
    <t>承受</t>
  </si>
  <si>
    <t>chéng shòu</t>
  </si>
  <si>
    <t>to bear; support; to endure; inherit</t>
  </si>
  <si>
    <t>成熟</t>
  </si>
  <si>
    <t>chéng shú</t>
  </si>
  <si>
    <t>mature</t>
  </si>
  <si>
    <t>程序</t>
  </si>
  <si>
    <t>chéng xù</t>
  </si>
  <si>
    <t>order; procedure; sequence</t>
  </si>
  <si>
    <t>成语</t>
  </si>
  <si>
    <t>chéng yǔ</t>
  </si>
  <si>
    <t>set phrase; idiom; proverb</t>
  </si>
  <si>
    <t>成长</t>
  </si>
  <si>
    <t>chéng zhǎng</t>
  </si>
  <si>
    <t>to grow up</t>
  </si>
  <si>
    <t>吃亏</t>
  </si>
  <si>
    <t>chī kuī</t>
  </si>
  <si>
    <t>to suffer losses; come to grief; take a beating</t>
  </si>
  <si>
    <t>池塘</t>
  </si>
  <si>
    <t>chí táng</t>
  </si>
  <si>
    <t>pool; pond</t>
  </si>
  <si>
    <t>持续</t>
  </si>
  <si>
    <t>chí xù</t>
  </si>
  <si>
    <t>last; continue; sustain</t>
  </si>
  <si>
    <t>迟早</t>
  </si>
  <si>
    <t>chí zǎo</t>
  </si>
  <si>
    <t>sooner or later</t>
  </si>
  <si>
    <t>尺子</t>
  </si>
  <si>
    <t>chǐ zi</t>
  </si>
  <si>
    <t>ruler</t>
  </si>
  <si>
    <t>翅膀</t>
  </si>
  <si>
    <t>chì bǎng</t>
  </si>
  <si>
    <t>wing [of a bird]</t>
  </si>
  <si>
    <t>冲</t>
  </si>
  <si>
    <t>chōng</t>
  </si>
  <si>
    <t>to flush; vigorously; on the strength of</t>
  </si>
  <si>
    <t>充电器</t>
  </si>
  <si>
    <t>chōng diàn qì</t>
  </si>
  <si>
    <t>(battery) charger</t>
  </si>
  <si>
    <t>充分</t>
  </si>
  <si>
    <t>chōng fèn</t>
  </si>
  <si>
    <t>full; ample</t>
  </si>
  <si>
    <t>充满</t>
  </si>
  <si>
    <t>chōng mǎn</t>
  </si>
  <si>
    <t>be filled with; be full of</t>
  </si>
  <si>
    <t>重复</t>
  </si>
  <si>
    <t>chóng fù</t>
  </si>
  <si>
    <t>to repeat; to duplicate; iterate</t>
  </si>
  <si>
    <t>宠物</t>
  </si>
  <si>
    <t>chǒng wù</t>
  </si>
  <si>
    <t>pet</t>
  </si>
  <si>
    <t>抽屉</t>
  </si>
  <si>
    <t>chōu ti</t>
  </si>
  <si>
    <t>drawer</t>
  </si>
  <si>
    <t>抽象</t>
  </si>
  <si>
    <t>chōu xiàng</t>
  </si>
  <si>
    <t>abstract</t>
  </si>
  <si>
    <t>丑</t>
  </si>
  <si>
    <t>chǒu</t>
  </si>
  <si>
    <t>ugly; clown in Beijing opera; the second of the Twelve Earthly Branches</t>
  </si>
  <si>
    <t>臭</t>
  </si>
  <si>
    <t>chòu</t>
  </si>
  <si>
    <t>smelly; stinking</t>
  </si>
  <si>
    <t>出版</t>
  </si>
  <si>
    <t>chū bǎn</t>
  </si>
  <si>
    <t>publish; come off the press</t>
  </si>
  <si>
    <t>初级</t>
  </si>
  <si>
    <t>chū jí</t>
  </si>
  <si>
    <t>elementary; primary; initial</t>
  </si>
  <si>
    <t>出口</t>
  </si>
  <si>
    <t>chū kǒu</t>
  </si>
  <si>
    <t>exit [from a building]</t>
  </si>
  <si>
    <t>出色</t>
  </si>
  <si>
    <t>chū sè</t>
  </si>
  <si>
    <t>outstanding; remarkable; splendid</t>
  </si>
  <si>
    <t>出示</t>
  </si>
  <si>
    <t>chū shì</t>
  </si>
  <si>
    <t>to show</t>
  </si>
  <si>
    <t>出席</t>
  </si>
  <si>
    <t>chū xí</t>
  </si>
  <si>
    <t>to attend; to be present</t>
  </si>
  <si>
    <t>除非</t>
  </si>
  <si>
    <t>chú fēi</t>
  </si>
  <si>
    <t>only if; only when; unless</t>
  </si>
  <si>
    <t>除夕</t>
  </si>
  <si>
    <t>chú xī</t>
  </si>
  <si>
    <t>(lunar) New Year’s Eve</t>
  </si>
  <si>
    <t>处理</t>
  </si>
  <si>
    <t>chǔ lǐ</t>
  </si>
  <si>
    <t>to handle; deal with; manage</t>
  </si>
  <si>
    <t>传播</t>
  </si>
  <si>
    <t>chuán bō</t>
  </si>
  <si>
    <t>disseminate; propagate</t>
  </si>
  <si>
    <t>传染</t>
  </si>
  <si>
    <t>chuán rǎn</t>
  </si>
  <si>
    <t>infect; be contagious</t>
  </si>
  <si>
    <t>传说</t>
  </si>
  <si>
    <t>chuán shuō</t>
  </si>
  <si>
    <t>legend; lore</t>
  </si>
  <si>
    <t>传统</t>
  </si>
  <si>
    <t>chuán tǒng</t>
  </si>
  <si>
    <t>tradition; custom</t>
  </si>
  <si>
    <t>窗帘</t>
  </si>
  <si>
    <t>chuāng lián</t>
  </si>
  <si>
    <t>curtains; sunblind</t>
  </si>
  <si>
    <t>闯</t>
  </si>
  <si>
    <t>chuǎng</t>
  </si>
  <si>
    <t>to rush; charge</t>
  </si>
  <si>
    <t>创造</t>
  </si>
  <si>
    <t>chuàng zào</t>
  </si>
  <si>
    <t>create</t>
  </si>
  <si>
    <t>吹</t>
  </si>
  <si>
    <t>chuī</t>
  </si>
  <si>
    <t>to blow; puff</t>
  </si>
  <si>
    <t>词汇</t>
  </si>
  <si>
    <t>cí huì</t>
  </si>
  <si>
    <t>vocabulary; words and phrases</t>
  </si>
  <si>
    <t>辞职</t>
  </si>
  <si>
    <t>cí zhí</t>
  </si>
  <si>
    <t>to resign; hand in one's resignation</t>
  </si>
  <si>
    <t>此外</t>
  </si>
  <si>
    <t>cǐ wài</t>
  </si>
  <si>
    <t>besides; in addition; furthermore</t>
  </si>
  <si>
    <t>刺激</t>
  </si>
  <si>
    <t>cì jī</t>
  </si>
  <si>
    <t>to stimulate; provoke; irritate</t>
  </si>
  <si>
    <t>次要</t>
  </si>
  <si>
    <t>cì yào</t>
  </si>
  <si>
    <t>less important; secondary; subordinate</t>
  </si>
  <si>
    <t>匆忙</t>
  </si>
  <si>
    <t>cōng máng</t>
  </si>
  <si>
    <t>hastily; in a hurry</t>
  </si>
  <si>
    <t>从此</t>
  </si>
  <si>
    <t>cóng cǐ</t>
  </si>
  <si>
    <t>from this time on; from now; then on</t>
  </si>
  <si>
    <t>从而</t>
  </si>
  <si>
    <t>cóng ér</t>
  </si>
  <si>
    <t>thus; therebyupon</t>
  </si>
  <si>
    <t>从前</t>
  </si>
  <si>
    <t>cóng qián</t>
  </si>
  <si>
    <t>in the past; formerly</t>
  </si>
  <si>
    <t>从事</t>
  </si>
  <si>
    <t>cóng shì</t>
  </si>
  <si>
    <t>go in for; devote oneself to; be to engaged in [formal]</t>
  </si>
  <si>
    <t>粗糙</t>
  </si>
  <si>
    <t>cū cāo</t>
  </si>
  <si>
    <t>coarse</t>
  </si>
  <si>
    <t>醋</t>
  </si>
  <si>
    <t>cù</t>
  </si>
  <si>
    <t>vinegar</t>
  </si>
  <si>
    <t>促进</t>
  </si>
  <si>
    <t>cù jìn</t>
  </si>
  <si>
    <t>promote; boost; accelerate</t>
  </si>
  <si>
    <t>促使</t>
  </si>
  <si>
    <t>cù shǐ</t>
  </si>
  <si>
    <t>precipitate; impel; to urge</t>
  </si>
  <si>
    <t>催</t>
  </si>
  <si>
    <t>cuī</t>
  </si>
  <si>
    <t>to urge; hurry; to hasten</t>
  </si>
  <si>
    <t>存在</t>
  </si>
  <si>
    <t>cún zài</t>
  </si>
  <si>
    <t>to exist; be</t>
  </si>
  <si>
    <t>措施</t>
  </si>
  <si>
    <t>cuò shī</t>
  </si>
  <si>
    <t>measure; step</t>
  </si>
  <si>
    <t>答应</t>
  </si>
  <si>
    <t>dā ying</t>
  </si>
  <si>
    <t>answer; reply; to agree</t>
  </si>
  <si>
    <t>达到</t>
  </si>
  <si>
    <t>dá dào</t>
  </si>
  <si>
    <t>to achieve; attain; reach</t>
  </si>
  <si>
    <t>打工</t>
  </si>
  <si>
    <t>dǎ gōng</t>
  </si>
  <si>
    <t>do manual work</t>
  </si>
  <si>
    <t>打交道</t>
  </si>
  <si>
    <t>dǎ jiāo dào</t>
  </si>
  <si>
    <t>make contact with; have dealings with</t>
  </si>
  <si>
    <t>打喷嚏</t>
  </si>
  <si>
    <t>dǎ pēn tì</t>
  </si>
  <si>
    <t>to sneeze</t>
  </si>
  <si>
    <t>打听</t>
  </si>
  <si>
    <t>dǎ ting</t>
  </si>
  <si>
    <t>to ask about; inquire about</t>
  </si>
  <si>
    <t>大方</t>
  </si>
  <si>
    <t>dà fang</t>
  </si>
  <si>
    <t>generous; liberal</t>
  </si>
  <si>
    <t>大厦</t>
  </si>
  <si>
    <t>dà shà</t>
  </si>
  <si>
    <t>large building; edifice</t>
  </si>
  <si>
    <t>大象</t>
  </si>
  <si>
    <t>dà xiàng</t>
  </si>
  <si>
    <t>elephant</t>
  </si>
  <si>
    <t>大型</t>
  </si>
  <si>
    <t>dà xíng</t>
  </si>
  <si>
    <t>large-scale</t>
  </si>
  <si>
    <t>呆</t>
  </si>
  <si>
    <t>dāi</t>
  </si>
  <si>
    <t>slow-witted; stupid; to stay</t>
  </si>
  <si>
    <t>代表</t>
  </si>
  <si>
    <t>dài biǎo</t>
  </si>
  <si>
    <t>to stand for; on behalf of representative</t>
  </si>
  <si>
    <t>贷款</t>
  </si>
  <si>
    <t>dài kuǎn</t>
  </si>
  <si>
    <t>to provide a loan; make an advance to; extend credit to</t>
  </si>
  <si>
    <t>代替</t>
  </si>
  <si>
    <t>dài tì</t>
  </si>
  <si>
    <t>instead</t>
  </si>
  <si>
    <t>待遇</t>
  </si>
  <si>
    <t>dài yù</t>
  </si>
  <si>
    <t>treatment</t>
  </si>
  <si>
    <t>单纯</t>
  </si>
  <si>
    <t>dān chún</t>
  </si>
  <si>
    <t>simple; pure; alone</t>
  </si>
  <si>
    <t>单调</t>
  </si>
  <si>
    <t>dān diào</t>
  </si>
  <si>
    <t>monotonous; dull; drab</t>
  </si>
  <si>
    <t>单独</t>
  </si>
  <si>
    <t>dān dú</t>
  </si>
  <si>
    <t>alone; by oneself; on one's own; single-handed</t>
  </si>
  <si>
    <t>担任</t>
  </si>
  <si>
    <t>dān rèn</t>
  </si>
  <si>
    <t>assume the office of; to hold the post of</t>
  </si>
  <si>
    <t>单位</t>
  </si>
  <si>
    <t>dān wèi</t>
  </si>
  <si>
    <t>unit</t>
  </si>
  <si>
    <t>耽误</t>
  </si>
  <si>
    <t>dān wu</t>
  </si>
  <si>
    <t>delay; hold up</t>
  </si>
  <si>
    <t>单元</t>
  </si>
  <si>
    <t>dān yuán</t>
  </si>
  <si>
    <t>unit; cell</t>
  </si>
  <si>
    <t>胆小鬼</t>
  </si>
  <si>
    <t>dǎn xiǎo guǐ</t>
  </si>
  <si>
    <t>coward</t>
  </si>
  <si>
    <t>淡</t>
  </si>
  <si>
    <t>dàn</t>
  </si>
  <si>
    <t>thin; light in colour; tasteless</t>
  </si>
  <si>
    <t>当地</t>
  </si>
  <si>
    <t>dāng dì</t>
  </si>
  <si>
    <t>local area</t>
  </si>
  <si>
    <t>当心</t>
  </si>
  <si>
    <t>dāng xīn</t>
  </si>
  <si>
    <t>be careful</t>
  </si>
  <si>
    <t>挡</t>
  </si>
  <si>
    <t>dǎng</t>
  </si>
  <si>
    <t>to block; hinder; resist</t>
  </si>
  <si>
    <t>倒霉</t>
  </si>
  <si>
    <t>dǎo méi</t>
  </si>
  <si>
    <t>fall on hard times; have bad luck</t>
  </si>
  <si>
    <t>导演</t>
  </si>
  <si>
    <t>dǎo yǎn</t>
  </si>
  <si>
    <t>director</t>
  </si>
  <si>
    <t>岛屿</t>
  </si>
  <si>
    <t>dǎo yǔ</t>
  </si>
  <si>
    <t>islands and islets</t>
  </si>
  <si>
    <t>导致</t>
  </si>
  <si>
    <t>dǎo zhì</t>
  </si>
  <si>
    <t>to cause; lead to; result in</t>
  </si>
  <si>
    <t>到达</t>
  </si>
  <si>
    <t>dào dá</t>
  </si>
  <si>
    <t>to arrive; get to reach</t>
  </si>
  <si>
    <t>道德</t>
  </si>
  <si>
    <t>dào dé</t>
  </si>
  <si>
    <t>morality; ethics</t>
  </si>
  <si>
    <t>道理</t>
  </si>
  <si>
    <t>dào lǐ</t>
  </si>
  <si>
    <t>reason; principle; truth</t>
  </si>
  <si>
    <t>登记</t>
  </si>
  <si>
    <t>dēng jì</t>
  </si>
  <si>
    <t>to register; check in</t>
  </si>
  <si>
    <t>等待</t>
  </si>
  <si>
    <t>děng dài</t>
  </si>
  <si>
    <t>to wait for; to await</t>
  </si>
  <si>
    <t>等于</t>
  </si>
  <si>
    <t>děng yú</t>
  </si>
  <si>
    <t>equal to; equivalent to; be worth</t>
  </si>
  <si>
    <t>滴</t>
  </si>
  <si>
    <t>to drip; to drop; droplet</t>
  </si>
  <si>
    <t>的确</t>
  </si>
  <si>
    <t>dí què</t>
  </si>
  <si>
    <t>really; and no mistake; indeed</t>
  </si>
  <si>
    <t>敌人</t>
  </si>
  <si>
    <t>dí rén</t>
  </si>
  <si>
    <t>enemy; foe</t>
  </si>
  <si>
    <t>递</t>
  </si>
  <si>
    <t>dì</t>
  </si>
  <si>
    <t>to hand over; to pass on; progressively</t>
  </si>
  <si>
    <t>地道</t>
  </si>
  <si>
    <t>dì dao</t>
  </si>
  <si>
    <t>tunnel; underpass; typical [of a place]</t>
  </si>
  <si>
    <t>地理</t>
  </si>
  <si>
    <t>dì lǐ</t>
  </si>
  <si>
    <t>geographical features of a place; geography</t>
  </si>
  <si>
    <t>地区</t>
  </si>
  <si>
    <t>dì qū</t>
  </si>
  <si>
    <t>area; district; region</t>
  </si>
  <si>
    <t>地毯</t>
  </si>
  <si>
    <t>dì tǎn</t>
  </si>
  <si>
    <t>carpet; rug</t>
  </si>
  <si>
    <t>地位</t>
  </si>
  <si>
    <t>dì wèi</t>
  </si>
  <si>
    <t>position; standing; status</t>
  </si>
  <si>
    <t>地震</t>
  </si>
  <si>
    <t>dì zhèn</t>
  </si>
  <si>
    <t>earthquake; tremour</t>
  </si>
  <si>
    <t>点心</t>
  </si>
  <si>
    <t>diǎn xin</t>
  </si>
  <si>
    <t>snack; dim sum</t>
  </si>
  <si>
    <t>电池</t>
  </si>
  <si>
    <t>diàn chí</t>
  </si>
  <si>
    <t>battery; cell</t>
  </si>
  <si>
    <t>电台</t>
  </si>
  <si>
    <t>diàn tái</t>
  </si>
  <si>
    <t>transceiver; radio station</t>
  </si>
  <si>
    <t>钓</t>
  </si>
  <si>
    <t>fish with a hook and line; angle</t>
  </si>
  <si>
    <t>顶</t>
  </si>
  <si>
    <t>dǐng</t>
  </si>
  <si>
    <t>量/名</t>
  </si>
  <si>
    <t>apex; [measure word for something with a top (e.g. hat, tent, etc.)]</t>
  </si>
  <si>
    <t>洞</t>
  </si>
  <si>
    <t>dòng</t>
  </si>
  <si>
    <t>hole; cavity</t>
  </si>
  <si>
    <t>冻</t>
  </si>
  <si>
    <t>frozen; jelly</t>
  </si>
  <si>
    <t>动画片</t>
  </si>
  <si>
    <t>dòng huà piān</t>
  </si>
  <si>
    <t>cartoon</t>
  </si>
  <si>
    <t>逗</t>
  </si>
  <si>
    <t>dòu</t>
  </si>
  <si>
    <t>to tease; play with; amuse</t>
  </si>
  <si>
    <t>豆腐</t>
  </si>
  <si>
    <t>dòu fu</t>
  </si>
  <si>
    <t>bean curd; tofu</t>
  </si>
  <si>
    <t>独立</t>
  </si>
  <si>
    <t>dú lì</t>
  </si>
  <si>
    <t>stand alone; independent; on one's own</t>
  </si>
  <si>
    <t>独特</t>
  </si>
  <si>
    <t>dú tè</t>
  </si>
  <si>
    <t>unique; distinctive</t>
  </si>
  <si>
    <t>度过</t>
  </si>
  <si>
    <t>dù guò</t>
  </si>
  <si>
    <t>spend; pass</t>
  </si>
  <si>
    <t>断</t>
  </si>
  <si>
    <t>to break</t>
  </si>
  <si>
    <t>堆</t>
  </si>
  <si>
    <t>duī</t>
  </si>
  <si>
    <t>动/量</t>
  </si>
  <si>
    <t>heap; pile; crowd</t>
  </si>
  <si>
    <t>对比</t>
  </si>
  <si>
    <t>duì bǐ</t>
  </si>
  <si>
    <t>contrast; comparison; ratio</t>
  </si>
  <si>
    <t>对待</t>
  </si>
  <si>
    <t>duì dài</t>
  </si>
  <si>
    <t>to treat; handle; be in a position related to another</t>
  </si>
  <si>
    <t>对方</t>
  </si>
  <si>
    <t>duì fāng</t>
  </si>
  <si>
    <t>counterpart; the other party</t>
  </si>
  <si>
    <t>兑换</t>
  </si>
  <si>
    <t>duì huàn</t>
  </si>
  <si>
    <t>exchange; convert</t>
  </si>
  <si>
    <t>对手</t>
  </si>
  <si>
    <t>duì shǒu</t>
  </si>
  <si>
    <t>opponent; adversary; rival</t>
  </si>
  <si>
    <t>对象</t>
  </si>
  <si>
    <t>duì xiàng</t>
  </si>
  <si>
    <t>target; object; partner</t>
  </si>
  <si>
    <t>吨</t>
  </si>
  <si>
    <t>dūn</t>
  </si>
  <si>
    <t>ton</t>
  </si>
  <si>
    <t>蹲</t>
  </si>
  <si>
    <t>squat on the heels; to crouch</t>
  </si>
  <si>
    <t>顿</t>
  </si>
  <si>
    <t>dùn</t>
  </si>
  <si>
    <t>[measure word for occurences, and therefore of meals]</t>
  </si>
  <si>
    <t>多亏</t>
  </si>
  <si>
    <t>duō kuī</t>
  </si>
  <si>
    <t>thanks to; owing to; fortunately</t>
  </si>
  <si>
    <t>多余</t>
  </si>
  <si>
    <t>duō yú</t>
  </si>
  <si>
    <t>unnecessary; surplus; superfluous</t>
  </si>
  <si>
    <t>朵</t>
  </si>
  <si>
    <t>duǒ</t>
  </si>
  <si>
    <t>stem; [measure word for flowers]</t>
  </si>
  <si>
    <t>躲藏</t>
  </si>
  <si>
    <t>duǒ cáng</t>
  </si>
  <si>
    <t>to hide oneself; go into hiding</t>
  </si>
  <si>
    <t>恶劣</t>
  </si>
  <si>
    <t>è liè</t>
  </si>
  <si>
    <t>odious; vile; disgusting</t>
  </si>
  <si>
    <t>耳环</t>
  </si>
  <si>
    <t>ěr huán</t>
  </si>
  <si>
    <t>earrings</t>
  </si>
  <si>
    <t>发表</t>
  </si>
  <si>
    <t>fā biǎo</t>
  </si>
  <si>
    <t>to issue; to publish; report</t>
  </si>
  <si>
    <t>发愁</t>
  </si>
  <si>
    <t>fā chóu</t>
  </si>
  <si>
    <t>to worry; to be anxious; sullen</t>
  </si>
  <si>
    <t>发达</t>
  </si>
  <si>
    <t>fā dá</t>
  </si>
  <si>
    <t>developed; advanced; prosperous</t>
  </si>
  <si>
    <t>发抖</t>
  </si>
  <si>
    <t>fā dǒu</t>
  </si>
  <si>
    <t>to shiver; shake; tremble</t>
  </si>
  <si>
    <t>发挥</t>
  </si>
  <si>
    <t>fā huī</t>
  </si>
  <si>
    <t>bring into play; give free rein to</t>
  </si>
  <si>
    <t>发明</t>
  </si>
  <si>
    <t>fā míng</t>
  </si>
  <si>
    <t>invent; expound</t>
  </si>
  <si>
    <t>发票</t>
  </si>
  <si>
    <t>fā piào</t>
  </si>
  <si>
    <t>bill; receipt</t>
  </si>
  <si>
    <t>发言</t>
  </si>
  <si>
    <t>fā yán</t>
  </si>
  <si>
    <t>speak; make a statement; take the floor</t>
  </si>
  <si>
    <t>罚款</t>
  </si>
  <si>
    <t>fá kuǎn</t>
  </si>
  <si>
    <t>(impose a) fine</t>
  </si>
  <si>
    <t>法院</t>
  </si>
  <si>
    <t>fǎ yuàn</t>
  </si>
  <si>
    <t>court of law</t>
  </si>
  <si>
    <t>翻</t>
  </si>
  <si>
    <t>fān</t>
  </si>
  <si>
    <t>turn over; turn around; reverse</t>
  </si>
  <si>
    <t>繁荣</t>
  </si>
  <si>
    <t>fán róng</t>
  </si>
  <si>
    <t>flourishing; prosperous; booming</t>
  </si>
  <si>
    <t>反而</t>
  </si>
  <si>
    <t>fǎn ér</t>
  </si>
  <si>
    <t>on the contrary; instead</t>
  </si>
  <si>
    <t>反复</t>
  </si>
  <si>
    <t>fǎn fù</t>
  </si>
  <si>
    <t>副/动</t>
  </si>
  <si>
    <t>repeatedly; again and again; over and over</t>
  </si>
  <si>
    <t>反应</t>
  </si>
  <si>
    <t>fǎn yìng</t>
  </si>
  <si>
    <t>reaction; response; repercussion</t>
  </si>
  <si>
    <t>反映</t>
  </si>
  <si>
    <t>to mirror</t>
  </si>
  <si>
    <t>反正</t>
  </si>
  <si>
    <t>fǎn zhèng</t>
  </si>
  <si>
    <t>anyway; anyhow; in any case</t>
  </si>
  <si>
    <t>范围</t>
  </si>
  <si>
    <t>fàn wéi</t>
  </si>
  <si>
    <t>range</t>
  </si>
  <si>
    <t>方</t>
  </si>
  <si>
    <t>fāng</t>
  </si>
  <si>
    <t>square; honest; just now</t>
  </si>
  <si>
    <t>方案</t>
  </si>
  <si>
    <t>fāng àn</t>
  </si>
  <si>
    <t>scheme; plan; programme</t>
  </si>
  <si>
    <t>妨碍</t>
  </si>
  <si>
    <t>fáng ài</t>
  </si>
  <si>
    <t>to hinder; hamper; impede</t>
  </si>
  <si>
    <t>仿佛</t>
  </si>
  <si>
    <t>fǎng fú</t>
  </si>
  <si>
    <t>to seem as if; be more or less the same; be alike</t>
  </si>
  <si>
    <t>非</t>
  </si>
  <si>
    <t>fēi</t>
  </si>
  <si>
    <t>un-; non-; short for Africa</t>
  </si>
  <si>
    <t>肥皂</t>
  </si>
  <si>
    <t>féi zào</t>
  </si>
  <si>
    <t>soap</t>
  </si>
  <si>
    <t>废话</t>
  </si>
  <si>
    <t>fèi huà</t>
  </si>
  <si>
    <t>superfluous words; nonsense; rubbish</t>
  </si>
  <si>
    <t>分别</t>
  </si>
  <si>
    <t>fēn bié</t>
  </si>
  <si>
    <t>to part; distinguish; differentiate</t>
  </si>
  <si>
    <t>分布</t>
  </si>
  <si>
    <t>fēn bù</t>
  </si>
  <si>
    <t>to distribute; spread; scatter</t>
  </si>
  <si>
    <t>纷纷</t>
  </si>
  <si>
    <t>fēn fēn</t>
  </si>
  <si>
    <t>one after another; in succession</t>
  </si>
  <si>
    <t>分配</t>
  </si>
  <si>
    <t>fēn pèi</t>
  </si>
  <si>
    <t>distribute; allocate; assign</t>
  </si>
  <si>
    <t>分手</t>
  </si>
  <si>
    <t>fēn shǒu</t>
  </si>
  <si>
    <t>part company; say good-bye; separate</t>
  </si>
  <si>
    <t>分析</t>
  </si>
  <si>
    <t>fēn xī</t>
  </si>
  <si>
    <t>analysis</t>
  </si>
  <si>
    <t>奋斗</t>
  </si>
  <si>
    <t>fèn dòu</t>
  </si>
  <si>
    <t>struggle; to fight for; to strive for</t>
  </si>
  <si>
    <t>风格</t>
  </si>
  <si>
    <t>fēng gé</t>
  </si>
  <si>
    <t>style; form; manner</t>
  </si>
  <si>
    <t>风景</t>
  </si>
  <si>
    <t>fēng jǐng</t>
  </si>
  <si>
    <t>scenery</t>
  </si>
  <si>
    <t>疯狂</t>
  </si>
  <si>
    <t>fēng kuáng</t>
  </si>
  <si>
    <t>insane; frenzied; crazy</t>
  </si>
  <si>
    <t>风俗</t>
  </si>
  <si>
    <t>fēng sú</t>
  </si>
  <si>
    <t>custom</t>
  </si>
  <si>
    <t>风险</t>
  </si>
  <si>
    <t>fēng xiǎn</t>
  </si>
  <si>
    <t>risk; hazard; danger</t>
  </si>
  <si>
    <t>讽刺</t>
  </si>
  <si>
    <t>fěng cì</t>
  </si>
  <si>
    <t>satire; sarcasm; to mock</t>
  </si>
  <si>
    <t>否定</t>
  </si>
  <si>
    <t>fǒu dìng</t>
  </si>
  <si>
    <t>to negate; to deny</t>
  </si>
  <si>
    <t>否认</t>
  </si>
  <si>
    <t>fǒu rèn</t>
  </si>
  <si>
    <t>to deny; repudiate</t>
  </si>
  <si>
    <t>扶</t>
  </si>
  <si>
    <t>fú</t>
  </si>
  <si>
    <t>hold up; support with the hand; to help somebody up</t>
  </si>
  <si>
    <t>幅</t>
  </si>
  <si>
    <t>width of cloth; [measure word (for paintings, pictures, textiles etc.)]</t>
  </si>
  <si>
    <t>服装</t>
  </si>
  <si>
    <t>fú zhuāng</t>
  </si>
  <si>
    <t>dress; clothing; costume</t>
  </si>
  <si>
    <t>辅导</t>
  </si>
  <si>
    <t>fǔ dǎo</t>
  </si>
  <si>
    <t>to coach; train; tutor</t>
  </si>
  <si>
    <t>妇女</t>
  </si>
  <si>
    <t>fù nǚ</t>
  </si>
  <si>
    <t>woman</t>
  </si>
  <si>
    <t>复制</t>
  </si>
  <si>
    <t>fù zhì</t>
  </si>
  <si>
    <t>to duplicate; reproduce; copy</t>
  </si>
  <si>
    <t>改革</t>
  </si>
  <si>
    <t>gǎi gé</t>
  </si>
  <si>
    <t>reform</t>
  </si>
  <si>
    <t>改进</t>
  </si>
  <si>
    <t>gǎi jìn</t>
  </si>
  <si>
    <t>to improve; make better; mend</t>
  </si>
  <si>
    <t>改善</t>
  </si>
  <si>
    <t>gǎi shàn</t>
  </si>
  <si>
    <t>to improve</t>
  </si>
  <si>
    <t>改正</t>
  </si>
  <si>
    <t>gǎi zhèng</t>
  </si>
  <si>
    <t>to correct; to amend; put right</t>
  </si>
  <si>
    <t>盖</t>
  </si>
  <si>
    <t>gài</t>
  </si>
  <si>
    <t>cover; lid</t>
  </si>
  <si>
    <t>概括</t>
  </si>
  <si>
    <t>gài kuò</t>
  </si>
  <si>
    <t>to summarise; generalise; epitomise</t>
  </si>
  <si>
    <t>概念</t>
  </si>
  <si>
    <t>gài niàn</t>
  </si>
  <si>
    <t>concept; notion; idea</t>
  </si>
  <si>
    <t>干脆</t>
  </si>
  <si>
    <t>gān cuì</t>
  </si>
  <si>
    <t>clear-cut; straightforward; frank</t>
  </si>
  <si>
    <t>干燥</t>
  </si>
  <si>
    <t>gān zào</t>
  </si>
  <si>
    <t>dull; dry</t>
  </si>
  <si>
    <t>感激</t>
  </si>
  <si>
    <t>gǎn jī</t>
  </si>
  <si>
    <t>to feel grateful; be thankful</t>
  </si>
  <si>
    <t>赶紧</t>
  </si>
  <si>
    <t>gǎn jǐn</t>
  </si>
  <si>
    <t>at once; losing no time; hasten</t>
  </si>
  <si>
    <t>赶快</t>
  </si>
  <si>
    <t>gǎn kuài</t>
  </si>
  <si>
    <t>at once; quickly</t>
  </si>
  <si>
    <t>感受</t>
  </si>
  <si>
    <t>gǎn shòu</t>
  </si>
  <si>
    <t>be affected by; feeling; perception</t>
  </si>
  <si>
    <t>感想</t>
  </si>
  <si>
    <t>gǎn xiǎng</t>
  </si>
  <si>
    <t>impression; reflection; thought</t>
  </si>
  <si>
    <t>干活儿</t>
  </si>
  <si>
    <t>gàn huó er</t>
  </si>
  <si>
    <t>to work [often manual] on a job</t>
  </si>
  <si>
    <t>钢铁</t>
  </si>
  <si>
    <t>gāng tiě</t>
  </si>
  <si>
    <t>iron and steel</t>
  </si>
  <si>
    <t>高档</t>
  </si>
  <si>
    <t>gāo dàng</t>
  </si>
  <si>
    <t>top; superior quality</t>
  </si>
  <si>
    <t>高级</t>
  </si>
  <si>
    <t>gāo jí</t>
  </si>
  <si>
    <t>advanced; high level</t>
  </si>
  <si>
    <t>搞</t>
  </si>
  <si>
    <t>gǎo</t>
  </si>
  <si>
    <t>to make/do; carry on; be engaged in</t>
  </si>
  <si>
    <t>告别</t>
  </si>
  <si>
    <t>gào bié</t>
  </si>
  <si>
    <t>bid farewell to; to say good-bye to</t>
  </si>
  <si>
    <t>隔壁</t>
  </si>
  <si>
    <t>gé bì</t>
  </si>
  <si>
    <t>next door</t>
  </si>
  <si>
    <t>格外</t>
  </si>
  <si>
    <t>gé wài</t>
  </si>
  <si>
    <t>especially; exceptionally</t>
  </si>
  <si>
    <t>个别</t>
  </si>
  <si>
    <t>gè bié</t>
  </si>
  <si>
    <t>individually; separately</t>
  </si>
  <si>
    <t>个人</t>
  </si>
  <si>
    <t>gè rén</t>
  </si>
  <si>
    <t>oneself; personal; individual</t>
  </si>
  <si>
    <t>个性</t>
  </si>
  <si>
    <t>gè xìng</t>
  </si>
  <si>
    <t>individual character; personality</t>
  </si>
  <si>
    <t>各自</t>
  </si>
  <si>
    <t>gè zì</t>
  </si>
  <si>
    <t>each; by oneself; respective</t>
  </si>
  <si>
    <t>根</t>
  </si>
  <si>
    <t>root; descendants; completely; [measure word for long, slender objects]</t>
  </si>
  <si>
    <t>根本</t>
  </si>
  <si>
    <t>gēn běn</t>
  </si>
  <si>
    <t>root; basic; fundamental</t>
  </si>
  <si>
    <t>公布</t>
  </si>
  <si>
    <t>gōng bù</t>
  </si>
  <si>
    <t>to announce; make public</t>
  </si>
  <si>
    <t>工厂</t>
  </si>
  <si>
    <t>gōng chǎng</t>
  </si>
  <si>
    <t>factory; plant; works</t>
  </si>
  <si>
    <t>工程师</t>
  </si>
  <si>
    <t>gōng chéng shī</t>
  </si>
  <si>
    <t>engineer</t>
  </si>
  <si>
    <t>工具</t>
  </si>
  <si>
    <t>gōng jù</t>
  </si>
  <si>
    <t>tool</t>
  </si>
  <si>
    <t>公开</t>
  </si>
  <si>
    <t>gōng kāi</t>
  </si>
  <si>
    <t>open; overt; to make public</t>
  </si>
  <si>
    <t>功能</t>
  </si>
  <si>
    <t>gōng néng</t>
  </si>
  <si>
    <t>function</t>
  </si>
  <si>
    <t>公平</t>
  </si>
  <si>
    <t>gōng píng</t>
  </si>
  <si>
    <t>fair; just</t>
  </si>
  <si>
    <t>工人</t>
  </si>
  <si>
    <t>gōng rén</t>
  </si>
  <si>
    <t>(manual) worker; labourer</t>
  </si>
  <si>
    <t>恭喜</t>
  </si>
  <si>
    <t>gōng xǐ</t>
  </si>
  <si>
    <t>congratulate</t>
  </si>
  <si>
    <t>工业</t>
  </si>
  <si>
    <t>gōng yè</t>
  </si>
  <si>
    <t>industry</t>
  </si>
  <si>
    <t>公寓</t>
  </si>
  <si>
    <t>gōng yù</t>
  </si>
  <si>
    <t>flats; apartment</t>
  </si>
  <si>
    <t>公元</t>
  </si>
  <si>
    <t>the Christian/Common era</t>
  </si>
  <si>
    <t>公主</t>
  </si>
  <si>
    <t>gōng zhǔ</t>
  </si>
  <si>
    <t>princess</t>
  </si>
  <si>
    <t>贡献</t>
  </si>
  <si>
    <t>gòng xiàn</t>
  </si>
  <si>
    <t>to dedicate; devote; contribution</t>
  </si>
  <si>
    <t>沟通</t>
  </si>
  <si>
    <t>gōu tōng</t>
  </si>
  <si>
    <t>to communicate; link up; connect</t>
  </si>
  <si>
    <t>构成</t>
  </si>
  <si>
    <t>gòu chéng</t>
  </si>
  <si>
    <t>to constitute; form; consist of</t>
  </si>
  <si>
    <t>姑姑</t>
  </si>
  <si>
    <t>gū gu</t>
  </si>
  <si>
    <t>aunt [father's sister]</t>
  </si>
  <si>
    <t>姑娘</t>
  </si>
  <si>
    <t>gū niang</t>
  </si>
  <si>
    <t>girl</t>
  </si>
  <si>
    <t>古代</t>
  </si>
  <si>
    <t>gǔ dài</t>
  </si>
  <si>
    <t>ancient; archaic; antiquity</t>
  </si>
  <si>
    <t>古典</t>
  </si>
  <si>
    <t>gǔ diǎn</t>
  </si>
  <si>
    <t>classical</t>
  </si>
  <si>
    <t>股票</t>
  </si>
  <si>
    <t>gǔ piào</t>
  </si>
  <si>
    <t>shares; stock; equity</t>
  </si>
  <si>
    <t>骨头</t>
  </si>
  <si>
    <t>gǔ tou</t>
  </si>
  <si>
    <t>bone</t>
  </si>
  <si>
    <t>鼓舞</t>
  </si>
  <si>
    <t>gǔ wǔ</t>
  </si>
  <si>
    <t>to inspire; hearten; embolden</t>
  </si>
  <si>
    <t>鼓掌</t>
  </si>
  <si>
    <t>gǔ zhǎng</t>
  </si>
  <si>
    <t>applaud</t>
  </si>
  <si>
    <t>固定</t>
  </si>
  <si>
    <t>gù dìng</t>
  </si>
  <si>
    <t>fixed; fasten</t>
  </si>
  <si>
    <t>挂号</t>
  </si>
  <si>
    <t>guà hào</t>
  </si>
  <si>
    <t>register; send by registered mail</t>
  </si>
  <si>
    <t>乖</t>
  </si>
  <si>
    <t>guāi</t>
  </si>
  <si>
    <t>obeident; well-behaved [child]</t>
  </si>
  <si>
    <t>拐弯</t>
  </si>
  <si>
    <t>guǎi wān</t>
  </si>
  <si>
    <t>to turn a corner; turn round; pursue a new course</t>
  </si>
  <si>
    <t>怪不得</t>
  </si>
  <si>
    <t>guài bu de</t>
  </si>
  <si>
    <t>no wonder; so that's why</t>
  </si>
  <si>
    <t>官</t>
  </si>
  <si>
    <t>government official</t>
  </si>
  <si>
    <t>关闭</t>
  </si>
  <si>
    <t>guān bì</t>
  </si>
  <si>
    <t>to close; to shut</t>
  </si>
  <si>
    <t>观察</t>
  </si>
  <si>
    <t>guān chá</t>
  </si>
  <si>
    <t>observe; watch; survey</t>
  </si>
  <si>
    <t>观点</t>
  </si>
  <si>
    <t>guān diǎn</t>
  </si>
  <si>
    <t>point of view; standpoint</t>
  </si>
  <si>
    <t>观念</t>
  </si>
  <si>
    <t>guān niàn</t>
  </si>
  <si>
    <t>sense; concept; perception</t>
  </si>
  <si>
    <t>管子</t>
  </si>
  <si>
    <t>guǎn zi</t>
  </si>
  <si>
    <t>tube; pipe; valve</t>
  </si>
  <si>
    <t>冠军</t>
  </si>
  <si>
    <t>guàn jūn</t>
  </si>
  <si>
    <t>champion</t>
  </si>
  <si>
    <t>光滑</t>
  </si>
  <si>
    <t>guāng huá</t>
  </si>
  <si>
    <t>smooth; glossy; slick</t>
  </si>
  <si>
    <t>光临</t>
  </si>
  <si>
    <t>guāng lín</t>
  </si>
  <si>
    <t>to honour with your presence</t>
  </si>
  <si>
    <t>光明</t>
  </si>
  <si>
    <t>guāng míng</t>
  </si>
  <si>
    <t>light; bright; openhearted</t>
  </si>
  <si>
    <t>光盘</t>
  </si>
  <si>
    <t>guāng pán</t>
  </si>
  <si>
    <t>laser disc (eg CD or DVD)</t>
  </si>
  <si>
    <t>广场</t>
  </si>
  <si>
    <t>guǎng chǎng</t>
  </si>
  <si>
    <t>(public) square</t>
  </si>
  <si>
    <t>广大</t>
  </si>
  <si>
    <t>guǎng dà</t>
  </si>
  <si>
    <t>vast; wide; extensive</t>
  </si>
  <si>
    <t>广泛</t>
  </si>
  <si>
    <t>guǎng fàn</t>
  </si>
  <si>
    <t>extensive; wide-ranging</t>
  </si>
  <si>
    <t>规矩</t>
  </si>
  <si>
    <t>guī ju</t>
  </si>
  <si>
    <t>rule; established practice; custom</t>
  </si>
  <si>
    <t>规律</t>
  </si>
  <si>
    <t>guī lǜ</t>
  </si>
  <si>
    <t>law; regular pattern</t>
  </si>
  <si>
    <t>规模</t>
  </si>
  <si>
    <t>guī mó</t>
  </si>
  <si>
    <t>scale; scope; dimensions</t>
  </si>
  <si>
    <t>归纳</t>
  </si>
  <si>
    <t>guī nà</t>
  </si>
  <si>
    <t>induce; conclude; sum up</t>
  </si>
  <si>
    <t>规则</t>
  </si>
  <si>
    <t>guī zé</t>
  </si>
  <si>
    <t>rule; regulation</t>
  </si>
  <si>
    <t>柜台</t>
  </si>
  <si>
    <t>guì tái</t>
  </si>
  <si>
    <t>counter; bar</t>
  </si>
  <si>
    <t>滚</t>
  </si>
  <si>
    <t>gǔn</t>
  </si>
  <si>
    <t>to roll; trundle</t>
  </si>
  <si>
    <t>锅</t>
  </si>
  <si>
    <t>guō</t>
  </si>
  <si>
    <t>pan; pot; wok</t>
  </si>
  <si>
    <t>国庆节</t>
  </si>
  <si>
    <t>guó qìng jié</t>
  </si>
  <si>
    <t>National Day</t>
  </si>
  <si>
    <t>国王</t>
  </si>
  <si>
    <t>guó wáng</t>
  </si>
  <si>
    <t>king</t>
  </si>
  <si>
    <t>果然</t>
  </si>
  <si>
    <t>guǒ rán</t>
  </si>
  <si>
    <t>really</t>
  </si>
  <si>
    <t>果实</t>
  </si>
  <si>
    <t>guǒ shí</t>
  </si>
  <si>
    <t>fruit; gains</t>
  </si>
  <si>
    <t>过分</t>
  </si>
  <si>
    <t>guò fèn</t>
  </si>
  <si>
    <t>excessive; go too far</t>
  </si>
  <si>
    <t>过敏</t>
  </si>
  <si>
    <t>guò mǐn</t>
  </si>
  <si>
    <t>allergy; irritability</t>
  </si>
  <si>
    <t>过期</t>
  </si>
  <si>
    <t>guò qī</t>
  </si>
  <si>
    <t>exceed the time limit; be overdue; expire</t>
  </si>
  <si>
    <t>哈</t>
  </si>
  <si>
    <t>hā</t>
  </si>
  <si>
    <t>ha</t>
  </si>
  <si>
    <t>海关</t>
  </si>
  <si>
    <t>hǎi guān</t>
  </si>
  <si>
    <t>customs [import/export]</t>
  </si>
  <si>
    <t>海鲜</t>
  </si>
  <si>
    <t>hǎi xiān</t>
  </si>
  <si>
    <t>seafood</t>
  </si>
  <si>
    <t>喊</t>
  </si>
  <si>
    <t>hǎn</t>
  </si>
  <si>
    <t>shout; cry out; yell</t>
  </si>
  <si>
    <t>行业</t>
  </si>
  <si>
    <t>háng yè</t>
  </si>
  <si>
    <t>trade; profession; industry</t>
  </si>
  <si>
    <t>豪华</t>
  </si>
  <si>
    <t>háo huá</t>
  </si>
  <si>
    <t>luxurious; sumptuous</t>
  </si>
  <si>
    <t>好客</t>
  </si>
  <si>
    <t>hào kè</t>
  </si>
  <si>
    <t>be hospitable</t>
  </si>
  <si>
    <t>好奇</t>
  </si>
  <si>
    <t>hào qí</t>
  </si>
  <si>
    <t>curious</t>
  </si>
  <si>
    <t>何必</t>
  </si>
  <si>
    <t>hé bì</t>
  </si>
  <si>
    <t>there is no need</t>
  </si>
  <si>
    <t>合法</t>
  </si>
  <si>
    <t>hé fǎ</t>
  </si>
  <si>
    <t>legal; legitimate; rightful</t>
  </si>
  <si>
    <t>何况</t>
  </si>
  <si>
    <t>hé kuàng</t>
  </si>
  <si>
    <t>much less; let alone</t>
  </si>
  <si>
    <t>合理</t>
  </si>
  <si>
    <t>hé lǐ</t>
  </si>
  <si>
    <t>rational; reasonable; equitable</t>
  </si>
  <si>
    <t>和平</t>
  </si>
  <si>
    <t>hé píng</t>
  </si>
  <si>
    <t>peace; mild</t>
  </si>
  <si>
    <t>合同</t>
  </si>
  <si>
    <t>hé tong</t>
  </si>
  <si>
    <t>agreement; contract</t>
  </si>
  <si>
    <t>核心</t>
  </si>
  <si>
    <t>hé xīn</t>
  </si>
  <si>
    <t>core; kernel; heart</t>
  </si>
  <si>
    <t>合影</t>
  </si>
  <si>
    <t>hé yǐng</t>
  </si>
  <si>
    <t>group photo</t>
  </si>
  <si>
    <t>合作</t>
  </si>
  <si>
    <t>hé zuò</t>
  </si>
  <si>
    <t>cooperate; collaborate; work together</t>
  </si>
  <si>
    <t>恨</t>
  </si>
  <si>
    <t>hèn</t>
  </si>
  <si>
    <t>hate; regret</t>
  </si>
  <si>
    <t>猴子</t>
  </si>
  <si>
    <t>hóu zi</t>
  </si>
  <si>
    <t>monkey</t>
  </si>
  <si>
    <t>后背</t>
  </si>
  <si>
    <t>hòu bèi</t>
  </si>
  <si>
    <t>后果</t>
  </si>
  <si>
    <t>hòu guǒ</t>
  </si>
  <si>
    <t>consequence; aftermath</t>
  </si>
  <si>
    <t>忽然</t>
  </si>
  <si>
    <t>hū rán</t>
  </si>
  <si>
    <t>忽视</t>
  </si>
  <si>
    <t>hū shì</t>
  </si>
  <si>
    <t>ignore; look down upon; overlook</t>
  </si>
  <si>
    <t>呼吸</t>
  </si>
  <si>
    <t>hū xī</t>
  </si>
  <si>
    <t>to breathe; respire</t>
  </si>
  <si>
    <t>壶</t>
  </si>
  <si>
    <t>hú</t>
  </si>
  <si>
    <t>kettle; pot; flask</t>
  </si>
  <si>
    <t>蝴蝶</t>
  </si>
  <si>
    <t>hú dié</t>
  </si>
  <si>
    <t>butterfly</t>
  </si>
  <si>
    <t>胡说</t>
  </si>
  <si>
    <t>hú shuō</t>
  </si>
  <si>
    <t>nonsense; rubbish; drivel</t>
  </si>
  <si>
    <t>胡同</t>
  </si>
  <si>
    <t>hú tòng</t>
  </si>
  <si>
    <t>alleyway; lane</t>
  </si>
  <si>
    <t>糊涂</t>
  </si>
  <si>
    <t>hú tu</t>
  </si>
  <si>
    <t>muddled; confused; bewildered</t>
  </si>
  <si>
    <t>花生</t>
  </si>
  <si>
    <t>huā shēng</t>
  </si>
  <si>
    <t>peanut</t>
  </si>
  <si>
    <t>滑</t>
  </si>
  <si>
    <t>huá</t>
  </si>
  <si>
    <t>slippery</t>
  </si>
  <si>
    <t>华裔</t>
  </si>
  <si>
    <t>huá yì</t>
  </si>
  <si>
    <t>foreign citizen of Chinese origin</t>
  </si>
  <si>
    <t>划</t>
  </si>
  <si>
    <t>to assign</t>
  </si>
  <si>
    <t>话题</t>
  </si>
  <si>
    <t>huà tí</t>
  </si>
  <si>
    <t>subject of a talk; topic of conversation</t>
  </si>
  <si>
    <t>化学</t>
  </si>
  <si>
    <t>huà xué</t>
  </si>
  <si>
    <t>chemistry</t>
  </si>
  <si>
    <t>怀念</t>
  </si>
  <si>
    <t>huái niàn</t>
  </si>
  <si>
    <t>cherish the memory of; remember fondly</t>
  </si>
  <si>
    <t>怀孕</t>
  </si>
  <si>
    <t>huái yùn</t>
  </si>
  <si>
    <t>be pregnant; conceive</t>
  </si>
  <si>
    <t>缓解</t>
  </si>
  <si>
    <t>huǎn jiě</t>
  </si>
  <si>
    <t>relieve; ease</t>
  </si>
  <si>
    <t>幻想</t>
  </si>
  <si>
    <t>huàn xiǎng</t>
  </si>
  <si>
    <t>illusion; fantasy; figment of one's imagination</t>
  </si>
  <si>
    <t>慌张</t>
  </si>
  <si>
    <t>huāng zhāng</t>
  </si>
  <si>
    <t>flustered; confused; trepidation</t>
  </si>
  <si>
    <t>黄金</t>
  </si>
  <si>
    <t>huáng jīn</t>
  </si>
  <si>
    <t>gold</t>
  </si>
  <si>
    <t>挥</t>
  </si>
  <si>
    <t>huī</t>
  </si>
  <si>
    <t>wave; wield; wipe off</t>
  </si>
  <si>
    <t>灰</t>
  </si>
  <si>
    <t>grey; ash; dust</t>
  </si>
  <si>
    <t>灰尘</t>
  </si>
  <si>
    <t>huī chén</t>
  </si>
  <si>
    <t>dust; dirt; ash</t>
  </si>
  <si>
    <t>恢复</t>
  </si>
  <si>
    <t>huī fù</t>
  </si>
  <si>
    <t>resume; renew; to recover</t>
  </si>
  <si>
    <t>灰心</t>
  </si>
  <si>
    <t>huī xīn</t>
  </si>
  <si>
    <t>to lose heart; to be discouraged; be disappointed</t>
  </si>
  <si>
    <t>汇率</t>
  </si>
  <si>
    <t>huì lǜ</t>
  </si>
  <si>
    <t>exchange rate</t>
  </si>
  <si>
    <t>婚礼</t>
  </si>
  <si>
    <t>hūn lǐ</t>
  </si>
  <si>
    <t>wedding</t>
  </si>
  <si>
    <t>婚姻</t>
  </si>
  <si>
    <t>hūn yīn</t>
  </si>
  <si>
    <t>marriage; matrimony</t>
  </si>
  <si>
    <t>活跃</t>
  </si>
  <si>
    <t>huó yuè</t>
  </si>
  <si>
    <t>brisk; dynamic; lively</t>
  </si>
  <si>
    <t>伙伴</t>
  </si>
  <si>
    <t>huǒ bàn</t>
  </si>
  <si>
    <t>partner; companion; colleague</t>
  </si>
  <si>
    <t>火柴</t>
  </si>
  <si>
    <t>huǒ chái</t>
  </si>
  <si>
    <t>match</t>
  </si>
  <si>
    <t>或许</t>
  </si>
  <si>
    <t>huò xǔ</t>
  </si>
  <si>
    <t>perhaps; maybe</t>
  </si>
  <si>
    <t>基本</t>
  </si>
  <si>
    <t>jī běn</t>
  </si>
  <si>
    <t>basic; fundamental</t>
  </si>
  <si>
    <t>激烈</t>
  </si>
  <si>
    <t>jī liè</t>
  </si>
  <si>
    <t>intense; sharp; fierce</t>
  </si>
  <si>
    <t>机器</t>
  </si>
  <si>
    <t>jī qì</t>
  </si>
  <si>
    <t>machine; engine; apparatus</t>
  </si>
  <si>
    <t>肌肉</t>
  </si>
  <si>
    <t>jī ròu</t>
  </si>
  <si>
    <t>muscle</t>
  </si>
  <si>
    <t>及格</t>
  </si>
  <si>
    <t>jí gé</t>
  </si>
  <si>
    <t>pass (a test, examination etc)</t>
  </si>
  <si>
    <t>集合</t>
  </si>
  <si>
    <t>jí hé</t>
  </si>
  <si>
    <t>to gather</t>
  </si>
  <si>
    <t>急忙</t>
  </si>
  <si>
    <t>jí máng</t>
  </si>
  <si>
    <t>in a hurry; in haste</t>
  </si>
  <si>
    <t>极其</t>
  </si>
  <si>
    <t>jí qí</t>
  </si>
  <si>
    <t>集体</t>
  </si>
  <si>
    <t>jí tǐ</t>
  </si>
  <si>
    <t>collective; community; group</t>
  </si>
  <si>
    <t>急诊</t>
  </si>
  <si>
    <t>jí zhěn</t>
  </si>
  <si>
    <t>emergency call</t>
  </si>
  <si>
    <t>集中</t>
  </si>
  <si>
    <t>jí zhōng</t>
  </si>
  <si>
    <t>to concentrate; focus; pay attention</t>
  </si>
  <si>
    <t>系领带</t>
  </si>
  <si>
    <t>jì lǐng dài</t>
  </si>
  <si>
    <t>tie a (neck)tie</t>
  </si>
  <si>
    <t>纪录</t>
  </si>
  <si>
    <t>jì lù</t>
  </si>
  <si>
    <t>to record</t>
  </si>
  <si>
    <t>记录</t>
  </si>
  <si>
    <t>take notes; keep the minutes</t>
  </si>
  <si>
    <t>纪律</t>
  </si>
  <si>
    <t>jì lǜ</t>
  </si>
  <si>
    <t>discipline</t>
  </si>
  <si>
    <t>寂寞</t>
  </si>
  <si>
    <t>jì mò</t>
  </si>
  <si>
    <t>lonely; lonesome</t>
  </si>
  <si>
    <t>纪念</t>
  </si>
  <si>
    <t>jì niàn</t>
  </si>
  <si>
    <t>commemorate</t>
  </si>
  <si>
    <t>计算</t>
  </si>
  <si>
    <t>jì suàn</t>
  </si>
  <si>
    <t>count; compute; calculate</t>
  </si>
  <si>
    <t>记忆</t>
  </si>
  <si>
    <t>jì yì</t>
  </si>
  <si>
    <t>recall; memory; storage</t>
  </si>
  <si>
    <t>嘉宾</t>
  </si>
  <si>
    <t>jiā bīn</t>
  </si>
  <si>
    <t>honoured guest</t>
  </si>
  <si>
    <t>家庭</t>
  </si>
  <si>
    <t>jiā tíng</t>
  </si>
  <si>
    <t>family; household</t>
  </si>
  <si>
    <t>家务</t>
  </si>
  <si>
    <t>jiā wù</t>
  </si>
  <si>
    <t>house work</t>
  </si>
  <si>
    <t>家乡</t>
  </si>
  <si>
    <t>jiā xiāng</t>
  </si>
  <si>
    <t>home town;native place</t>
  </si>
  <si>
    <t>夹子</t>
  </si>
  <si>
    <t>jiā zi</t>
  </si>
  <si>
    <t>folder; tongs; clamp; clip</t>
  </si>
  <si>
    <t>甲</t>
  </si>
  <si>
    <t>shell; nail; first; the first of the ten Heavenly Stems</t>
  </si>
  <si>
    <t>假如</t>
  </si>
  <si>
    <t>jiǎ rú</t>
  </si>
  <si>
    <t>if; supposing; in case</t>
  </si>
  <si>
    <t>假设</t>
  </si>
  <si>
    <t>jiǎ shè</t>
  </si>
  <si>
    <t>suppose; assume; presume</t>
  </si>
  <si>
    <t>假装</t>
  </si>
  <si>
    <t>jiǎ zhuāng</t>
  </si>
  <si>
    <t>to pretend; feign</t>
  </si>
  <si>
    <t>嫁</t>
  </si>
  <si>
    <t>jià</t>
  </si>
  <si>
    <t>marry; shift; transfer</t>
  </si>
  <si>
    <t>驾驶</t>
  </si>
  <si>
    <t>jià shǐ</t>
  </si>
  <si>
    <t>drive; pilot; steer</t>
  </si>
  <si>
    <t>价值</t>
  </si>
  <si>
    <t>jià zhí</t>
  </si>
  <si>
    <t>value; cost; worth</t>
  </si>
  <si>
    <t>肩膀</t>
  </si>
  <si>
    <t>jiān bǎng</t>
  </si>
  <si>
    <t>shoulder</t>
  </si>
  <si>
    <t>艰巨</t>
  </si>
  <si>
    <t>jiān jù</t>
  </si>
  <si>
    <t>arduous; formidable; onerous</t>
  </si>
  <si>
    <t>坚决</t>
  </si>
  <si>
    <t>jiān jué</t>
  </si>
  <si>
    <t>firm; resolute; determined</t>
  </si>
  <si>
    <t>艰苦</t>
  </si>
  <si>
    <t>jiān kǔ</t>
  </si>
  <si>
    <t>arduous; difficult; tough</t>
  </si>
  <si>
    <t>坚强</t>
  </si>
  <si>
    <t>jiān qiáng</t>
  </si>
  <si>
    <t>strong; firm; staunch</t>
  </si>
  <si>
    <t>兼职</t>
  </si>
  <si>
    <t>jiān zhí</t>
  </si>
  <si>
    <t>hold two or more posts concurrently; part-time job</t>
  </si>
  <si>
    <t>捡</t>
  </si>
  <si>
    <t>jiǎn</t>
  </si>
  <si>
    <t>to pick up; collect; to gather</t>
  </si>
  <si>
    <t>剪刀</t>
  </si>
  <si>
    <t>jiǎn dāo</t>
  </si>
  <si>
    <t>scissors; shears</t>
  </si>
  <si>
    <t>简历</t>
  </si>
  <si>
    <t>jiǎn lì</t>
  </si>
  <si>
    <t>Curriculum Vitae (CV); résumé</t>
  </si>
  <si>
    <t>简直</t>
  </si>
  <si>
    <t>jiǎn zhí</t>
  </si>
  <si>
    <t>建立</t>
  </si>
  <si>
    <t>jiàn lì</t>
  </si>
  <si>
    <t>build; set up; establish</t>
  </si>
  <si>
    <t>键盘</t>
  </si>
  <si>
    <t>jiàn pán</t>
  </si>
  <si>
    <t>keyboard</t>
  </si>
  <si>
    <t>建设</t>
  </si>
  <si>
    <t>jiàn shè</t>
  </si>
  <si>
    <t>to build; to construct; develop</t>
  </si>
  <si>
    <t>健身</t>
  </si>
  <si>
    <t>jiàn shēn</t>
  </si>
  <si>
    <t>keep fit</t>
  </si>
  <si>
    <t>建筑</t>
  </si>
  <si>
    <t>jiàn zhù</t>
  </si>
  <si>
    <t>build; construct; erect</t>
  </si>
  <si>
    <t>讲究</t>
  </si>
  <si>
    <t>jiǎng jiu</t>
  </si>
  <si>
    <t>be particular about; to pay attention to</t>
  </si>
  <si>
    <t>讲座</t>
  </si>
  <si>
    <t>jiǎng zuò</t>
  </si>
  <si>
    <t>series of lectures</t>
  </si>
  <si>
    <t>酱油</t>
  </si>
  <si>
    <t>jiàng yóu</t>
  </si>
  <si>
    <t>soy sauce</t>
  </si>
  <si>
    <t>浇</t>
  </si>
  <si>
    <t>sprinkle water on; irrigate; to water</t>
  </si>
  <si>
    <t>交换</t>
  </si>
  <si>
    <t>jiāo huàn</t>
  </si>
  <si>
    <t>swap; to exchange</t>
  </si>
  <si>
    <t>交际</t>
  </si>
  <si>
    <t>jiāo jì</t>
  </si>
  <si>
    <t>communication; social intercourse</t>
  </si>
  <si>
    <t>胶水</t>
  </si>
  <si>
    <t>jiāo shuǐ</t>
  </si>
  <si>
    <t>glue</t>
  </si>
  <si>
    <t>交往</t>
  </si>
  <si>
    <t>jiāo wǎng</t>
  </si>
  <si>
    <t>be in contact with; associate with</t>
  </si>
  <si>
    <t>角度</t>
  </si>
  <si>
    <t>jiǎo dù</t>
  </si>
  <si>
    <t>angle; point of view</t>
  </si>
  <si>
    <t>狡猾</t>
  </si>
  <si>
    <t>jiǎo huá</t>
  </si>
  <si>
    <t>sly; crafty; cunning</t>
  </si>
  <si>
    <t>教材</t>
  </si>
  <si>
    <t>jiào cái</t>
  </si>
  <si>
    <t>teaching material</t>
  </si>
  <si>
    <t>教练</t>
  </si>
  <si>
    <t>jiào liàn</t>
  </si>
  <si>
    <t>train; drill; (sports) coach</t>
  </si>
  <si>
    <t>教训</t>
  </si>
  <si>
    <t>jiào xun</t>
  </si>
  <si>
    <t>lesson; moral</t>
  </si>
  <si>
    <t>接触</t>
  </si>
  <si>
    <t>jiē chù</t>
  </si>
  <si>
    <t>come into contact with; to get in touch with; engage</t>
  </si>
  <si>
    <t>接待</t>
  </si>
  <si>
    <t>jiē dài</t>
  </si>
  <si>
    <t>to receive (visitor); admit</t>
  </si>
  <si>
    <t>阶段</t>
  </si>
  <si>
    <t>jiē duàn</t>
  </si>
  <si>
    <t>section; stage; phase</t>
  </si>
  <si>
    <t>接近</t>
  </si>
  <si>
    <t>jiē jìn</t>
  </si>
  <si>
    <t>be close to; to approach</t>
  </si>
  <si>
    <t>结实</t>
  </si>
  <si>
    <t>jiē shi</t>
  </si>
  <si>
    <t>solid; sturdy; durable</t>
  </si>
  <si>
    <t>结构</t>
  </si>
  <si>
    <t>jié gòu</t>
  </si>
  <si>
    <t>structure; composition; construction</t>
  </si>
  <si>
    <t>结合</t>
  </si>
  <si>
    <t>jié hé</t>
  </si>
  <si>
    <t>to combine; unite; integrate</t>
  </si>
  <si>
    <t>结论</t>
  </si>
  <si>
    <t>jié lùn</t>
  </si>
  <si>
    <t>conclusion; verdict; epilogue</t>
  </si>
  <si>
    <t>节省</t>
  </si>
  <si>
    <t>jié shěng</t>
  </si>
  <si>
    <t>to economise; save; use sparingly</t>
  </si>
  <si>
    <t>结账</t>
  </si>
  <si>
    <t>jié zhàng</t>
  </si>
  <si>
    <t>to pay the bill</t>
  </si>
  <si>
    <t>戒</t>
  </si>
  <si>
    <t>to give up or stop doing something</t>
  </si>
  <si>
    <t>届</t>
  </si>
  <si>
    <t>fall due; [measure word for meetings, events, etc.]</t>
  </si>
  <si>
    <t>借口</t>
  </si>
  <si>
    <t>jiè kǒu</t>
  </si>
  <si>
    <t>use as an excuse; on the pretext of</t>
  </si>
  <si>
    <t>戒指</t>
  </si>
  <si>
    <t>jiè zhi</t>
  </si>
  <si>
    <t>ring [jewellry]</t>
  </si>
  <si>
    <t>金属</t>
  </si>
  <si>
    <t>jīn shǔ</t>
  </si>
  <si>
    <t>metal</t>
  </si>
  <si>
    <t>紧急</t>
  </si>
  <si>
    <t>jǐn jí</t>
  </si>
  <si>
    <t>urgent; pressing</t>
  </si>
  <si>
    <t>尽快</t>
  </si>
  <si>
    <t>jǐn kuài</t>
  </si>
  <si>
    <t>as quickly as possible</t>
  </si>
  <si>
    <t>谨慎</t>
  </si>
  <si>
    <t>jǐn shèn</t>
  </si>
  <si>
    <t>prudent; careful; cautious</t>
  </si>
  <si>
    <t>进步</t>
  </si>
  <si>
    <t>jìn bù</t>
  </si>
  <si>
    <t>progress</t>
  </si>
  <si>
    <t>近代</t>
  </si>
  <si>
    <t>jìn dài</t>
  </si>
  <si>
    <t>modern times</t>
  </si>
  <si>
    <t>进口</t>
  </si>
  <si>
    <t>jìn kǒu</t>
  </si>
  <si>
    <t>import; entrance; sail into a port</t>
  </si>
  <si>
    <t>尽力</t>
  </si>
  <si>
    <t>jìn lì</t>
  </si>
  <si>
    <t>to do all one can; try one's best</t>
  </si>
  <si>
    <t>尽量</t>
  </si>
  <si>
    <t>jìn liàng</t>
  </si>
  <si>
    <t>to the best of one's ability; as far as possible</t>
  </si>
  <si>
    <t>经典</t>
  </si>
  <si>
    <t>jīng diǎn</t>
  </si>
  <si>
    <t>classics</t>
  </si>
  <si>
    <t>精力</t>
  </si>
  <si>
    <t>energy; vigour; vim</t>
  </si>
  <si>
    <t>经商</t>
  </si>
  <si>
    <t>jīng shāng</t>
  </si>
  <si>
    <t>engage in trade; be in business</t>
  </si>
  <si>
    <t>精神</t>
  </si>
  <si>
    <t>jīng shén</t>
  </si>
  <si>
    <t>essence; spirit</t>
  </si>
  <si>
    <t>经营</t>
  </si>
  <si>
    <t>jīng yíng</t>
  </si>
  <si>
    <t>manage; to operate; to run</t>
  </si>
  <si>
    <t>酒吧</t>
  </si>
  <si>
    <t>jiǔ bā</t>
  </si>
  <si>
    <t>bar</t>
  </si>
  <si>
    <t>救</t>
  </si>
  <si>
    <t>to rescue; save</t>
  </si>
  <si>
    <t>救护车</t>
  </si>
  <si>
    <t>jiù hù chē</t>
  </si>
  <si>
    <t>ambulance</t>
  </si>
  <si>
    <t>舅舅</t>
  </si>
  <si>
    <t>jiù jiu</t>
  </si>
  <si>
    <t>uncle [mother's brother]</t>
  </si>
  <si>
    <t>居然</t>
  </si>
  <si>
    <t>jū rán</t>
  </si>
  <si>
    <t>unexpectedly; to one's surprise</t>
  </si>
  <si>
    <t>桔子</t>
  </si>
  <si>
    <t>jú zi</t>
  </si>
  <si>
    <t>tangerine</t>
  </si>
  <si>
    <t>具备</t>
  </si>
  <si>
    <t>jù bèi</t>
  </si>
  <si>
    <t>possess; have; be provided with</t>
  </si>
  <si>
    <t>巨大</t>
  </si>
  <si>
    <t>jù dà</t>
  </si>
  <si>
    <t>huge; enormous; gigantic</t>
  </si>
  <si>
    <t>俱乐部</t>
  </si>
  <si>
    <t>jù lè bù</t>
  </si>
  <si>
    <t>club</t>
  </si>
  <si>
    <t>据说</t>
  </si>
  <si>
    <t>jù shuō</t>
  </si>
  <si>
    <t>it is said; they say; allegedly</t>
  </si>
  <si>
    <t>具体</t>
  </si>
  <si>
    <t>jù tǐ</t>
  </si>
  <si>
    <t>concrete; specific; particular</t>
  </si>
  <si>
    <t>捐</t>
  </si>
  <si>
    <t>juān</t>
  </si>
  <si>
    <t>relinquish; contribute; donate</t>
  </si>
  <si>
    <t>绝对</t>
  </si>
  <si>
    <t>jué duì</t>
  </si>
  <si>
    <t>absolutely; perfectly</t>
  </si>
  <si>
    <t>决赛</t>
  </si>
  <si>
    <t>jué sài</t>
  </si>
  <si>
    <t>finals [of a competition]</t>
  </si>
  <si>
    <t>角色</t>
  </si>
  <si>
    <t>jué sè</t>
  </si>
  <si>
    <t>role; part</t>
  </si>
  <si>
    <t>决心</t>
  </si>
  <si>
    <t>jué xīn</t>
  </si>
  <si>
    <t>determination; resolution</t>
  </si>
  <si>
    <t>军事</t>
  </si>
  <si>
    <t>jūn shì</t>
  </si>
  <si>
    <t>military affairs</t>
  </si>
  <si>
    <t>均匀</t>
  </si>
  <si>
    <t>jūn yún</t>
  </si>
  <si>
    <t>even; well-distributed; equality</t>
  </si>
  <si>
    <t>卡车</t>
  </si>
  <si>
    <t>kǎ chē</t>
  </si>
  <si>
    <t>lorry; truck</t>
  </si>
  <si>
    <t>开发</t>
  </si>
  <si>
    <t>kāi fā</t>
  </si>
  <si>
    <t>develop; open up; exploit</t>
  </si>
  <si>
    <t>开放</t>
  </si>
  <si>
    <t>kāi fàng</t>
  </si>
  <si>
    <t>lift a restriction; open up (to the outside world/ public etc.)</t>
  </si>
  <si>
    <t>开幕式</t>
  </si>
  <si>
    <t>kāi mù shì</t>
  </si>
  <si>
    <t>inauguration; opening ceremony</t>
  </si>
  <si>
    <t>开水</t>
  </si>
  <si>
    <t>kāi shuǐ</t>
  </si>
  <si>
    <t>boiling water</t>
  </si>
  <si>
    <t>砍</t>
  </si>
  <si>
    <t>kǎn</t>
  </si>
  <si>
    <t>cut; chop; hack</t>
  </si>
  <si>
    <t>看不起</t>
  </si>
  <si>
    <t>kàn bu qǐ</t>
  </si>
  <si>
    <t>look down upon; scorn; disdain</t>
  </si>
  <si>
    <t>看望</t>
  </si>
  <si>
    <t>kàn wàng</t>
  </si>
  <si>
    <t>call on; visit</t>
  </si>
  <si>
    <t>靠</t>
  </si>
  <si>
    <t>kào</t>
  </si>
  <si>
    <t>lean on</t>
  </si>
  <si>
    <t>颗</t>
  </si>
  <si>
    <t>grain; [measure word for anything small and roundish]</t>
  </si>
  <si>
    <t>可见</t>
  </si>
  <si>
    <t>kě jiàn</t>
  </si>
  <si>
    <t>it is thus clear that; visible; visual</t>
  </si>
  <si>
    <t>可靠</t>
  </si>
  <si>
    <t>kě kào</t>
  </si>
  <si>
    <t>reliable; dependable; trustworthy</t>
  </si>
  <si>
    <t>可怕</t>
  </si>
  <si>
    <t>kě pà</t>
  </si>
  <si>
    <t>frightening; dreadful</t>
  </si>
  <si>
    <t>克</t>
  </si>
  <si>
    <t>gram</t>
  </si>
  <si>
    <t>课程</t>
  </si>
  <si>
    <t>kè chéng</t>
  </si>
  <si>
    <t>curriculum; course</t>
  </si>
  <si>
    <t>克服</t>
  </si>
  <si>
    <t>kè fú</t>
  </si>
  <si>
    <t>overcome; conquer; endure</t>
  </si>
  <si>
    <t>客观</t>
  </si>
  <si>
    <t>kè guān</t>
  </si>
  <si>
    <t>objective</t>
  </si>
  <si>
    <t>刻苦</t>
  </si>
  <si>
    <t>kè kǔ</t>
  </si>
  <si>
    <t>assiduous; hardworking; painstaking</t>
  </si>
  <si>
    <t>空间</t>
  </si>
  <si>
    <t>kōng jiān</t>
  </si>
  <si>
    <t>space; enclosure</t>
  </si>
  <si>
    <t>空闲</t>
  </si>
  <si>
    <t>kòng xián</t>
  </si>
  <si>
    <t>free time; spare time</t>
  </si>
  <si>
    <t>控制</t>
  </si>
  <si>
    <t>kòng zhì</t>
  </si>
  <si>
    <t>control; regulate</t>
  </si>
  <si>
    <t>口味</t>
  </si>
  <si>
    <t>kǒu wèi</t>
  </si>
  <si>
    <t>flavour/taste</t>
  </si>
  <si>
    <t>夸</t>
  </si>
  <si>
    <t>kuā</t>
  </si>
  <si>
    <t>exaggerate; boast</t>
  </si>
  <si>
    <t>夸张</t>
  </si>
  <si>
    <t>kuā zhāng</t>
  </si>
  <si>
    <t>to exaggerate</t>
  </si>
  <si>
    <t>会计</t>
  </si>
  <si>
    <t>kuài jì</t>
  </si>
  <si>
    <t>accountancy</t>
  </si>
  <si>
    <t>宽</t>
  </si>
  <si>
    <t>kuān</t>
  </si>
  <si>
    <t>wide</t>
  </si>
  <si>
    <t>昆虫</t>
  </si>
  <si>
    <t>kūn chóng</t>
  </si>
  <si>
    <t>insect</t>
  </si>
  <si>
    <t>扩大</t>
  </si>
  <si>
    <t>kuò dà</t>
  </si>
  <si>
    <t>to expand</t>
  </si>
  <si>
    <t>辣椒</t>
  </si>
  <si>
    <t>là jiāo</t>
  </si>
  <si>
    <t>chilli</t>
  </si>
  <si>
    <t>拦</t>
  </si>
  <si>
    <t>bar; block; hinder</t>
  </si>
  <si>
    <t>烂</t>
  </si>
  <si>
    <t>làn</t>
  </si>
  <si>
    <t>mashed; mushy; sodden</t>
  </si>
  <si>
    <t>朗读</t>
  </si>
  <si>
    <t>lǎng dú</t>
  </si>
  <si>
    <t>read aloud; read loudly and clearly</t>
  </si>
  <si>
    <t>劳动</t>
  </si>
  <si>
    <t>láo dòng</t>
  </si>
  <si>
    <t>labour; bother</t>
  </si>
  <si>
    <t>劳驾</t>
  </si>
  <si>
    <t>láo jià</t>
  </si>
  <si>
    <t>excuse me</t>
  </si>
  <si>
    <t>老百姓</t>
  </si>
  <si>
    <t>lǎo bǎi xìng</t>
  </si>
  <si>
    <t>common people; civilians</t>
  </si>
  <si>
    <t>老板</t>
  </si>
  <si>
    <t>lǎo bǎn</t>
  </si>
  <si>
    <t>boss; proprietor; shopkeeper</t>
  </si>
  <si>
    <t>姥姥</t>
  </si>
  <si>
    <t>lǎo lao</t>
  </si>
  <si>
    <t>grandmother [mother's mother]</t>
  </si>
  <si>
    <t>老婆</t>
  </si>
  <si>
    <t>lǎo po</t>
  </si>
  <si>
    <t>wife [colloquial]</t>
  </si>
  <si>
    <t>老实</t>
  </si>
  <si>
    <t>lǎo shi</t>
  </si>
  <si>
    <t>honest; frank</t>
  </si>
  <si>
    <t>老鼠</t>
  </si>
  <si>
    <t>lǎo shǔ</t>
  </si>
  <si>
    <t>mouse; rat</t>
  </si>
  <si>
    <t>乐观</t>
  </si>
  <si>
    <t>lè guān</t>
  </si>
  <si>
    <t>optimistic</t>
  </si>
  <si>
    <t>雷</t>
  </si>
  <si>
    <t>léi</t>
  </si>
  <si>
    <t>thunder</t>
  </si>
  <si>
    <t>类型</t>
  </si>
  <si>
    <t>lèi xíng</t>
  </si>
  <si>
    <t>type</t>
  </si>
  <si>
    <t>冷淡</t>
  </si>
  <si>
    <t>lěng dàn</t>
  </si>
  <si>
    <t>treat coldly; give the cold shoulder to</t>
  </si>
  <si>
    <t>梨</t>
  </si>
  <si>
    <t>pear</t>
  </si>
  <si>
    <t>离婚</t>
  </si>
  <si>
    <t>lí hūn</t>
  </si>
  <si>
    <t>divorce</t>
  </si>
  <si>
    <t>厘米</t>
  </si>
  <si>
    <t>lí mǐ</t>
  </si>
  <si>
    <t>centimetre</t>
  </si>
  <si>
    <t>理论</t>
  </si>
  <si>
    <t>lǐ lùn</t>
  </si>
  <si>
    <t>theory</t>
  </si>
  <si>
    <t>理由</t>
  </si>
  <si>
    <t>lǐ yóu</t>
  </si>
  <si>
    <t>reason; justification</t>
  </si>
  <si>
    <t>立即</t>
  </si>
  <si>
    <t>lì jí</t>
  </si>
  <si>
    <t>immediately; at once; promptly</t>
  </si>
  <si>
    <t>立刻</t>
  </si>
  <si>
    <t>lì kè</t>
  </si>
  <si>
    <t>immediately; at once; right away</t>
  </si>
  <si>
    <t>力量</t>
  </si>
  <si>
    <t>lì liang</t>
  </si>
  <si>
    <t>physical strength; power</t>
  </si>
  <si>
    <t>利润</t>
  </si>
  <si>
    <t>lì rùn</t>
  </si>
  <si>
    <t>profit</t>
  </si>
  <si>
    <t>利息</t>
  </si>
  <si>
    <t>lì xī</t>
  </si>
  <si>
    <t>interest rate</t>
  </si>
  <si>
    <t>利益</t>
  </si>
  <si>
    <t>lì yì</t>
  </si>
  <si>
    <t>gain; benefit; profit</t>
  </si>
  <si>
    <t>利用</t>
  </si>
  <si>
    <t>lì yòng</t>
  </si>
  <si>
    <t>make use of; take advantage of</t>
  </si>
  <si>
    <t>联合</t>
  </si>
  <si>
    <t>lián hé</t>
  </si>
  <si>
    <t>alliance; union</t>
  </si>
  <si>
    <t>连忙</t>
  </si>
  <si>
    <t>lián máng</t>
  </si>
  <si>
    <t>promptly; immediately; instantly</t>
  </si>
  <si>
    <t>连续</t>
  </si>
  <si>
    <t>lián xù</t>
  </si>
  <si>
    <t>continuous</t>
  </si>
  <si>
    <t>恋爱</t>
  </si>
  <si>
    <t>liàn ài</t>
  </si>
  <si>
    <t>love</t>
  </si>
  <si>
    <t>良好</t>
  </si>
  <si>
    <t>liáng hǎo</t>
  </si>
  <si>
    <t>good; fine</t>
  </si>
  <si>
    <t>粮食</t>
  </si>
  <si>
    <t>liáng shi</t>
  </si>
  <si>
    <t>grain; cereals</t>
  </si>
  <si>
    <t>亮</t>
  </si>
  <si>
    <t>bright; to shine</t>
  </si>
  <si>
    <t>了不起</t>
  </si>
  <si>
    <t>liǎo bu qǐ</t>
  </si>
  <si>
    <t>amazing; terrific; extraordinary</t>
  </si>
  <si>
    <t>列车</t>
  </si>
  <si>
    <t>liè chē</t>
  </si>
  <si>
    <t>train</t>
  </si>
  <si>
    <t>临时</t>
  </si>
  <si>
    <t>lín shí</t>
  </si>
  <si>
    <t>temporary; provisional</t>
  </si>
  <si>
    <t>铃</t>
  </si>
  <si>
    <t>bell; [bell-shaped things]</t>
  </si>
  <si>
    <t>灵活</t>
  </si>
  <si>
    <t>líng huó</t>
  </si>
  <si>
    <t>nimble; agile; flexible</t>
  </si>
  <si>
    <t>零件</t>
  </si>
  <si>
    <t>líng jiàn</t>
  </si>
  <si>
    <t>part; element; component</t>
  </si>
  <si>
    <t>零食</t>
  </si>
  <si>
    <t>líng shí</t>
  </si>
  <si>
    <t>snacks; nibbles between meals</t>
  </si>
  <si>
    <t>领导</t>
  </si>
  <si>
    <t>lǐng dǎo</t>
  </si>
  <si>
    <t>lead; leader</t>
  </si>
  <si>
    <t>领域</t>
  </si>
  <si>
    <t>lǐng yù</t>
  </si>
  <si>
    <t>territory; domain; field</t>
  </si>
  <si>
    <t>流传</t>
  </si>
  <si>
    <t>liú chuán</t>
  </si>
  <si>
    <t>spread; circulate; hand down</t>
  </si>
  <si>
    <t>浏览</t>
  </si>
  <si>
    <t>liú lǎn</t>
  </si>
  <si>
    <t>glance over; skim through; browse</t>
  </si>
  <si>
    <t>流泪</t>
  </si>
  <si>
    <t>liú lèi</t>
  </si>
  <si>
    <t>to shed tears</t>
  </si>
  <si>
    <t>龙</t>
  </si>
  <si>
    <t>lóng</t>
  </si>
  <si>
    <t>dragon</t>
  </si>
  <si>
    <t>漏</t>
  </si>
  <si>
    <t>lòu</t>
  </si>
  <si>
    <t>to leak; divulge; disclose</t>
  </si>
  <si>
    <t>陆地</t>
  </si>
  <si>
    <t>lù dì</t>
  </si>
  <si>
    <t>dry land; terrace</t>
  </si>
  <si>
    <t>录取</t>
  </si>
  <si>
    <t>lù qǔ</t>
  </si>
  <si>
    <t>enroll; recruit; admit to</t>
  </si>
  <si>
    <t>陆续</t>
  </si>
  <si>
    <t>lù xù</t>
  </si>
  <si>
    <t>录音</t>
  </si>
  <si>
    <t>lù yīn</t>
  </si>
  <si>
    <t>sound recording; film recording</t>
  </si>
  <si>
    <t>轮流</t>
  </si>
  <si>
    <t>lún liú</t>
  </si>
  <si>
    <t>take turns; rotation</t>
  </si>
  <si>
    <t>论文</t>
  </si>
  <si>
    <t>lùn wén</t>
  </si>
  <si>
    <t>thesis; dissertation; treatise</t>
  </si>
  <si>
    <t>逻辑</t>
  </si>
  <si>
    <t>luó ji</t>
  </si>
  <si>
    <t>logic</t>
  </si>
  <si>
    <t>落后</t>
  </si>
  <si>
    <t>luò hòu</t>
  </si>
  <si>
    <t>fall behind; lag behind; backward</t>
  </si>
  <si>
    <t>骂</t>
  </si>
  <si>
    <t>mà</t>
  </si>
  <si>
    <t>scold; abuse; call names</t>
  </si>
  <si>
    <t>麦克风</t>
  </si>
  <si>
    <t>mài kè fēng</t>
  </si>
  <si>
    <t>microphone</t>
  </si>
  <si>
    <t>馒头</t>
  </si>
  <si>
    <t>mán tou</t>
  </si>
  <si>
    <t>[steamed bread]</t>
  </si>
  <si>
    <t>满足</t>
  </si>
  <si>
    <t>mǎn zú</t>
  </si>
  <si>
    <t>satisfied; content</t>
  </si>
  <si>
    <t>毛病</t>
  </si>
  <si>
    <t>máo bìng</t>
  </si>
  <si>
    <t>illness; disease; fault</t>
  </si>
  <si>
    <t>矛盾</t>
  </si>
  <si>
    <t>máo dùn</t>
  </si>
  <si>
    <t>contradictory</t>
  </si>
  <si>
    <t>冒险</t>
  </si>
  <si>
    <t>mào xiǎn</t>
  </si>
  <si>
    <t>take a risk; adventure</t>
  </si>
  <si>
    <t>贸易</t>
  </si>
  <si>
    <t>mào yì</t>
  </si>
  <si>
    <t>trade</t>
  </si>
  <si>
    <t>眉毛</t>
  </si>
  <si>
    <t>méi mao</t>
  </si>
  <si>
    <t>eyebrow</t>
  </si>
  <si>
    <t>煤炭</t>
  </si>
  <si>
    <t>méi tàn</t>
  </si>
  <si>
    <t>coal</t>
  </si>
  <si>
    <t>媒体</t>
  </si>
  <si>
    <t>méi tǐ</t>
  </si>
  <si>
    <t>media</t>
  </si>
  <si>
    <t>美术</t>
  </si>
  <si>
    <t>měi shù</t>
  </si>
  <si>
    <t>魅力</t>
  </si>
  <si>
    <t>mèi lì</t>
  </si>
  <si>
    <t>enchantment</t>
  </si>
  <si>
    <t>梦想</t>
  </si>
  <si>
    <t>mèng xiǎng</t>
  </si>
  <si>
    <t>hope vainly; pipe dream</t>
  </si>
  <si>
    <t>蜜蜂</t>
  </si>
  <si>
    <t>mì fēng</t>
  </si>
  <si>
    <t>(honey) bee</t>
  </si>
  <si>
    <t>秘密</t>
  </si>
  <si>
    <t>mì mì</t>
  </si>
  <si>
    <t>secret; clandestine; confidential</t>
  </si>
  <si>
    <t>密切</t>
  </si>
  <si>
    <t>mì qiè</t>
  </si>
  <si>
    <t>close; intimate; carefully</t>
  </si>
  <si>
    <t>秘书</t>
  </si>
  <si>
    <t>mì shū</t>
  </si>
  <si>
    <t>secretary</t>
  </si>
  <si>
    <t>面对</t>
  </si>
  <si>
    <t>miàn duì</t>
  </si>
  <si>
    <t>face; confront</t>
  </si>
  <si>
    <t>面积</t>
  </si>
  <si>
    <t>miàn jī</t>
  </si>
  <si>
    <t>area</t>
  </si>
  <si>
    <t>面临</t>
  </si>
  <si>
    <t>miàn lín</t>
  </si>
  <si>
    <t>be faced with; be up against</t>
  </si>
  <si>
    <t>苗条</t>
  </si>
  <si>
    <t>miáo tiáo</t>
  </si>
  <si>
    <t>slender; slim</t>
  </si>
  <si>
    <t>描写</t>
  </si>
  <si>
    <t>miáo xiě</t>
  </si>
  <si>
    <t>describe; depict; portray</t>
  </si>
  <si>
    <t>敏感</t>
  </si>
  <si>
    <t>mǐn gǎn</t>
  </si>
  <si>
    <t>sensitive; susceptible; tactful</t>
  </si>
  <si>
    <t>名牌</t>
  </si>
  <si>
    <t>míng pái</t>
  </si>
  <si>
    <t>famous brand</t>
  </si>
  <si>
    <t>名片</t>
  </si>
  <si>
    <t>míng piàn</t>
  </si>
  <si>
    <t>business card; visiting card</t>
  </si>
  <si>
    <t>明确</t>
  </si>
  <si>
    <t>míng què</t>
  </si>
  <si>
    <t>clear and definite; clear-cut; unequivocal</t>
  </si>
  <si>
    <t>名胜古迹</t>
  </si>
  <si>
    <t>míng shèng gǔ jì</t>
  </si>
  <si>
    <t>places of historic interest and scenic beauty</t>
  </si>
  <si>
    <t>明显</t>
  </si>
  <si>
    <t>míng xiǎn</t>
  </si>
  <si>
    <t>clear; obvious; evident</t>
  </si>
  <si>
    <t>明星</t>
  </si>
  <si>
    <t>míng xīng</t>
  </si>
  <si>
    <t>celebrity; star</t>
  </si>
  <si>
    <t>命令</t>
  </si>
  <si>
    <t>mìng lìng</t>
  </si>
  <si>
    <t>order; command; directive</t>
  </si>
  <si>
    <t>命运</t>
  </si>
  <si>
    <t>mìng yùn</t>
  </si>
  <si>
    <t>destiny; lot; fortune</t>
  </si>
  <si>
    <t>摸</t>
  </si>
  <si>
    <t>mō</t>
  </si>
  <si>
    <t>feel [with the hand]</t>
  </si>
  <si>
    <t>模仿</t>
  </si>
  <si>
    <t>mó fǎng</t>
  </si>
  <si>
    <t>to imitate; to copy; model oneself on</t>
  </si>
  <si>
    <t>模糊</t>
  </si>
  <si>
    <t>mó hu</t>
  </si>
  <si>
    <t>vague; indistinct; obscure</t>
  </si>
  <si>
    <t>模特</t>
  </si>
  <si>
    <t>mó tè</t>
  </si>
  <si>
    <t>model</t>
  </si>
  <si>
    <t>摩托车</t>
  </si>
  <si>
    <t>mó tuō chē</t>
  </si>
  <si>
    <t>motorcycle</t>
  </si>
  <si>
    <t>陌生</t>
  </si>
  <si>
    <t>mò shēng</t>
  </si>
  <si>
    <t>strange; unfamiliar; inexperienced</t>
  </si>
  <si>
    <t>某</t>
  </si>
  <si>
    <t>mǒu</t>
  </si>
  <si>
    <t>certain; some</t>
  </si>
  <si>
    <t>目标</t>
  </si>
  <si>
    <t>mù biāo</t>
  </si>
  <si>
    <t>aim; objective; goal</t>
  </si>
  <si>
    <t>目录</t>
  </si>
  <si>
    <t>mù lù</t>
  </si>
  <si>
    <t>catalogue; table of contents</t>
  </si>
  <si>
    <t>目前</t>
  </si>
  <si>
    <t>mù qián</t>
  </si>
  <si>
    <t>at present</t>
  </si>
  <si>
    <t>木头</t>
  </si>
  <si>
    <t>mù tou</t>
  </si>
  <si>
    <t>wood; log; timber</t>
  </si>
  <si>
    <t>哪怕</t>
  </si>
  <si>
    <t>nǎ pà</t>
  </si>
  <si>
    <t>even if; even though</t>
  </si>
  <si>
    <t>难怪</t>
  </si>
  <si>
    <t>nán guài</t>
  </si>
  <si>
    <t>no wonder</t>
  </si>
  <si>
    <t>难免</t>
  </si>
  <si>
    <t>nán miǎn</t>
  </si>
  <si>
    <t>hard to avoid</t>
  </si>
  <si>
    <t>脑袋</t>
  </si>
  <si>
    <t>nǎo dài</t>
  </si>
  <si>
    <t>head; brains</t>
  </si>
  <si>
    <t>内部</t>
  </si>
  <si>
    <t>nèi bù</t>
  </si>
  <si>
    <t>interior</t>
  </si>
  <si>
    <t>内科</t>
  </si>
  <si>
    <t>nèi kē</t>
  </si>
  <si>
    <t>internal medicine</t>
  </si>
  <si>
    <t>嫩</t>
  </si>
  <si>
    <t>nèn</t>
  </si>
  <si>
    <t>tender; delicate; underdone</t>
  </si>
  <si>
    <t>能干</t>
  </si>
  <si>
    <t>néng gàn</t>
  </si>
  <si>
    <t>able; capable; competent</t>
  </si>
  <si>
    <t>能源</t>
  </si>
  <si>
    <t>néng yuán</t>
  </si>
  <si>
    <t>energy</t>
  </si>
  <si>
    <t>嗯</t>
  </si>
  <si>
    <t>ng</t>
  </si>
  <si>
    <t>huh; yeah</t>
  </si>
  <si>
    <t>年代</t>
  </si>
  <si>
    <t>nián dài</t>
  </si>
  <si>
    <t>years; a decade of a century</t>
  </si>
  <si>
    <t>年纪</t>
  </si>
  <si>
    <t>nián jì</t>
  </si>
  <si>
    <t>念</t>
  </si>
  <si>
    <t>niàn</t>
  </si>
  <si>
    <t>to read aloud; attend school; think of</t>
  </si>
  <si>
    <t>宁可</t>
  </si>
  <si>
    <t>nìng kě</t>
  </si>
  <si>
    <t>would rather; better</t>
  </si>
  <si>
    <t>牛仔裤</t>
  </si>
  <si>
    <t>niú zǎi kù</t>
  </si>
  <si>
    <t>jeans</t>
  </si>
  <si>
    <t>浓</t>
  </si>
  <si>
    <t>nóng</t>
  </si>
  <si>
    <t>dense; thick; concentrated</t>
  </si>
  <si>
    <t>农村</t>
  </si>
  <si>
    <t>nóng cūn</t>
  </si>
  <si>
    <t>countryside rural area</t>
  </si>
  <si>
    <t>农民</t>
  </si>
  <si>
    <t>nóng mín</t>
  </si>
  <si>
    <t>farmer; peasant</t>
  </si>
  <si>
    <t>农业</t>
  </si>
  <si>
    <t>nóng yè</t>
  </si>
  <si>
    <t>agriculture; farming</t>
  </si>
  <si>
    <t>女士</t>
  </si>
  <si>
    <t>nǚ shì</t>
  </si>
  <si>
    <t>lady; Madam; Miss</t>
  </si>
  <si>
    <t>欧洲</t>
  </si>
  <si>
    <t>oū zhōu</t>
  </si>
  <si>
    <t>Europe</t>
  </si>
  <si>
    <t>偶然</t>
  </si>
  <si>
    <t>ǒu rán</t>
  </si>
  <si>
    <t>accidentally; fortuitous; incidental</t>
  </si>
  <si>
    <t>拍</t>
  </si>
  <si>
    <t>pāi</t>
  </si>
  <si>
    <t>to clap; slap; bat; racket; to take (a photo)</t>
  </si>
  <si>
    <t>派</t>
  </si>
  <si>
    <t>pài</t>
  </si>
  <si>
    <t>faction; clique; to dispatch</t>
  </si>
  <si>
    <t>盼望</t>
  </si>
  <si>
    <t>pàn wàng</t>
  </si>
  <si>
    <t>hope for; long for; yearn for</t>
  </si>
  <si>
    <t>赔偿</t>
  </si>
  <si>
    <t>péi cháng</t>
  </si>
  <si>
    <t>compensate for; pay for</t>
  </si>
  <si>
    <t>培训</t>
  </si>
  <si>
    <t>péi xùn</t>
  </si>
  <si>
    <t>training; cultivate</t>
  </si>
  <si>
    <t>培养</t>
  </si>
  <si>
    <t>péi yǎng</t>
  </si>
  <si>
    <t>train; foster</t>
  </si>
  <si>
    <t>佩服</t>
  </si>
  <si>
    <t>pèi fú</t>
  </si>
  <si>
    <t>to admire; have a high opinion of</t>
  </si>
  <si>
    <t>配合</t>
  </si>
  <si>
    <t>pèi hé</t>
  </si>
  <si>
    <t>suitable; fit; matching</t>
  </si>
  <si>
    <t>盆</t>
  </si>
  <si>
    <t>pén</t>
  </si>
  <si>
    <t>basin; tub; pot</t>
  </si>
  <si>
    <t>碰</t>
  </si>
  <si>
    <t>pèng</t>
  </si>
  <si>
    <t>to meet with</t>
  </si>
  <si>
    <t>批</t>
  </si>
  <si>
    <t>pī</t>
  </si>
  <si>
    <t>to criticize; refute; batch</t>
  </si>
  <si>
    <t>披</t>
  </si>
  <si>
    <t>to drape over one's shoulders; to wrap around; unroll</t>
  </si>
  <si>
    <t>批准</t>
  </si>
  <si>
    <t>pī zhǔn</t>
  </si>
  <si>
    <t>ratify; approve; authorise</t>
  </si>
  <si>
    <t>疲劳</t>
  </si>
  <si>
    <t>pí láo</t>
  </si>
  <si>
    <t>tired; fatigued; weary</t>
  </si>
  <si>
    <t>匹</t>
  </si>
  <si>
    <t>pǐ</t>
  </si>
  <si>
    <t>[measure word for horses and cloth]</t>
  </si>
  <si>
    <t>片</t>
  </si>
  <si>
    <t>[flat, thin piece of]; slice; flake</t>
  </si>
  <si>
    <t>片面</t>
  </si>
  <si>
    <t>piàn miàn</t>
  </si>
  <si>
    <t>unilateral; one-sided</t>
  </si>
  <si>
    <t>飘</t>
  </si>
  <si>
    <t>piāo</t>
  </si>
  <si>
    <t>wave to and fro; float; flutter</t>
  </si>
  <si>
    <t>拼音</t>
  </si>
  <si>
    <t>pīn yīn</t>
  </si>
  <si>
    <t>Pinyin [Chinese romanization system]</t>
  </si>
  <si>
    <t>频道</t>
  </si>
  <si>
    <t>pín dào</t>
  </si>
  <si>
    <t>(frequency) channel</t>
  </si>
  <si>
    <t>平</t>
  </si>
  <si>
    <t>píng</t>
  </si>
  <si>
    <t>flat; level; even; equal</t>
  </si>
  <si>
    <t>凭</t>
  </si>
  <si>
    <t>lean on; depend on; evidence</t>
  </si>
  <si>
    <t>平安</t>
  </si>
  <si>
    <t>píng ān</t>
  </si>
  <si>
    <t>peace, safe and sound</t>
  </si>
  <si>
    <t>平常</t>
  </si>
  <si>
    <t>píng cháng</t>
  </si>
  <si>
    <t>ordinarily; generally; usually</t>
  </si>
  <si>
    <t>平等</t>
  </si>
  <si>
    <t>píng děng</t>
  </si>
  <si>
    <t>equal; equality</t>
  </si>
  <si>
    <t>平方</t>
  </si>
  <si>
    <t>píng fāng</t>
  </si>
  <si>
    <t>square</t>
  </si>
  <si>
    <t>平衡</t>
  </si>
  <si>
    <t>píng héng</t>
  </si>
  <si>
    <t>balance; equilibrium</t>
  </si>
  <si>
    <t>评价</t>
  </si>
  <si>
    <t>píng jià</t>
  </si>
  <si>
    <t>appraise; evaluate; assess</t>
  </si>
  <si>
    <t>平静</t>
  </si>
  <si>
    <t>píng jìng</t>
  </si>
  <si>
    <t>calm; quiet; tranquil</t>
  </si>
  <si>
    <t>平均</t>
  </si>
  <si>
    <t>píng jūn</t>
  </si>
  <si>
    <t>average; mean; equally</t>
  </si>
  <si>
    <t>破产</t>
  </si>
  <si>
    <t>pò chǎn</t>
  </si>
  <si>
    <t>to go bankrupt; go broke; become insolvent</t>
  </si>
  <si>
    <t>破坏</t>
  </si>
  <si>
    <t>pò huài</t>
  </si>
  <si>
    <t>destroy; wreck; ruin</t>
  </si>
  <si>
    <t>迫切</t>
  </si>
  <si>
    <t>pò qiè</t>
  </si>
  <si>
    <t>期待</t>
  </si>
  <si>
    <t>qī dài</t>
  </si>
  <si>
    <t>anticipate; await; expect</t>
  </si>
  <si>
    <t>期间</t>
  </si>
  <si>
    <t>qī jiān</t>
  </si>
  <si>
    <t>time; period; duration</t>
  </si>
  <si>
    <t>奇迹</t>
  </si>
  <si>
    <t>qí jì</t>
  </si>
  <si>
    <t>miracle; wonder; marvel</t>
  </si>
  <si>
    <t>其余</t>
  </si>
  <si>
    <t>qí yú</t>
  </si>
  <si>
    <t>the others; rest; remainder</t>
  </si>
  <si>
    <t>启发</t>
  </si>
  <si>
    <t>qǐ fā</t>
  </si>
  <si>
    <t>inspire; illuminate; enlighten</t>
  </si>
  <si>
    <t>企业</t>
  </si>
  <si>
    <t>qǐ yè</t>
  </si>
  <si>
    <t>enterprise; establishment; business</t>
  </si>
  <si>
    <t>气氛</t>
  </si>
  <si>
    <t>qì fēn</t>
  </si>
  <si>
    <t>atmosphere; air</t>
  </si>
  <si>
    <t>汽油</t>
  </si>
  <si>
    <t>qì yóu</t>
  </si>
  <si>
    <t>gasoline; petrol</t>
  </si>
  <si>
    <t>签</t>
  </si>
  <si>
    <t>to sign</t>
  </si>
  <si>
    <t>谦虚</t>
  </si>
  <si>
    <t>qiān xū</t>
  </si>
  <si>
    <t>modest; self-effacing</t>
  </si>
  <si>
    <t>前途</t>
  </si>
  <si>
    <t>qián tú</t>
  </si>
  <si>
    <t>future; prospect; promise</t>
  </si>
  <si>
    <t>浅</t>
  </si>
  <si>
    <t>qiǎn</t>
  </si>
  <si>
    <t>light [colour]; shallow</t>
  </si>
  <si>
    <t>欠</t>
  </si>
  <si>
    <t>qiàn</t>
  </si>
  <si>
    <t>yawn; owe; be behind with</t>
  </si>
  <si>
    <t>枪</t>
  </si>
  <si>
    <t>qiāng</t>
  </si>
  <si>
    <t>spear; rifle; gun</t>
  </si>
  <si>
    <t>墙</t>
  </si>
  <si>
    <t>qiáng</t>
  </si>
  <si>
    <t>wall</t>
  </si>
  <si>
    <t>强调</t>
  </si>
  <si>
    <t>qiáng diào</t>
  </si>
  <si>
    <t>stress; emphasize; underline</t>
  </si>
  <si>
    <t>强烈</t>
  </si>
  <si>
    <t>qiáng liè</t>
  </si>
  <si>
    <t>strong; intense; violent</t>
  </si>
  <si>
    <t>抢</t>
  </si>
  <si>
    <t>qiǎng</t>
  </si>
  <si>
    <t>knock; grab; rob</t>
  </si>
  <si>
    <t>悄悄</t>
  </si>
  <si>
    <t>qiāo qiāo</t>
  </si>
  <si>
    <t>quietly; whisper; on the quiet</t>
  </si>
  <si>
    <t>瞧</t>
  </si>
  <si>
    <t>look; see</t>
  </si>
  <si>
    <t>巧妙</t>
  </si>
  <si>
    <t>qiǎo miào</t>
  </si>
  <si>
    <t>ingenious; clever</t>
  </si>
  <si>
    <t>切</t>
  </si>
  <si>
    <t>qiē</t>
  </si>
  <si>
    <t>cut; slice</t>
  </si>
  <si>
    <t>亲爱</t>
  </si>
  <si>
    <t>qīn ài</t>
  </si>
  <si>
    <t>dear; beloved</t>
  </si>
  <si>
    <t>亲切</t>
  </si>
  <si>
    <t>qīn qiè</t>
  </si>
  <si>
    <t>kind; amiable; cordial</t>
  </si>
  <si>
    <t>亲自</t>
  </si>
  <si>
    <t>qīn zì</t>
  </si>
  <si>
    <t>in person; oneself</t>
  </si>
  <si>
    <t>勤奋</t>
  </si>
  <si>
    <t>qín fèn</t>
  </si>
  <si>
    <t>diligent; assiduous; industrious</t>
  </si>
  <si>
    <t>青</t>
  </si>
  <si>
    <t>blue or green [colour of water or grass]</t>
  </si>
  <si>
    <t>青春</t>
  </si>
  <si>
    <t>qīng chūn</t>
  </si>
  <si>
    <t>youth</t>
  </si>
  <si>
    <t>清淡</t>
  </si>
  <si>
    <t>qīng dàn</t>
  </si>
  <si>
    <t>light; mild; delicate</t>
  </si>
  <si>
    <t>青少年</t>
  </si>
  <si>
    <t>qīng shào nián</t>
  </si>
  <si>
    <t>youngsters</t>
  </si>
  <si>
    <t>轻视</t>
  </si>
  <si>
    <t>qīng shì</t>
  </si>
  <si>
    <t>despise; look down on</t>
  </si>
  <si>
    <t>轻易</t>
  </si>
  <si>
    <t>qīng yì</t>
  </si>
  <si>
    <t>easily</t>
  </si>
  <si>
    <t>情景</t>
  </si>
  <si>
    <t>qíng jǐng</t>
  </si>
  <si>
    <t>scene; sight; circumstances</t>
  </si>
  <si>
    <t>情绪</t>
  </si>
  <si>
    <t>qíng xù</t>
  </si>
  <si>
    <t>mood; sentiments; feeling</t>
  </si>
  <si>
    <t>请求</t>
  </si>
  <si>
    <t>qǐng qiú</t>
  </si>
  <si>
    <t>request; demand; beg</t>
  </si>
  <si>
    <t>庆祝</t>
  </si>
  <si>
    <t>qìng zhù</t>
  </si>
  <si>
    <t>celebration(s); to celebrate</t>
  </si>
  <si>
    <t>球迷</t>
  </si>
  <si>
    <t>qiú mí</t>
  </si>
  <si>
    <t>fan (of a ball sport)</t>
  </si>
  <si>
    <t>趋势</t>
  </si>
  <si>
    <t>qū shì</t>
  </si>
  <si>
    <t>trend; tendency</t>
  </si>
  <si>
    <t>娶</t>
  </si>
  <si>
    <t>marry [a woman]</t>
  </si>
  <si>
    <t>取消</t>
  </si>
  <si>
    <t>qǔ xiāo</t>
  </si>
  <si>
    <t>cancel; call off; abolish</t>
  </si>
  <si>
    <t>去世</t>
  </si>
  <si>
    <t>qù shì</t>
  </si>
  <si>
    <t>die; pass away</t>
  </si>
  <si>
    <t>圈</t>
  </si>
  <si>
    <t>quān</t>
  </si>
  <si>
    <t>circle; ring</t>
  </si>
  <si>
    <t>权力</t>
  </si>
  <si>
    <t>quán lì</t>
  </si>
  <si>
    <t>power; authority</t>
  </si>
  <si>
    <t>权利</t>
  </si>
  <si>
    <t>(legal) right; interest</t>
  </si>
  <si>
    <t>全面</t>
  </si>
  <si>
    <t>quán miàn</t>
  </si>
  <si>
    <t>all-round; entire; comprehensive;</t>
  </si>
  <si>
    <t>劝</t>
  </si>
  <si>
    <t>quàn</t>
  </si>
  <si>
    <t>advise; urge; try to persuade</t>
  </si>
  <si>
    <t>缺乏</t>
  </si>
  <si>
    <t>quē fá</t>
  </si>
  <si>
    <t>be short of; lack; deficiency</t>
  </si>
  <si>
    <t>确定</t>
  </si>
  <si>
    <t>què dìng</t>
  </si>
  <si>
    <t>define; fix; determine</t>
  </si>
  <si>
    <t>确认</t>
  </si>
  <si>
    <t>què rèn</t>
  </si>
  <si>
    <t>affirm; confirm; acknowledge</t>
  </si>
  <si>
    <t>群</t>
  </si>
  <si>
    <t>qún</t>
  </si>
  <si>
    <t>group</t>
  </si>
  <si>
    <t>燃烧</t>
  </si>
  <si>
    <t>rán shāo</t>
  </si>
  <si>
    <t>burn; kindle; set on fire</t>
  </si>
  <si>
    <t>绕</t>
  </si>
  <si>
    <t>rào</t>
  </si>
  <si>
    <t>wind; coil; move round</t>
  </si>
  <si>
    <t>热爱</t>
  </si>
  <si>
    <t>rè ài</t>
  </si>
  <si>
    <t>have deep love for; love heartily</t>
  </si>
  <si>
    <t>热烈</t>
  </si>
  <si>
    <t>rè liè</t>
  </si>
  <si>
    <t>warm; heartily; fervent</t>
  </si>
  <si>
    <t>热心</t>
  </si>
  <si>
    <t>rè xīn</t>
  </si>
  <si>
    <t>enthusiastic; ardent; earnest</t>
  </si>
  <si>
    <t>人才</t>
  </si>
  <si>
    <t>rén cái</t>
  </si>
  <si>
    <t>a talented person; talent</t>
  </si>
  <si>
    <t>人口</t>
  </si>
  <si>
    <t>rén kǒu</t>
  </si>
  <si>
    <t>population</t>
  </si>
  <si>
    <t>人类</t>
  </si>
  <si>
    <t>rén lèi</t>
  </si>
  <si>
    <t>humanity</t>
  </si>
  <si>
    <t>人民币</t>
  </si>
  <si>
    <t>rén mín bì</t>
  </si>
  <si>
    <t>Renminbi [Chinese currency]</t>
  </si>
  <si>
    <t>人生</t>
  </si>
  <si>
    <t>rén shēng</t>
  </si>
  <si>
    <t>[human] life</t>
  </si>
  <si>
    <t>人事</t>
  </si>
  <si>
    <t>rén shì</t>
  </si>
  <si>
    <t>human affairs matters; ways of the world</t>
  </si>
  <si>
    <t>人物</t>
  </si>
  <si>
    <t>rén wù</t>
  </si>
  <si>
    <t>character; figure; personage</t>
  </si>
  <si>
    <t>人员</t>
  </si>
  <si>
    <t>rén yuán</t>
  </si>
  <si>
    <t>personnel; staff</t>
  </si>
  <si>
    <t>忍不住</t>
  </si>
  <si>
    <t>rěn bu zhù</t>
  </si>
  <si>
    <t>unbearable; unable to restrain</t>
  </si>
  <si>
    <t>日常</t>
  </si>
  <si>
    <t>rì cháng</t>
  </si>
  <si>
    <t>day-to-day; everyday; usual</t>
  </si>
  <si>
    <t>日程</t>
  </si>
  <si>
    <t>rì chéng</t>
  </si>
  <si>
    <t>programme; schedule; agenda for the day</t>
  </si>
  <si>
    <t>日历</t>
  </si>
  <si>
    <t>rì lì</t>
  </si>
  <si>
    <t>calendar</t>
  </si>
  <si>
    <t>日期</t>
  </si>
  <si>
    <t>rì qī</t>
  </si>
  <si>
    <t>date</t>
  </si>
  <si>
    <t>日用品</t>
  </si>
  <si>
    <t>rì yòng pǐn</t>
  </si>
  <si>
    <t>articles for everyday use</t>
  </si>
  <si>
    <t>日子</t>
  </si>
  <si>
    <t>rì zi</t>
  </si>
  <si>
    <t>如何</t>
  </si>
  <si>
    <t>rú hé</t>
  </si>
  <si>
    <t>how</t>
  </si>
  <si>
    <t>如今</t>
  </si>
  <si>
    <t>rú jīn</t>
  </si>
  <si>
    <t>nowadays; these days</t>
  </si>
  <si>
    <t>软</t>
  </si>
  <si>
    <t>ruǎn</t>
  </si>
  <si>
    <t>soft</t>
  </si>
  <si>
    <t>软件</t>
  </si>
  <si>
    <t>ruǎn jiàn</t>
  </si>
  <si>
    <t>software</t>
  </si>
  <si>
    <t>弱</t>
  </si>
  <si>
    <t>ruò</t>
  </si>
  <si>
    <t>weak; feeble</t>
  </si>
  <si>
    <t>洒</t>
  </si>
  <si>
    <t>sǎ</t>
  </si>
  <si>
    <t>sprinkle; spray; spill</t>
  </si>
  <si>
    <t>嗓子</t>
  </si>
  <si>
    <t>sǎng zi</t>
  </si>
  <si>
    <t>throat; larynx</t>
  </si>
  <si>
    <t>色彩</t>
  </si>
  <si>
    <t>sè cǎi</t>
  </si>
  <si>
    <t>colour; hue; tint</t>
  </si>
  <si>
    <t>杀</t>
  </si>
  <si>
    <t>shā</t>
  </si>
  <si>
    <t>kill; slaughter; in the extreme</t>
  </si>
  <si>
    <t>沙漠</t>
  </si>
  <si>
    <t>shā mò</t>
  </si>
  <si>
    <t>desert</t>
  </si>
  <si>
    <t>沙滩</t>
  </si>
  <si>
    <t>shā tān</t>
  </si>
  <si>
    <t>beach</t>
  </si>
  <si>
    <t>傻</t>
  </si>
  <si>
    <t>shǎ</t>
  </si>
  <si>
    <t>stupid; muddleheaded; silly</t>
  </si>
  <si>
    <t>晒</t>
  </si>
  <si>
    <t>shài</t>
  </si>
  <si>
    <t>shine upon; dry in the sun; bask</t>
  </si>
  <si>
    <t>删除</t>
  </si>
  <si>
    <t>shān chú</t>
  </si>
  <si>
    <t>to delete; strike out; cut out</t>
  </si>
  <si>
    <t>闪电</t>
  </si>
  <si>
    <t>shǎn diàn</t>
  </si>
  <si>
    <t>lightning</t>
  </si>
  <si>
    <t>善良</t>
  </si>
  <si>
    <t>shàn liáng</t>
  </si>
  <si>
    <t>good and honest; kindhearted</t>
  </si>
  <si>
    <t>善于</t>
  </si>
  <si>
    <t>shàn yú</t>
  </si>
  <si>
    <t>be good at; be adept in</t>
  </si>
  <si>
    <t>扇子</t>
  </si>
  <si>
    <t>shàn zi</t>
  </si>
  <si>
    <t>fan</t>
  </si>
  <si>
    <t>伤害</t>
  </si>
  <si>
    <t>shāng hài</t>
  </si>
  <si>
    <t>to injure</t>
  </si>
  <si>
    <t>商品</t>
  </si>
  <si>
    <t>shāng pǐn</t>
  </si>
  <si>
    <t>goods; merchandise; wares</t>
  </si>
  <si>
    <t>商务</t>
  </si>
  <si>
    <t>shāng wù</t>
  </si>
  <si>
    <t>commercial affairs</t>
  </si>
  <si>
    <t>商业</t>
  </si>
  <si>
    <t>shāng yè</t>
  </si>
  <si>
    <t>commerce; trade; business</t>
  </si>
  <si>
    <t>上当</t>
  </si>
  <si>
    <t>shàng dàng</t>
  </si>
  <si>
    <t>be taken in; be fooled; be duped</t>
  </si>
  <si>
    <t>蛇</t>
  </si>
  <si>
    <t>shé</t>
  </si>
  <si>
    <t>snake; serpent</t>
  </si>
  <si>
    <t>舍不得</t>
  </si>
  <si>
    <t>shě bu de</t>
  </si>
  <si>
    <t>hate to part with; be loath to leave</t>
  </si>
  <si>
    <t>设备</t>
  </si>
  <si>
    <t>shè bèi</t>
  </si>
  <si>
    <t>equipment; device</t>
  </si>
  <si>
    <t>射击</t>
  </si>
  <si>
    <t>shè jī</t>
  </si>
  <si>
    <t>shoot; fire</t>
  </si>
  <si>
    <t>设计</t>
  </si>
  <si>
    <t>shè jì</t>
  </si>
  <si>
    <t>design</t>
  </si>
  <si>
    <t>设施</t>
  </si>
  <si>
    <t>shè shī</t>
  </si>
  <si>
    <t>facilities</t>
  </si>
  <si>
    <t>摄影</t>
  </si>
  <si>
    <t>shè yǐng</t>
  </si>
  <si>
    <t>take a photograph; shoot a film</t>
  </si>
  <si>
    <t>伸</t>
  </si>
  <si>
    <t>stretch; extend</t>
  </si>
  <si>
    <t>身材</t>
  </si>
  <si>
    <t>shēn cái</t>
  </si>
  <si>
    <t>stature; figure</t>
  </si>
  <si>
    <t>身份</t>
  </si>
  <si>
    <t>shēn fèn</t>
  </si>
  <si>
    <t>identity</t>
  </si>
  <si>
    <t>深刻</t>
  </si>
  <si>
    <t>shēn kè</t>
  </si>
  <si>
    <t>deep; profound</t>
  </si>
  <si>
    <t>神话</t>
  </si>
  <si>
    <t>shén huà</t>
  </si>
  <si>
    <t>myth; fairy tale</t>
  </si>
  <si>
    <t>神秘</t>
  </si>
  <si>
    <t>shén mì</t>
  </si>
  <si>
    <t>mysterious; mystical</t>
  </si>
  <si>
    <t>升</t>
  </si>
  <si>
    <t>shēng</t>
  </si>
  <si>
    <t>litre; to promote; to rise</t>
  </si>
  <si>
    <t>生产</t>
  </si>
  <si>
    <t>shēng chǎn</t>
  </si>
  <si>
    <t>produce; manufacture; give birth to</t>
  </si>
  <si>
    <t>声调</t>
  </si>
  <si>
    <t>shēng diào</t>
  </si>
  <si>
    <t>tone; pitch of voice</t>
  </si>
  <si>
    <t>生动</t>
  </si>
  <si>
    <t>shēng dòng</t>
  </si>
  <si>
    <t>lively; vivid</t>
  </si>
  <si>
    <t>生长</t>
  </si>
  <si>
    <t>shēng zhǎng</t>
  </si>
  <si>
    <t>绳子</t>
  </si>
  <si>
    <t>shéng zi</t>
  </si>
  <si>
    <t>cord; rope; string</t>
  </si>
  <si>
    <t>省略</t>
  </si>
  <si>
    <t>shěng lüè</t>
  </si>
  <si>
    <t>leave out; omit; abbreviation</t>
  </si>
  <si>
    <t>胜利</t>
  </si>
  <si>
    <t>shèng lì</t>
  </si>
  <si>
    <t>win; victory; triumph</t>
  </si>
  <si>
    <t>诗</t>
  </si>
  <si>
    <t>shī</t>
  </si>
  <si>
    <t>poetry; verse</t>
  </si>
  <si>
    <t>失眠</t>
  </si>
  <si>
    <t>shī mián</t>
  </si>
  <si>
    <t>lose sleep; wakefulness; insomnia</t>
  </si>
  <si>
    <t>失去</t>
  </si>
  <si>
    <t>shī qù</t>
  </si>
  <si>
    <t>湿润</t>
  </si>
  <si>
    <t>shī rùn</t>
  </si>
  <si>
    <t>moist</t>
  </si>
  <si>
    <t>失业</t>
  </si>
  <si>
    <t>shī yè</t>
  </si>
  <si>
    <t>lose one's job; be out of work; be unemployed</t>
  </si>
  <si>
    <t>狮子</t>
  </si>
  <si>
    <t>shī zi</t>
  </si>
  <si>
    <t>lion</t>
  </si>
  <si>
    <t>时差</t>
  </si>
  <si>
    <t>shí chā</t>
  </si>
  <si>
    <t>time difference</t>
  </si>
  <si>
    <t>时代</t>
  </si>
  <si>
    <t>shí dài</t>
  </si>
  <si>
    <t>times; age; era</t>
  </si>
  <si>
    <t>实话</t>
  </si>
  <si>
    <t>shí huà</t>
  </si>
  <si>
    <t>truth</t>
  </si>
  <si>
    <t>实践</t>
  </si>
  <si>
    <t>shí jiàn</t>
  </si>
  <si>
    <t>put into practice; carry out</t>
  </si>
  <si>
    <t>时刻</t>
  </si>
  <si>
    <t>shí kè</t>
  </si>
  <si>
    <t>time; hour; moment</t>
  </si>
  <si>
    <t>时髦</t>
  </si>
  <si>
    <t>shí máo</t>
  </si>
  <si>
    <t>fashionable; stylish; in vogue</t>
  </si>
  <si>
    <t>时期</t>
  </si>
  <si>
    <t>shí qī</t>
  </si>
  <si>
    <t>period</t>
  </si>
  <si>
    <t>时尚</t>
  </si>
  <si>
    <t>shí shàng</t>
  </si>
  <si>
    <t>vogue; trend; fashion</t>
  </si>
  <si>
    <t>石头</t>
  </si>
  <si>
    <t>shí tou</t>
  </si>
  <si>
    <t>rock; stone</t>
  </si>
  <si>
    <t>食物</t>
  </si>
  <si>
    <t>shí wù</t>
  </si>
  <si>
    <t>food</t>
  </si>
  <si>
    <t>实习</t>
  </si>
  <si>
    <t>shí xí</t>
  </si>
  <si>
    <t>practice; fieldwork; internship</t>
  </si>
  <si>
    <t>实现</t>
  </si>
  <si>
    <t>shí xiàn</t>
  </si>
  <si>
    <t>realise; achieve; bring about</t>
  </si>
  <si>
    <t>实验</t>
  </si>
  <si>
    <t>shí yàn</t>
  </si>
  <si>
    <t>experiment; test; trial run</t>
  </si>
  <si>
    <t>实用</t>
  </si>
  <si>
    <t>shí yòng</t>
  </si>
  <si>
    <t>practical; pragmatic; functional</t>
  </si>
  <si>
    <t>使劲儿</t>
  </si>
  <si>
    <t>shǐ jìn er</t>
  </si>
  <si>
    <t>exert all one's strength</t>
  </si>
  <si>
    <t>始终</t>
  </si>
  <si>
    <t>shǐ zhōng</t>
  </si>
  <si>
    <t>from beginning to end; from start to finish; throughout</t>
  </si>
  <si>
    <t>士兵</t>
  </si>
  <si>
    <t>shì bīng</t>
  </si>
  <si>
    <t>private; rank-and-file soldier</t>
  </si>
  <si>
    <t>市场</t>
  </si>
  <si>
    <t>shì chǎng</t>
  </si>
  <si>
    <t>market</t>
  </si>
  <si>
    <t>似的</t>
  </si>
  <si>
    <t>shì de</t>
  </si>
  <si>
    <t>as; -like</t>
  </si>
  <si>
    <t>试卷</t>
  </si>
  <si>
    <t>shì juàn</t>
  </si>
  <si>
    <t>examination paper; test paper</t>
  </si>
  <si>
    <t>事实</t>
  </si>
  <si>
    <t>shì shí</t>
  </si>
  <si>
    <t>fact</t>
  </si>
  <si>
    <t>事物</t>
  </si>
  <si>
    <t>shì wù</t>
  </si>
  <si>
    <t>thing; object</t>
  </si>
  <si>
    <t>事先</t>
  </si>
  <si>
    <t>shì xiān</t>
  </si>
  <si>
    <t>in advance; beforehand</t>
  </si>
  <si>
    <t>收获</t>
  </si>
  <si>
    <t>shōu huò</t>
  </si>
  <si>
    <t>gather in the crops; harvest; reap</t>
  </si>
  <si>
    <t>收据</t>
  </si>
  <si>
    <t>shōu jù</t>
  </si>
  <si>
    <t>receipt; acquittance</t>
  </si>
  <si>
    <t>首</t>
  </si>
  <si>
    <t>shǒu</t>
  </si>
  <si>
    <t>first (occasion, thing etc.)</t>
  </si>
  <si>
    <t>手工</t>
  </si>
  <si>
    <t>shǒu gōng</t>
  </si>
  <si>
    <t>by hand; manual; handmade</t>
  </si>
  <si>
    <t>手术</t>
  </si>
  <si>
    <t>shǒu shù</t>
  </si>
  <si>
    <t>surgical operation; operation</t>
  </si>
  <si>
    <t>手套</t>
  </si>
  <si>
    <t>shǒu tào</t>
  </si>
  <si>
    <t>gloves</t>
  </si>
  <si>
    <t>手续</t>
  </si>
  <si>
    <t>shǒu xù</t>
  </si>
  <si>
    <t>procedures; routine; process</t>
  </si>
  <si>
    <t>手指</t>
  </si>
  <si>
    <t>shǒu zhǐ</t>
  </si>
  <si>
    <t>finger</t>
  </si>
  <si>
    <t>寿命</t>
  </si>
  <si>
    <t>shòu mìng</t>
  </si>
  <si>
    <t>life span; lifetime</t>
  </si>
  <si>
    <t>受伤</t>
  </si>
  <si>
    <t>shòu shāng</t>
  </si>
  <si>
    <t>be injured; be wounded</t>
  </si>
  <si>
    <t>蔬菜</t>
  </si>
  <si>
    <t>shū cài</t>
  </si>
  <si>
    <t>vegetables</t>
  </si>
  <si>
    <t>书架</t>
  </si>
  <si>
    <t>shū jià</t>
  </si>
  <si>
    <t>bookcase</t>
  </si>
  <si>
    <t>输入</t>
  </si>
  <si>
    <t>shū rù</t>
  </si>
  <si>
    <t>to import; input; entry</t>
  </si>
  <si>
    <t>舒适</t>
  </si>
  <si>
    <t>shū shì</t>
  </si>
  <si>
    <t>comfortable; cosy; snug</t>
  </si>
  <si>
    <t>梳子</t>
  </si>
  <si>
    <t>shū zi</t>
  </si>
  <si>
    <t>comb</t>
  </si>
  <si>
    <t>熟练</t>
  </si>
  <si>
    <t>shú liàn</t>
  </si>
  <si>
    <t>skilled; practised; proficient</t>
  </si>
  <si>
    <t>shǔ</t>
  </si>
  <si>
    <t>frequently; repeatedly</t>
  </si>
  <si>
    <t>鼠标</t>
  </si>
  <si>
    <t>shǔ biāo</t>
  </si>
  <si>
    <t>mouse [in computing]</t>
  </si>
  <si>
    <t>属于</t>
  </si>
  <si>
    <t>shǔ yú</t>
  </si>
  <si>
    <t>belong to; be part of; pertain to</t>
  </si>
  <si>
    <t>数据</t>
  </si>
  <si>
    <t>shù jù</t>
  </si>
  <si>
    <t>data</t>
  </si>
  <si>
    <t>数码</t>
  </si>
  <si>
    <t>shù mǎ</t>
  </si>
  <si>
    <t>numerical code; digit; figure</t>
  </si>
  <si>
    <t>摔倒</t>
  </si>
  <si>
    <t>shuāi dǎo</t>
  </si>
  <si>
    <t>to fall down</t>
  </si>
  <si>
    <t>甩</t>
  </si>
  <si>
    <t>shuǎi</t>
  </si>
  <si>
    <t>to move backward and forward; to swing</t>
  </si>
  <si>
    <t>双方</t>
  </si>
  <si>
    <t>shuāng fāng</t>
  </si>
  <si>
    <t>both sides; mutual</t>
  </si>
  <si>
    <t>税</t>
  </si>
  <si>
    <t>shuì</t>
  </si>
  <si>
    <t>tax; duty</t>
  </si>
  <si>
    <t>说不定</t>
  </si>
  <si>
    <t>shuō bu dìng</t>
  </si>
  <si>
    <t>说服</t>
  </si>
  <si>
    <t>shuō fú</t>
  </si>
  <si>
    <t>to convince; persuade</t>
  </si>
  <si>
    <t>撕</t>
  </si>
  <si>
    <t>sī</t>
  </si>
  <si>
    <t>tear; rip</t>
  </si>
  <si>
    <t>丝绸</t>
  </si>
  <si>
    <t>sī chóu</t>
  </si>
  <si>
    <t>silk</t>
  </si>
  <si>
    <t>丝毫</t>
  </si>
  <si>
    <t>sī háo</t>
  </si>
  <si>
    <t>the slightest amount</t>
  </si>
  <si>
    <t>思考</t>
  </si>
  <si>
    <t>sī kǎo</t>
  </si>
  <si>
    <t>ponder; reflect on; deliberate</t>
  </si>
  <si>
    <t>私人</t>
  </si>
  <si>
    <t>sī rén</t>
  </si>
  <si>
    <t>private; personal</t>
  </si>
  <si>
    <t>思想</t>
  </si>
  <si>
    <t>sī xiǎng</t>
  </si>
  <si>
    <t>thought; idea</t>
  </si>
  <si>
    <t>似乎</t>
  </si>
  <si>
    <t>sì hū</t>
  </si>
  <si>
    <t>it seems; as if; it looks like</t>
  </si>
  <si>
    <t>搜索</t>
  </si>
  <si>
    <t>sōu suǒ</t>
  </si>
  <si>
    <t>search for; hunt for; scout around</t>
  </si>
  <si>
    <t>宿舍</t>
  </si>
  <si>
    <t>sù shè</t>
  </si>
  <si>
    <t>dormitory; digs</t>
  </si>
  <si>
    <t>随身</t>
  </si>
  <si>
    <t>suí shēn</t>
  </si>
  <si>
    <t>carry ... with one; with one</t>
  </si>
  <si>
    <t>随时</t>
  </si>
  <si>
    <t>suí shí</t>
  </si>
  <si>
    <t>at any time</t>
  </si>
  <si>
    <t>随手</t>
  </si>
  <si>
    <t>suí shǒu</t>
  </si>
  <si>
    <t>conveniently; without extra trouble</t>
  </si>
  <si>
    <t>碎</t>
  </si>
  <si>
    <t>to break to pieces; smash; fragmentary</t>
  </si>
  <si>
    <t>损失</t>
  </si>
  <si>
    <t>sǔn shī</t>
  </si>
  <si>
    <t>lose; loss; wastage</t>
  </si>
  <si>
    <t>缩短</t>
  </si>
  <si>
    <t>suō duǎn</t>
  </si>
  <si>
    <t>shorten; curtail; cut down</t>
  </si>
  <si>
    <t>锁</t>
  </si>
  <si>
    <t>suǒ</t>
  </si>
  <si>
    <t>lock</t>
  </si>
  <si>
    <t>所</t>
  </si>
  <si>
    <t>[2nd syllable of many places]; [measure word for houses, buildings, institutions]</t>
  </si>
  <si>
    <t>台阶</t>
  </si>
  <si>
    <t>tái jiē</t>
  </si>
  <si>
    <t>step; altar; bench</t>
  </si>
  <si>
    <t>太极拳</t>
  </si>
  <si>
    <t>tài jí quán</t>
  </si>
  <si>
    <t>taijiquan.[a kind of traditional Chinese shadow boxing]</t>
  </si>
  <si>
    <t>太太</t>
  </si>
  <si>
    <t>tài tai</t>
  </si>
  <si>
    <t>Mrs; Madam</t>
  </si>
  <si>
    <t>谈判</t>
  </si>
  <si>
    <t>tán pàn</t>
  </si>
  <si>
    <t>negotiations; talks</t>
  </si>
  <si>
    <t>坦率</t>
  </si>
  <si>
    <t>tǎn shuài</t>
  </si>
  <si>
    <t>candid; frank; outspoken</t>
  </si>
  <si>
    <t>烫</t>
  </si>
  <si>
    <t>burn; scald; heat up in hot water</t>
  </si>
  <si>
    <t>逃</t>
  </si>
  <si>
    <t>táo</t>
  </si>
  <si>
    <t>run away; flee; escape</t>
  </si>
  <si>
    <t>桃</t>
  </si>
  <si>
    <t>peach</t>
  </si>
  <si>
    <t>逃避</t>
  </si>
  <si>
    <t>táo bì</t>
  </si>
  <si>
    <t>escape; evade; shirk</t>
  </si>
  <si>
    <t>淘气</t>
  </si>
  <si>
    <t>táo qì</t>
  </si>
  <si>
    <t>naughty; mischievous</t>
  </si>
  <si>
    <t>讨价还价</t>
  </si>
  <si>
    <t>tǎo jià huán jià</t>
  </si>
  <si>
    <t>bargain/barter with somebody for something</t>
  </si>
  <si>
    <t>套</t>
  </si>
  <si>
    <t>tào</t>
  </si>
  <si>
    <t>cover; case; set</t>
  </si>
  <si>
    <t>特色</t>
  </si>
  <si>
    <t>tè sè</t>
  </si>
  <si>
    <t>characteristic; distinguishing feature</t>
  </si>
  <si>
    <t>特殊</t>
  </si>
  <si>
    <t>tè shū</t>
  </si>
  <si>
    <t>special; particular; exceptional</t>
  </si>
  <si>
    <t>特征</t>
  </si>
  <si>
    <t>tè zhēng</t>
  </si>
  <si>
    <t>characteristic; feature; property</t>
  </si>
  <si>
    <t>疼爱</t>
  </si>
  <si>
    <t>téng ài</t>
  </si>
  <si>
    <t>be very fond of; love dearly</t>
  </si>
  <si>
    <t>提倡</t>
  </si>
  <si>
    <t>tí chàng</t>
  </si>
  <si>
    <t>advocate; promote; recommend</t>
  </si>
  <si>
    <t>提纲</t>
  </si>
  <si>
    <t>tí gāng</t>
  </si>
  <si>
    <t>outline; syllabus; synopsis</t>
  </si>
  <si>
    <t>题目</t>
  </si>
  <si>
    <t>tí mù</t>
  </si>
  <si>
    <t>topic; subject; title</t>
  </si>
  <si>
    <t>提问</t>
  </si>
  <si>
    <t>tí wèn</t>
  </si>
  <si>
    <t>ask a question; put questions to; quiz</t>
  </si>
  <si>
    <t>体会</t>
  </si>
  <si>
    <t>tǐ huì</t>
  </si>
  <si>
    <t>know from experience</t>
  </si>
  <si>
    <t>体贴</t>
  </si>
  <si>
    <t>tǐ tiē</t>
  </si>
  <si>
    <t>show consideration for</t>
  </si>
  <si>
    <t>体现</t>
  </si>
  <si>
    <t>tǐ xiàn</t>
  </si>
  <si>
    <t>embody; reflect; give expression to</t>
  </si>
  <si>
    <t>体验</t>
  </si>
  <si>
    <t>tǐ yàn</t>
  </si>
  <si>
    <t>experience; learn through practice</t>
  </si>
  <si>
    <t>天空</t>
  </si>
  <si>
    <t>tiān kōng</t>
  </si>
  <si>
    <t>sky; the heavens</t>
  </si>
  <si>
    <t>天真</t>
  </si>
  <si>
    <t>tiān zhēn</t>
  </si>
  <si>
    <t>innocent; naive</t>
  </si>
  <si>
    <t>调皮</t>
  </si>
  <si>
    <t>tiáo pí</t>
  </si>
  <si>
    <t>调整</t>
  </si>
  <si>
    <t>tiáo zhěng</t>
  </si>
  <si>
    <t>to adjust; tune-up; trim</t>
  </si>
  <si>
    <t>挑战</t>
  </si>
  <si>
    <t>tiǎo zhàn</t>
  </si>
  <si>
    <t>throw down the gauntlet; challenge</t>
  </si>
  <si>
    <t>通常</t>
  </si>
  <si>
    <t>tōng cháng</t>
  </si>
  <si>
    <t>general; usual; normal</t>
  </si>
  <si>
    <t>统一</t>
  </si>
  <si>
    <t>tǒng yī</t>
  </si>
  <si>
    <t>unify; unite; integrate</t>
  </si>
  <si>
    <t>痛苦</t>
  </si>
  <si>
    <t>tòng kǔ</t>
  </si>
  <si>
    <t>pain; agony; sore</t>
  </si>
  <si>
    <t>痛快</t>
  </si>
  <si>
    <t>tòng kuài</t>
  </si>
  <si>
    <t>very happy; delighted; joyful</t>
  </si>
  <si>
    <t>偷</t>
  </si>
  <si>
    <t>tōu</t>
  </si>
  <si>
    <t>steal</t>
  </si>
  <si>
    <t>投入</t>
  </si>
  <si>
    <t>tóu rù</t>
  </si>
  <si>
    <t>invest, put into</t>
  </si>
  <si>
    <t>投资</t>
  </si>
  <si>
    <t>tóu zī</t>
  </si>
  <si>
    <t>invest</t>
  </si>
  <si>
    <t>透明</t>
  </si>
  <si>
    <t>tòu míng</t>
  </si>
  <si>
    <t>transparent</t>
  </si>
  <si>
    <t>突出</t>
  </si>
  <si>
    <t>tū chū</t>
  </si>
  <si>
    <t>protruding; sticking out; outstanding</t>
  </si>
  <si>
    <t>土地</t>
  </si>
  <si>
    <t>tǔ dì</t>
  </si>
  <si>
    <t>territory; local god of the land</t>
  </si>
  <si>
    <t>土豆</t>
  </si>
  <si>
    <t>tǔ dòu</t>
  </si>
  <si>
    <t>potato</t>
  </si>
  <si>
    <t>吐</t>
  </si>
  <si>
    <t>tù</t>
  </si>
  <si>
    <t>vomit; throw up; cough up</t>
  </si>
  <si>
    <t>兔子</t>
  </si>
  <si>
    <t>tù zi</t>
  </si>
  <si>
    <t>rabbit; hare</t>
  </si>
  <si>
    <t>团</t>
  </si>
  <si>
    <t>tuán</t>
  </si>
  <si>
    <t>dumpling; [something shaped like a ball]; [measure word for ball-like things]</t>
  </si>
  <si>
    <t>推辞</t>
  </si>
  <si>
    <t>tuī cí</t>
  </si>
  <si>
    <t>decline</t>
  </si>
  <si>
    <t>推广</t>
  </si>
  <si>
    <t>tuī guǎng</t>
  </si>
  <si>
    <t>popularise; spread; generalisation</t>
  </si>
  <si>
    <t>推荐</t>
  </si>
  <si>
    <t>tuī jiàn</t>
  </si>
  <si>
    <t>recommend</t>
  </si>
  <si>
    <t>退</t>
  </si>
  <si>
    <t>tuì</t>
  </si>
  <si>
    <t>to retreat; draw back</t>
  </si>
  <si>
    <t>退步</t>
  </si>
  <si>
    <t>tuì bù</t>
  </si>
  <si>
    <t>fall behind; to do less well than before</t>
  </si>
  <si>
    <t>退休</t>
  </si>
  <si>
    <t>tuì xiū</t>
  </si>
  <si>
    <t>retire</t>
  </si>
  <si>
    <t>歪</t>
  </si>
  <si>
    <t>wāi</t>
  </si>
  <si>
    <t>askew; oblique; slanting</t>
  </si>
  <si>
    <t>外公</t>
  </si>
  <si>
    <t>wài gōng</t>
  </si>
  <si>
    <t>grandfather</t>
  </si>
  <si>
    <t>外交</t>
  </si>
  <si>
    <t>wài jiāo</t>
  </si>
  <si>
    <t>diplomacy; foreign affairs</t>
  </si>
  <si>
    <t>玩具</t>
  </si>
  <si>
    <t>wán jù</t>
  </si>
  <si>
    <t>toy</t>
  </si>
  <si>
    <t>完美</t>
  </si>
  <si>
    <t>wán měi</t>
  </si>
  <si>
    <t>perfect; flawless</t>
  </si>
  <si>
    <t>完善</t>
  </si>
  <si>
    <t>wán shàn</t>
  </si>
  <si>
    <t>perfect; to improve and perfect</t>
  </si>
  <si>
    <t>完整</t>
  </si>
  <si>
    <t>wán zhěng</t>
  </si>
  <si>
    <t>complete; integrated; whole</t>
  </si>
  <si>
    <t>万一</t>
  </si>
  <si>
    <t>wàn yī</t>
  </si>
  <si>
    <t>just in case; if by any chance</t>
  </si>
  <si>
    <t>王子</t>
  </si>
  <si>
    <t>wáng zǐ</t>
  </si>
  <si>
    <t>prince; king's son</t>
  </si>
  <si>
    <t>往返</t>
  </si>
  <si>
    <t>wǎng fǎn</t>
  </si>
  <si>
    <t>go there and back; come and go</t>
  </si>
  <si>
    <t>网络</t>
  </si>
  <si>
    <t>wǎng luò</t>
  </si>
  <si>
    <t>network</t>
  </si>
  <si>
    <t>危害</t>
  </si>
  <si>
    <t>wēi hài</t>
  </si>
  <si>
    <t>harm; detriment; damage</t>
  </si>
  <si>
    <t>微笑</t>
  </si>
  <si>
    <t>wēi xiào</t>
  </si>
  <si>
    <t>smile</t>
  </si>
  <si>
    <t>威胁</t>
  </si>
  <si>
    <t>wēi xié</t>
  </si>
  <si>
    <t>threaten; menace</t>
  </si>
  <si>
    <t>违反</t>
  </si>
  <si>
    <t>wéi fǎn</t>
  </si>
  <si>
    <t>to violate; transgress; infringe</t>
  </si>
  <si>
    <t>围巾</t>
  </si>
  <si>
    <t>wéi jīn</t>
  </si>
  <si>
    <t>scarf; muffler; neckerchief</t>
  </si>
  <si>
    <t>围绕</t>
  </si>
  <si>
    <t>wéi rào</t>
  </si>
  <si>
    <t>center on; revolve round</t>
  </si>
  <si>
    <t>维修</t>
  </si>
  <si>
    <t>wéi xiū</t>
  </si>
  <si>
    <t>keep in good repair; service; maintain</t>
  </si>
  <si>
    <t>唯一</t>
  </si>
  <si>
    <t>wéi yī</t>
  </si>
  <si>
    <t>only; sole; unique</t>
  </si>
  <si>
    <t>尾巴</t>
  </si>
  <si>
    <t>wěi ba</t>
  </si>
  <si>
    <t>tail; appendage</t>
  </si>
  <si>
    <t>伟大</t>
  </si>
  <si>
    <t>wěi dà</t>
  </si>
  <si>
    <t>great; mighty</t>
  </si>
  <si>
    <t>委屈</t>
  </si>
  <si>
    <t>wěi qū</t>
  </si>
  <si>
    <t>feel wronged; nurse a grievance</t>
  </si>
  <si>
    <t>胃</t>
  </si>
  <si>
    <t>stomach</t>
  </si>
  <si>
    <t>未必</t>
  </si>
  <si>
    <t>wèi bì</t>
  </si>
  <si>
    <t>may not; not necessarily</t>
  </si>
  <si>
    <t>胃口</t>
  </si>
  <si>
    <t>wèi kǒu</t>
  </si>
  <si>
    <t>appetite; belly</t>
  </si>
  <si>
    <t>未来</t>
  </si>
  <si>
    <t>wèi lái</t>
  </si>
  <si>
    <t>coming; approaching; future</t>
  </si>
  <si>
    <t>位于</t>
  </si>
  <si>
    <t>wèi yú</t>
  </si>
  <si>
    <t>be located; be situated</t>
  </si>
  <si>
    <t>位置</t>
  </si>
  <si>
    <t>wèi zhi</t>
  </si>
  <si>
    <t>温暖</t>
  </si>
  <si>
    <t>wēn nuǎn</t>
  </si>
  <si>
    <t>温柔</t>
  </si>
  <si>
    <t>wēn róu</t>
  </si>
  <si>
    <t>meek; pleasingly affectionate; gentle and soft</t>
  </si>
  <si>
    <t>闻</t>
  </si>
  <si>
    <t>wén</t>
  </si>
  <si>
    <t>hear; smell</t>
  </si>
  <si>
    <t>文件</t>
  </si>
  <si>
    <t>wén jiàn</t>
  </si>
  <si>
    <t>file; document</t>
  </si>
  <si>
    <t>文具</t>
  </si>
  <si>
    <t>wén jù</t>
  </si>
  <si>
    <t>stationery; writing materials</t>
  </si>
  <si>
    <t>文明</t>
  </si>
  <si>
    <t>wén míng</t>
  </si>
  <si>
    <t>civilisation; culture; civilised</t>
  </si>
  <si>
    <t>文学</t>
  </si>
  <si>
    <t>wén xué</t>
  </si>
  <si>
    <t>literature</t>
  </si>
  <si>
    <t>文字</t>
  </si>
  <si>
    <t>wén zì</t>
  </si>
  <si>
    <t>writing</t>
  </si>
  <si>
    <t>吻</t>
  </si>
  <si>
    <t>wěn</t>
  </si>
  <si>
    <t>kiss</t>
  </si>
  <si>
    <t>稳定</t>
  </si>
  <si>
    <t>wěn dìng</t>
  </si>
  <si>
    <t>stabilise; steady</t>
  </si>
  <si>
    <t>问候</t>
  </si>
  <si>
    <t>wèn hòu</t>
  </si>
  <si>
    <t>send one's greetings to</t>
  </si>
  <si>
    <t>卧室</t>
  </si>
  <si>
    <t>wò shì</t>
  </si>
  <si>
    <t>bedroom</t>
  </si>
  <si>
    <t>握手</t>
  </si>
  <si>
    <t>wò shǒu</t>
  </si>
  <si>
    <t>to shake hands</t>
  </si>
  <si>
    <t>屋子</t>
  </si>
  <si>
    <t>wū zi</t>
  </si>
  <si>
    <t>无奈</t>
  </si>
  <si>
    <t>wú nài</t>
  </si>
  <si>
    <t>cannot help but; have no alternative; have no choice</t>
  </si>
  <si>
    <t>无数</t>
  </si>
  <si>
    <t>wú shù</t>
  </si>
  <si>
    <t>innumerable; countless; myriad</t>
  </si>
  <si>
    <t>无所谓</t>
  </si>
  <si>
    <t>wú suǒ wèi</t>
  </si>
  <si>
    <t>to be indifferent</t>
  </si>
  <si>
    <t>武术</t>
  </si>
  <si>
    <t>wǔ shù</t>
  </si>
  <si>
    <t>martial arts</t>
  </si>
  <si>
    <t>勿</t>
  </si>
  <si>
    <t>wù</t>
  </si>
  <si>
    <t>do not</t>
  </si>
  <si>
    <t>雾</t>
  </si>
  <si>
    <t>fog</t>
  </si>
  <si>
    <t>物理</t>
  </si>
  <si>
    <t>wù lǐ</t>
  </si>
  <si>
    <t>physics</t>
  </si>
  <si>
    <t>物质</t>
  </si>
  <si>
    <t>wù zhì</t>
  </si>
  <si>
    <t>matter; substance; material</t>
  </si>
  <si>
    <t>吸取</t>
  </si>
  <si>
    <t>xī qǔ</t>
  </si>
  <si>
    <t>absorb; suck up; assimilate</t>
  </si>
  <si>
    <t>吸收</t>
  </si>
  <si>
    <t>xī shōu</t>
  </si>
  <si>
    <t>absorb; soak up; assimilate</t>
  </si>
  <si>
    <t>系</t>
  </si>
  <si>
    <t>xì</t>
  </si>
  <si>
    <t>tie; fasten; system; department</t>
  </si>
  <si>
    <t>细节</t>
  </si>
  <si>
    <t>xì jié</t>
  </si>
  <si>
    <t>details; particulars; minutiae</t>
  </si>
  <si>
    <t>戏剧</t>
  </si>
  <si>
    <t>xì jù</t>
  </si>
  <si>
    <t>play; theatre; script</t>
  </si>
  <si>
    <t>系统</t>
  </si>
  <si>
    <t>xì tǒng</t>
  </si>
  <si>
    <t>system</t>
  </si>
  <si>
    <t>瞎</t>
  </si>
  <si>
    <t>xiā</t>
  </si>
  <si>
    <t>blind; aimlessly; groundlessly</t>
  </si>
  <si>
    <t>吓</t>
  </si>
  <si>
    <t>threaten; intimidate; to scare</t>
  </si>
  <si>
    <t>夏令营</t>
  </si>
  <si>
    <t>xià lìng yíng</t>
  </si>
  <si>
    <t>summer camp</t>
  </si>
  <si>
    <t>下载</t>
  </si>
  <si>
    <t>xià zǎi</t>
  </si>
  <si>
    <t>download</t>
  </si>
  <si>
    <t>鲜艳</t>
  </si>
  <si>
    <t>xiān yàn</t>
  </si>
  <si>
    <t>brightly coloured</t>
  </si>
  <si>
    <t>显得</t>
  </si>
  <si>
    <t>xiǎn de</t>
  </si>
  <si>
    <t>look; seem; appear</t>
  </si>
  <si>
    <t>显然</t>
  </si>
  <si>
    <t>xiǎn rán</t>
  </si>
  <si>
    <t>obvious; evident; clear</t>
  </si>
  <si>
    <t>显示</t>
  </si>
  <si>
    <t>xiǎn shì</t>
  </si>
  <si>
    <t>display; demonstrate; exhibit</t>
  </si>
  <si>
    <t>县</t>
  </si>
  <si>
    <t>xiàn</t>
  </si>
  <si>
    <t>county</t>
  </si>
  <si>
    <t>现代</t>
  </si>
  <si>
    <t>xiàn dài</t>
  </si>
  <si>
    <t>modern</t>
  </si>
  <si>
    <t>现实</t>
  </si>
  <si>
    <t>xiàn shí</t>
  </si>
  <si>
    <t>reality; actual</t>
  </si>
  <si>
    <t>现象</t>
  </si>
  <si>
    <t>xiàn xiàng</t>
  </si>
  <si>
    <t>appearance; phenomenon</t>
  </si>
  <si>
    <t>限制</t>
  </si>
  <si>
    <t>xiàn zhì</t>
  </si>
  <si>
    <t>to restrict</t>
  </si>
  <si>
    <t>香肠</t>
  </si>
  <si>
    <t>xiāng cháng</t>
  </si>
  <si>
    <t>sausage</t>
  </si>
  <si>
    <t>相处</t>
  </si>
  <si>
    <t>xiāng chǔ</t>
  </si>
  <si>
    <t>get along with; get on</t>
  </si>
  <si>
    <t>相当</t>
  </si>
  <si>
    <t>xiāng dāng</t>
  </si>
  <si>
    <t>match; correspond to; be equivalent to</t>
  </si>
  <si>
    <t>相对</t>
  </si>
  <si>
    <t>xiāng duì</t>
  </si>
  <si>
    <t>opposite; face to face; relatively</t>
  </si>
  <si>
    <t>相关</t>
  </si>
  <si>
    <t>xiāng guān</t>
  </si>
  <si>
    <t>be related to; be bound up with; correlation</t>
  </si>
  <si>
    <t>相似</t>
  </si>
  <si>
    <t>xiāng sì</t>
  </si>
  <si>
    <t>resemble; be similar; be alike</t>
  </si>
  <si>
    <t>想念</t>
  </si>
  <si>
    <t>xiǎng niàn</t>
  </si>
  <si>
    <t>long to see again; miss</t>
  </si>
  <si>
    <t>享受</t>
  </si>
  <si>
    <t>xiǎng shòu</t>
  </si>
  <si>
    <t>enjoy</t>
  </si>
  <si>
    <t>想象</t>
  </si>
  <si>
    <t>xiǎng xiàng</t>
  </si>
  <si>
    <t>imagine; think; visualize</t>
  </si>
  <si>
    <t>项</t>
  </si>
  <si>
    <t>nape (of the neck); sum (of money); term [mathematics]</t>
  </si>
  <si>
    <t>项链</t>
  </si>
  <si>
    <t>xiàng liàn</t>
  </si>
  <si>
    <t>necklace</t>
  </si>
  <si>
    <t>项目</t>
  </si>
  <si>
    <t>xiàng mù</t>
  </si>
  <si>
    <t>project; item; clause</t>
  </si>
  <si>
    <t>象棋</t>
  </si>
  <si>
    <t>xiàng qí</t>
  </si>
  <si>
    <t>Chinese chess</t>
  </si>
  <si>
    <t>象征</t>
  </si>
  <si>
    <t>xiàng zhēng</t>
  </si>
  <si>
    <t>emblem; symbol; signify</t>
  </si>
  <si>
    <t>消费</t>
  </si>
  <si>
    <t>xiāo fèi</t>
  </si>
  <si>
    <t>consume</t>
  </si>
  <si>
    <t>消化</t>
  </si>
  <si>
    <t>xiāo huà</t>
  </si>
  <si>
    <t>digest</t>
  </si>
  <si>
    <t>消极</t>
  </si>
  <si>
    <t>xiāo jí</t>
  </si>
  <si>
    <t>negative; passive; inactive</t>
  </si>
  <si>
    <t>消失</t>
  </si>
  <si>
    <t>xiāo shī</t>
  </si>
  <si>
    <t>disappear; vanish; dissolve</t>
  </si>
  <si>
    <t>销售</t>
  </si>
  <si>
    <t>xiāo shòu</t>
  </si>
  <si>
    <t>sell; sales</t>
  </si>
  <si>
    <t>小麦</t>
  </si>
  <si>
    <t>xiǎo mài</t>
  </si>
  <si>
    <t>wheat</t>
  </si>
  <si>
    <t>小气</t>
  </si>
  <si>
    <t>xiǎo qi</t>
  </si>
  <si>
    <t>stingy; mean</t>
  </si>
  <si>
    <t>效率</t>
  </si>
  <si>
    <t>xiào lǜ</t>
  </si>
  <si>
    <t>efficiency; productivity</t>
  </si>
  <si>
    <t>孝顺</t>
  </si>
  <si>
    <t>xiào shun</t>
  </si>
  <si>
    <t>filial piety</t>
  </si>
  <si>
    <t>歇</t>
  </si>
  <si>
    <t>have a rest</t>
  </si>
  <si>
    <t>斜</t>
  </si>
  <si>
    <t>xié</t>
  </si>
  <si>
    <t>oblique; slanting; bevel</t>
  </si>
  <si>
    <t>写作</t>
  </si>
  <si>
    <t>xiě zuò</t>
  </si>
  <si>
    <t>writing; pen and ink; penmanship</t>
  </si>
  <si>
    <t>心理</t>
  </si>
  <si>
    <t>xīn lǐ</t>
  </si>
  <si>
    <t>psychology; mentality; mind</t>
  </si>
  <si>
    <t>欣赏</t>
  </si>
  <si>
    <t>xīn shǎng</t>
  </si>
  <si>
    <t>appreciate; enjoy; admire</t>
  </si>
  <si>
    <t>心脏</t>
  </si>
  <si>
    <t>xīn zàng</t>
  </si>
  <si>
    <t>heart</t>
  </si>
  <si>
    <t>信号</t>
  </si>
  <si>
    <t>xìn hào</t>
  </si>
  <si>
    <t>signal</t>
  </si>
  <si>
    <t>信任</t>
  </si>
  <si>
    <t>xìn rèn</t>
  </si>
  <si>
    <t>to trust</t>
  </si>
  <si>
    <t>形成</t>
  </si>
  <si>
    <t>xíng chéng</t>
  </si>
  <si>
    <t>form; shape</t>
  </si>
  <si>
    <t>行动</t>
  </si>
  <si>
    <t>xíng dòng</t>
  </si>
  <si>
    <t>operation; move about; mobile</t>
  </si>
  <si>
    <t>行人</t>
  </si>
  <si>
    <t>xíng rén</t>
  </si>
  <si>
    <t>pedestrian</t>
  </si>
  <si>
    <t>形容</t>
  </si>
  <si>
    <t>xíng róng</t>
  </si>
  <si>
    <t>appearance; countenance</t>
  </si>
  <si>
    <t>形势</t>
  </si>
  <si>
    <t>xíng shì</t>
  </si>
  <si>
    <t>terrain; topographical features; circumstances</t>
  </si>
  <si>
    <t>形式</t>
  </si>
  <si>
    <t>form; shape; layout</t>
  </si>
  <si>
    <t>行为</t>
  </si>
  <si>
    <t>xíng wéi</t>
  </si>
  <si>
    <t>action; behaviour; conduct</t>
  </si>
  <si>
    <t>形象</t>
  </si>
  <si>
    <t>xíng xiàng</t>
  </si>
  <si>
    <t>image; figure; vivid</t>
  </si>
  <si>
    <t>形状</t>
  </si>
  <si>
    <t>xíng zhuàng</t>
  </si>
  <si>
    <t>form; appearance; fashion</t>
  </si>
  <si>
    <t>幸亏</t>
  </si>
  <si>
    <t>xìng kuī</t>
  </si>
  <si>
    <t>fortunately; luckily</t>
  </si>
  <si>
    <t>幸运</t>
  </si>
  <si>
    <t>xìng yùn</t>
  </si>
  <si>
    <t>good fortune; good luck</t>
  </si>
  <si>
    <t>性质</t>
  </si>
  <si>
    <t>xìng zhì</t>
  </si>
  <si>
    <t>properties; quality; nature</t>
  </si>
  <si>
    <t>胸</t>
  </si>
  <si>
    <t>xiōng</t>
  </si>
  <si>
    <t>chest; bosom; thorax</t>
  </si>
  <si>
    <t>兄弟</t>
  </si>
  <si>
    <t>xiōng dì</t>
  </si>
  <si>
    <t>brothers</t>
  </si>
  <si>
    <t>修改</t>
  </si>
  <si>
    <t>xiū gǎi</t>
  </si>
  <si>
    <t>revise; amend; modify</t>
  </si>
  <si>
    <t>休闲</t>
  </si>
  <si>
    <t>xiū xián</t>
  </si>
  <si>
    <t>enjoy free time; lie fallow</t>
  </si>
  <si>
    <t>虚心</t>
  </si>
  <si>
    <t>xū xīn</t>
  </si>
  <si>
    <t>modest; with an open mind</t>
  </si>
  <si>
    <t>叙述</t>
  </si>
  <si>
    <t>xù shù</t>
  </si>
  <si>
    <t>narrate; recount; relate</t>
  </si>
  <si>
    <t>宣布</t>
  </si>
  <si>
    <t>xuān bù</t>
  </si>
  <si>
    <t>declare; proclaim; announce</t>
  </si>
  <si>
    <t>宣传</t>
  </si>
  <si>
    <t>xuān chuán</t>
  </si>
  <si>
    <t>propagate; disseminate; give publicity to</t>
  </si>
  <si>
    <t>学历</t>
  </si>
  <si>
    <t>xué lì</t>
  </si>
  <si>
    <t>record of formal schooling; educational background</t>
  </si>
  <si>
    <t>学术</t>
  </si>
  <si>
    <t>xué shù</t>
  </si>
  <si>
    <t>learning; science</t>
  </si>
  <si>
    <t>学问</t>
  </si>
  <si>
    <t>xué wèn</t>
  </si>
  <si>
    <t>learning; knowledge; scholarship</t>
  </si>
  <si>
    <t>血</t>
  </si>
  <si>
    <t>xuè</t>
  </si>
  <si>
    <t>blood</t>
  </si>
  <si>
    <t>询问</t>
  </si>
  <si>
    <t>xún wèn</t>
  </si>
  <si>
    <t>ask about; enquire</t>
  </si>
  <si>
    <t>寻找</t>
  </si>
  <si>
    <t>xún zhǎo</t>
  </si>
  <si>
    <t>seek; look for; search</t>
  </si>
  <si>
    <t>训练</t>
  </si>
  <si>
    <t>xùn liàn</t>
  </si>
  <si>
    <t>train; drill</t>
  </si>
  <si>
    <t>迅速</t>
  </si>
  <si>
    <t>xùn sù</t>
  </si>
  <si>
    <t>rapid; swift; prompt</t>
  </si>
  <si>
    <t>乐器</t>
  </si>
  <si>
    <t>yuè qì</t>
  </si>
  <si>
    <t>musical instrument</t>
  </si>
  <si>
    <t>押金</t>
  </si>
  <si>
    <t>yā jīn</t>
  </si>
  <si>
    <t>cash pledge; deposit; security</t>
  </si>
  <si>
    <t>牙齿</t>
  </si>
  <si>
    <t>yá chǐ</t>
  </si>
  <si>
    <t>tooth</t>
  </si>
  <si>
    <t>延长</t>
  </si>
  <si>
    <t>yán cháng</t>
  </si>
  <si>
    <t>lengthen; extend; prolong</t>
  </si>
  <si>
    <t>严肃</t>
  </si>
  <si>
    <t>yán sù</t>
  </si>
  <si>
    <t>serious; solemn; earnest</t>
  </si>
  <si>
    <t>演讲</t>
  </si>
  <si>
    <t>yǎn jiǎng</t>
  </si>
  <si>
    <t>give a lecture; make a speech</t>
  </si>
  <si>
    <t>宴会</t>
  </si>
  <si>
    <t>yàn huì</t>
  </si>
  <si>
    <t>banquet; feast; dinner party</t>
  </si>
  <si>
    <t>阳台</t>
  </si>
  <si>
    <t>yáng tái</t>
  </si>
  <si>
    <t>balcony; terrace; gallery</t>
  </si>
  <si>
    <t>痒</t>
  </si>
  <si>
    <t>yǎng</t>
  </si>
  <si>
    <t>itch; tickle</t>
  </si>
  <si>
    <t>样式</t>
  </si>
  <si>
    <t>yàng shì</t>
  </si>
  <si>
    <t>pattern; type; form</t>
  </si>
  <si>
    <t>腰</t>
  </si>
  <si>
    <t>yāo</t>
  </si>
  <si>
    <t>waist; small of the back</t>
  </si>
  <si>
    <t>摇</t>
  </si>
  <si>
    <t>yáo</t>
  </si>
  <si>
    <t>shake; wave; rock; turn</t>
  </si>
  <si>
    <t>咬</t>
  </si>
  <si>
    <t>yǎo</t>
  </si>
  <si>
    <t>bite; snap at</t>
  </si>
  <si>
    <t>要不</t>
  </si>
  <si>
    <t>yào bù</t>
  </si>
  <si>
    <t>otherwise; or else; or</t>
  </si>
  <si>
    <t>夜</t>
  </si>
  <si>
    <t>night; night-time; evening</t>
  </si>
  <si>
    <t>业务</t>
  </si>
  <si>
    <t>yè wù</t>
  </si>
  <si>
    <t>business; professional work</t>
  </si>
  <si>
    <t>业余</t>
  </si>
  <si>
    <t>yè yú</t>
  </si>
  <si>
    <t>spare time; amateur</t>
  </si>
  <si>
    <t>依然</t>
  </si>
  <si>
    <t>yī rán</t>
  </si>
  <si>
    <t>still; as before</t>
  </si>
  <si>
    <t>一辈子</t>
  </si>
  <si>
    <t>yí bèi zi</t>
  </si>
  <si>
    <t>all one's life</t>
  </si>
  <si>
    <t>一旦</t>
  </si>
  <si>
    <t>yí dàn</t>
  </si>
  <si>
    <t>in a single day; in a very short time; in case [something happens]</t>
  </si>
  <si>
    <t>移动</t>
  </si>
  <si>
    <t>yí dòng</t>
  </si>
  <si>
    <t>shift; move; removal</t>
  </si>
  <si>
    <t>遗憾</t>
  </si>
  <si>
    <t>yí hàn</t>
  </si>
  <si>
    <t>regret; pity</t>
  </si>
  <si>
    <t>一律</t>
  </si>
  <si>
    <t>yí lǜ</t>
  </si>
  <si>
    <t>same; alike; uniform</t>
  </si>
  <si>
    <t>移民</t>
  </si>
  <si>
    <t>yí mín</t>
  </si>
  <si>
    <t>migrate; migrant</t>
  </si>
  <si>
    <t>疑问</t>
  </si>
  <si>
    <t>yí wèn</t>
  </si>
  <si>
    <t>query; problem; doubt</t>
  </si>
  <si>
    <t>一再</t>
  </si>
  <si>
    <t>yí zài</t>
  </si>
  <si>
    <t>time and again; again and again; repeatedly</t>
  </si>
  <si>
    <t>一致</t>
  </si>
  <si>
    <t>yí zhì</t>
  </si>
  <si>
    <t>identical; unanimous</t>
  </si>
  <si>
    <t>乙</t>
  </si>
  <si>
    <t>second(ly); the second of the ten Heavenly Stems</t>
  </si>
  <si>
    <t>以及</t>
  </si>
  <si>
    <t>yǐ jí</t>
  </si>
  <si>
    <t>as well as; along with; and</t>
  </si>
  <si>
    <t>以来</t>
  </si>
  <si>
    <t>yǐ lái</t>
  </si>
  <si>
    <t>亿</t>
  </si>
  <si>
    <t>yì</t>
  </si>
  <si>
    <t>100 million</t>
  </si>
  <si>
    <t>议论</t>
  </si>
  <si>
    <t>yì lùn</t>
  </si>
  <si>
    <t>comment; discuss</t>
  </si>
  <si>
    <t>意外</t>
  </si>
  <si>
    <t>yì wài</t>
  </si>
  <si>
    <t>形/名</t>
  </si>
  <si>
    <t>unexpected; unforeseen</t>
  </si>
  <si>
    <t>义务</t>
  </si>
  <si>
    <t>yì wù</t>
  </si>
  <si>
    <t>duty; obligation</t>
  </si>
  <si>
    <t>意义</t>
  </si>
  <si>
    <t>yì yì</t>
  </si>
  <si>
    <t>meaning; sense; significance</t>
  </si>
  <si>
    <t>因而</t>
  </si>
  <si>
    <t>yīn ér</t>
  </si>
  <si>
    <t>thus; as a result; with the result that</t>
  </si>
  <si>
    <t>因素</t>
  </si>
  <si>
    <t>yīn sù</t>
  </si>
  <si>
    <t>factor; element</t>
  </si>
  <si>
    <t>银</t>
  </si>
  <si>
    <t>yín</t>
  </si>
  <si>
    <t>silver</t>
  </si>
  <si>
    <t>印刷</t>
  </si>
  <si>
    <t>yìn shuā</t>
  </si>
  <si>
    <t>print; printing</t>
  </si>
  <si>
    <t>英俊</t>
  </si>
  <si>
    <t>yīng jùn</t>
  </si>
  <si>
    <t>handsome; talented; brilliant</t>
  </si>
  <si>
    <t>英雄</t>
  </si>
  <si>
    <t>yīng xióng</t>
  </si>
  <si>
    <t>hero</t>
  </si>
  <si>
    <t>迎接</t>
  </si>
  <si>
    <t>yíng jiē</t>
  </si>
  <si>
    <t>welcome; greet; reception</t>
  </si>
  <si>
    <t>营养</t>
  </si>
  <si>
    <t>yíng yǎng</t>
  </si>
  <si>
    <t>nutrition; nourishment</t>
  </si>
  <si>
    <t>营业</t>
  </si>
  <si>
    <t>yíng yè</t>
  </si>
  <si>
    <t>do business</t>
  </si>
  <si>
    <t>影子</t>
  </si>
  <si>
    <t>yǐng zi</t>
  </si>
  <si>
    <t>shadow; reflection; trace</t>
  </si>
  <si>
    <t>硬</t>
  </si>
  <si>
    <t>yìng</t>
  </si>
  <si>
    <t>hard</t>
  </si>
  <si>
    <t>应付</t>
  </si>
  <si>
    <t>yìng fu</t>
  </si>
  <si>
    <t>deal with; cope with; handle</t>
  </si>
  <si>
    <t>硬件</t>
  </si>
  <si>
    <t>yìng jiàn</t>
  </si>
  <si>
    <t>hardware</t>
  </si>
  <si>
    <t>应用</t>
  </si>
  <si>
    <t>yìng yòng</t>
  </si>
  <si>
    <t>use; app; application</t>
  </si>
  <si>
    <t>拥抱</t>
  </si>
  <si>
    <t>yōng bào</t>
  </si>
  <si>
    <t>embrace; hug</t>
  </si>
  <si>
    <t>拥挤</t>
  </si>
  <si>
    <t>yōng jǐ</t>
  </si>
  <si>
    <t>crowd; push and squeeze</t>
  </si>
  <si>
    <t>勇气</t>
  </si>
  <si>
    <t>yǒng qì</t>
  </si>
  <si>
    <t>courage; nerve</t>
  </si>
  <si>
    <t>用功</t>
  </si>
  <si>
    <t>yòng gōng</t>
  </si>
  <si>
    <t>hardworking; diligent; studious</t>
  </si>
  <si>
    <t>用途</t>
  </si>
  <si>
    <t>yòng tú</t>
  </si>
  <si>
    <t>优惠</t>
  </si>
  <si>
    <t>yōu huì</t>
  </si>
  <si>
    <t>discount</t>
  </si>
  <si>
    <t>悠久</t>
  </si>
  <si>
    <t>yōu jiǔ</t>
  </si>
  <si>
    <t>long-standing; age-old</t>
  </si>
  <si>
    <t>优美</t>
  </si>
  <si>
    <t>yōu měi</t>
  </si>
  <si>
    <t>graceful; fine; exquisite</t>
  </si>
  <si>
    <t>优势</t>
  </si>
  <si>
    <t>yōu shì</t>
  </si>
  <si>
    <t>superiority</t>
  </si>
  <si>
    <t>游览</t>
  </si>
  <si>
    <t>yóu lǎn</t>
  </si>
  <si>
    <t>go sightseeing; tour; visit</t>
  </si>
  <si>
    <t>犹豫</t>
  </si>
  <si>
    <t>yóu yù</t>
  </si>
  <si>
    <t>hesitate; be irresolute</t>
  </si>
  <si>
    <t>油炸</t>
  </si>
  <si>
    <t>yóu zhá</t>
  </si>
  <si>
    <t>deep-fry</t>
  </si>
  <si>
    <t>有利</t>
  </si>
  <si>
    <t>yǒu lì</t>
  </si>
  <si>
    <t>advantageous; beneficial; favourable</t>
  </si>
  <si>
    <t>幼儿园</t>
  </si>
  <si>
    <t>yòu ér yuán</t>
  </si>
  <si>
    <t>kindergarten; nursery school</t>
  </si>
  <si>
    <t>娱乐</t>
  </si>
  <si>
    <t>yú lè</t>
  </si>
  <si>
    <t>amusement; entertainment; recreation</t>
  </si>
  <si>
    <t>与其</t>
  </si>
  <si>
    <t>yǔ qí</t>
  </si>
  <si>
    <t>rather than; better than</t>
  </si>
  <si>
    <t>语气</t>
  </si>
  <si>
    <t>yǔ qì</t>
  </si>
  <si>
    <t>tone; manner of speaking; mood</t>
  </si>
  <si>
    <t>预报</t>
  </si>
  <si>
    <t>yù bào</t>
  </si>
  <si>
    <t>forecast; prediction</t>
  </si>
  <si>
    <t>预订</t>
  </si>
  <si>
    <t>yù dìng</t>
  </si>
  <si>
    <t>subscribe; book; place an order</t>
  </si>
  <si>
    <t>预防</t>
  </si>
  <si>
    <t>yù fáng</t>
  </si>
  <si>
    <t>prevent; take precautions against; guard against</t>
  </si>
  <si>
    <t>玉米</t>
  </si>
  <si>
    <t>yù mǐ</t>
  </si>
  <si>
    <t>maize; corn</t>
  </si>
  <si>
    <t>圆</t>
  </si>
  <si>
    <t>round</t>
  </si>
  <si>
    <t>元旦</t>
  </si>
  <si>
    <t>yuán dàn</t>
  </si>
  <si>
    <t>New Year's Day</t>
  </si>
  <si>
    <t>员工</t>
  </si>
  <si>
    <t>yuán gōng</t>
  </si>
  <si>
    <t>staff</t>
  </si>
  <si>
    <t>原料</t>
  </si>
  <si>
    <t>yuán liào</t>
  </si>
  <si>
    <t>raw material; crude material</t>
  </si>
  <si>
    <t>原则</t>
  </si>
  <si>
    <t>yuán zé</t>
  </si>
  <si>
    <t>principle</t>
  </si>
  <si>
    <t>愿望</t>
  </si>
  <si>
    <t>yuàn wàng</t>
  </si>
  <si>
    <t>desire; wish; aspiration</t>
  </si>
  <si>
    <t>晕</t>
  </si>
  <si>
    <t>yūn</t>
  </si>
  <si>
    <t>dizzy; giddy; faint</t>
  </si>
  <si>
    <t>运气</t>
  </si>
  <si>
    <t>yùn qi</t>
  </si>
  <si>
    <t>fortune; luck</t>
  </si>
  <si>
    <t>运输</t>
  </si>
  <si>
    <t>yùn shū</t>
  </si>
  <si>
    <t>transport; carriage; conveyance</t>
  </si>
  <si>
    <t>运用</t>
  </si>
  <si>
    <t>yùn yòng</t>
  </si>
  <si>
    <t>utilise; apply; put to use</t>
  </si>
  <si>
    <t>灾害</t>
  </si>
  <si>
    <t>zāi hài</t>
  </si>
  <si>
    <t>damage; disaster; calamity</t>
  </si>
  <si>
    <t>在乎</t>
  </si>
  <si>
    <t>zài hu</t>
  </si>
  <si>
    <t>care about; mind; take to heart</t>
  </si>
  <si>
    <t>再三</t>
  </si>
  <si>
    <t>zài sān</t>
  </si>
  <si>
    <t>again and again; repeatedly</t>
  </si>
  <si>
    <t>在于</t>
  </si>
  <si>
    <t>zài yú</t>
  </si>
  <si>
    <t>to be in/at</t>
  </si>
  <si>
    <t>赞成</t>
  </si>
  <si>
    <t>zàn chéng</t>
  </si>
  <si>
    <t>approve of; agree with; endorse</t>
  </si>
  <si>
    <t>赞美</t>
  </si>
  <si>
    <t>zàn měi</t>
  </si>
  <si>
    <t>praise; eulogize</t>
  </si>
  <si>
    <t>糟糕</t>
  </si>
  <si>
    <t>zāo gāo</t>
  </si>
  <si>
    <t>how terrible; what bad luck; too bad</t>
  </si>
  <si>
    <t>造成</t>
  </si>
  <si>
    <t>zào chéng</t>
  </si>
  <si>
    <t>give rise to; bring about; cause</t>
  </si>
  <si>
    <t>则</t>
  </si>
  <si>
    <t>zé</t>
  </si>
  <si>
    <t>standard; norm; criterion</t>
  </si>
  <si>
    <t>责备</t>
  </si>
  <si>
    <t>zé bèi</t>
  </si>
  <si>
    <t>reproach; blame; reprove</t>
  </si>
  <si>
    <t>摘</t>
  </si>
  <si>
    <t>zhāi</t>
  </si>
  <si>
    <t>pick; pluck; strip</t>
  </si>
  <si>
    <t>窄</t>
  </si>
  <si>
    <t>zhǎi</t>
  </si>
  <si>
    <t>narrow</t>
  </si>
  <si>
    <t>粘贴</t>
  </si>
  <si>
    <t>zhān tiē</t>
  </si>
  <si>
    <t>paste; stick</t>
  </si>
  <si>
    <t>展开</t>
  </si>
  <si>
    <t>zhǎn kāi</t>
  </si>
  <si>
    <t>develop; spread; unfold</t>
  </si>
  <si>
    <t>展览</t>
  </si>
  <si>
    <t>zhǎn lǎn</t>
  </si>
  <si>
    <t>put on display; exhibit; show</t>
  </si>
  <si>
    <t>占</t>
  </si>
  <si>
    <t>to occupy</t>
  </si>
  <si>
    <t>战争</t>
  </si>
  <si>
    <t>zhàn zhēng</t>
  </si>
  <si>
    <t>war; warfare</t>
  </si>
  <si>
    <t>涨</t>
  </si>
  <si>
    <t>swell up; rise; be more than expected</t>
  </si>
  <si>
    <t>长辈</t>
  </si>
  <si>
    <t>zhǎng bèi</t>
  </si>
  <si>
    <t>elder member of a family</t>
  </si>
  <si>
    <t>掌握</t>
  </si>
  <si>
    <t>zhǎng wò</t>
  </si>
  <si>
    <t>grasp; master; know well</t>
  </si>
  <si>
    <t>账户</t>
  </si>
  <si>
    <t>zhàng hù</t>
  </si>
  <si>
    <t>(bank) account</t>
  </si>
  <si>
    <t>招待</t>
  </si>
  <si>
    <t>zhāo dài</t>
  </si>
  <si>
    <t>receive; entertain; serve</t>
  </si>
  <si>
    <t>着火</t>
  </si>
  <si>
    <t>zháo huǒ</t>
  </si>
  <si>
    <t>to burn</t>
  </si>
  <si>
    <t>着凉</t>
  </si>
  <si>
    <t>zháo liáng</t>
  </si>
  <si>
    <t>catch cold; catch a chill</t>
  </si>
  <si>
    <t>照常</t>
  </si>
  <si>
    <t>zhào cháng</t>
  </si>
  <si>
    <t>as usual</t>
  </si>
  <si>
    <t>召开</t>
  </si>
  <si>
    <t>zhào kāi</t>
  </si>
  <si>
    <t>convene</t>
  </si>
  <si>
    <t>哲学</t>
  </si>
  <si>
    <t>zhé xué</t>
  </si>
  <si>
    <t>philosophy</t>
  </si>
  <si>
    <t>针对</t>
  </si>
  <si>
    <t>zhēn duì</t>
  </si>
  <si>
    <t>be directed against; be aimed at</t>
  </si>
  <si>
    <t>真实</t>
  </si>
  <si>
    <t>zhēn shí</t>
  </si>
  <si>
    <t>true; real; authentic</t>
  </si>
  <si>
    <t>珍惜</t>
  </si>
  <si>
    <t>zhēn xī</t>
  </si>
  <si>
    <t>treasure; value; cherish</t>
  </si>
  <si>
    <t>诊断</t>
  </si>
  <si>
    <t>zhěn duàn</t>
  </si>
  <si>
    <t>diagnosis</t>
  </si>
  <si>
    <t>阵</t>
  </si>
  <si>
    <t>zhèn</t>
  </si>
  <si>
    <t>battle array; position; front</t>
  </si>
  <si>
    <t>振动</t>
  </si>
  <si>
    <t>zhèn dòng</t>
  </si>
  <si>
    <t>vibrate; vibrant</t>
  </si>
  <si>
    <t>睁</t>
  </si>
  <si>
    <t>zhēng</t>
  </si>
  <si>
    <t>open (eyes)</t>
  </si>
  <si>
    <t>争论</t>
  </si>
  <si>
    <t>zhēng lùn</t>
  </si>
  <si>
    <t>征求</t>
  </si>
  <si>
    <t>zhēng qiú</t>
  </si>
  <si>
    <t>solicit; seek; ask for</t>
  </si>
  <si>
    <t>争取</t>
  </si>
  <si>
    <t>zhēng qǔ</t>
  </si>
  <si>
    <t>strive for; fight for</t>
  </si>
  <si>
    <t>整个</t>
  </si>
  <si>
    <t>zhěng gè</t>
  </si>
  <si>
    <t>whole; total; entire</t>
  </si>
  <si>
    <t>整齐</t>
  </si>
  <si>
    <t>zhěng qí</t>
  </si>
  <si>
    <t>tidy</t>
  </si>
  <si>
    <t>整体</t>
  </si>
  <si>
    <t>zhěng tǐ</t>
  </si>
  <si>
    <t>ensemble; whole; entirety</t>
  </si>
  <si>
    <t>正</t>
  </si>
  <si>
    <t>zhèng</t>
  </si>
  <si>
    <t>straight; upright; correct</t>
  </si>
  <si>
    <t>挣</t>
  </si>
  <si>
    <t>to make (money)</t>
  </si>
  <si>
    <t>政府</t>
  </si>
  <si>
    <t>zhèng fǔ</t>
  </si>
  <si>
    <t>government</t>
  </si>
  <si>
    <t>证件</t>
  </si>
  <si>
    <t>zhèng jiàn</t>
  </si>
  <si>
    <t>credentials; papers</t>
  </si>
  <si>
    <t>证据</t>
  </si>
  <si>
    <t>zhèng jù</t>
  </si>
  <si>
    <t>evidence; proof; testimony</t>
  </si>
  <si>
    <t>政治</t>
  </si>
  <si>
    <t>zhèng zhì</t>
  </si>
  <si>
    <t>politics; political affairs</t>
  </si>
  <si>
    <t>支</t>
  </si>
  <si>
    <t>branch; the twelve Earthly Branches</t>
  </si>
  <si>
    <t>支票</t>
  </si>
  <si>
    <t>zhī piào</t>
  </si>
  <si>
    <t>check/cheque</t>
  </si>
  <si>
    <t>直</t>
  </si>
  <si>
    <t>zhí</t>
  </si>
  <si>
    <t>straight; direct</t>
  </si>
  <si>
    <t>执照</t>
  </si>
  <si>
    <t>zhí zhào</t>
  </si>
  <si>
    <t>license; permit</t>
  </si>
  <si>
    <t>指导</t>
  </si>
  <si>
    <t>zhǐ dǎo</t>
  </si>
  <si>
    <t>guide; direct; conduct</t>
  </si>
  <si>
    <t>指挥</t>
  </si>
  <si>
    <t>zhǐ huī</t>
  </si>
  <si>
    <t>command; direct; conduct</t>
  </si>
  <si>
    <t>制定</t>
  </si>
  <si>
    <t>zhì dìng</t>
  </si>
  <si>
    <t>draw up; draft; formulate</t>
  </si>
  <si>
    <t>制度</t>
  </si>
  <si>
    <t>zhì dù</t>
  </si>
  <si>
    <t>system; institution</t>
  </si>
  <si>
    <t>智慧</t>
  </si>
  <si>
    <t>zhì huì</t>
  </si>
  <si>
    <t>wisdom; intelligence; wit</t>
  </si>
  <si>
    <t>至今</t>
  </si>
  <si>
    <t>zhì jīn</t>
  </si>
  <si>
    <t>up to now; hitherto; so far</t>
  </si>
  <si>
    <t>治疗</t>
  </si>
  <si>
    <t>zhì liáo</t>
  </si>
  <si>
    <t>treat; cure; remedy</t>
  </si>
  <si>
    <t>秩序</t>
  </si>
  <si>
    <t>zhì xù</t>
  </si>
  <si>
    <t>order; sequence</t>
  </si>
  <si>
    <t>至于</t>
  </si>
  <si>
    <t>zhì yú</t>
  </si>
  <si>
    <t>go so far as to</t>
  </si>
  <si>
    <t>志愿者</t>
  </si>
  <si>
    <t>zhì yuàn zhě</t>
  </si>
  <si>
    <t>volunteer</t>
  </si>
  <si>
    <t>制造</t>
  </si>
  <si>
    <t>zhì zào</t>
  </si>
  <si>
    <t>to manufacture</t>
  </si>
  <si>
    <t>制作</t>
  </si>
  <si>
    <t>zhì zuò</t>
  </si>
  <si>
    <t>manufacture</t>
  </si>
  <si>
    <t>中介</t>
  </si>
  <si>
    <t>zhōng jiè</t>
  </si>
  <si>
    <t>intermediary</t>
  </si>
  <si>
    <t>中心</t>
  </si>
  <si>
    <t>zhōng xīn</t>
  </si>
  <si>
    <t>centre</t>
  </si>
  <si>
    <t>中旬</t>
  </si>
  <si>
    <t>zhōng xún</t>
  </si>
  <si>
    <t>[the middle ten days of a month]</t>
  </si>
  <si>
    <t>种类</t>
  </si>
  <si>
    <t>zhǒng lèi</t>
  </si>
  <si>
    <t>重大</t>
  </si>
  <si>
    <t>zhòng dà</t>
  </si>
  <si>
    <t>重量</t>
  </si>
  <si>
    <t>zhòng liàng</t>
  </si>
  <si>
    <t>weight; scale; heft</t>
  </si>
  <si>
    <t>周到</t>
  </si>
  <si>
    <t>zhōu dao</t>
  </si>
  <si>
    <t>attentive; considerate; thorough</t>
  </si>
  <si>
    <t>猪</t>
  </si>
  <si>
    <t>zhū</t>
  </si>
  <si>
    <t>pig</t>
  </si>
  <si>
    <t>逐步</t>
  </si>
  <si>
    <t>zhú bù</t>
  </si>
  <si>
    <t>step by step; progressively; gradually</t>
  </si>
  <si>
    <t>逐渐</t>
  </si>
  <si>
    <t>zhú jiàn</t>
  </si>
  <si>
    <t>gradually</t>
  </si>
  <si>
    <t>竹子</t>
  </si>
  <si>
    <t>zhú zi</t>
  </si>
  <si>
    <t>bamboo</t>
  </si>
  <si>
    <t>煮</t>
  </si>
  <si>
    <t>zhǔ</t>
  </si>
  <si>
    <t>boil; cook; stew</t>
  </si>
  <si>
    <t>主持</t>
  </si>
  <si>
    <t>zhǔ chí</t>
  </si>
  <si>
    <t>take charge of; manage; direct</t>
  </si>
  <si>
    <t>主动</t>
  </si>
  <si>
    <t>zhǔ dòng</t>
  </si>
  <si>
    <t>take the initiative</t>
  </si>
  <si>
    <t>主观</t>
  </si>
  <si>
    <t>zhǔ guān</t>
  </si>
  <si>
    <t>subjective</t>
  </si>
  <si>
    <t>主人</t>
  </si>
  <si>
    <t>zhǔ rén</t>
  </si>
  <si>
    <t>owner</t>
  </si>
  <si>
    <t>主任</t>
  </si>
  <si>
    <t>zhǔ rèn</t>
  </si>
  <si>
    <t>主题</t>
  </si>
  <si>
    <t>zhǔ tí</t>
  </si>
  <si>
    <t>theme; subject; topic</t>
  </si>
  <si>
    <t>主席</t>
  </si>
  <si>
    <t>zhǔ xí</t>
  </si>
  <si>
    <t>chairperson</t>
  </si>
  <si>
    <t>主张</t>
  </si>
  <si>
    <t>zhǔ zhāng</t>
  </si>
  <si>
    <t>claim; assertionl; proposal</t>
  </si>
  <si>
    <t>注册</t>
  </si>
  <si>
    <t>zhù cè</t>
  </si>
  <si>
    <t>register</t>
  </si>
  <si>
    <t>祝福</t>
  </si>
  <si>
    <t>zhù fú</t>
  </si>
  <si>
    <t>blessing; benediction; wish happiness to</t>
  </si>
  <si>
    <t>抓</t>
  </si>
  <si>
    <t>zhuā</t>
  </si>
  <si>
    <t>to grab</t>
  </si>
  <si>
    <t>抓紧</t>
  </si>
  <si>
    <t>zhuā jǐn</t>
  </si>
  <si>
    <t>firmly grasp; pay close attention to</t>
  </si>
  <si>
    <t>专家</t>
  </si>
  <si>
    <t>zhuān jiā</t>
  </si>
  <si>
    <t>specialist; expert</t>
  </si>
  <si>
    <t>专心</t>
  </si>
  <si>
    <t>zhuān xīn</t>
  </si>
  <si>
    <t>engrossed; concentrating</t>
  </si>
  <si>
    <t>转变</t>
  </si>
  <si>
    <t>zhuǎn biàn</t>
  </si>
  <si>
    <t>change; convert; turn</t>
  </si>
  <si>
    <t>转告</t>
  </si>
  <si>
    <t>zhuǎn gào</t>
  </si>
  <si>
    <t>pass on; communicate; transmit</t>
  </si>
  <si>
    <t>装</t>
  </si>
  <si>
    <t>zhuāng</t>
  </si>
  <si>
    <t>dress; attire; clothing</t>
  </si>
  <si>
    <t>装饰</t>
  </si>
  <si>
    <t>zhuāng shì</t>
  </si>
  <si>
    <t>ornament; decorate; embellish</t>
  </si>
  <si>
    <t>装修</t>
  </si>
  <si>
    <t>zhuāng xiū</t>
  </si>
  <si>
    <t>to decroate</t>
  </si>
  <si>
    <t>撞</t>
  </si>
  <si>
    <t>zhuàng</t>
  </si>
  <si>
    <t>状况</t>
  </si>
  <si>
    <t>zhuàng kuàng</t>
  </si>
  <si>
    <t>condition; state; status</t>
  </si>
  <si>
    <t>状态</t>
  </si>
  <si>
    <t>zhuàng tài</t>
  </si>
  <si>
    <t>status; condition; state of affairs</t>
  </si>
  <si>
    <t>追</t>
  </si>
  <si>
    <t>zhuī</t>
  </si>
  <si>
    <t>chase</t>
  </si>
  <si>
    <t>追求</t>
  </si>
  <si>
    <t>zhuī qiú</t>
  </si>
  <si>
    <t>seek; pursue; woo</t>
  </si>
  <si>
    <t>资格</t>
  </si>
  <si>
    <t>zī gé</t>
  </si>
  <si>
    <t>qualification; seniority</t>
  </si>
  <si>
    <t>资金</t>
  </si>
  <si>
    <t>zī jīn</t>
  </si>
  <si>
    <t>fund</t>
  </si>
  <si>
    <t>资料</t>
  </si>
  <si>
    <t>zī liào</t>
  </si>
  <si>
    <t>means; resources; materials</t>
  </si>
  <si>
    <t>姿势</t>
  </si>
  <si>
    <t>zī shì</t>
  </si>
  <si>
    <t>posture; gesture</t>
  </si>
  <si>
    <t>咨询</t>
  </si>
  <si>
    <t>zī xún</t>
  </si>
  <si>
    <t>seek advice from; consult</t>
  </si>
  <si>
    <t>资源</t>
  </si>
  <si>
    <t>zī yuán</t>
  </si>
  <si>
    <t>(natural) resources</t>
  </si>
  <si>
    <t>紫</t>
  </si>
  <si>
    <t>zǐ</t>
  </si>
  <si>
    <t>purple</t>
  </si>
  <si>
    <t>自从</t>
  </si>
  <si>
    <t>zì cóng</t>
  </si>
  <si>
    <t>自动</t>
  </si>
  <si>
    <t>zì dòng</t>
  </si>
  <si>
    <t>voluntarily; of one's own accord; spontaneous</t>
  </si>
  <si>
    <t>自豪</t>
  </si>
  <si>
    <t>zì háo</t>
  </si>
  <si>
    <t>be proud of</t>
  </si>
  <si>
    <t>自觉</t>
  </si>
  <si>
    <t>zì jué</t>
  </si>
  <si>
    <t>be aware of; conscientious</t>
  </si>
  <si>
    <t>字母</t>
  </si>
  <si>
    <t>zì mǔ</t>
  </si>
  <si>
    <t>letters [of an alphabet]</t>
  </si>
  <si>
    <t>字幕</t>
  </si>
  <si>
    <t>zì mù</t>
  </si>
  <si>
    <t>captions; subtitles</t>
  </si>
  <si>
    <t>自私</t>
  </si>
  <si>
    <t>zì sī</t>
  </si>
  <si>
    <t>selfish; self-centred; self-seeking</t>
  </si>
  <si>
    <t>自由</t>
  </si>
  <si>
    <t>zì yóu</t>
  </si>
  <si>
    <t>freedom; liberty</t>
  </si>
  <si>
    <t>自愿</t>
  </si>
  <si>
    <t>zì yuàn</t>
  </si>
  <si>
    <t>of one's own free will; voluntarily</t>
  </si>
  <si>
    <t>综合</t>
  </si>
  <si>
    <t>zōng hé</t>
  </si>
  <si>
    <t>synthesise; comprehensive; multiple</t>
  </si>
  <si>
    <t>总裁</t>
  </si>
  <si>
    <t>zǒng cái</t>
  </si>
  <si>
    <t>president; director general</t>
  </si>
  <si>
    <t>总共</t>
  </si>
  <si>
    <t>zǒng gòng</t>
  </si>
  <si>
    <t>in all; altogether</t>
  </si>
  <si>
    <t>总理</t>
  </si>
  <si>
    <t>zǒng lǐ</t>
  </si>
  <si>
    <t>prime minister</t>
  </si>
  <si>
    <t>总算</t>
  </si>
  <si>
    <t>zǒng suàn</t>
  </si>
  <si>
    <t>at long last; finally</t>
  </si>
  <si>
    <t>总统</t>
  </si>
  <si>
    <t>zǒng tǒng</t>
  </si>
  <si>
    <t>president</t>
  </si>
  <si>
    <t>总之</t>
  </si>
  <si>
    <t>zǒng zhī</t>
  </si>
  <si>
    <t>in a word; in short; in brief</t>
  </si>
  <si>
    <t>组</t>
  </si>
  <si>
    <t>zǔ</t>
  </si>
  <si>
    <t>group; set; series</t>
  </si>
  <si>
    <t>组成</t>
  </si>
  <si>
    <t>zǔ chéng</t>
  </si>
  <si>
    <t>to form</t>
  </si>
  <si>
    <t>组合</t>
  </si>
  <si>
    <t>zǔ hé</t>
  </si>
  <si>
    <t>make up; compose; constitute</t>
  </si>
  <si>
    <t>组织</t>
  </si>
  <si>
    <t>zǔ zhī</t>
  </si>
  <si>
    <t>organisation</t>
  </si>
  <si>
    <t>阻止</t>
  </si>
  <si>
    <t>zǔ zhǐ</t>
  </si>
  <si>
    <t>arrest; stop; prevent</t>
  </si>
  <si>
    <t>醉</t>
  </si>
  <si>
    <t>drunk; intoxicated</t>
  </si>
  <si>
    <t>最初</t>
  </si>
  <si>
    <t>zuì chū</t>
  </si>
  <si>
    <t>initial; first; prime</t>
  </si>
  <si>
    <t>尊敬</t>
  </si>
  <si>
    <t>zūn jìng</t>
  </si>
  <si>
    <t>respect; honour; esteem</t>
  </si>
  <si>
    <t>遵守</t>
  </si>
  <si>
    <t>zūn shǒu</t>
  </si>
  <si>
    <t>observe; abide by; comply with</t>
  </si>
  <si>
    <t>作品</t>
  </si>
  <si>
    <t>zuò pǐn</t>
  </si>
  <si>
    <t>works; opus</t>
  </si>
  <si>
    <t>作为</t>
  </si>
  <si>
    <t>zuò wéi</t>
  </si>
  <si>
    <t>to act as; conduct</t>
  </si>
  <si>
    <t>作文</t>
  </si>
  <si>
    <t>zuò wén</t>
  </si>
  <si>
    <t>write a composition</t>
  </si>
  <si>
    <t>偶像</t>
  </si>
  <si>
    <t>ǒu xiàng</t>
  </si>
  <si>
    <t>idol</t>
  </si>
  <si>
    <t>挨</t>
  </si>
  <si>
    <t>ái</t>
  </si>
  <si>
    <t>suffer; endure; drag out;</t>
  </si>
  <si>
    <t>癌症</t>
  </si>
  <si>
    <t>ái zhèng</t>
  </si>
  <si>
    <t>cancer</t>
  </si>
  <si>
    <t>爱不释手</t>
  </si>
  <si>
    <t>ài bù shì shǒu</t>
  </si>
  <si>
    <t>like something so much that one cannot bear to part with it</t>
  </si>
  <si>
    <t>爱戴</t>
  </si>
  <si>
    <t>ài dài</t>
  </si>
  <si>
    <t>love and esteem; respect and support</t>
  </si>
  <si>
    <t>暧昧</t>
  </si>
  <si>
    <t>ài mèi</t>
  </si>
  <si>
    <t>ambiguous; equivocal; dubious</t>
  </si>
  <si>
    <t>安宁</t>
  </si>
  <si>
    <t>ān níng</t>
  </si>
  <si>
    <t>peaceful; tranquil; calm</t>
  </si>
  <si>
    <t>安详</t>
  </si>
  <si>
    <t>ān xiáng</t>
  </si>
  <si>
    <t>composed; serene</t>
  </si>
  <si>
    <t>安置</t>
  </si>
  <si>
    <t>ān zhì</t>
  </si>
  <si>
    <t>arrange for; find a place for</t>
  </si>
  <si>
    <t>案件</t>
  </si>
  <si>
    <t>àn jiàn</t>
  </si>
  <si>
    <t>legal case</t>
  </si>
  <si>
    <t>案例</t>
  </si>
  <si>
    <t>àn lì</t>
  </si>
  <si>
    <t>case; example of</t>
  </si>
  <si>
    <t>按摩</t>
  </si>
  <si>
    <t>àn mó</t>
  </si>
  <si>
    <t>massage</t>
  </si>
  <si>
    <t>暗示</t>
  </si>
  <si>
    <t>àn shì</t>
  </si>
  <si>
    <t>hint; imply</t>
  </si>
  <si>
    <t>昂贵</t>
  </si>
  <si>
    <t>áng guì</t>
  </si>
  <si>
    <t>expensive; costly</t>
  </si>
  <si>
    <t>凹凸</t>
  </si>
  <si>
    <t>āo tū</t>
  </si>
  <si>
    <t>concave-convex; bumpy; uneven</t>
  </si>
  <si>
    <t>熬</t>
  </si>
  <si>
    <t>áo</t>
  </si>
  <si>
    <t>boil; stew</t>
  </si>
  <si>
    <t>奥秘</t>
  </si>
  <si>
    <t>ào mì</t>
  </si>
  <si>
    <t>profound mystery; secret</t>
  </si>
  <si>
    <t>扒</t>
  </si>
  <si>
    <t>dig up; pull down; rake</t>
  </si>
  <si>
    <t>疤</t>
  </si>
  <si>
    <t>scar</t>
  </si>
  <si>
    <t>巴不得</t>
  </si>
  <si>
    <t>bā bù dé</t>
  </si>
  <si>
    <t>be only too anxious; eagerly look forward to; earnestly wish</t>
  </si>
  <si>
    <t>巴结</t>
  </si>
  <si>
    <t>bā jie</t>
  </si>
  <si>
    <t>curry favour with; fawn on; flatter</t>
  </si>
  <si>
    <t>拨</t>
  </si>
  <si>
    <t>bá</t>
  </si>
  <si>
    <t>to pull up</t>
  </si>
  <si>
    <t>拔苗助长</t>
  </si>
  <si>
    <t>bá miáo zhù zhǎng</t>
  </si>
  <si>
    <t>pull up a seedling in the mistaken hope of helping it to grow</t>
  </si>
  <si>
    <t>把关</t>
  </si>
  <si>
    <t>bǎ guān</t>
  </si>
  <si>
    <t>guard a pass/checkpoint</t>
  </si>
  <si>
    <t>把手</t>
  </si>
  <si>
    <t>bǎ shǒu</t>
  </si>
  <si>
    <t>handle; holder; hand; knob</t>
  </si>
  <si>
    <t>霸道</t>
  </si>
  <si>
    <t>bà dào</t>
  </si>
  <si>
    <t>strong; potent</t>
  </si>
  <si>
    <t>罢工</t>
  </si>
  <si>
    <t>bà gōng</t>
  </si>
  <si>
    <t>go on strike; down tools</t>
  </si>
  <si>
    <t>掰</t>
  </si>
  <si>
    <t>bāi</t>
  </si>
  <si>
    <t>break off (with hands); sever</t>
  </si>
  <si>
    <t>摆脱</t>
  </si>
  <si>
    <t>bǎi tuō</t>
  </si>
  <si>
    <t>dispense; cast off; extricate oneself from</t>
  </si>
  <si>
    <t>拜访</t>
  </si>
  <si>
    <t>bài fǎng</t>
  </si>
  <si>
    <t>pay a visit; call to pay respects; call on</t>
  </si>
  <si>
    <t>败坏</t>
  </si>
  <si>
    <t>bài huài</t>
  </si>
  <si>
    <t>ruin; corrupt; debase</t>
  </si>
  <si>
    <t>拜年</t>
  </si>
  <si>
    <t>bài nián</t>
  </si>
  <si>
    <t>pay a New Year call</t>
  </si>
  <si>
    <t>拜托</t>
  </si>
  <si>
    <t>bài tuō</t>
  </si>
  <si>
    <t>request somebody to do something; entrust</t>
  </si>
  <si>
    <t>斑</t>
  </si>
  <si>
    <t>spot</t>
  </si>
  <si>
    <t>颁布</t>
  </si>
  <si>
    <t>bān bù</t>
  </si>
  <si>
    <t>promulgate; issue; proclaim</t>
  </si>
  <si>
    <t>颁发</t>
  </si>
  <si>
    <t>bān fā</t>
  </si>
  <si>
    <t>issue; promulgate</t>
  </si>
  <si>
    <t>版本</t>
  </si>
  <si>
    <t>bǎn běn</t>
  </si>
  <si>
    <t>edition</t>
  </si>
  <si>
    <t>伴侣</t>
  </si>
  <si>
    <t>bàn lǚ</t>
  </si>
  <si>
    <t>companion; mate; partner</t>
  </si>
  <si>
    <t>伴随</t>
  </si>
  <si>
    <t>bàn suí</t>
  </si>
  <si>
    <t>accompany; be in the wake of</t>
  </si>
  <si>
    <t>半途而废</t>
  </si>
  <si>
    <t>bàn tú ér fèi</t>
  </si>
  <si>
    <t>give up halfway; leave something unfinished</t>
  </si>
  <si>
    <t>扮演</t>
  </si>
  <si>
    <t>bàn yǎn</t>
  </si>
  <si>
    <t>play the part of; have a role; act</t>
  </si>
  <si>
    <t>绑架</t>
  </si>
  <si>
    <t>bǎng jià</t>
  </si>
  <si>
    <t>kidnap</t>
  </si>
  <si>
    <t>榜样</t>
  </si>
  <si>
    <t>bǎng yàng</t>
  </si>
  <si>
    <t>example; model; pattern</t>
  </si>
  <si>
    <t>磅</t>
  </si>
  <si>
    <t>pound [weight]; scale</t>
  </si>
  <si>
    <t>包庇</t>
  </si>
  <si>
    <t>bāo bì</t>
  </si>
  <si>
    <t>shield; harbour; cover up</t>
  </si>
  <si>
    <t>包袱</t>
  </si>
  <si>
    <t>bāo fu</t>
  </si>
  <si>
    <t>cloth wrappers</t>
  </si>
  <si>
    <t>包围</t>
  </si>
  <si>
    <t>bāo wéi</t>
  </si>
  <si>
    <t>surround</t>
  </si>
  <si>
    <t>包装</t>
  </si>
  <si>
    <t>bāo zhuāng</t>
  </si>
  <si>
    <t>pack; wrap up; packaging</t>
  </si>
  <si>
    <t>保管</t>
  </si>
  <si>
    <t>bǎo guǎn</t>
  </si>
  <si>
    <t>take care of; safeguard</t>
  </si>
  <si>
    <t>饱和</t>
  </si>
  <si>
    <t>bǎo hé</t>
  </si>
  <si>
    <t>saturated</t>
  </si>
  <si>
    <t>饱经沧桑</t>
  </si>
  <si>
    <t>bǎo jīng cāng sāng</t>
  </si>
  <si>
    <t>have lived through many changes</t>
  </si>
  <si>
    <t>保密</t>
  </si>
  <si>
    <t>bǎo mì</t>
  </si>
  <si>
    <t>keep something secret</t>
  </si>
  <si>
    <t>保姆</t>
  </si>
  <si>
    <t>bǎo mǔ</t>
  </si>
  <si>
    <t>nanny; nursemaid</t>
  </si>
  <si>
    <t>保守</t>
  </si>
  <si>
    <t>bǎo shǒu</t>
  </si>
  <si>
    <t>conservative</t>
  </si>
  <si>
    <t>保卫</t>
  </si>
  <si>
    <t>bǎo wèi</t>
  </si>
  <si>
    <t>defend; guard; safeguard</t>
  </si>
  <si>
    <t>保养</t>
  </si>
  <si>
    <t>bǎo yǎng</t>
  </si>
  <si>
    <t>take good care of one's health; keep fit; keep in good repair</t>
  </si>
  <si>
    <t>保障</t>
  </si>
  <si>
    <t>bǎo zhàng</t>
  </si>
  <si>
    <t>ensure; guarantee; safeguard</t>
  </si>
  <si>
    <t>保重</t>
  </si>
  <si>
    <t>bǎo zhòng</t>
  </si>
  <si>
    <t>to take care of oneself</t>
  </si>
  <si>
    <t>报仇</t>
  </si>
  <si>
    <t>bào chóu</t>
  </si>
  <si>
    <t>revenge; avenge</t>
  </si>
  <si>
    <t>报酬</t>
  </si>
  <si>
    <t>bào chou</t>
  </si>
  <si>
    <t>reward; remuneration; pay</t>
  </si>
  <si>
    <t>报答</t>
  </si>
  <si>
    <t>bào dá</t>
  </si>
  <si>
    <t>repay; pay back</t>
  </si>
  <si>
    <t>爆发</t>
  </si>
  <si>
    <t>bào fā</t>
  </si>
  <si>
    <t>erupt; burst; blow up</t>
  </si>
  <si>
    <t>报复</t>
  </si>
  <si>
    <t>bào fù</t>
  </si>
  <si>
    <t>take vengeance on; retaliate</t>
  </si>
  <si>
    <t>抱负</t>
  </si>
  <si>
    <t>aspiration; ambition; lofty aim</t>
  </si>
  <si>
    <t>曝光</t>
  </si>
  <si>
    <t>bào guāng</t>
  </si>
  <si>
    <t>exposure</t>
  </si>
  <si>
    <t>报警</t>
  </si>
  <si>
    <t>bào jǐng</t>
  </si>
  <si>
    <t>to give a warning</t>
  </si>
  <si>
    <t>暴力</t>
  </si>
  <si>
    <t>bào lì</t>
  </si>
  <si>
    <t>violence; force</t>
  </si>
  <si>
    <t>暴露</t>
  </si>
  <si>
    <t>bào lù</t>
  </si>
  <si>
    <t>expose; reveal; lay bare</t>
  </si>
  <si>
    <t>报销</t>
  </si>
  <si>
    <t>bào xiāo</t>
  </si>
  <si>
    <t>submit an expense account; apply for reimbursement; claim a refund</t>
  </si>
  <si>
    <t>爆炸</t>
  </si>
  <si>
    <t>bào zhà</t>
  </si>
  <si>
    <t>explode; blow up; bomb</t>
  </si>
  <si>
    <t>悲哀</t>
  </si>
  <si>
    <t>bēi āi</t>
  </si>
  <si>
    <t>grief; sorrow</t>
  </si>
  <si>
    <t>卑鄙</t>
  </si>
  <si>
    <t>bēi bǐ</t>
  </si>
  <si>
    <t>base; mean; contemptible</t>
  </si>
  <si>
    <t>悲惨</t>
  </si>
  <si>
    <t>bēi cǎn</t>
  </si>
  <si>
    <t>miserable</t>
  </si>
  <si>
    <t>北极</t>
  </si>
  <si>
    <t>běi jí</t>
  </si>
  <si>
    <t>the North Pole</t>
  </si>
  <si>
    <t>被动</t>
  </si>
  <si>
    <t>bèi dòng</t>
  </si>
  <si>
    <t>passive</t>
  </si>
  <si>
    <t>备份</t>
  </si>
  <si>
    <t>bèi fèn</t>
  </si>
  <si>
    <t>back-up</t>
  </si>
  <si>
    <t>被告</t>
  </si>
  <si>
    <t>bèi gào</t>
  </si>
  <si>
    <t>defendant; the accused</t>
  </si>
  <si>
    <t>贝壳</t>
  </si>
  <si>
    <t>bèi ké</t>
  </si>
  <si>
    <t>conch; sea shell</t>
  </si>
  <si>
    <t>背叛</t>
  </si>
  <si>
    <t>bèi pàn</t>
  </si>
  <si>
    <t>betray; forsake</t>
  </si>
  <si>
    <t>背诵</t>
  </si>
  <si>
    <t>bèi sòng</t>
  </si>
  <si>
    <t>recite; repeat from memory; say by heart</t>
  </si>
  <si>
    <t>备忘录</t>
  </si>
  <si>
    <t>bèi wàng lù</t>
  </si>
  <si>
    <t>memorandum; aide-mémoire</t>
  </si>
  <si>
    <t>奔波</t>
  </si>
  <si>
    <t>bēn bō</t>
  </si>
  <si>
    <t>rush about; be on the go</t>
  </si>
  <si>
    <t>奔驰</t>
  </si>
  <si>
    <t>bēn chí</t>
  </si>
  <si>
    <t>run quickly; speed; gallop</t>
  </si>
  <si>
    <t>本能</t>
  </si>
  <si>
    <t>běn néng</t>
  </si>
  <si>
    <t>instinct; native ability</t>
  </si>
  <si>
    <t>本钱</t>
  </si>
  <si>
    <t>běn qián</t>
  </si>
  <si>
    <t>capital [money]</t>
  </si>
  <si>
    <t>本人</t>
  </si>
  <si>
    <t>běn rén</t>
  </si>
  <si>
    <t>oneself; in the flesh</t>
  </si>
  <si>
    <t>本身</t>
  </si>
  <si>
    <t>běn shēn</t>
  </si>
  <si>
    <t>in itself/oneself</t>
  </si>
  <si>
    <t>本事</t>
  </si>
  <si>
    <t>běn shi</t>
  </si>
  <si>
    <t>skill; ability; talent</t>
  </si>
  <si>
    <t>笨拙</t>
  </si>
  <si>
    <t>bèn zhuō</t>
  </si>
  <si>
    <t>clumsy; stupid; slow-witted</t>
  </si>
  <si>
    <t>崩溃</t>
  </si>
  <si>
    <t>bēng kuì</t>
  </si>
  <si>
    <t>breakdown; collapse; disintegrate</t>
  </si>
  <si>
    <t>甭</t>
  </si>
  <si>
    <t>béng</t>
  </si>
  <si>
    <t>need not; do not have to</t>
  </si>
  <si>
    <t>蹦</t>
  </si>
  <si>
    <t>bèng</t>
  </si>
  <si>
    <t>hop; skip; jump</t>
  </si>
  <si>
    <t>迸发</t>
  </si>
  <si>
    <t>bèng fā</t>
  </si>
  <si>
    <t>burst forth; burst out</t>
  </si>
  <si>
    <t>逼迫</t>
  </si>
  <si>
    <t>bī pò</t>
  </si>
  <si>
    <t>force; compel; coerce</t>
  </si>
  <si>
    <t>鼻涕</t>
  </si>
  <si>
    <t>bí tì</t>
  </si>
  <si>
    <t>snot; nasal mucus</t>
  </si>
  <si>
    <t>比方</t>
  </si>
  <si>
    <t>bǐ fang</t>
  </si>
  <si>
    <t>analogy; example; instance</t>
  </si>
  <si>
    <t>鄙视</t>
  </si>
  <si>
    <t>bǐ shì</t>
  </si>
  <si>
    <t>to despise</t>
  </si>
  <si>
    <t>比喻</t>
  </si>
  <si>
    <t>bǐ yù</t>
  </si>
  <si>
    <t>metaphor or simile; analogy; allegory</t>
  </si>
  <si>
    <t>比重</t>
  </si>
  <si>
    <t>bǐ zhòng</t>
  </si>
  <si>
    <t>proportion; specific weight</t>
  </si>
  <si>
    <t>臂</t>
  </si>
  <si>
    <t>bì</t>
  </si>
  <si>
    <t>弊病</t>
  </si>
  <si>
    <t>bì bìng</t>
  </si>
  <si>
    <t>malady; evil; malpractice</t>
  </si>
  <si>
    <t>弊端</t>
  </si>
  <si>
    <t>bì duān</t>
  </si>
  <si>
    <t>malpractice; abuse</t>
  </si>
  <si>
    <t>闭塞</t>
  </si>
  <si>
    <t>bì sè</t>
  </si>
  <si>
    <t>to close up; hard to get to; out-of-the-way</t>
  </si>
  <si>
    <t>鞭策</t>
  </si>
  <si>
    <t>biān cè</t>
  </si>
  <si>
    <t>spur on; encourage</t>
  </si>
  <si>
    <t>边疆</t>
  </si>
  <si>
    <t>biān jiāng</t>
  </si>
  <si>
    <t>borderland; frontier region</t>
  </si>
  <si>
    <t>边界</t>
  </si>
  <si>
    <t>biān jiè</t>
  </si>
  <si>
    <t>boundary; frontier; border</t>
  </si>
  <si>
    <t>边境</t>
  </si>
  <si>
    <t>biān jìng</t>
  </si>
  <si>
    <t>border; frontier</t>
  </si>
  <si>
    <t>边缘</t>
  </si>
  <si>
    <t>biān yuán</t>
  </si>
  <si>
    <t>border; edge; fringe; margin</t>
  </si>
  <si>
    <t>编织</t>
  </si>
  <si>
    <t>biān zhī</t>
  </si>
  <si>
    <t>to weave</t>
  </si>
  <si>
    <t>扁</t>
  </si>
  <si>
    <t>biǎn</t>
  </si>
  <si>
    <t>flat</t>
  </si>
  <si>
    <t>贬低</t>
  </si>
  <si>
    <t>biǎn dī</t>
  </si>
  <si>
    <t>belittle; depreciate; disparage</t>
  </si>
  <si>
    <t>贬义</t>
  </si>
  <si>
    <t>biǎn yì</t>
  </si>
  <si>
    <t>derogatory sense; negative connotation</t>
  </si>
  <si>
    <t>遍布</t>
  </si>
  <si>
    <t>biàn bù</t>
  </si>
  <si>
    <t>be found everywhere; spread all over</t>
  </si>
  <si>
    <t>变故</t>
  </si>
  <si>
    <t>biàn gù</t>
  </si>
  <si>
    <t>unforeseen event; accident; mishap</t>
  </si>
  <si>
    <t>辩护</t>
  </si>
  <si>
    <t>biàn hù</t>
  </si>
  <si>
    <t>speak in defense of; argue in favour of</t>
  </si>
  <si>
    <t>辩解</t>
  </si>
  <si>
    <t>biàn jiě</t>
  </si>
  <si>
    <t>provide an explanation; argue that; justify</t>
  </si>
  <si>
    <t>便利</t>
  </si>
  <si>
    <t>biàn lì</t>
  </si>
  <si>
    <t>convenient; easy</t>
  </si>
  <si>
    <t>变迁</t>
  </si>
  <si>
    <t>biàn qiān</t>
  </si>
  <si>
    <t>transition; changes; vicissitudes</t>
  </si>
  <si>
    <t>辨认</t>
  </si>
  <si>
    <t>biàn rèn</t>
  </si>
  <si>
    <t>identify; recognise</t>
  </si>
  <si>
    <t>便条</t>
  </si>
  <si>
    <t>biàn tiáo</t>
  </si>
  <si>
    <t>note</t>
  </si>
  <si>
    <t>便于</t>
  </si>
  <si>
    <t>biàn yú</t>
  </si>
  <si>
    <t>easy to; convenient for</t>
  </si>
  <si>
    <t>辩证</t>
  </si>
  <si>
    <t>biàn zhèng</t>
  </si>
  <si>
    <t>investigate; dialectical</t>
  </si>
  <si>
    <t>变质</t>
  </si>
  <si>
    <t>biàn zhì</t>
  </si>
  <si>
    <t>go bad; deteriorate</t>
  </si>
  <si>
    <t>辫子</t>
  </si>
  <si>
    <t>biàn zi</t>
  </si>
  <si>
    <t>plait; braid; pigtail</t>
  </si>
  <si>
    <t>标本</t>
  </si>
  <si>
    <t>biāo běn</t>
  </si>
  <si>
    <t>specimen; sample; representative</t>
  </si>
  <si>
    <t>标记</t>
  </si>
  <si>
    <t>biāo jì</t>
  </si>
  <si>
    <t>tab; sign; stamp</t>
  </si>
  <si>
    <t>标题</t>
  </si>
  <si>
    <t>biāo tí</t>
  </si>
  <si>
    <t>title; heading</t>
  </si>
  <si>
    <t>表决</t>
  </si>
  <si>
    <t>biǎo jué</t>
  </si>
  <si>
    <t>decide by vote</t>
  </si>
  <si>
    <t>表态</t>
  </si>
  <si>
    <t>biǎo tài</t>
  </si>
  <si>
    <t>clarify one's position</t>
  </si>
  <si>
    <t>表彰</t>
  </si>
  <si>
    <t>biǎo zhāng</t>
  </si>
  <si>
    <t>commend; cite</t>
  </si>
  <si>
    <t>憋</t>
  </si>
  <si>
    <t>biē</t>
  </si>
  <si>
    <t>back; suppress; suffocate</t>
  </si>
  <si>
    <t>别墅</t>
  </si>
  <si>
    <t>bié shù</t>
  </si>
  <si>
    <t>villa</t>
  </si>
  <si>
    <t>别致</t>
  </si>
  <si>
    <t>bié zhì</t>
  </si>
  <si>
    <t>unconventional; interesting and novel; new and unusal</t>
  </si>
  <si>
    <t>别扭</t>
  </si>
  <si>
    <t>biè niu</t>
  </si>
  <si>
    <t>difficult to deal with; troublesome; hard to get along with</t>
  </si>
  <si>
    <t>濒临</t>
  </si>
  <si>
    <t>bīn lín</t>
  </si>
  <si>
    <t>be close to; be on the verge of; border on</t>
  </si>
  <si>
    <t>冰雹</t>
  </si>
  <si>
    <t>bīng báo</t>
  </si>
  <si>
    <t>hail; hail stone</t>
  </si>
  <si>
    <t>丙</t>
  </si>
  <si>
    <t>bǐng</t>
  </si>
  <si>
    <t>third; the third of the Ten Heavenly Stems</t>
  </si>
  <si>
    <t>并非</t>
  </si>
  <si>
    <t>bìng fēi</t>
  </si>
  <si>
    <t>really not</t>
  </si>
  <si>
    <t>并列</t>
  </si>
  <si>
    <t>bìng liè</t>
  </si>
  <si>
    <t>stand side by side; be juxtaposed; put something on a par with</t>
  </si>
  <si>
    <t>波浪</t>
  </si>
  <si>
    <t>bō làng</t>
  </si>
  <si>
    <t>wave</t>
  </si>
  <si>
    <t>波涛</t>
  </si>
  <si>
    <t>bō tāo</t>
  </si>
  <si>
    <t>great waves</t>
  </si>
  <si>
    <t>剥削</t>
  </si>
  <si>
    <t>bō xuē</t>
  </si>
  <si>
    <t>exploit</t>
  </si>
  <si>
    <t>播种</t>
  </si>
  <si>
    <t>bō zhòng</t>
  </si>
  <si>
    <t>to sow; to seed</t>
  </si>
  <si>
    <t>博大精深</t>
  </si>
  <si>
    <t>bó dà jīng shēn</t>
  </si>
  <si>
    <t>extensive and profound; have extensive knowledge and profound scholarship</t>
  </si>
  <si>
    <t>搏斗</t>
  </si>
  <si>
    <t>bó dòu</t>
  </si>
  <si>
    <t>wrestle; fight; struggle</t>
  </si>
  <si>
    <t>博览会</t>
  </si>
  <si>
    <t>bó lǎn huì</t>
  </si>
  <si>
    <t>fair; exhibition; exposition</t>
  </si>
  <si>
    <t>伯母</t>
  </si>
  <si>
    <t>bó mǔ</t>
  </si>
  <si>
    <t>aunt [wife of father's elder brother]</t>
  </si>
  <si>
    <t>薄弱</t>
  </si>
  <si>
    <t>bó ruò</t>
  </si>
  <si>
    <t>weak; frail</t>
  </si>
  <si>
    <t>不顾</t>
  </si>
  <si>
    <t>bú gù</t>
  </si>
  <si>
    <t>disregard; in spite of</t>
  </si>
  <si>
    <t>不愧</t>
  </si>
  <si>
    <t>bú kuì</t>
  </si>
  <si>
    <t>be worthy of; deserve to be called; prove oneself to be</t>
  </si>
  <si>
    <t>不料</t>
  </si>
  <si>
    <t>bú liào</t>
  </si>
  <si>
    <t>不像话</t>
  </si>
  <si>
    <t>bú xiàng huà</t>
  </si>
  <si>
    <t>unreasonable; absurd</t>
  </si>
  <si>
    <t>不屑一顾</t>
  </si>
  <si>
    <t>bú xiè yī gù</t>
  </si>
  <si>
    <t>not spare a glance for; beneath contempt</t>
  </si>
  <si>
    <t>补偿</t>
  </si>
  <si>
    <t>bǔ cháng</t>
  </si>
  <si>
    <t>compensate; make up for</t>
  </si>
  <si>
    <t>补救</t>
  </si>
  <si>
    <t>bǔ jiù</t>
  </si>
  <si>
    <t>remedy; repair; retrieval</t>
  </si>
  <si>
    <t>哺乳</t>
  </si>
  <si>
    <t>bǔ rǔ</t>
  </si>
  <si>
    <t>breast-feed; suckle; nurse</t>
  </si>
  <si>
    <t>补贴</t>
  </si>
  <si>
    <t>bǔ tiē</t>
  </si>
  <si>
    <t>subsidy; allowance</t>
  </si>
  <si>
    <t>捕捉</t>
  </si>
  <si>
    <t>bǔ zhuō</t>
  </si>
  <si>
    <t>catch; seize</t>
  </si>
  <si>
    <t>不得已</t>
  </si>
  <si>
    <t>bù dé yǐ</t>
  </si>
  <si>
    <t>be forced to; have no alternative but to</t>
  </si>
  <si>
    <t>步伐</t>
  </si>
  <si>
    <t>bù fá</t>
  </si>
  <si>
    <t>step; pace</t>
  </si>
  <si>
    <t>不妨</t>
  </si>
  <si>
    <t>bù fáng</t>
  </si>
  <si>
    <t>there is no harm in; might as well</t>
  </si>
  <si>
    <t>不敢当</t>
  </si>
  <si>
    <t>bù gǎn dāng</t>
  </si>
  <si>
    <t>I really don't deserve it; you flatter me</t>
  </si>
  <si>
    <t>布告</t>
  </si>
  <si>
    <t>bù gào</t>
  </si>
  <si>
    <t>notice; bulletin; proclamation</t>
  </si>
  <si>
    <t>不禁</t>
  </si>
  <si>
    <t>bù jīn</t>
  </si>
  <si>
    <t>cannot refrain from; involuntarily; spontaneously</t>
  </si>
  <si>
    <t>布局</t>
  </si>
  <si>
    <t>bù jú</t>
  </si>
  <si>
    <t>layout; arrangement</t>
  </si>
  <si>
    <t>不堪</t>
  </si>
  <si>
    <t>bù kān</t>
  </si>
  <si>
    <t>cannot bear; cannot stand</t>
  </si>
  <si>
    <t>不可思议</t>
  </si>
  <si>
    <t>bù kě sī yì</t>
  </si>
  <si>
    <t>unimaginable; inconceivable</t>
  </si>
  <si>
    <t>不免</t>
  </si>
  <si>
    <t>bù miǎn</t>
  </si>
  <si>
    <t>unavoidable; bound to; invariably inevitably</t>
  </si>
  <si>
    <t>不时</t>
  </si>
  <si>
    <t>bù shí</t>
  </si>
  <si>
    <t>frequently; from time to time; now and then</t>
  </si>
  <si>
    <t>部署</t>
  </si>
  <si>
    <t>bù shǔ</t>
  </si>
  <si>
    <t>arrange; map out; lay out</t>
  </si>
  <si>
    <t>部位</t>
  </si>
  <si>
    <t>bù wèi</t>
  </si>
  <si>
    <t>position; place; location</t>
  </si>
  <si>
    <t>不惜</t>
  </si>
  <si>
    <t>bù xī</t>
  </si>
  <si>
    <t>not spare; not hestitate</t>
  </si>
  <si>
    <t>不相上下</t>
  </si>
  <si>
    <t>bù xiāng shàng xià</t>
  </si>
  <si>
    <t>be roughly the same; about equal</t>
  </si>
  <si>
    <t>不言而喻</t>
  </si>
  <si>
    <t>bù yán ér yù</t>
  </si>
  <si>
    <t>it is self-evident; it goes without saying; it stands to reason that</t>
  </si>
  <si>
    <t>不由得</t>
  </si>
  <si>
    <t>bù yóu de</t>
  </si>
  <si>
    <t>cannot help; cannot but</t>
  </si>
  <si>
    <t>不择手段</t>
  </si>
  <si>
    <t>bù zé shǒu duàn</t>
  </si>
  <si>
    <t>by fair means or foul; by hook or by crook</t>
  </si>
  <si>
    <t>不止</t>
  </si>
  <si>
    <t>bù zhǐ</t>
  </si>
  <si>
    <t>more than; not limited to</t>
  </si>
  <si>
    <t>布置</t>
  </si>
  <si>
    <t>bù zhì</t>
  </si>
  <si>
    <t>fix up; arrange; decorate</t>
  </si>
  <si>
    <t>裁缝</t>
  </si>
  <si>
    <t>cái feng</t>
  </si>
  <si>
    <t>tailor; dressmaker</t>
  </si>
  <si>
    <t>财富</t>
  </si>
  <si>
    <t>cái fù</t>
  </si>
  <si>
    <t>wealth; fortune; riches</t>
  </si>
  <si>
    <t>才干</t>
  </si>
  <si>
    <t>cái gàn</t>
  </si>
  <si>
    <t>ability; competence; capability</t>
  </si>
  <si>
    <t>裁判</t>
  </si>
  <si>
    <t>cái pàn</t>
  </si>
  <si>
    <t>judge; referee</t>
  </si>
  <si>
    <t>财务</t>
  </si>
  <si>
    <t>cái wù</t>
  </si>
  <si>
    <t>financial affairs</t>
  </si>
  <si>
    <t>裁员</t>
  </si>
  <si>
    <t>cái yuán</t>
  </si>
  <si>
    <t>reduce the number of staff</t>
  </si>
  <si>
    <t>财政</t>
  </si>
  <si>
    <t>cái zhèng</t>
  </si>
  <si>
    <t>government finance; public economy</t>
  </si>
  <si>
    <t>采购</t>
  </si>
  <si>
    <t>cǎi gòu</t>
  </si>
  <si>
    <t>procure; make purchases for an organization or enterprise</t>
  </si>
  <si>
    <t>采集</t>
  </si>
  <si>
    <t>cǎi jí</t>
  </si>
  <si>
    <t>gather; collect</t>
  </si>
  <si>
    <t>采纳</t>
  </si>
  <si>
    <t>cǎi nà</t>
  </si>
  <si>
    <t>accept; adopt</t>
  </si>
  <si>
    <t>彩票</t>
  </si>
  <si>
    <t>cǎi piào</t>
  </si>
  <si>
    <t>lottery ticket; raffle ticket</t>
  </si>
  <si>
    <t>参谋</t>
  </si>
  <si>
    <t>cān móu</t>
  </si>
  <si>
    <t>staff officer; adviser</t>
  </si>
  <si>
    <t>参照</t>
  </si>
  <si>
    <t>cān zhào</t>
  </si>
  <si>
    <t>refer to; consult</t>
  </si>
  <si>
    <t>残疾</t>
  </si>
  <si>
    <t>cán jí</t>
  </si>
  <si>
    <t>physical disability; deformity</t>
  </si>
  <si>
    <t>残酷</t>
  </si>
  <si>
    <t>cán kù</t>
  </si>
  <si>
    <t>cruel; brutal; ruthless</t>
  </si>
  <si>
    <t>残留</t>
  </si>
  <si>
    <t>cán liú</t>
  </si>
  <si>
    <t>remain; be left over; residual</t>
  </si>
  <si>
    <t>残忍</t>
  </si>
  <si>
    <t>cán rěn</t>
  </si>
  <si>
    <t>cruel; ruthless; merciless</t>
  </si>
  <si>
    <t>灿烂</t>
  </si>
  <si>
    <t>càn làn</t>
  </si>
  <si>
    <t>magnificent; splendid; resplendent</t>
  </si>
  <si>
    <t>舱</t>
  </si>
  <si>
    <t>cāng</t>
  </si>
  <si>
    <t>cabin; module</t>
  </si>
  <si>
    <t>苍白</t>
  </si>
  <si>
    <t>cāng bái</t>
  </si>
  <si>
    <t>pale; pallid; wan</t>
  </si>
  <si>
    <t>仓促</t>
  </si>
  <si>
    <t>cāng cù</t>
  </si>
  <si>
    <t>hastily; hurriedly</t>
  </si>
  <si>
    <t>仓库</t>
  </si>
  <si>
    <t>cāng kù</t>
  </si>
  <si>
    <t>storehouse; warehouse</t>
  </si>
  <si>
    <t>操劳</t>
  </si>
  <si>
    <t>cāo láo</t>
  </si>
  <si>
    <t>work hard</t>
  </si>
  <si>
    <t>操练</t>
  </si>
  <si>
    <t>cāo liàn</t>
  </si>
  <si>
    <t>drill; practice</t>
  </si>
  <si>
    <t>操纵</t>
  </si>
  <si>
    <t>cāo zòng</t>
  </si>
  <si>
    <t>operate; control; steer</t>
  </si>
  <si>
    <t>操作</t>
  </si>
  <si>
    <t>cāo zuò</t>
  </si>
  <si>
    <t>operate; manipulate; handle</t>
  </si>
  <si>
    <t>嘈杂</t>
  </si>
  <si>
    <t>cáo zá</t>
  </si>
  <si>
    <t>noisy; din</t>
  </si>
  <si>
    <t>草案</t>
  </si>
  <si>
    <t>cǎo àn</t>
  </si>
  <si>
    <t>draft; ground plan</t>
  </si>
  <si>
    <t>草率</t>
  </si>
  <si>
    <t>cǎo shuài</t>
  </si>
  <si>
    <t>careless; perfunctory; rash</t>
  </si>
  <si>
    <t>策划</t>
  </si>
  <si>
    <t>cè huà</t>
  </si>
  <si>
    <t>plan; plot; scheme</t>
  </si>
  <si>
    <t>测量</t>
  </si>
  <si>
    <t>cè liáng</t>
  </si>
  <si>
    <t>measure; survey; gauge</t>
  </si>
  <si>
    <t>策略</t>
  </si>
  <si>
    <t>cè lüè</t>
  </si>
  <si>
    <t>tactics; policy; strategy</t>
  </si>
  <si>
    <t>侧面</t>
  </si>
  <si>
    <t>cè miàn</t>
  </si>
  <si>
    <t>side; flank; profile</t>
  </si>
  <si>
    <t>层出不穷</t>
  </si>
  <si>
    <t>céng chū bù qióng</t>
  </si>
  <si>
    <t>come out in an unending flow</t>
  </si>
  <si>
    <t>层次</t>
  </si>
  <si>
    <t>céng cì</t>
  </si>
  <si>
    <t>administrative levels; arrangement of ideas; gradation</t>
  </si>
  <si>
    <t>插座</t>
  </si>
  <si>
    <t>chā zuò</t>
  </si>
  <si>
    <t>socket</t>
  </si>
  <si>
    <t>查获</t>
  </si>
  <si>
    <t>chá huò</t>
  </si>
  <si>
    <t>hunt down and seize; track down</t>
  </si>
  <si>
    <t>岔</t>
  </si>
  <si>
    <t>fork in road; branch off; turn off</t>
  </si>
  <si>
    <t>刹那</t>
  </si>
  <si>
    <t>chà nà</t>
  </si>
  <si>
    <t>instant; split second</t>
  </si>
  <si>
    <t>诧异</t>
  </si>
  <si>
    <t>chà yì</t>
  </si>
  <si>
    <t>be surprised; be amazed; be astonished</t>
  </si>
  <si>
    <t>柴油</t>
  </si>
  <si>
    <t>chái yóu</t>
  </si>
  <si>
    <t>diesel oil</t>
  </si>
  <si>
    <t>搀</t>
  </si>
  <si>
    <t>chān</t>
  </si>
  <si>
    <t>support somebody with one's hand; to mix; adulterate</t>
  </si>
  <si>
    <t>馋</t>
  </si>
  <si>
    <t>chán</t>
  </si>
  <si>
    <t>greedy; gluttonous; covetous</t>
  </si>
  <si>
    <t>缠绕</t>
  </si>
  <si>
    <t>chán rào</t>
  </si>
  <si>
    <t>twine; swathe</t>
  </si>
  <si>
    <t>阐述</t>
  </si>
  <si>
    <t>chǎn shù</t>
  </si>
  <si>
    <t>expound; elaborate; set forth</t>
  </si>
  <si>
    <t>产业</t>
  </si>
  <si>
    <t>chǎn yè</t>
  </si>
  <si>
    <t>颤抖</t>
  </si>
  <si>
    <t>chàn dǒu</t>
  </si>
  <si>
    <t>shake; tremble; quiver</t>
  </si>
  <si>
    <t>昌盛</t>
  </si>
  <si>
    <t>chāng shèng</t>
  </si>
  <si>
    <t>prosperous; flourishing</t>
  </si>
  <si>
    <t>偿还</t>
  </si>
  <si>
    <t>cháng huán</t>
  </si>
  <si>
    <t>尝试</t>
  </si>
  <si>
    <t>cháng shì</t>
  </si>
  <si>
    <t>trial; attempt</t>
  </si>
  <si>
    <t>场合</t>
  </si>
  <si>
    <t>chǎng hé</t>
  </si>
  <si>
    <t>occasion; situation</t>
  </si>
  <si>
    <t>敞开</t>
  </si>
  <si>
    <t>chǎng kāi</t>
  </si>
  <si>
    <t>open wide; unlimited; unrestricted</t>
  </si>
  <si>
    <t>场面</t>
  </si>
  <si>
    <t>chǎng miàn</t>
  </si>
  <si>
    <t>scene; spectacle; appearance</t>
  </si>
  <si>
    <t>场所</t>
  </si>
  <si>
    <t>chǎng suǒ</t>
  </si>
  <si>
    <t>place; site; lieu</t>
  </si>
  <si>
    <t>倡导</t>
  </si>
  <si>
    <t>chàng dǎo</t>
  </si>
  <si>
    <t>initiate; propose; advocate</t>
  </si>
  <si>
    <t>畅通</t>
  </si>
  <si>
    <t>chàng tōng</t>
  </si>
  <si>
    <t>unimpeded; unblocked</t>
  </si>
  <si>
    <t>畅销</t>
  </si>
  <si>
    <t>chàng xiāo</t>
  </si>
  <si>
    <t>sell well; be in great demand; have a ready market</t>
  </si>
  <si>
    <t>倡议</t>
  </si>
  <si>
    <t>chàng yì</t>
  </si>
  <si>
    <t>propose; sponsor</t>
  </si>
  <si>
    <t>钞票</t>
  </si>
  <si>
    <t>chāo piào</t>
  </si>
  <si>
    <t>bank note; paper money</t>
  </si>
  <si>
    <t>超越</t>
  </si>
  <si>
    <t>chāo yuè</t>
  </si>
  <si>
    <t>surmount; transcend; surpass</t>
  </si>
  <si>
    <t>朝代</t>
  </si>
  <si>
    <t>cháo dài</t>
  </si>
  <si>
    <t>dynasty</t>
  </si>
  <si>
    <t>巢穴</t>
  </si>
  <si>
    <t>cháo xué</t>
  </si>
  <si>
    <t>nests</t>
  </si>
  <si>
    <t>潮流</t>
  </si>
  <si>
    <t>cháo liú</t>
  </si>
  <si>
    <t>tide; tidal current; tidal wave</t>
  </si>
  <si>
    <t>嘲笑</t>
  </si>
  <si>
    <t>cháo xiào</t>
  </si>
  <si>
    <t>ridicule; deride; make fun of</t>
  </si>
  <si>
    <t>撤退</t>
  </si>
  <si>
    <t>chè tuì</t>
  </si>
  <si>
    <t>withdraw; retreat; pull out</t>
  </si>
  <si>
    <t>撤销</t>
  </si>
  <si>
    <t>chè xiāo</t>
  </si>
  <si>
    <t>cancel; rescind; revoke</t>
  </si>
  <si>
    <t>沉淀</t>
  </si>
  <si>
    <t>chén diàn</t>
  </si>
  <si>
    <t>sediment; precipitation</t>
  </si>
  <si>
    <t>陈旧</t>
  </si>
  <si>
    <t>chén jiù</t>
  </si>
  <si>
    <t>outmoded; obsolete;old-fashioned</t>
  </si>
  <si>
    <t>陈列</t>
  </si>
  <si>
    <t>chén liè</t>
  </si>
  <si>
    <t>display; set out; exhibit</t>
  </si>
  <si>
    <t>沉闷</t>
  </si>
  <si>
    <t>chén mèn</t>
  </si>
  <si>
    <t>oppressive; depressing</t>
  </si>
  <si>
    <t>陈述</t>
  </si>
  <si>
    <t>chén shù</t>
  </si>
  <si>
    <t>state; declare; allege</t>
  </si>
  <si>
    <t>沉思</t>
  </si>
  <si>
    <t>chén sī</t>
  </si>
  <si>
    <t>ponder; meditate; muse</t>
  </si>
  <si>
    <t>沉重</t>
  </si>
  <si>
    <t>chén zhòng</t>
  </si>
  <si>
    <t>heavy</t>
  </si>
  <si>
    <t>沉着</t>
  </si>
  <si>
    <t>chén zhuó</t>
  </si>
  <si>
    <t>cool-headed; composed</t>
  </si>
  <si>
    <t>衬托</t>
  </si>
  <si>
    <t>chèn tuō</t>
  </si>
  <si>
    <t>set off</t>
  </si>
  <si>
    <t>称心如意</t>
  </si>
  <si>
    <t>chèn xīn rú yì</t>
  </si>
  <si>
    <t>have something as one wishes</t>
  </si>
  <si>
    <t>称号</t>
  </si>
  <si>
    <t>chēng hào</t>
  </si>
  <si>
    <t>title; name; designation</t>
  </si>
  <si>
    <t>橙</t>
  </si>
  <si>
    <t>chéng</t>
  </si>
  <si>
    <t>orange</t>
  </si>
  <si>
    <t>盛</t>
  </si>
  <si>
    <t>fill; hold; contain</t>
  </si>
  <si>
    <t>乘</t>
  </si>
  <si>
    <t>to ride on; avail oneself of to multiply</t>
  </si>
  <si>
    <t>承办</t>
  </si>
  <si>
    <t>chéng bàn</t>
  </si>
  <si>
    <t>undertake</t>
  </si>
  <si>
    <t>承包</t>
  </si>
  <si>
    <t>chéng bāo</t>
  </si>
  <si>
    <t>contract</t>
  </si>
  <si>
    <t>城堡</t>
  </si>
  <si>
    <t>chéng bǎo</t>
  </si>
  <si>
    <t>castle; citadel</t>
  </si>
  <si>
    <t>成本</t>
  </si>
  <si>
    <t>chéng běn</t>
  </si>
  <si>
    <t>cost</t>
  </si>
  <si>
    <t>惩罚</t>
  </si>
  <si>
    <t>chéng fá</t>
  </si>
  <si>
    <t>punish; penalise</t>
  </si>
  <si>
    <t>成交</t>
  </si>
  <si>
    <t>chéng jiāo</t>
  </si>
  <si>
    <t>strike a bargain; clinch a deal; conclude a transaction</t>
  </si>
  <si>
    <t>承诺</t>
  </si>
  <si>
    <t>chéng nuò</t>
  </si>
  <si>
    <t>promise to do something</t>
  </si>
  <si>
    <t>澄清</t>
  </si>
  <si>
    <t>chéng qīng</t>
  </si>
  <si>
    <t>clear; transparent</t>
  </si>
  <si>
    <t>成天</t>
  </si>
  <si>
    <t>chéng tiān</t>
  </si>
  <si>
    <t>all day long; all the time</t>
  </si>
  <si>
    <t>呈现</t>
  </si>
  <si>
    <t>chéng xiàn</t>
  </si>
  <si>
    <t>present; appear; emerge</t>
  </si>
  <si>
    <t>成效</t>
  </si>
  <si>
    <t>chéng xiào</t>
  </si>
  <si>
    <t>effect; result</t>
  </si>
  <si>
    <t>成心</t>
  </si>
  <si>
    <t>chéng xīn</t>
  </si>
  <si>
    <t>intentionally; on purpose</t>
  </si>
  <si>
    <t>成员</t>
  </si>
  <si>
    <t>chéng yuán</t>
  </si>
  <si>
    <t>member</t>
  </si>
  <si>
    <t>诚挚</t>
  </si>
  <si>
    <t>chéng zhì</t>
  </si>
  <si>
    <t>sincere; cordial</t>
  </si>
  <si>
    <t>秤</t>
  </si>
  <si>
    <t>chèng</t>
  </si>
  <si>
    <t>scales; steelyard</t>
  </si>
  <si>
    <t>吃苦</t>
  </si>
  <si>
    <t>chī kǔ</t>
  </si>
  <si>
    <t>bear hardships</t>
  </si>
  <si>
    <t>吃力</t>
  </si>
  <si>
    <t>chī lì</t>
  </si>
  <si>
    <t>strenuous; laborious</t>
  </si>
  <si>
    <t>迟钝</t>
  </si>
  <si>
    <t>chí dùn</t>
  </si>
  <si>
    <t>slow (witted)</t>
  </si>
  <si>
    <t>迟缓</t>
  </si>
  <si>
    <t>chí huǎn</t>
  </si>
  <si>
    <t>slow; tardy; sluggish</t>
  </si>
  <si>
    <t>持久</t>
  </si>
  <si>
    <t>chí jiǔ</t>
  </si>
  <si>
    <t>lasting; enduring; persistent</t>
  </si>
  <si>
    <t>迟疑</t>
  </si>
  <si>
    <t>chí yí</t>
  </si>
  <si>
    <t>hesitate</t>
  </si>
  <si>
    <t>赤道</t>
  </si>
  <si>
    <t>chì dào</t>
  </si>
  <si>
    <t>the equator</t>
  </si>
  <si>
    <t>赤字</t>
  </si>
  <si>
    <t>chì zì</t>
  </si>
  <si>
    <t>deficit</t>
  </si>
  <si>
    <t>充当</t>
  </si>
  <si>
    <t>chōng dāng</t>
  </si>
  <si>
    <t>act as; play the part of; pose as</t>
  </si>
  <si>
    <t>冲动</t>
  </si>
  <si>
    <t>chōng dòng</t>
  </si>
  <si>
    <t>impulse; get excited</t>
  </si>
  <si>
    <t>冲击</t>
  </si>
  <si>
    <t>chōng jī</t>
  </si>
  <si>
    <t>to lash; pound; strike</t>
  </si>
  <si>
    <t>充沛</t>
  </si>
  <si>
    <t>chōng pèi</t>
  </si>
  <si>
    <t>plentiful; abundant; full of</t>
  </si>
  <si>
    <t>充实</t>
  </si>
  <si>
    <t>chōng shí</t>
  </si>
  <si>
    <t>substantial; rich</t>
  </si>
  <si>
    <t>冲突</t>
  </si>
  <si>
    <t>chōng tū</t>
  </si>
  <si>
    <t>clash; collide; conflict</t>
  </si>
  <si>
    <t>充足</t>
  </si>
  <si>
    <t>chōng zú</t>
  </si>
  <si>
    <t>adequate; sufficient; ample</t>
  </si>
  <si>
    <t>崇拜</t>
  </si>
  <si>
    <t>chóng bài</t>
  </si>
  <si>
    <t>worship; adore; idolise</t>
  </si>
  <si>
    <t>重叠</t>
  </si>
  <si>
    <t>chóng dié</t>
  </si>
  <si>
    <t>one on top of another; overlapping</t>
  </si>
  <si>
    <t>崇高</t>
  </si>
  <si>
    <t>chóng gāo</t>
  </si>
  <si>
    <t>lofty; sublime</t>
  </si>
  <si>
    <t>崇敬</t>
  </si>
  <si>
    <t>chóng jìng</t>
  </si>
  <si>
    <t>esteem; respect; revere</t>
  </si>
  <si>
    <t>筹备</t>
  </si>
  <si>
    <t>chóu bèi</t>
  </si>
  <si>
    <t>prepare; arrange</t>
  </si>
  <si>
    <t>稠密</t>
  </si>
  <si>
    <t>chóu mì</t>
  </si>
  <si>
    <t>dense; compactedness</t>
  </si>
  <si>
    <t>丑恶</t>
  </si>
  <si>
    <t>chǒu è</t>
  </si>
  <si>
    <t>ugly; repulsive; hideous</t>
  </si>
  <si>
    <t>初步</t>
  </si>
  <si>
    <t>chū bù</t>
  </si>
  <si>
    <t>initial; first step; preliminary</t>
  </si>
  <si>
    <t>出路</t>
  </si>
  <si>
    <t>chū lù</t>
  </si>
  <si>
    <t>way out; outlet</t>
  </si>
  <si>
    <t>出卖</t>
  </si>
  <si>
    <t>chū mài</t>
  </si>
  <si>
    <t>to sell; offer for sale</t>
  </si>
  <si>
    <t>出身</t>
  </si>
  <si>
    <t>chū shēn</t>
  </si>
  <si>
    <t>family background</t>
  </si>
  <si>
    <t>出神</t>
  </si>
  <si>
    <t>chū shén</t>
  </si>
  <si>
    <t>be spellbound; be absorbed in; be lost in thought</t>
  </si>
  <si>
    <t>出息</t>
  </si>
  <si>
    <t>chū xi</t>
  </si>
  <si>
    <t>promise; prospects; future</t>
  </si>
  <si>
    <t>除</t>
  </si>
  <si>
    <t>chú</t>
  </si>
  <si>
    <t>get rid of; eliminate; remove</t>
  </si>
  <si>
    <t>储备</t>
  </si>
  <si>
    <t>chǔ bèi</t>
  </si>
  <si>
    <t>store for future use; lay up; reserve</t>
  </si>
  <si>
    <t>储存</t>
  </si>
  <si>
    <t>chǔ cún</t>
  </si>
  <si>
    <t>store up; keep in reserve</t>
  </si>
  <si>
    <t>处分</t>
  </si>
  <si>
    <t>chǔ fèn</t>
  </si>
  <si>
    <t>punish; take disciplinary action against</t>
  </si>
  <si>
    <t>处境</t>
  </si>
  <si>
    <t>chǔ jìng</t>
  </si>
  <si>
    <t>unfavourable situation; plight</t>
  </si>
  <si>
    <t>储蓄</t>
  </si>
  <si>
    <t>chǔ xù</t>
  </si>
  <si>
    <t>savings; deposits</t>
  </si>
  <si>
    <t>处置</t>
  </si>
  <si>
    <t>chǔ zhì</t>
  </si>
  <si>
    <t>触犯</t>
  </si>
  <si>
    <t>chù fàn</t>
  </si>
  <si>
    <t>offend; violate; go against</t>
  </si>
  <si>
    <t>川流不息</t>
  </si>
  <si>
    <t>chuān liú bù xī</t>
  </si>
  <si>
    <t>a continuous flow</t>
  </si>
  <si>
    <t>穿越</t>
  </si>
  <si>
    <t>chuān yuè</t>
  </si>
  <si>
    <t>pass through; cut across</t>
  </si>
  <si>
    <t>船舶</t>
  </si>
  <si>
    <t>chuán bó</t>
  </si>
  <si>
    <t>shipping; boats and ships; watercraft</t>
  </si>
  <si>
    <t>传达</t>
  </si>
  <si>
    <t>chuán dá</t>
  </si>
  <si>
    <t>pass on; relay; convey</t>
  </si>
  <si>
    <t>传单</t>
  </si>
  <si>
    <t>chuán dān</t>
  </si>
  <si>
    <t>leaflet; handbill</t>
  </si>
  <si>
    <t>传授</t>
  </si>
  <si>
    <t>chuán shòu</t>
  </si>
  <si>
    <t>pass on; impart</t>
  </si>
  <si>
    <t>喘气</t>
  </si>
  <si>
    <t>chuǎn qì</t>
  </si>
  <si>
    <t>breathe; pant; gasp</t>
  </si>
  <si>
    <t>串</t>
  </si>
  <si>
    <t>chuàn</t>
  </si>
  <si>
    <t>string together</t>
  </si>
  <si>
    <t>床单</t>
  </si>
  <si>
    <t>chuáng dān</t>
  </si>
  <si>
    <t>sheet; bedclothes</t>
  </si>
  <si>
    <t>创立</t>
  </si>
  <si>
    <t>chuàng lì</t>
  </si>
  <si>
    <t>found; originate; set up</t>
  </si>
  <si>
    <t>创新</t>
  </si>
  <si>
    <t>chuàng xīn</t>
  </si>
  <si>
    <t>innovate</t>
  </si>
  <si>
    <t>创业</t>
  </si>
  <si>
    <t>chuàng yè</t>
  </si>
  <si>
    <t>start an undertaking; do pioneering work</t>
  </si>
  <si>
    <t>创作</t>
  </si>
  <si>
    <t>chuàng zuò</t>
  </si>
  <si>
    <t>create; produce</t>
  </si>
  <si>
    <t>吹牛</t>
  </si>
  <si>
    <t>chuī niú</t>
  </si>
  <si>
    <t>boast; brag</t>
  </si>
  <si>
    <t>吹捧</t>
  </si>
  <si>
    <t>chuī pěng</t>
  </si>
  <si>
    <t>flatter</t>
  </si>
  <si>
    <t>炊烟</t>
  </si>
  <si>
    <t>chuī yān</t>
  </si>
  <si>
    <t>smoke from kitchen chimneys</t>
  </si>
  <si>
    <t>锤</t>
  </si>
  <si>
    <t>chuí</t>
  </si>
  <si>
    <t>hammer; [a metal ball with a handle or chain, used as weapon]</t>
  </si>
  <si>
    <t>垂直</t>
  </si>
  <si>
    <t>chuí zhí</t>
  </si>
  <si>
    <t>perpendicular; vertical</t>
  </si>
  <si>
    <t>纯粹</t>
  </si>
  <si>
    <t>chún cuì</t>
  </si>
  <si>
    <t>pure; complete; unadulterated</t>
  </si>
  <si>
    <t>纯洁</t>
  </si>
  <si>
    <t>chún jié</t>
  </si>
  <si>
    <t>pure; clean and honest; chaste</t>
  </si>
  <si>
    <t>磁带</t>
  </si>
  <si>
    <t>cí dài</t>
  </si>
  <si>
    <t>magnetic tape; storage tape</t>
  </si>
  <si>
    <t>慈善</t>
  </si>
  <si>
    <t>cí shàn</t>
  </si>
  <si>
    <t>philanthropy</t>
  </si>
  <si>
    <t>慈祥</t>
  </si>
  <si>
    <t>cí xiáng</t>
  </si>
  <si>
    <t>kindly; amiable</t>
  </si>
  <si>
    <t>雌雄</t>
  </si>
  <si>
    <t>cí xióng</t>
  </si>
  <si>
    <t>victory and defeat; male and female</t>
  </si>
  <si>
    <t>刺</t>
  </si>
  <si>
    <t>to stab; prick; thorn; splinter</t>
  </si>
  <si>
    <t>伺候</t>
  </si>
  <si>
    <t>cì hòu</t>
  </si>
  <si>
    <t>wait upon; serve</t>
  </si>
  <si>
    <t>次品</t>
  </si>
  <si>
    <t>cì pǐn</t>
  </si>
  <si>
    <t>substandard goods; defective goods</t>
  </si>
  <si>
    <t>次序</t>
  </si>
  <si>
    <t>cì xù</t>
  </si>
  <si>
    <t>order; sequence; arrangement</t>
  </si>
  <si>
    <t>丛</t>
  </si>
  <si>
    <t>clump; cluster</t>
  </si>
  <si>
    <t>从容</t>
  </si>
  <si>
    <t>cóng róng</t>
  </si>
  <si>
    <t>to go easy</t>
  </si>
  <si>
    <t>凑合</t>
  </si>
  <si>
    <t>còu he</t>
  </si>
  <si>
    <t>gather together; assemble; improvise</t>
  </si>
  <si>
    <t>粗鲁</t>
  </si>
  <si>
    <t>cū lǔ</t>
  </si>
  <si>
    <t>rough; rude; boorish</t>
  </si>
  <si>
    <t>窜</t>
  </si>
  <si>
    <t>cuàn</t>
  </si>
  <si>
    <t>to flee; scurry; exile</t>
  </si>
  <si>
    <t>摧残</t>
  </si>
  <si>
    <t>cuī cán</t>
  </si>
  <si>
    <t>wreck; destroy; devastate</t>
  </si>
  <si>
    <t>脆弱</t>
  </si>
  <si>
    <t>cuì ruò</t>
  </si>
  <si>
    <t>fragile; frail; tender</t>
  </si>
  <si>
    <t>搓</t>
  </si>
  <si>
    <t>cuō</t>
  </si>
  <si>
    <t>twist; rub with the hands</t>
  </si>
  <si>
    <t>磋商</t>
  </si>
  <si>
    <t>cuō shāng</t>
  </si>
  <si>
    <t>consult; exchange views</t>
  </si>
  <si>
    <t>挫折</t>
  </si>
  <si>
    <t>cuò zhé</t>
  </si>
  <si>
    <t>setback; frustration</t>
  </si>
  <si>
    <t>搭</t>
  </si>
  <si>
    <t>dā</t>
  </si>
  <si>
    <t>put up; build</t>
  </si>
  <si>
    <t>搭档</t>
  </si>
  <si>
    <t>dā dàng</t>
  </si>
  <si>
    <t>partner; cooperate; work together</t>
  </si>
  <si>
    <t>搭配</t>
  </si>
  <si>
    <t>dā pèi</t>
  </si>
  <si>
    <t>arrange in pairs or groups</t>
  </si>
  <si>
    <t>答辩</t>
  </si>
  <si>
    <t>dá biàn</t>
  </si>
  <si>
    <t>reply to a charge; reply in support of one's own idea or opinion</t>
  </si>
  <si>
    <t>达成</t>
  </si>
  <si>
    <t>dá chéng</t>
  </si>
  <si>
    <t>reach; conclude</t>
  </si>
  <si>
    <t>答复</t>
  </si>
  <si>
    <t>dá fù</t>
  </si>
  <si>
    <t>formal reply; answer</t>
  </si>
  <si>
    <t>打包</t>
  </si>
  <si>
    <t>dǎ bāo</t>
  </si>
  <si>
    <t>to wrap/box up</t>
  </si>
  <si>
    <t>打官司</t>
  </si>
  <si>
    <t>dǎ guān si</t>
  </si>
  <si>
    <t>go to court; engage in a lawsuit</t>
  </si>
  <si>
    <t>打击</t>
  </si>
  <si>
    <t>dǎ jī</t>
  </si>
  <si>
    <t>strike; attack; crack down</t>
  </si>
  <si>
    <t>打架</t>
  </si>
  <si>
    <t>dǎ jià</t>
  </si>
  <si>
    <t>come to blows; fight; scuffle</t>
  </si>
  <si>
    <t>打量</t>
  </si>
  <si>
    <t>dǎ liang</t>
  </si>
  <si>
    <t>look somebody up and down; size up</t>
  </si>
  <si>
    <t>打猎</t>
  </si>
  <si>
    <t>dǎ liè</t>
  </si>
  <si>
    <t>go hunting</t>
  </si>
  <si>
    <t>打仗</t>
  </si>
  <si>
    <t>dǎ zhàng</t>
  </si>
  <si>
    <t>fight; go to war; make war</t>
  </si>
  <si>
    <t>大不了</t>
  </si>
  <si>
    <t>dà bù liǎo</t>
  </si>
  <si>
    <t>if the worst comes to the worst</t>
  </si>
  <si>
    <t>大臣</t>
  </si>
  <si>
    <t>dà chén</t>
  </si>
  <si>
    <t>minister; secretary</t>
  </si>
  <si>
    <t>大伙儿</t>
  </si>
  <si>
    <t>dà huǒ er</t>
  </si>
  <si>
    <t>we all; you all; everybody</t>
  </si>
  <si>
    <t>大肆</t>
  </si>
  <si>
    <t>dà sì</t>
  </si>
  <si>
    <t>without restraint; wantonly; recklessly</t>
  </si>
  <si>
    <t>大体</t>
  </si>
  <si>
    <t>dà tǐ</t>
  </si>
  <si>
    <t>more or less; by and large; cardinal principle</t>
  </si>
  <si>
    <t>大意</t>
  </si>
  <si>
    <t>dà yì</t>
  </si>
  <si>
    <t>general idea; main points</t>
  </si>
  <si>
    <t>大致</t>
  </si>
  <si>
    <t>dà zhì</t>
  </si>
  <si>
    <t>roughly; on the whole</t>
  </si>
  <si>
    <t>歹徒</t>
  </si>
  <si>
    <t>dǎi tú</t>
  </si>
  <si>
    <t>scoundrel; ruffian; hoodlum</t>
  </si>
  <si>
    <t>逮捕</t>
  </si>
  <si>
    <t>dài bǔ</t>
  </si>
  <si>
    <t>arrest; take into custody</t>
  </si>
  <si>
    <t>代价</t>
  </si>
  <si>
    <t>dài jià</t>
  </si>
  <si>
    <t>price; cost</t>
  </si>
  <si>
    <t>代理</t>
  </si>
  <si>
    <t>dài lǐ</t>
  </si>
  <si>
    <t>act on behalf of someone in position of responsibility</t>
  </si>
  <si>
    <t>带领</t>
  </si>
  <si>
    <t>dài lǐng</t>
  </si>
  <si>
    <t>lead; guide</t>
  </si>
  <si>
    <t>怠慢</t>
  </si>
  <si>
    <t>dài màn</t>
  </si>
  <si>
    <t>snub; slight</t>
  </si>
  <si>
    <t>担保</t>
  </si>
  <si>
    <t>dān bǎo</t>
  </si>
  <si>
    <t>warrant; guarantee; vouch for</t>
  </si>
  <si>
    <t>胆怯</t>
  </si>
  <si>
    <t>dǎn qiè</t>
  </si>
  <si>
    <t>timid; cowardly</t>
  </si>
  <si>
    <t>蛋白质</t>
  </si>
  <si>
    <t>dàn bái zhì</t>
  </si>
  <si>
    <t>protein</t>
  </si>
  <si>
    <t>诞辰</t>
  </si>
  <si>
    <t>dàn chén</t>
  </si>
  <si>
    <t>淡季</t>
  </si>
  <si>
    <t>dàn jì</t>
  </si>
  <si>
    <t>off season</t>
  </si>
  <si>
    <t>诞生</t>
  </si>
  <si>
    <t>dàn shēng</t>
  </si>
  <si>
    <t>be born; come into being; emerge</t>
  </si>
  <si>
    <t>淡水</t>
  </si>
  <si>
    <t>dàn shuǐ</t>
  </si>
  <si>
    <t>fresh water</t>
  </si>
  <si>
    <t>当场</t>
  </si>
  <si>
    <t>dāng chǎng</t>
  </si>
  <si>
    <t>on the spot; then and there</t>
  </si>
  <si>
    <t>当初</t>
  </si>
  <si>
    <t>dāng chū</t>
  </si>
  <si>
    <t>at the beginning; originally; in the first place</t>
  </si>
  <si>
    <t>当代</t>
  </si>
  <si>
    <t>dāng dài</t>
  </si>
  <si>
    <t>the present age; the contemporary era</t>
  </si>
  <si>
    <t>当面</t>
  </si>
  <si>
    <t>dāng miàn</t>
  </si>
  <si>
    <t>to somebody's face; in somebody's presence; face to face</t>
  </si>
  <si>
    <t>当前</t>
  </si>
  <si>
    <t>dāng qián</t>
  </si>
  <si>
    <t>before one; present; current</t>
  </si>
  <si>
    <t>当事人</t>
  </si>
  <si>
    <t>dāng shì rén</t>
  </si>
  <si>
    <t>party [in legal case]; litigant; person concerned</t>
  </si>
  <si>
    <t>当务之急</t>
  </si>
  <si>
    <t>dāng wù zhī jí</t>
  </si>
  <si>
    <t>a pressing matter of the moment; urgent matter</t>
  </si>
  <si>
    <t>当选</t>
  </si>
  <si>
    <t>dāng xuǎn</t>
  </si>
  <si>
    <t>be elected</t>
  </si>
  <si>
    <t>党</t>
  </si>
  <si>
    <t>(political) party</t>
  </si>
  <si>
    <t>档案</t>
  </si>
  <si>
    <t>dàng àn</t>
  </si>
  <si>
    <t>files; archives; record</t>
  </si>
  <si>
    <t>档次</t>
  </si>
  <si>
    <t>dàng cì</t>
  </si>
  <si>
    <t>grade; class</t>
  </si>
  <si>
    <t>倒闭</t>
  </si>
  <si>
    <t>dǎo bì</t>
  </si>
  <si>
    <t>close down; go bankrupt; go out of business</t>
  </si>
  <si>
    <t>导弹</t>
  </si>
  <si>
    <t>dǎo dàn</t>
  </si>
  <si>
    <t>guided missile</t>
  </si>
  <si>
    <t>导航</t>
  </si>
  <si>
    <t>dǎo háng</t>
  </si>
  <si>
    <t>navigation</t>
  </si>
  <si>
    <t>捣乱</t>
  </si>
  <si>
    <t>dǎo luàn</t>
  </si>
  <si>
    <t>make trouble; create a disturbance</t>
  </si>
  <si>
    <t>导向</t>
  </si>
  <si>
    <t>dǎo xiàng</t>
  </si>
  <si>
    <t>orientation; guidance; direct (something)</t>
  </si>
  <si>
    <t>稻谷</t>
  </si>
  <si>
    <t>dào gǔ</t>
  </si>
  <si>
    <t>paddy; rice (in the husk)</t>
  </si>
  <si>
    <t>盗窃</t>
  </si>
  <si>
    <t>dào qiè</t>
  </si>
  <si>
    <t>steal; pilfer</t>
  </si>
  <si>
    <t>得不偿失</t>
  </si>
  <si>
    <t>dé bù cháng shī</t>
  </si>
  <si>
    <t>lose more than you gain</t>
  </si>
  <si>
    <t>得力</t>
  </si>
  <si>
    <t>dé lì</t>
  </si>
  <si>
    <t>benefit from</t>
  </si>
  <si>
    <t>得天独厚</t>
  </si>
  <si>
    <t>dé tiān dú hòu</t>
  </si>
  <si>
    <t>be born under a lucky star; enjoy exceptional advantages</t>
  </si>
  <si>
    <t>得罪</t>
  </si>
  <si>
    <t>dé zuì</t>
  </si>
  <si>
    <t>offend; displease</t>
  </si>
  <si>
    <t>蹬</t>
  </si>
  <si>
    <t>pedal</t>
  </si>
  <si>
    <t>灯笼</t>
  </si>
  <si>
    <t>dēng lóng</t>
  </si>
  <si>
    <t>lantern</t>
  </si>
  <si>
    <t>登录</t>
  </si>
  <si>
    <t>dēng lù</t>
  </si>
  <si>
    <t>log on/in</t>
  </si>
  <si>
    <t>登陆</t>
  </si>
  <si>
    <t>land; disembark</t>
  </si>
  <si>
    <t>等候</t>
  </si>
  <si>
    <t>děng hòu</t>
  </si>
  <si>
    <t>to wait; await; expect</t>
  </si>
  <si>
    <t>等级</t>
  </si>
  <si>
    <t>děng jí</t>
  </si>
  <si>
    <t>grade; rank</t>
  </si>
  <si>
    <t>瞪</t>
  </si>
  <si>
    <t>dèng</t>
  </si>
  <si>
    <t>glare; stare at; open (one's eyes) wide</t>
  </si>
  <si>
    <t>堤坝</t>
  </si>
  <si>
    <t>dī bà</t>
  </si>
  <si>
    <t>dyke, levee</t>
  </si>
  <si>
    <t>敌视</t>
  </si>
  <si>
    <t>dí shì</t>
  </si>
  <si>
    <t>be hostile to; be antagonistic to</t>
  </si>
  <si>
    <t>抵达</t>
  </si>
  <si>
    <t>dǐ dá</t>
  </si>
  <si>
    <t>arrive; reach</t>
  </si>
  <si>
    <t>抵抗</t>
  </si>
  <si>
    <t>dǐ kàng</t>
  </si>
  <si>
    <t>resist; stand up to; oppose</t>
  </si>
  <si>
    <t>抵制</t>
  </si>
  <si>
    <t>dǐ zhì</t>
  </si>
  <si>
    <t>boycott; resist</t>
  </si>
  <si>
    <t>地步</t>
  </si>
  <si>
    <t>dì bù</t>
  </si>
  <si>
    <t>condition; plight; situation</t>
  </si>
  <si>
    <t>地势</t>
  </si>
  <si>
    <t>dì shì</t>
  </si>
  <si>
    <t>physical features of a place; topography</t>
  </si>
  <si>
    <t>递增</t>
  </si>
  <si>
    <t>dì zēng</t>
  </si>
  <si>
    <t>increase by degrees</t>
  </si>
  <si>
    <t>地质</t>
  </si>
  <si>
    <t>dì zhì</t>
  </si>
  <si>
    <t>geology</t>
  </si>
  <si>
    <t>颠簸</t>
  </si>
  <si>
    <t>diān bǒ</t>
  </si>
  <si>
    <t>jolt; bump; thrash</t>
  </si>
  <si>
    <t>颠倒</t>
  </si>
  <si>
    <t>diān dǎo</t>
  </si>
  <si>
    <t>put upside down; overthrow; transpose</t>
  </si>
  <si>
    <t>典礼</t>
  </si>
  <si>
    <t>diǎn lǐ</t>
  </si>
  <si>
    <t>ceremony; celebration</t>
  </si>
  <si>
    <t>典型</t>
  </si>
  <si>
    <t>diǎn xíng</t>
  </si>
  <si>
    <t>typical example; model; type</t>
  </si>
  <si>
    <t>点缀</t>
  </si>
  <si>
    <t>diǎn zhuì</t>
  </si>
  <si>
    <t>embellish; ornament; adorn</t>
  </si>
  <si>
    <t>垫</t>
  </si>
  <si>
    <t>diàn</t>
  </si>
  <si>
    <t>pad; put something under something else to raise it up or make it level; fill a vacancy</t>
  </si>
  <si>
    <t>奠定</t>
  </si>
  <si>
    <t>diàn dìng</t>
  </si>
  <si>
    <t>establish; settle</t>
  </si>
  <si>
    <t>惦记</t>
  </si>
  <si>
    <t>diàn jì</t>
  </si>
  <si>
    <t>be concerned about; keep thinking about</t>
  </si>
  <si>
    <t>电源</t>
  </si>
  <si>
    <t>diàn yuán</t>
  </si>
  <si>
    <t>electric source; power pack</t>
  </si>
  <si>
    <t>叼</t>
  </si>
  <si>
    <t>diāo</t>
  </si>
  <si>
    <t>hold in the mouth</t>
  </si>
  <si>
    <t>雕刻</t>
  </si>
  <si>
    <t>diāo kè</t>
  </si>
  <si>
    <t>carve; chisel; engrave</t>
  </si>
  <si>
    <t>雕塑</t>
  </si>
  <si>
    <t>diāo sù</t>
  </si>
  <si>
    <t>carve and mould; sculpture</t>
  </si>
  <si>
    <t>吊</t>
  </si>
  <si>
    <t>hang; suspend; lift up or let down with a rope</t>
  </si>
  <si>
    <t>调动</t>
  </si>
  <si>
    <t>diào dòng</t>
  </si>
  <si>
    <t>transfer; shift; manoeuver</t>
  </si>
  <si>
    <t>跌</t>
  </si>
  <si>
    <t>diē</t>
  </si>
  <si>
    <t>fall; tumble</t>
  </si>
  <si>
    <t>盯</t>
  </si>
  <si>
    <t>dīng</t>
  </si>
  <si>
    <t>fix one's eyes on; gaze at; stare at</t>
  </si>
  <si>
    <t>丁</t>
  </si>
  <si>
    <t>fourth; cubes</t>
  </si>
  <si>
    <t>叮嘱</t>
  </si>
  <si>
    <t>dīng zhǔ</t>
  </si>
  <si>
    <t>urge again and again; repeatedly advise; exhort</t>
  </si>
  <si>
    <t>定期</t>
  </si>
  <si>
    <t>dìng qī</t>
  </si>
  <si>
    <t>fix a date; at regular intervals</t>
  </si>
  <si>
    <t>定义</t>
  </si>
  <si>
    <t>dìng yì</t>
  </si>
  <si>
    <t>definition; delimiting</t>
  </si>
  <si>
    <t>丢人</t>
  </si>
  <si>
    <t>diū rén</t>
  </si>
  <si>
    <t>lose face</t>
  </si>
  <si>
    <t>丢三落四</t>
  </si>
  <si>
    <t>diū sān là sì</t>
  </si>
  <si>
    <t>forgetful</t>
  </si>
  <si>
    <t>东道主</t>
  </si>
  <si>
    <t>dōng dào zhǔ</t>
  </si>
  <si>
    <t>host; one who pays for a meal</t>
  </si>
  <si>
    <t>东张西望</t>
  </si>
  <si>
    <t>dōng zhāng xī wàng</t>
  </si>
  <si>
    <t>look all around</t>
  </si>
  <si>
    <t>董事长</t>
  </si>
  <si>
    <t>dǒng shì zhǎng</t>
  </si>
  <si>
    <t>chairman of the board</t>
  </si>
  <si>
    <t>栋</t>
  </si>
  <si>
    <t>ridgepole; [measure word for a building]</t>
  </si>
  <si>
    <t>动荡</t>
  </si>
  <si>
    <t>dòng dàng</t>
  </si>
  <si>
    <t>turbulence; upheaval; unrest</t>
  </si>
  <si>
    <t>动机</t>
  </si>
  <si>
    <t>dòng jī</t>
  </si>
  <si>
    <t>motive; intention; cause</t>
  </si>
  <si>
    <t>冻结</t>
  </si>
  <si>
    <t>dòng jié</t>
  </si>
  <si>
    <t>to freeze; congeal</t>
  </si>
  <si>
    <t>动静</t>
  </si>
  <si>
    <t>dòng jìng</t>
  </si>
  <si>
    <t>the sound of movement</t>
  </si>
  <si>
    <t>动力</t>
  </si>
  <si>
    <t>dòng lì</t>
  </si>
  <si>
    <t>impetus; motivation; motive power/force</t>
  </si>
  <si>
    <t>动脉</t>
  </si>
  <si>
    <t>dòng mài</t>
  </si>
  <si>
    <t>artery</t>
  </si>
  <si>
    <t>动身</t>
  </si>
  <si>
    <t>dòng shēn</t>
  </si>
  <si>
    <t>go on a journey; set out on a journey</t>
  </si>
  <si>
    <t>动手</t>
  </si>
  <si>
    <t>dòng shǒu</t>
  </si>
  <si>
    <t>动态</t>
  </si>
  <si>
    <t>dòng tài</t>
  </si>
  <si>
    <t>trends; tendencies; probable cause of action</t>
  </si>
  <si>
    <t>动员</t>
  </si>
  <si>
    <t>dòng yuán</t>
  </si>
  <si>
    <t>mobilise</t>
  </si>
  <si>
    <t>兜</t>
  </si>
  <si>
    <t>pocket; move in a circle; canvas</t>
  </si>
  <si>
    <t>陡峭</t>
  </si>
  <si>
    <t>dǒu qiào</t>
  </si>
  <si>
    <t>precipitous</t>
  </si>
  <si>
    <t>斗争</t>
  </si>
  <si>
    <t>dòu zhēng</t>
  </si>
  <si>
    <t>struggle; fight; combat</t>
  </si>
  <si>
    <t>督促</t>
  </si>
  <si>
    <t>dū cù</t>
  </si>
  <si>
    <t>urge; press; push forward</t>
  </si>
  <si>
    <t>独裁</t>
  </si>
  <si>
    <t>dú cái</t>
  </si>
  <si>
    <t>dictatorship; autocratic rule</t>
  </si>
  <si>
    <t>毒品</t>
  </si>
  <si>
    <t>dú pǐn</t>
  </si>
  <si>
    <t>drugs; narcotics</t>
  </si>
  <si>
    <t>赌博</t>
  </si>
  <si>
    <t>dǔ bó</t>
  </si>
  <si>
    <t>gamble</t>
  </si>
  <si>
    <t>堵塞</t>
  </si>
  <si>
    <t>dǔ sè</t>
  </si>
  <si>
    <t>stop up; block up; choke</t>
  </si>
  <si>
    <t>杜绝</t>
  </si>
  <si>
    <t>dù jué</t>
  </si>
  <si>
    <t>stop; completely eradicate; put an end to</t>
  </si>
  <si>
    <t>端</t>
  </si>
  <si>
    <t>duān</t>
  </si>
  <si>
    <t>end; extremity</t>
  </si>
  <si>
    <t>端午节</t>
  </si>
  <si>
    <t>duān wǔ jié</t>
  </si>
  <si>
    <t>Dragon Boat Festival</t>
  </si>
  <si>
    <t>端正</t>
  </si>
  <si>
    <t>duān zhèng</t>
  </si>
  <si>
    <t>upright; regular</t>
  </si>
  <si>
    <t>短促</t>
  </si>
  <si>
    <t>duǎn cù</t>
  </si>
  <si>
    <t>very brief; pressed for time; short</t>
  </si>
  <si>
    <t>断定</t>
  </si>
  <si>
    <t>duàn dìng</t>
  </si>
  <si>
    <t>conclude; form a judgment</t>
  </si>
  <si>
    <t>断绝</t>
  </si>
  <si>
    <t>duàn jué</t>
  </si>
  <si>
    <t>break off; cut off; sever</t>
  </si>
  <si>
    <t>堆积</t>
  </si>
  <si>
    <t>duī jī</t>
  </si>
  <si>
    <t>pile up; heap up; accumulate</t>
  </si>
  <si>
    <t>对策</t>
  </si>
  <si>
    <t>duì cè</t>
  </si>
  <si>
    <t>the way to deal with a situation; countermeasure</t>
  </si>
  <si>
    <t>对称</t>
  </si>
  <si>
    <t>duì chèn</t>
  </si>
  <si>
    <t>symmetry</t>
  </si>
  <si>
    <t>对付</t>
  </si>
  <si>
    <t>duì fu</t>
  </si>
  <si>
    <t>deal with; cope with; tackle</t>
  </si>
  <si>
    <t>对抗</t>
  </si>
  <si>
    <t>duì kàng</t>
  </si>
  <si>
    <t>confrontation; antagonise; counter</t>
  </si>
  <si>
    <t>对立</t>
  </si>
  <si>
    <t>duì lì</t>
  </si>
  <si>
    <t>oppose; set something against</t>
  </si>
  <si>
    <t>对联</t>
  </si>
  <si>
    <t>duì lián</t>
  </si>
  <si>
    <t>[a pair of scrolls containing a poetic couplet]</t>
  </si>
  <si>
    <t>队伍</t>
  </si>
  <si>
    <t>duì wu</t>
  </si>
  <si>
    <t>troops; army</t>
  </si>
  <si>
    <t>兑现</t>
  </si>
  <si>
    <t>duì xiàn</t>
  </si>
  <si>
    <t>cash a check; honour a commitment</t>
  </si>
  <si>
    <t>对应</t>
  </si>
  <si>
    <t>duì yìng</t>
  </si>
  <si>
    <t>corresponding</t>
  </si>
  <si>
    <t>对照</t>
  </si>
  <si>
    <t>duì zhào</t>
  </si>
  <si>
    <t>contrast; compare</t>
  </si>
  <si>
    <t>顿时</t>
  </si>
  <si>
    <t>dùn shí</t>
  </si>
  <si>
    <t>immediately; suddenly; at once</t>
  </si>
  <si>
    <t>哆嗦</t>
  </si>
  <si>
    <t>duō suo</t>
  </si>
  <si>
    <t>tremble; shiver</t>
  </si>
  <si>
    <t>多元化</t>
  </si>
  <si>
    <t>duō yuán huà</t>
  </si>
  <si>
    <t>pluralise</t>
  </si>
  <si>
    <t>堕落</t>
  </si>
  <si>
    <t>duò luò</t>
  </si>
  <si>
    <t>go downhill; degenerate</t>
  </si>
  <si>
    <t>额外</t>
  </si>
  <si>
    <t>é wài</t>
  </si>
  <si>
    <t>extra; additional; added</t>
  </si>
  <si>
    <t>恶心</t>
  </si>
  <si>
    <t>ě xin</t>
  </si>
  <si>
    <t>feel like vomiting; nausea</t>
  </si>
  <si>
    <t>恶化</t>
  </si>
  <si>
    <t>è huà</t>
  </si>
  <si>
    <t>worsen; deteriorate; exacerbate</t>
  </si>
  <si>
    <t>遏制</t>
  </si>
  <si>
    <t>è zhì</t>
  </si>
  <si>
    <t>keep within limits; contain; suppress</t>
  </si>
  <si>
    <t>恩怨</t>
  </si>
  <si>
    <t>ēn yuàn</t>
  </si>
  <si>
    <t>resentment; grudge</t>
  </si>
  <si>
    <t>而已</t>
  </si>
  <si>
    <t>ér yǐ</t>
  </si>
  <si>
    <t>that is all; nothing more</t>
  </si>
  <si>
    <t>二氧化碳</t>
  </si>
  <si>
    <t>èr yǎng huà tàn</t>
  </si>
  <si>
    <t>carbon dioxide</t>
  </si>
  <si>
    <t>发布</t>
  </si>
  <si>
    <t>fā bù</t>
  </si>
  <si>
    <t>publish; issue; release</t>
  </si>
  <si>
    <t>发财</t>
  </si>
  <si>
    <t>fā cái</t>
  </si>
  <si>
    <t>get rich; make a fortune</t>
  </si>
  <si>
    <t>发呆</t>
  </si>
  <si>
    <t>fā dāi</t>
  </si>
  <si>
    <t>stare blankly; dumbfounded; in a daze</t>
  </si>
  <si>
    <t>发动</t>
  </si>
  <si>
    <t>fā dòng</t>
  </si>
  <si>
    <t>start; launch</t>
  </si>
  <si>
    <t>发觉</t>
  </si>
  <si>
    <t>fā jué</t>
  </si>
  <si>
    <t>come to know; be aware; realise</t>
  </si>
  <si>
    <t>发射</t>
  </si>
  <si>
    <t>fā shè</t>
  </si>
  <si>
    <t>launch; radiate; project</t>
  </si>
  <si>
    <t>发誓</t>
  </si>
  <si>
    <t>fā shì</t>
  </si>
  <si>
    <t>vow; pledge; swear an oath</t>
  </si>
  <si>
    <t>发行</t>
  </si>
  <si>
    <t>fā xíng</t>
  </si>
  <si>
    <t>sell wholesale</t>
  </si>
  <si>
    <t>发炎</t>
  </si>
  <si>
    <t>inflame</t>
  </si>
  <si>
    <t>发扬</t>
  </si>
  <si>
    <t>fā yáng</t>
  </si>
  <si>
    <t>develop; promote; carry forward</t>
  </si>
  <si>
    <t>发育</t>
  </si>
  <si>
    <t>fā yù</t>
  </si>
  <si>
    <t>growth; development</t>
  </si>
  <si>
    <t>法人</t>
  </si>
  <si>
    <t>fǎ rén</t>
  </si>
  <si>
    <t>legal person</t>
  </si>
  <si>
    <t>番</t>
  </si>
  <si>
    <t>foreign</t>
  </si>
  <si>
    <t>繁华</t>
  </si>
  <si>
    <t>fán huá</t>
  </si>
  <si>
    <t>flourishing; prosperous; bustling</t>
  </si>
  <si>
    <t>繁忙</t>
  </si>
  <si>
    <t>fán máng</t>
  </si>
  <si>
    <t>凡是</t>
  </si>
  <si>
    <t>fán shì</t>
  </si>
  <si>
    <t>every; any; all</t>
  </si>
  <si>
    <t>繁体字</t>
  </si>
  <si>
    <t>fán tǐ zì</t>
  </si>
  <si>
    <t>complex Chinese characters [in their original full form]</t>
  </si>
  <si>
    <t>繁殖</t>
  </si>
  <si>
    <t>fán zhí</t>
  </si>
  <si>
    <t>breed; reproduce; propagate</t>
  </si>
  <si>
    <t>反驳</t>
  </si>
  <si>
    <t>fǎn bó</t>
  </si>
  <si>
    <t>refute; retort; rebut</t>
  </si>
  <si>
    <t>反常</t>
  </si>
  <si>
    <t>fǎn cháng</t>
  </si>
  <si>
    <t>unusual; abnormal; perverse</t>
  </si>
  <si>
    <t>反感</t>
  </si>
  <si>
    <t>fǎn gǎn</t>
  </si>
  <si>
    <t>be disgusted with; be averse to</t>
  </si>
  <si>
    <t>反抗</t>
  </si>
  <si>
    <t>fǎn kàng</t>
  </si>
  <si>
    <t>revolt; resist; react</t>
  </si>
  <si>
    <t>反馈</t>
  </si>
  <si>
    <t>fǎn kuì</t>
  </si>
  <si>
    <t>feedback</t>
  </si>
  <si>
    <t>反面</t>
  </si>
  <si>
    <t>fǎn miàn</t>
  </si>
  <si>
    <t>reverse side; wrong side; back</t>
  </si>
  <si>
    <t>反射</t>
  </si>
  <si>
    <t>fǎn shè</t>
  </si>
  <si>
    <t>reflex; reflect; reverberate</t>
  </si>
  <si>
    <t>反思</t>
  </si>
  <si>
    <t>fǎn sī</t>
  </si>
  <si>
    <t>self-examination; introspection; profound consideration</t>
  </si>
  <si>
    <t>反问</t>
  </si>
  <si>
    <t>fǎn wèn</t>
  </si>
  <si>
    <t>ask in reply; answer a question with a question</t>
  </si>
  <si>
    <t>反之</t>
  </si>
  <si>
    <t>fǎn zhī</t>
  </si>
  <si>
    <t>conversely; on the contrary; otherwise</t>
  </si>
  <si>
    <t>范畴</t>
  </si>
  <si>
    <t>fàn chóu</t>
  </si>
  <si>
    <t>category; domain; scope</t>
  </si>
  <si>
    <t>泛滥</t>
  </si>
  <si>
    <t>fàn làn</t>
  </si>
  <si>
    <t>be in flood; overflow; unchecked</t>
  </si>
  <si>
    <t>贩卖</t>
  </si>
  <si>
    <t>fàn mài</t>
  </si>
  <si>
    <t>traffic; peddle; sell</t>
  </si>
  <si>
    <t>方位</t>
  </si>
  <si>
    <t>fāng wèi</t>
  </si>
  <si>
    <t>position; bearing; points of the compass</t>
  </si>
  <si>
    <t>方言</t>
  </si>
  <si>
    <t>fāng yán</t>
  </si>
  <si>
    <t>dialect</t>
  </si>
  <si>
    <t>方圆</t>
  </si>
  <si>
    <t>fāng yuán</t>
  </si>
  <si>
    <t>方针</t>
  </si>
  <si>
    <t>fāng zhēn</t>
  </si>
  <si>
    <t>policy; guiding principle; orientation</t>
  </si>
  <si>
    <t>防守</t>
  </si>
  <si>
    <t>fáng shǒu</t>
  </si>
  <si>
    <t>defend; guard</t>
  </si>
  <si>
    <t>防御</t>
  </si>
  <si>
    <t>fáng yù</t>
  </si>
  <si>
    <t>defense</t>
  </si>
  <si>
    <t>防止</t>
  </si>
  <si>
    <t>fáng zhǐ</t>
  </si>
  <si>
    <t>prevent; guard against</t>
  </si>
  <si>
    <t>防治</t>
  </si>
  <si>
    <t>fáng zhì</t>
  </si>
  <si>
    <t>prevention and cure; preventive treatment</t>
  </si>
  <si>
    <t>访问</t>
  </si>
  <si>
    <t>fǎng wèn</t>
  </si>
  <si>
    <t>to interview; visit</t>
  </si>
  <si>
    <t>纺织</t>
  </si>
  <si>
    <t>fǎng zhī</t>
  </si>
  <si>
    <t>spinning and weaving</t>
  </si>
  <si>
    <t>放大</t>
  </si>
  <si>
    <t>fàng dà</t>
  </si>
  <si>
    <t>amplify; magnify; boost; enlarge</t>
  </si>
  <si>
    <t>放射</t>
  </si>
  <si>
    <t>fàng shè</t>
  </si>
  <si>
    <t>radiate; emit</t>
  </si>
  <si>
    <t>非法</t>
  </si>
  <si>
    <t>fēi fǎ</t>
  </si>
  <si>
    <t>illegal; unlawful; illicit</t>
  </si>
  <si>
    <t>飞禽走兽</t>
  </si>
  <si>
    <t>fēi qín zǒu shòu</t>
  </si>
  <si>
    <t>birds and animals</t>
  </si>
  <si>
    <t>飞翔</t>
  </si>
  <si>
    <t>fēi xiáng</t>
  </si>
  <si>
    <t>flight; circle in the air; hover</t>
  </si>
  <si>
    <t>飞跃</t>
  </si>
  <si>
    <t>fēi yuè</t>
  </si>
  <si>
    <t>leap</t>
  </si>
  <si>
    <t>肥沃</t>
  </si>
  <si>
    <t>féi wò</t>
  </si>
  <si>
    <t>fertile; rich</t>
  </si>
  <si>
    <t>诽谤</t>
  </si>
  <si>
    <t>fěi bàng</t>
  </si>
  <si>
    <t>slander; libel; defame</t>
  </si>
  <si>
    <t>肺</t>
  </si>
  <si>
    <t>fèi</t>
  </si>
  <si>
    <t>lung</t>
  </si>
  <si>
    <t>废除</t>
  </si>
  <si>
    <t>fèi chú</t>
  </si>
  <si>
    <t>abolish; annul; annihilate</t>
  </si>
  <si>
    <t>废寝忘食</t>
  </si>
  <si>
    <t>fèi qǐn wàng shí</t>
  </si>
  <si>
    <t>to neglect sleep and forget about food [idiom]</t>
  </si>
  <si>
    <t>沸腾</t>
  </si>
  <si>
    <t>fèi téng</t>
  </si>
  <si>
    <t>boiling</t>
  </si>
  <si>
    <t>废墟</t>
  </si>
  <si>
    <t>fèi xū</t>
  </si>
  <si>
    <t>ruins; remainder; wasteland</t>
  </si>
  <si>
    <t>分辨</t>
  </si>
  <si>
    <t>fēn biàn</t>
  </si>
  <si>
    <t>distinguish; differentiate; resolution</t>
  </si>
  <si>
    <t>分寸</t>
  </si>
  <si>
    <t>fēn cun</t>
  </si>
  <si>
    <t>sense of propriety</t>
  </si>
  <si>
    <t>吩咐</t>
  </si>
  <si>
    <t>fēn fù</t>
  </si>
  <si>
    <t>instruct</t>
  </si>
  <si>
    <t>分红</t>
  </si>
  <si>
    <t>fēn hóng</t>
  </si>
  <si>
    <t>share out bonus; draw/receive dividends</t>
  </si>
  <si>
    <t>分解</t>
  </si>
  <si>
    <t>fēn jiě</t>
  </si>
  <si>
    <t>resolve; decompose; disintegrate</t>
  </si>
  <si>
    <t>分裂</t>
  </si>
  <si>
    <t>fēn liè</t>
  </si>
  <si>
    <t>split; break up; tear</t>
  </si>
  <si>
    <t>分泌</t>
  </si>
  <si>
    <t>fēn mì</t>
  </si>
  <si>
    <t>secrete; excretion</t>
  </si>
  <si>
    <t>分明</t>
  </si>
  <si>
    <t>fēn míng</t>
  </si>
  <si>
    <t>clear; obvious; clearly demarcated</t>
  </si>
  <si>
    <t>分歧</t>
  </si>
  <si>
    <t>fēn qí</t>
  </si>
  <si>
    <t>difference; divergence</t>
  </si>
  <si>
    <t>分散</t>
  </si>
  <si>
    <t>fēn sàn</t>
  </si>
  <si>
    <t>disperse; scatter; decentralise</t>
  </si>
  <si>
    <t>坟墓</t>
  </si>
  <si>
    <t>fén mù</t>
  </si>
  <si>
    <t>grave; tomb</t>
  </si>
  <si>
    <t>粉末</t>
  </si>
  <si>
    <t>fěn mò</t>
  </si>
  <si>
    <t>(fine) powder</t>
  </si>
  <si>
    <t>粉色</t>
  </si>
  <si>
    <t>fěn sè</t>
  </si>
  <si>
    <t>pink</t>
  </si>
  <si>
    <t>粉碎</t>
  </si>
  <si>
    <t>fěn suì</t>
  </si>
  <si>
    <t>smash; shatter</t>
  </si>
  <si>
    <t>分量</t>
  </si>
  <si>
    <t>fèn liàng</t>
  </si>
  <si>
    <t>weight</t>
  </si>
  <si>
    <t>愤怒</t>
  </si>
  <si>
    <t>fèn nù</t>
  </si>
  <si>
    <t>indignation; anger; rage</t>
  </si>
  <si>
    <t>风暴</t>
  </si>
  <si>
    <t>fēng bào</t>
  </si>
  <si>
    <t>storm; tempest</t>
  </si>
  <si>
    <t>封闭</t>
  </si>
  <si>
    <t>fēng bì</t>
  </si>
  <si>
    <t>seal off; close</t>
  </si>
  <si>
    <t>风度</t>
  </si>
  <si>
    <t>fēng dù</t>
  </si>
  <si>
    <t>demeanour; bearing</t>
  </si>
  <si>
    <t>风光</t>
  </si>
  <si>
    <t>fēng guāng</t>
  </si>
  <si>
    <t>scene; view; sight</t>
  </si>
  <si>
    <t>封建</t>
  </si>
  <si>
    <t>fēng jiàn</t>
  </si>
  <si>
    <t>feudalism</t>
  </si>
  <si>
    <t>锋利</t>
  </si>
  <si>
    <t>fēng lì</t>
  </si>
  <si>
    <t>sharp; keen</t>
  </si>
  <si>
    <t>丰满</t>
  </si>
  <si>
    <t>fēng mǎn</t>
  </si>
  <si>
    <t>plentiful</t>
  </si>
  <si>
    <t>风气</t>
  </si>
  <si>
    <t>fēng qì</t>
  </si>
  <si>
    <t>general mood; atmosphere; common practice</t>
  </si>
  <si>
    <t>风趣</t>
  </si>
  <si>
    <t>fēng qù</t>
  </si>
  <si>
    <t>humour; wit</t>
  </si>
  <si>
    <t>丰盛</t>
  </si>
  <si>
    <t>fēng shèng</t>
  </si>
  <si>
    <t>rich; sumptuous</t>
  </si>
  <si>
    <t>丰收</t>
  </si>
  <si>
    <t>fēng shōu</t>
  </si>
  <si>
    <t>bumper harvest</t>
  </si>
  <si>
    <t>封锁</t>
  </si>
  <si>
    <t>fēng suǒ</t>
  </si>
  <si>
    <t>blockade; block; seal off</t>
  </si>
  <si>
    <t>风土人情</t>
  </si>
  <si>
    <t>fēng tǔ rén qíng</t>
  </si>
  <si>
    <t>local customs and practices</t>
  </si>
  <si>
    <t>风味</t>
  </si>
  <si>
    <t>fēng wèi</t>
  </si>
  <si>
    <t>special flavour; local colour; aroma</t>
  </si>
  <si>
    <t>逢</t>
  </si>
  <si>
    <t>féng</t>
  </si>
  <si>
    <t>meet; come upon</t>
  </si>
  <si>
    <t>奉献</t>
  </si>
  <si>
    <t>fèng xiàn</t>
  </si>
  <si>
    <t>offer as a tribute; present with all respect</t>
  </si>
  <si>
    <t>否决</t>
  </si>
  <si>
    <t>fǒu jué</t>
  </si>
  <si>
    <t>reject; vote down; overrule</t>
  </si>
  <si>
    <t>夫妇</t>
  </si>
  <si>
    <t>fū fù</t>
  </si>
  <si>
    <t>husband and wife</t>
  </si>
  <si>
    <t>夫人</t>
  </si>
  <si>
    <t>fū ren</t>
  </si>
  <si>
    <t>Lady; Madam</t>
  </si>
  <si>
    <t>敷衍</t>
  </si>
  <si>
    <t>fū yǎn</t>
  </si>
  <si>
    <t>be perfunctory; go through the motions; whitewash</t>
  </si>
  <si>
    <t>服从</t>
  </si>
  <si>
    <t>fú cóng</t>
  </si>
  <si>
    <t>to obey; submit to</t>
  </si>
  <si>
    <t>幅度</t>
  </si>
  <si>
    <t>fú dù</t>
  </si>
  <si>
    <t>scope; extent</t>
  </si>
  <si>
    <t>符号</t>
  </si>
  <si>
    <t>fú hào</t>
  </si>
  <si>
    <t>character; sign; symbol</t>
  </si>
  <si>
    <t>福利</t>
  </si>
  <si>
    <t>fú lì</t>
  </si>
  <si>
    <t>(material) welfare</t>
  </si>
  <si>
    <t>俘虏</t>
  </si>
  <si>
    <t>fú lǔ</t>
  </si>
  <si>
    <t>capture; take prisoner</t>
  </si>
  <si>
    <t>服气</t>
  </si>
  <si>
    <t>fú qì</t>
  </si>
  <si>
    <t>be convinced</t>
  </si>
  <si>
    <t>福气</t>
  </si>
  <si>
    <t>fú qi</t>
  </si>
  <si>
    <t>happy lot; good fortune</t>
  </si>
  <si>
    <t>辐射</t>
  </si>
  <si>
    <t>fú shè</t>
  </si>
  <si>
    <t>radiation; beaming</t>
  </si>
  <si>
    <t>腐败</t>
  </si>
  <si>
    <t>fǔ bài</t>
  </si>
  <si>
    <t>rotten; putrid; decayed</t>
  </si>
  <si>
    <t>腐烂</t>
  </si>
  <si>
    <t>fǔ làn</t>
  </si>
  <si>
    <t>become putrid; decompose; corrupt</t>
  </si>
  <si>
    <t>抚摸</t>
  </si>
  <si>
    <t>fǔ mō</t>
  </si>
  <si>
    <t>to gently caress and stroke</t>
  </si>
  <si>
    <t>腐蚀</t>
  </si>
  <si>
    <t>fǔ shí</t>
  </si>
  <si>
    <t>corrode</t>
  </si>
  <si>
    <t>俯视</t>
  </si>
  <si>
    <t>fǔ shì</t>
  </si>
  <si>
    <t>overlook</t>
  </si>
  <si>
    <t>腐朽</t>
  </si>
  <si>
    <t>fǔ xiǔ</t>
  </si>
  <si>
    <t>rotten; decayed</t>
  </si>
  <si>
    <t>抚养</t>
  </si>
  <si>
    <t>fǔ yǎng</t>
  </si>
  <si>
    <t>foster; raise; bring up</t>
  </si>
  <si>
    <t>辅助</t>
  </si>
  <si>
    <t>fǔ zhù</t>
  </si>
  <si>
    <t>assist; auxiliary; subsidiary</t>
  </si>
  <si>
    <t>deputy; vice-; auxiliary</t>
  </si>
  <si>
    <t>负担</t>
  </si>
  <si>
    <t>fù dān</t>
  </si>
  <si>
    <t>bear; shoulder; burden; load</t>
  </si>
  <si>
    <t>覆盖</t>
  </si>
  <si>
    <t>fù gài</t>
  </si>
  <si>
    <t>cover; overlap; vegetation</t>
  </si>
  <si>
    <t>附和</t>
  </si>
  <si>
    <t>fù hè</t>
  </si>
  <si>
    <t>echo; repeat what others say</t>
  </si>
  <si>
    <t>复活</t>
  </si>
  <si>
    <t>fù huó</t>
  </si>
  <si>
    <t>bring back to life; revive; resuscitate</t>
  </si>
  <si>
    <t>附件</t>
  </si>
  <si>
    <t>fù jiàn</t>
  </si>
  <si>
    <t>attachment; appendix; enclosure</t>
  </si>
  <si>
    <t>附属</t>
  </si>
  <si>
    <t>fù shǔ</t>
  </si>
  <si>
    <t>subsidiary; auxiliary; affiliated</t>
  </si>
  <si>
    <t>腹泻</t>
  </si>
  <si>
    <t>fù xiè</t>
  </si>
  <si>
    <t>diarrhoea</t>
  </si>
  <si>
    <t>复兴</t>
  </si>
  <si>
    <t>fù xīng</t>
  </si>
  <si>
    <t>revive; rejuvenate; resuscitate</t>
  </si>
  <si>
    <t>赋予</t>
  </si>
  <si>
    <t>fù yǔ</t>
  </si>
  <si>
    <t>give; endow; entrust</t>
  </si>
  <si>
    <t>富裕</t>
  </si>
  <si>
    <t>fù yù</t>
  </si>
  <si>
    <t>prosperous; well-off</t>
  </si>
  <si>
    <t>改良</t>
  </si>
  <si>
    <t>gǎi liáng</t>
  </si>
  <si>
    <t>improve; ameliorate; reform</t>
  </si>
  <si>
    <t>钙</t>
  </si>
  <si>
    <t>calcium [Chemistry]</t>
  </si>
  <si>
    <t>盖章</t>
  </si>
  <si>
    <t>gài zhāng</t>
  </si>
  <si>
    <t>affix one's seal; stamp</t>
  </si>
  <si>
    <t>尴尬</t>
  </si>
  <si>
    <t>gān gà</t>
  </si>
  <si>
    <t>awkward; embarrassed</t>
  </si>
  <si>
    <t>干旱</t>
  </si>
  <si>
    <t>gān hàn</t>
  </si>
  <si>
    <t>drought; arid; dry</t>
  </si>
  <si>
    <t>干扰</t>
  </si>
  <si>
    <t>gān rǎo</t>
  </si>
  <si>
    <t>disturb; obstruct</t>
  </si>
  <si>
    <t>干涉</t>
  </si>
  <si>
    <t>gān shè</t>
  </si>
  <si>
    <t>interfere; intervene; meddle</t>
  </si>
  <si>
    <t>干预</t>
  </si>
  <si>
    <t>gān yù</t>
  </si>
  <si>
    <t>intervene; interpose; meddle</t>
  </si>
  <si>
    <t>感慨</t>
  </si>
  <si>
    <t>gǎn kǎi</t>
  </si>
  <si>
    <t>sigh (with emotion)</t>
  </si>
  <si>
    <t>感染</t>
  </si>
  <si>
    <t>gǎn rǎn</t>
  </si>
  <si>
    <t>infect; influence</t>
  </si>
  <si>
    <t>干劲</t>
  </si>
  <si>
    <t>gàn jìn</t>
  </si>
  <si>
    <t>drive; vigour; enthusiasm</t>
  </si>
  <si>
    <t>纲领</t>
  </si>
  <si>
    <t>gāng lǐng</t>
  </si>
  <si>
    <t>programme; guiding principle</t>
  </si>
  <si>
    <t>港口</t>
  </si>
  <si>
    <t>gǎng kǒu</t>
  </si>
  <si>
    <t>port; harbour</t>
  </si>
  <si>
    <t>港湾</t>
  </si>
  <si>
    <t>gǎng wān</t>
  </si>
  <si>
    <t>haven; estuary</t>
  </si>
  <si>
    <t>岗位</t>
  </si>
  <si>
    <t>gǎng wèi</t>
  </si>
  <si>
    <t>post; station</t>
  </si>
  <si>
    <t>杠杆</t>
  </si>
  <si>
    <t>gàng gǎn</t>
  </si>
  <si>
    <t>lever; pry bar</t>
  </si>
  <si>
    <t>高超</t>
  </si>
  <si>
    <t>gāo chāo</t>
  </si>
  <si>
    <t>excellent; exquisite; superb</t>
  </si>
  <si>
    <t>高潮</t>
  </si>
  <si>
    <t>gāo cháo</t>
  </si>
  <si>
    <t>high tide; climax</t>
  </si>
  <si>
    <t>高峰</t>
  </si>
  <si>
    <t>gāo fēng</t>
  </si>
  <si>
    <t>peak; summit</t>
  </si>
  <si>
    <t>高明</t>
  </si>
  <si>
    <t>gāo míng</t>
  </si>
  <si>
    <t>brilliant; bright</t>
  </si>
  <si>
    <t>高尚</t>
  </si>
  <si>
    <t>gāo shàng</t>
  </si>
  <si>
    <t>noble; lofty; respectable</t>
  </si>
  <si>
    <t>高涨</t>
  </si>
  <si>
    <t>gāo zhǎng</t>
  </si>
  <si>
    <t>upsurge</t>
  </si>
  <si>
    <t>稿件</t>
  </si>
  <si>
    <t>gǎo jiàn</t>
  </si>
  <si>
    <t>manuscript; contribution</t>
  </si>
  <si>
    <t>告辞</t>
  </si>
  <si>
    <t>gào cí</t>
  </si>
  <si>
    <t>farewell; take leave</t>
  </si>
  <si>
    <t>告诫</t>
  </si>
  <si>
    <t>gào jiè</t>
  </si>
  <si>
    <t>warn; admonish; enjoin</t>
  </si>
  <si>
    <t>搁</t>
  </si>
  <si>
    <t>gē</t>
  </si>
  <si>
    <t>bear; endure; stand</t>
  </si>
  <si>
    <t>割</t>
  </si>
  <si>
    <t>cut; mow (grass)</t>
  </si>
  <si>
    <t>疙瘩</t>
  </si>
  <si>
    <t>gē da</t>
  </si>
  <si>
    <t>a swelling on the skin; pimple; lump</t>
  </si>
  <si>
    <t>歌颂</t>
  </si>
  <si>
    <t>gē sòng</t>
  </si>
  <si>
    <t>sing the praises of; extol; eulogise</t>
  </si>
  <si>
    <t>鸽子</t>
  </si>
  <si>
    <t>gē zi</t>
  </si>
  <si>
    <t>pigeon; dove</t>
  </si>
  <si>
    <t>隔阂</t>
  </si>
  <si>
    <t>gé hé</t>
  </si>
  <si>
    <t>estrangement; misunderstanding</t>
  </si>
  <si>
    <t>格局</t>
  </si>
  <si>
    <t>gé jú</t>
  </si>
  <si>
    <t>pattern; setup; structure</t>
  </si>
  <si>
    <t>隔离</t>
  </si>
  <si>
    <t>gé lí</t>
  </si>
  <si>
    <t>isolate; keep apart; segregate</t>
  </si>
  <si>
    <t>革命</t>
  </si>
  <si>
    <t>gé mìng</t>
  </si>
  <si>
    <t>revolution</t>
  </si>
  <si>
    <t>格式</t>
  </si>
  <si>
    <t>gé shì</t>
  </si>
  <si>
    <t>layout; pattern; format</t>
  </si>
  <si>
    <t>各抒己见</t>
  </si>
  <si>
    <t>gè shū jǐ jiàn</t>
  </si>
  <si>
    <t>everyone expresses their own view</t>
  </si>
  <si>
    <t>个体</t>
  </si>
  <si>
    <t>gè tǐ</t>
  </si>
  <si>
    <t>individuality; personality</t>
  </si>
  <si>
    <t>跟前</t>
  </si>
  <si>
    <t>gēn qián</t>
  </si>
  <si>
    <t>at one's side; living with me/us etc</t>
  </si>
  <si>
    <t>根深蒂固</t>
  </si>
  <si>
    <t>gēn shēn dì gù</t>
  </si>
  <si>
    <t>ingrained; inveterate; deep-seated</t>
  </si>
  <si>
    <t>跟随</t>
  </si>
  <si>
    <t>gēn suí</t>
  </si>
  <si>
    <t>follow; go after</t>
  </si>
  <si>
    <t>根源</t>
  </si>
  <si>
    <t>gēn yuán</t>
  </si>
  <si>
    <t>source; origin; root</t>
  </si>
  <si>
    <t>跟踪</t>
  </si>
  <si>
    <t>gēn zōng</t>
  </si>
  <si>
    <t>follow the tracks of; following</t>
  </si>
  <si>
    <t>耕地</t>
  </si>
  <si>
    <t>gēng dì</t>
  </si>
  <si>
    <t>plough; till; cultivated land</t>
  </si>
  <si>
    <t>更新</t>
  </si>
  <si>
    <t>gēng xīn</t>
  </si>
  <si>
    <t>renew; renovate; update</t>
  </si>
  <si>
    <t>更正</t>
  </si>
  <si>
    <t>gēng zhèng</t>
  </si>
  <si>
    <t>make corrections; amend</t>
  </si>
  <si>
    <t>公安局</t>
  </si>
  <si>
    <t>gōng ān jú</t>
  </si>
  <si>
    <t>Public Security Bureau (PSB)</t>
  </si>
  <si>
    <t>供不应求</t>
  </si>
  <si>
    <t>gōng bù yìng qiú</t>
  </si>
  <si>
    <t>demand exceeds supply</t>
  </si>
  <si>
    <t>公道</t>
  </si>
  <si>
    <t>gōng dào</t>
  </si>
  <si>
    <t>fair; just; reasonable</t>
  </si>
  <si>
    <t>宫殿</t>
  </si>
  <si>
    <t>gōng diàn</t>
  </si>
  <si>
    <t>palace</t>
  </si>
  <si>
    <t>公告</t>
  </si>
  <si>
    <t>gōng gào</t>
  </si>
  <si>
    <t>public announcement</t>
  </si>
  <si>
    <t>公关</t>
  </si>
  <si>
    <t>gōng guān</t>
  </si>
  <si>
    <t>public relations</t>
  </si>
  <si>
    <t>攻击</t>
  </si>
  <si>
    <t>gōng jī</t>
  </si>
  <si>
    <t>attack; assault; accuse</t>
  </si>
  <si>
    <t>供给</t>
  </si>
  <si>
    <t>gōng jǐ</t>
  </si>
  <si>
    <t>supply; provide; furnish</t>
  </si>
  <si>
    <t>恭敬</t>
  </si>
  <si>
    <t>gōng jìng</t>
  </si>
  <si>
    <t>respectful; with great respect</t>
  </si>
  <si>
    <t>攻克</t>
  </si>
  <si>
    <t>gōng kè</t>
  </si>
  <si>
    <t>capture; take</t>
  </si>
  <si>
    <t>功劳</t>
  </si>
  <si>
    <t>gōng láo</t>
  </si>
  <si>
    <t>contribution; meritorious service</t>
  </si>
  <si>
    <t>公民</t>
  </si>
  <si>
    <t>gōng mín</t>
  </si>
  <si>
    <t>citizen</t>
  </si>
  <si>
    <t>公然</t>
  </si>
  <si>
    <t>gōng rán</t>
  </si>
  <si>
    <t>openly; brazenly</t>
  </si>
  <si>
    <t>公认</t>
  </si>
  <si>
    <t>gōng rèn</t>
  </si>
  <si>
    <t>universally acknowledged</t>
  </si>
  <si>
    <t>公式</t>
  </si>
  <si>
    <t>gōng shì</t>
  </si>
  <si>
    <t>formula</t>
  </si>
  <si>
    <t>公务</t>
  </si>
  <si>
    <t>gōng wù</t>
  </si>
  <si>
    <t>public affairs; official business</t>
  </si>
  <si>
    <t>功效</t>
  </si>
  <si>
    <t>gōng xiào</t>
  </si>
  <si>
    <t>efficacy</t>
  </si>
  <si>
    <t>工艺品</t>
  </si>
  <si>
    <t>gōng yì pǐn</t>
  </si>
  <si>
    <t>handicrafts</t>
  </si>
  <si>
    <t>公正</t>
  </si>
  <si>
    <t>gōng zhèng</t>
  </si>
  <si>
    <t>just; fair; impartial</t>
  </si>
  <si>
    <t>公证</t>
  </si>
  <si>
    <t>notarisation</t>
  </si>
  <si>
    <t>巩固</t>
  </si>
  <si>
    <t>gǒng gù</t>
  </si>
  <si>
    <t>consolidate; strengthen; solidify</t>
  </si>
  <si>
    <t>共和国</t>
  </si>
  <si>
    <t>gòng hé guó</t>
  </si>
  <si>
    <t>republic</t>
  </si>
  <si>
    <t>共计</t>
  </si>
  <si>
    <t>gòng jì</t>
  </si>
  <si>
    <t>altogether; grand total</t>
  </si>
  <si>
    <t>共鸣</t>
  </si>
  <si>
    <t>gòng míng</t>
  </si>
  <si>
    <t>resonate; sympathetic response</t>
  </si>
  <si>
    <t>勾结</t>
  </si>
  <si>
    <t>gōu jié</t>
  </si>
  <si>
    <t>collude with; in league with; be hand and glove with</t>
  </si>
  <si>
    <t>钩子</t>
  </si>
  <si>
    <t>gōu zi</t>
  </si>
  <si>
    <t>hook; hanger</t>
  </si>
  <si>
    <t>构思</t>
  </si>
  <si>
    <t>gòu sī</t>
  </si>
  <si>
    <t>work out the plot of a literary work or the composition of a painting; conception; design</t>
  </si>
  <si>
    <t>孤独</t>
  </si>
  <si>
    <t>gū dú</t>
  </si>
  <si>
    <t>辜负</t>
  </si>
  <si>
    <t>gū fù</t>
  </si>
  <si>
    <t>let down; fail to live up to; be unworthy of</t>
  </si>
  <si>
    <t>孤立</t>
  </si>
  <si>
    <t>gū lì</t>
  </si>
  <si>
    <t>isolated; solitary; separate</t>
  </si>
  <si>
    <t>姑且</t>
  </si>
  <si>
    <t>gū qiě</t>
  </si>
  <si>
    <t>tentatively; for the moment</t>
  </si>
  <si>
    <t>股东</t>
  </si>
  <si>
    <t>gǔ dōng</t>
  </si>
  <si>
    <t>shareholder</t>
  </si>
  <si>
    <t>古董</t>
  </si>
  <si>
    <t>gǔ dǒng</t>
  </si>
  <si>
    <t>antique; curio</t>
  </si>
  <si>
    <t>鼓动</t>
  </si>
  <si>
    <t>gǔ dòng</t>
  </si>
  <si>
    <t>promote; agitate</t>
  </si>
  <si>
    <t>股份</t>
  </si>
  <si>
    <t>gǔ fèn</t>
  </si>
  <si>
    <t>share; stock</t>
  </si>
  <si>
    <t>骨干</t>
  </si>
  <si>
    <t>gǔ gàn</t>
  </si>
  <si>
    <t>backbone; mainstay</t>
  </si>
  <si>
    <t>古怪</t>
  </si>
  <si>
    <t>gǔ guài</t>
  </si>
  <si>
    <t>eccentric; odd; quaint</t>
  </si>
  <si>
    <t>顾虑</t>
  </si>
  <si>
    <t>gù lǜ</t>
  </si>
  <si>
    <t>misgiving; apprehension; scruple</t>
  </si>
  <si>
    <t>固然</t>
  </si>
  <si>
    <t>gù rán</t>
  </si>
  <si>
    <t>no doubt; it is true</t>
  </si>
  <si>
    <t>固体</t>
  </si>
  <si>
    <t>gù tǐ</t>
  </si>
  <si>
    <t>solid (object)</t>
  </si>
  <si>
    <t>顾问</t>
  </si>
  <si>
    <t>gù wèn</t>
  </si>
  <si>
    <t>advisor; consultant</t>
  </si>
  <si>
    <t>故乡</t>
  </si>
  <si>
    <t>gù xiāng</t>
  </si>
  <si>
    <t>native place; hometown; birthplace</t>
  </si>
  <si>
    <t>雇佣</t>
  </si>
  <si>
    <t>gù yōng</t>
  </si>
  <si>
    <t>employ; hire</t>
  </si>
  <si>
    <t>固有</t>
  </si>
  <si>
    <t>gù yǒu</t>
  </si>
  <si>
    <t>intrinsic; inherent; innate</t>
  </si>
  <si>
    <t>故障</t>
  </si>
  <si>
    <t>gù zhàng</t>
  </si>
  <si>
    <t>hitch; breakdown; fault</t>
  </si>
  <si>
    <t>固执</t>
  </si>
  <si>
    <t>gù zhi</t>
  </si>
  <si>
    <t>obstinate; stubborn</t>
  </si>
  <si>
    <t>拐杖</t>
  </si>
  <si>
    <t>guǎi zhàng</t>
  </si>
  <si>
    <t>crutch; walking stick</t>
  </si>
  <si>
    <t>官方</t>
  </si>
  <si>
    <t>guān fāng</t>
  </si>
  <si>
    <t>of/by the government; official</t>
  </si>
  <si>
    <t>观光</t>
  </si>
  <si>
    <t>guān guāng</t>
  </si>
  <si>
    <t>go sightseeing; visit; tour</t>
  </si>
  <si>
    <t>关怀</t>
  </si>
  <si>
    <t>guān huái</t>
  </si>
  <si>
    <t>show care for</t>
  </si>
  <si>
    <t>关照</t>
  </si>
  <si>
    <t>guān zhào</t>
  </si>
  <si>
    <t>look after; keep an eye on</t>
  </si>
  <si>
    <t>管辖</t>
  </si>
  <si>
    <t>guǎn xiá</t>
  </si>
  <si>
    <t>have jurisdiction over; administer</t>
  </si>
  <si>
    <t>罐</t>
  </si>
  <si>
    <t>guàn</t>
  </si>
  <si>
    <t>jar; pot; tank</t>
  </si>
  <si>
    <t>贯彻</t>
  </si>
  <si>
    <t>guàn chè</t>
  </si>
  <si>
    <t>carry out; implement; put into effect</t>
  </si>
  <si>
    <t>灌溉</t>
  </si>
  <si>
    <t>guàn gài</t>
  </si>
  <si>
    <t>irrigate; watering</t>
  </si>
  <si>
    <t>惯例</t>
  </si>
  <si>
    <t>guàn lì</t>
  </si>
  <si>
    <t>convention; usual practice; custom</t>
  </si>
  <si>
    <t>光彩</t>
  </si>
  <si>
    <t>guāng cǎi</t>
  </si>
  <si>
    <t>lustre; splendour; radiance</t>
  </si>
  <si>
    <t>光辉</t>
  </si>
  <si>
    <t>guāng huī</t>
  </si>
  <si>
    <t>brilliance; glory; radiance</t>
  </si>
  <si>
    <t>光芒</t>
  </si>
  <si>
    <t>guāng máng</t>
  </si>
  <si>
    <t>rays of light</t>
  </si>
  <si>
    <t>光荣</t>
  </si>
  <si>
    <t>guāng róng</t>
  </si>
  <si>
    <t>honour; glory; credit</t>
  </si>
  <si>
    <t>广阔</t>
  </si>
  <si>
    <t>guǎng kuò</t>
  </si>
  <si>
    <t>vast; spacious; expansive</t>
  </si>
  <si>
    <t>规范</t>
  </si>
  <si>
    <t>guī fàn</t>
  </si>
  <si>
    <t>standard; norm; specification</t>
  </si>
  <si>
    <t>规格</t>
  </si>
  <si>
    <t>guī gé</t>
  </si>
  <si>
    <t>specifications; norms; standards</t>
  </si>
  <si>
    <t>归根到底</t>
  </si>
  <si>
    <t>guī gēn dào dǐ</t>
  </si>
  <si>
    <t>in the final analysis; in the long run</t>
  </si>
  <si>
    <t>规划</t>
  </si>
  <si>
    <t>guī huà</t>
  </si>
  <si>
    <t>planning; programming; project</t>
  </si>
  <si>
    <t>归还</t>
  </si>
  <si>
    <t>guī huán</t>
  </si>
  <si>
    <t>return; revert; send back</t>
  </si>
  <si>
    <t>规章</t>
  </si>
  <si>
    <t>guī zhāng</t>
  </si>
  <si>
    <t>rules; regulations</t>
  </si>
  <si>
    <t>轨道</t>
  </si>
  <si>
    <t>guǐ dào</t>
  </si>
  <si>
    <t>track; pathway</t>
  </si>
  <si>
    <t>跪</t>
  </si>
  <si>
    <t>kneel (down)</t>
  </si>
  <si>
    <t>贵族</t>
  </si>
  <si>
    <t>guì zú</t>
  </si>
  <si>
    <t>aristocrat; nobility</t>
  </si>
  <si>
    <t>棍棒</t>
  </si>
  <si>
    <t>gùn bàng</t>
  </si>
  <si>
    <t>club; cudgel; bludgeon</t>
  </si>
  <si>
    <t>国防</t>
  </si>
  <si>
    <t>guó fáng</t>
  </si>
  <si>
    <t>national defense</t>
  </si>
  <si>
    <t>国务院</t>
  </si>
  <si>
    <t>guó wù yuàn</t>
  </si>
  <si>
    <t>State Council</t>
  </si>
  <si>
    <t>果断</t>
  </si>
  <si>
    <t>guǒ duàn</t>
  </si>
  <si>
    <t>resolute; decisive</t>
  </si>
  <si>
    <t>过渡</t>
  </si>
  <si>
    <t>guò dù</t>
  </si>
  <si>
    <t>transit</t>
  </si>
  <si>
    <t>过度</t>
  </si>
  <si>
    <t>excessive; over; undue</t>
  </si>
  <si>
    <t>过奖</t>
  </si>
  <si>
    <t>guò jiǎng</t>
  </si>
  <si>
    <t>overpraise; undeserved compliment</t>
  </si>
  <si>
    <t>过滤</t>
  </si>
  <si>
    <t>guò lǜ</t>
  </si>
  <si>
    <t>filter; screen</t>
  </si>
  <si>
    <t>过失</t>
  </si>
  <si>
    <t>guò shī</t>
  </si>
  <si>
    <t>fault; error; misconduct</t>
  </si>
  <si>
    <t>过问</t>
  </si>
  <si>
    <t>guò wèn</t>
  </si>
  <si>
    <t>concern oneself with; take an interest in</t>
  </si>
  <si>
    <t>过瘾</t>
  </si>
  <si>
    <t>guò yǐn</t>
  </si>
  <si>
    <t>satisfy a craving; do something to one's heart's content</t>
  </si>
  <si>
    <t>过于</t>
  </si>
  <si>
    <t>guò yú</t>
  </si>
  <si>
    <t>too; unduly; excessively</t>
  </si>
  <si>
    <t>嗨</t>
  </si>
  <si>
    <t>hāi</t>
  </si>
  <si>
    <t>[sound used in lyrics for balance or euphony]</t>
  </si>
  <si>
    <t>海拔</t>
  </si>
  <si>
    <t>hǎi bá</t>
  </si>
  <si>
    <t>height; elevation</t>
  </si>
  <si>
    <t>海滨</t>
  </si>
  <si>
    <t>hǎi bīn</t>
  </si>
  <si>
    <t>seashore; strand</t>
  </si>
  <si>
    <t>含糊</t>
  </si>
  <si>
    <t>hán hu</t>
  </si>
  <si>
    <t>ambiguous; vague</t>
  </si>
  <si>
    <t>寒暄</t>
  </si>
  <si>
    <t>hán xuān</t>
  </si>
  <si>
    <t>exchange conventional greetings</t>
  </si>
  <si>
    <t>含义</t>
  </si>
  <si>
    <t>hán yì</t>
  </si>
  <si>
    <t>meaning; implication</t>
  </si>
  <si>
    <t>罕见</t>
  </si>
  <si>
    <t>hǎn jiàn</t>
  </si>
  <si>
    <t>seldom seen; rare</t>
  </si>
  <si>
    <t>捍卫</t>
  </si>
  <si>
    <t>hàn wèi</t>
  </si>
  <si>
    <t>defend; guard; protect</t>
  </si>
  <si>
    <t>航空</t>
  </si>
  <si>
    <t>háng kōng</t>
  </si>
  <si>
    <t>aviation</t>
  </si>
  <si>
    <t>行列</t>
  </si>
  <si>
    <t>háng liè</t>
  </si>
  <si>
    <t>ranks</t>
  </si>
  <si>
    <t>航天</t>
  </si>
  <si>
    <t>háng tiān</t>
  </si>
  <si>
    <t>space flight; aerospace</t>
  </si>
  <si>
    <t>航行</t>
  </si>
  <si>
    <t>háng xíng</t>
  </si>
  <si>
    <t>navigate by water/air; sail</t>
  </si>
  <si>
    <t>豪迈</t>
  </si>
  <si>
    <t>háo mài</t>
  </si>
  <si>
    <t>bold and generous</t>
  </si>
  <si>
    <t>毫米</t>
  </si>
  <si>
    <t>háo mǐ</t>
  </si>
  <si>
    <t>millimetre</t>
  </si>
  <si>
    <t>毫无</t>
  </si>
  <si>
    <t>háo wú</t>
  </si>
  <si>
    <t>none; not in the least</t>
  </si>
  <si>
    <t>耗费</t>
  </si>
  <si>
    <t>hào fèi</t>
  </si>
  <si>
    <t>consume; expend; cost</t>
  </si>
  <si>
    <t>号召</t>
  </si>
  <si>
    <t>hào zhào</t>
  </si>
  <si>
    <t>call; appeal</t>
  </si>
  <si>
    <t>呵</t>
  </si>
  <si>
    <t>breathe out; oh</t>
  </si>
  <si>
    <t>和蔼</t>
  </si>
  <si>
    <t>hé ǎi</t>
  </si>
  <si>
    <t>kindly; affable; amiable</t>
  </si>
  <si>
    <t>合并</t>
  </si>
  <si>
    <t>hé bìng</t>
  </si>
  <si>
    <t>merge; amalgamate; combine</t>
  </si>
  <si>
    <t>合成</t>
  </si>
  <si>
    <t>hé chéng</t>
  </si>
  <si>
    <t>compose; compound; synthetise</t>
  </si>
  <si>
    <t>合伙</t>
  </si>
  <si>
    <t>hé huǒ</t>
  </si>
  <si>
    <t>partnership; form a partnership</t>
  </si>
  <si>
    <t>和解</t>
  </si>
  <si>
    <t>hé jiě</t>
  </si>
  <si>
    <t>compromise; conciliate; reconcile</t>
  </si>
  <si>
    <t>和睦</t>
  </si>
  <si>
    <t>hé mù</t>
  </si>
  <si>
    <t>harmony; amity</t>
  </si>
  <si>
    <t>和气</t>
  </si>
  <si>
    <t>hé qi</t>
  </si>
  <si>
    <t>gentle; kind; polite</t>
  </si>
  <si>
    <t>合算</t>
  </si>
  <si>
    <t>hé suàn</t>
  </si>
  <si>
    <t>cost-effective</t>
  </si>
  <si>
    <t>和谐</t>
  </si>
  <si>
    <t>hé xié</t>
  </si>
  <si>
    <t>harmonious; melodious; tuneful</t>
  </si>
  <si>
    <t>嘿</t>
  </si>
  <si>
    <t>痕迹</t>
  </si>
  <si>
    <t>hén jì</t>
  </si>
  <si>
    <t>mark; vestige; impression</t>
  </si>
  <si>
    <t>狠心</t>
  </si>
  <si>
    <t>hěn xīn</t>
  </si>
  <si>
    <t>ruthless</t>
  </si>
  <si>
    <t>恨不得</t>
  </si>
  <si>
    <t>hèn bu dé</t>
  </si>
  <si>
    <t>very anxious to; how one wishes one could</t>
  </si>
  <si>
    <t>哼</t>
  </si>
  <si>
    <t>hēng</t>
  </si>
  <si>
    <t>humph; tut</t>
  </si>
  <si>
    <t>横</t>
  </si>
  <si>
    <t>héng</t>
  </si>
  <si>
    <t>horizontal</t>
  </si>
  <si>
    <t>哄</t>
  </si>
  <si>
    <t>hōng</t>
  </si>
  <si>
    <t>roars of laughter; clamour</t>
  </si>
  <si>
    <t>烘</t>
  </si>
  <si>
    <t>dry or warm by the fire</t>
  </si>
  <si>
    <t>轰动</t>
  </si>
  <si>
    <t>hōng dòng</t>
  </si>
  <si>
    <t>cause a sensation; create quite a stir</t>
  </si>
  <si>
    <t>宏观</t>
  </si>
  <si>
    <t>hóng guān</t>
  </si>
  <si>
    <t>macroscopic view</t>
  </si>
  <si>
    <t>洪水</t>
  </si>
  <si>
    <t>hóng shuǐ</t>
  </si>
  <si>
    <t>flood; deluge</t>
  </si>
  <si>
    <t>宏伟</t>
  </si>
  <si>
    <t>hóng wěi</t>
  </si>
  <si>
    <t>magnificent; grand</t>
  </si>
  <si>
    <t>喉咙</t>
  </si>
  <si>
    <t>hóu lóng</t>
  </si>
  <si>
    <t>throat; gullet</t>
  </si>
  <si>
    <t>吼</t>
  </si>
  <si>
    <t>hǒu</t>
  </si>
  <si>
    <t>roar; howl</t>
  </si>
  <si>
    <t>后代</t>
  </si>
  <si>
    <t>hòu dài</t>
  </si>
  <si>
    <t>later generations</t>
  </si>
  <si>
    <t>后顾之忧</t>
  </si>
  <si>
    <t>hòu gù zhī yōu</t>
  </si>
  <si>
    <t>worry about things back home</t>
  </si>
  <si>
    <t>后勤</t>
  </si>
  <si>
    <t>hòu qín</t>
  </si>
  <si>
    <t>logistics</t>
  </si>
  <si>
    <t>候选</t>
  </si>
  <si>
    <t>hòu xuǎn</t>
  </si>
  <si>
    <t>be a candidate; run for office</t>
  </si>
  <si>
    <t>呼唤</t>
  </si>
  <si>
    <t>hū huàn</t>
  </si>
  <si>
    <t>to call out (a name etc)</t>
  </si>
  <si>
    <t>忽略</t>
  </si>
  <si>
    <t>hū luè</t>
  </si>
  <si>
    <t>ignore; lose sight of; neglect</t>
  </si>
  <si>
    <t>呼啸</t>
  </si>
  <si>
    <t>hū xiào</t>
  </si>
  <si>
    <t>whistle; howl; scream</t>
  </si>
  <si>
    <t>呼吁</t>
  </si>
  <si>
    <t>hū yù</t>
  </si>
  <si>
    <t>appeal; call on</t>
  </si>
  <si>
    <t>胡乱</t>
  </si>
  <si>
    <t>hú luàn</t>
  </si>
  <si>
    <t>carelessly; casually; at random</t>
  </si>
  <si>
    <t>湖泊</t>
  </si>
  <si>
    <t>hú pō</t>
  </si>
  <si>
    <t>lake</t>
  </si>
  <si>
    <t>胡须</t>
  </si>
  <si>
    <t>hú xū</t>
  </si>
  <si>
    <t>beard; moustache; whiskers</t>
  </si>
  <si>
    <t>花瓣</t>
  </si>
  <si>
    <t>huā bàn</t>
  </si>
  <si>
    <t>petal</t>
  </si>
  <si>
    <t>花蕾</t>
  </si>
  <si>
    <t>huā lěi</t>
  </si>
  <si>
    <t>bud</t>
  </si>
  <si>
    <t>华丽</t>
  </si>
  <si>
    <t>huá lì</t>
  </si>
  <si>
    <t>magnificent; resplendent; gorgeous</t>
  </si>
  <si>
    <t>华侨</t>
  </si>
  <si>
    <t>huá qiáo</t>
  </si>
  <si>
    <t>overseas Chinese; Chinese people living abroad</t>
  </si>
  <si>
    <t>化肥</t>
  </si>
  <si>
    <t>huà féi</t>
  </si>
  <si>
    <t>chemical fertiliser</t>
  </si>
  <si>
    <t>划分</t>
  </si>
  <si>
    <t>huà fēn</t>
  </si>
  <si>
    <t>divide; partition</t>
  </si>
  <si>
    <t>画蛇添足</t>
  </si>
  <si>
    <t>huà shé tiān zú</t>
  </si>
  <si>
    <t>draw a snake and add feet to it</t>
  </si>
  <si>
    <t>化石</t>
  </si>
  <si>
    <t>huà shí</t>
  </si>
  <si>
    <t>fossil</t>
  </si>
  <si>
    <t>话筒</t>
  </si>
  <si>
    <t>huà tǒng</t>
  </si>
  <si>
    <t>microphone; megaphone</t>
  </si>
  <si>
    <t>化验</t>
  </si>
  <si>
    <t>huà yàn</t>
  </si>
  <si>
    <t>chemical examination; laboratory test</t>
  </si>
  <si>
    <t>化妆</t>
  </si>
  <si>
    <t>huà zhuāng</t>
  </si>
  <si>
    <t>make up; apply cosmetics</t>
  </si>
  <si>
    <t>欢乐</t>
  </si>
  <si>
    <t>huān lè</t>
  </si>
  <si>
    <t>happy; joyous</t>
  </si>
  <si>
    <t>环节</t>
  </si>
  <si>
    <t>huán jié</t>
  </si>
  <si>
    <t>link; segment</t>
  </si>
  <si>
    <t>还原</t>
  </si>
  <si>
    <t>huán yuán</t>
  </si>
  <si>
    <t>return to the original condition or shape; restore</t>
  </si>
  <si>
    <t>缓和</t>
  </si>
  <si>
    <t>huǎn hé</t>
  </si>
  <si>
    <t>relax; calm; ease up</t>
  </si>
  <si>
    <t>患者</t>
  </si>
  <si>
    <t>huàn zhě</t>
  </si>
  <si>
    <t>patient; sufferer</t>
  </si>
  <si>
    <t>荒凉</t>
  </si>
  <si>
    <t>huāng liáng</t>
  </si>
  <si>
    <t>bleak and desolate; wild</t>
  </si>
  <si>
    <t>荒谬</t>
  </si>
  <si>
    <t>huāng miù</t>
  </si>
  <si>
    <t>absurd; preposterous</t>
  </si>
  <si>
    <t>荒唐</t>
  </si>
  <si>
    <t>huāng táng</t>
  </si>
  <si>
    <t>absurd; fantastic; preposterous</t>
  </si>
  <si>
    <t>皇帝</t>
  </si>
  <si>
    <t>huáng dì</t>
  </si>
  <si>
    <t>emperor</t>
  </si>
  <si>
    <t>皇后</t>
  </si>
  <si>
    <t>huáng hòu</t>
  </si>
  <si>
    <t>empress</t>
  </si>
  <si>
    <t>黄昏</t>
  </si>
  <si>
    <t>huáng hūn</t>
  </si>
  <si>
    <t>dusk</t>
  </si>
  <si>
    <t>恍然大悟</t>
  </si>
  <si>
    <t>huǎng rán dà wù</t>
  </si>
  <si>
    <t>be suddenly enlightened</t>
  </si>
  <si>
    <t>晃</t>
  </si>
  <si>
    <t>huàng</t>
  </si>
  <si>
    <t>to shake</t>
  </si>
  <si>
    <t>辉煌</t>
  </si>
  <si>
    <t>huī huáng</t>
  </si>
  <si>
    <t>splendid; glorious; magnificent</t>
  </si>
  <si>
    <t>挥霍</t>
  </si>
  <si>
    <t>huī huò</t>
  </si>
  <si>
    <t>spend lavishly; squander</t>
  </si>
  <si>
    <t>回报</t>
  </si>
  <si>
    <t>huí bào</t>
  </si>
  <si>
    <t>bring back a report</t>
  </si>
  <si>
    <t>回避</t>
  </si>
  <si>
    <t>huí bì</t>
  </si>
  <si>
    <t>avoid; dodge; evade</t>
  </si>
  <si>
    <t>回顾</t>
  </si>
  <si>
    <t>huí gù</t>
  </si>
  <si>
    <t>look back; review; retrospect</t>
  </si>
  <si>
    <t>回收</t>
  </si>
  <si>
    <t>huí shōu</t>
  </si>
  <si>
    <t>retrieve; recover; reclaim</t>
  </si>
  <si>
    <t>悔恨</t>
  </si>
  <si>
    <t>huǐ hèn</t>
  </si>
  <si>
    <t>regret deeply; be bitterly remorseful</t>
  </si>
  <si>
    <t>毁灭</t>
  </si>
  <si>
    <t>huǐ miè</t>
  </si>
  <si>
    <t>destroy; exterminate; ruin</t>
  </si>
  <si>
    <t>汇报</t>
  </si>
  <si>
    <t>huì bào</t>
  </si>
  <si>
    <t>report; give an account of</t>
  </si>
  <si>
    <t>贿赂</t>
  </si>
  <si>
    <t>huì lù</t>
  </si>
  <si>
    <t>bribe; bribery</t>
  </si>
  <si>
    <t>会晤</t>
  </si>
  <si>
    <t>huì wù</t>
  </si>
  <si>
    <t>meet</t>
  </si>
  <si>
    <t>荤</t>
  </si>
  <si>
    <t>hūn</t>
  </si>
  <si>
    <t>non-vegetarian food [meat, fish etc.]</t>
  </si>
  <si>
    <t>昏迷</t>
  </si>
  <si>
    <t>hūn mí</t>
  </si>
  <si>
    <t>stupor; coma</t>
  </si>
  <si>
    <t>浑身</t>
  </si>
  <si>
    <t>hún shēn</t>
  </si>
  <si>
    <t>from head to toe; all over</t>
  </si>
  <si>
    <t>混合</t>
  </si>
  <si>
    <t>hùn hé</t>
  </si>
  <si>
    <t>mix; blend; mingle</t>
  </si>
  <si>
    <t>混乱</t>
  </si>
  <si>
    <t>hùn luàn</t>
  </si>
  <si>
    <t>confusion</t>
  </si>
  <si>
    <t>混淆</t>
  </si>
  <si>
    <t>hùn xiáo</t>
  </si>
  <si>
    <t>confound; obscure; blur</t>
  </si>
  <si>
    <t>混浊</t>
  </si>
  <si>
    <t>hùn zhuó</t>
  </si>
  <si>
    <t>muddy; turbid</t>
  </si>
  <si>
    <t>活该</t>
  </si>
  <si>
    <t>huó gāi</t>
  </si>
  <si>
    <t>deservedly</t>
  </si>
  <si>
    <t>活力</t>
  </si>
  <si>
    <t>huó lì</t>
  </si>
  <si>
    <t>vigour; vitality</t>
  </si>
  <si>
    <t>火箭</t>
  </si>
  <si>
    <t>huǒ jiàn</t>
  </si>
  <si>
    <t>rocket; fire arrow</t>
  </si>
  <si>
    <t>火焰</t>
  </si>
  <si>
    <t>huǒ yàn</t>
  </si>
  <si>
    <t>flame; blaze</t>
  </si>
  <si>
    <t>火药</t>
  </si>
  <si>
    <t>huǒ yào</t>
  </si>
  <si>
    <t>gunpowder</t>
  </si>
  <si>
    <t>货币</t>
  </si>
  <si>
    <t>huò bì</t>
  </si>
  <si>
    <t>money; currency</t>
  </si>
  <si>
    <t>倔强</t>
  </si>
  <si>
    <t>jué jiàng</t>
  </si>
  <si>
    <t>unbending</t>
  </si>
  <si>
    <t>基地</t>
  </si>
  <si>
    <t>jī dì</t>
  </si>
  <si>
    <t>机动</t>
  </si>
  <si>
    <t>motor-driven; motorised</t>
  </si>
  <si>
    <t>饥饿</t>
  </si>
  <si>
    <t>jī è</t>
  </si>
  <si>
    <t>hunger; starvation</t>
  </si>
  <si>
    <t>激发</t>
  </si>
  <si>
    <t>jī fā</t>
  </si>
  <si>
    <t>arouse; stimulate; stir up</t>
  </si>
  <si>
    <t>机构</t>
  </si>
  <si>
    <t>jī gòu</t>
  </si>
  <si>
    <t>mechanism; organisation; institution</t>
  </si>
  <si>
    <t>基金</t>
  </si>
  <si>
    <t>jī jīn</t>
  </si>
  <si>
    <t>foundation; fund</t>
  </si>
  <si>
    <t>激励</t>
  </si>
  <si>
    <t>jī lì</t>
  </si>
  <si>
    <t>encourage; impel; urge</t>
  </si>
  <si>
    <t>机灵</t>
  </si>
  <si>
    <t>jī ling</t>
  </si>
  <si>
    <t>clever; smart; intelligent</t>
  </si>
  <si>
    <t>机密</t>
  </si>
  <si>
    <t>jī mì</t>
  </si>
  <si>
    <t>secret; classified; confidential</t>
  </si>
  <si>
    <t>激情</t>
  </si>
  <si>
    <t>jī qíng</t>
  </si>
  <si>
    <t>intense emotion; fervour; passion</t>
  </si>
  <si>
    <t>讥笑</t>
  </si>
  <si>
    <t>jī xiào</t>
  </si>
  <si>
    <t>ridicule; sneer at; deride</t>
  </si>
  <si>
    <t>机械</t>
  </si>
  <si>
    <t>jī xiè</t>
  </si>
  <si>
    <t>machinery; mechanism; mechanical</t>
  </si>
  <si>
    <t>基因</t>
  </si>
  <si>
    <t>jī yīn</t>
  </si>
  <si>
    <t>gene</t>
  </si>
  <si>
    <t>机遇</t>
  </si>
  <si>
    <t>jī yù</t>
  </si>
  <si>
    <t>favourable circumstances; opportunity; chance</t>
  </si>
  <si>
    <t>机智</t>
  </si>
  <si>
    <t>jī zhì</t>
  </si>
  <si>
    <t>quick-witted; resourceful</t>
  </si>
  <si>
    <t>即便</t>
  </si>
  <si>
    <t>jí biàn</t>
  </si>
  <si>
    <t>级别</t>
  </si>
  <si>
    <t>jí bié</t>
  </si>
  <si>
    <t>rank; level; grade</t>
  </si>
  <si>
    <t>疾病</t>
  </si>
  <si>
    <t>jí bìng</t>
  </si>
  <si>
    <t>disease; illness; sickness</t>
  </si>
  <si>
    <t>嫉妒</t>
  </si>
  <si>
    <t>jí dù</t>
  </si>
  <si>
    <t>be jealous of; envy</t>
  </si>
  <si>
    <t>极端</t>
  </si>
  <si>
    <t>jí duān</t>
  </si>
  <si>
    <t>extremes; exceeding; pole</t>
  </si>
  <si>
    <t>急功近利</t>
  </si>
  <si>
    <t>jí gōng jìn lì</t>
  </si>
  <si>
    <t>eager for quick success and instant benefits</t>
  </si>
  <si>
    <t>籍贯</t>
  </si>
  <si>
    <t>jí guàn</t>
  </si>
  <si>
    <t>the place of one's birth</t>
  </si>
  <si>
    <t>即将</t>
  </si>
  <si>
    <t>jí jiāng</t>
  </si>
  <si>
    <t>be about to; be on the point of</t>
  </si>
  <si>
    <t>急剧</t>
  </si>
  <si>
    <t>jí jù</t>
  </si>
  <si>
    <t>rapid; sharp; sudden</t>
  </si>
  <si>
    <t>急切</t>
  </si>
  <si>
    <t>jí qiè</t>
  </si>
  <si>
    <t>eager;urgent; imperative</t>
  </si>
  <si>
    <t>集团</t>
  </si>
  <si>
    <t>jí tuán</t>
  </si>
  <si>
    <t>group; clique; circle</t>
  </si>
  <si>
    <t>极限</t>
  </si>
  <si>
    <t>jí xiàn</t>
  </si>
  <si>
    <t>limit; the maximum; the ultimate</t>
  </si>
  <si>
    <t>吉祥</t>
  </si>
  <si>
    <t>jí xiáng</t>
  </si>
  <si>
    <t>lucky; auspicious; propitious</t>
  </si>
  <si>
    <t>急于求成</t>
  </si>
  <si>
    <t>jí yú qiú chéng</t>
  </si>
  <si>
    <t>be anxious for success</t>
  </si>
  <si>
    <t>及早</t>
  </si>
  <si>
    <t>jí zǎo</t>
  </si>
  <si>
    <t>at an early date; as soon as possible; before it is too late</t>
  </si>
  <si>
    <t>急躁</t>
  </si>
  <si>
    <t>jí zào</t>
  </si>
  <si>
    <t>irritable; irascible; testy</t>
  </si>
  <si>
    <t>给予</t>
  </si>
  <si>
    <t>jǐ yǔ</t>
  </si>
  <si>
    <t>rendition</t>
  </si>
  <si>
    <t>继承</t>
  </si>
  <si>
    <t>jì chéng</t>
  </si>
  <si>
    <t>inherit; succeed; carry on</t>
  </si>
  <si>
    <t>季度</t>
  </si>
  <si>
    <t>jì dù</t>
  </si>
  <si>
    <t>quarter</t>
  </si>
  <si>
    <t>忌讳</t>
  </si>
  <si>
    <t>jì huì</t>
  </si>
  <si>
    <t>taboo</t>
  </si>
  <si>
    <t>计较</t>
  </si>
  <si>
    <t>jì jiào</t>
  </si>
  <si>
    <t>bother about; haggle over</t>
  </si>
  <si>
    <t>寂静</t>
  </si>
  <si>
    <t>jì jìng</t>
  </si>
  <si>
    <t>quiet; still; silent</t>
  </si>
  <si>
    <t>季军</t>
  </si>
  <si>
    <t>jì jūn</t>
  </si>
  <si>
    <t>third place</t>
  </si>
  <si>
    <t>技巧</t>
  </si>
  <si>
    <t>jì qiǎo</t>
  </si>
  <si>
    <t>skill; technique</t>
  </si>
  <si>
    <t>寄托</t>
  </si>
  <si>
    <t>jì tuō</t>
  </si>
  <si>
    <t>entrust to the care of somebody; leave with somebody</t>
  </si>
  <si>
    <t>迹象</t>
  </si>
  <si>
    <t>jì xiàng</t>
  </si>
  <si>
    <t>sign; token; indication</t>
  </si>
  <si>
    <t>记性</t>
  </si>
  <si>
    <t>jì xing</t>
  </si>
  <si>
    <t>memory</t>
  </si>
  <si>
    <t>纪要</t>
  </si>
  <si>
    <t>jì yào</t>
  </si>
  <si>
    <t>summary; minutes</t>
  </si>
  <si>
    <t>记载</t>
  </si>
  <si>
    <t>jì zǎi</t>
  </si>
  <si>
    <t>put down in writing; record</t>
  </si>
  <si>
    <t>家常</t>
  </si>
  <si>
    <t>jiā cháng</t>
  </si>
  <si>
    <t>the daily life of a family</t>
  </si>
  <si>
    <t>加工</t>
  </si>
  <si>
    <t>jiā gōng</t>
  </si>
  <si>
    <t>process; machining; handling</t>
  </si>
  <si>
    <t>家伙</t>
  </si>
  <si>
    <t>jiā huo</t>
  </si>
  <si>
    <t>tool; utensil; livestock</t>
  </si>
  <si>
    <t>加剧</t>
  </si>
  <si>
    <t>aggravate; intensify; exacerbate</t>
  </si>
  <si>
    <t>家属</t>
  </si>
  <si>
    <t>jiā shǔ</t>
  </si>
  <si>
    <t>family members; dependents</t>
  </si>
  <si>
    <t>佳肴</t>
  </si>
  <si>
    <t>jiā yáo</t>
  </si>
  <si>
    <t>delicacies</t>
  </si>
  <si>
    <t>家喻户晓</t>
  </si>
  <si>
    <t>jiā yù hù xiǎo</t>
  </si>
  <si>
    <t>make known to every family; be known by one and all</t>
  </si>
  <si>
    <t>夹杂</t>
  </si>
  <si>
    <t>jiā zá</t>
  </si>
  <si>
    <t>be mixed up with</t>
  </si>
  <si>
    <t>煎</t>
  </si>
  <si>
    <t>jiān</t>
  </si>
  <si>
    <t>pan fry; fry in shallow oil</t>
  </si>
  <si>
    <t>坚定</t>
  </si>
  <si>
    <t>jiān dìng</t>
  </si>
  <si>
    <t>firm; staunch; steadfast</t>
  </si>
  <si>
    <t>监督</t>
  </si>
  <si>
    <t>jiān dū</t>
  </si>
  <si>
    <t>supervise; control; monitor</t>
  </si>
  <si>
    <t>尖端</t>
  </si>
  <si>
    <t>jiān duān</t>
  </si>
  <si>
    <t>pointed end; nib</t>
  </si>
  <si>
    <t>坚固</t>
  </si>
  <si>
    <t>jiān gù</t>
  </si>
  <si>
    <t>firm; solid; sturdy</t>
  </si>
  <si>
    <t>艰难</t>
  </si>
  <si>
    <t>jiān nán</t>
  </si>
  <si>
    <t>difficult; hard; arduous</t>
  </si>
  <si>
    <t>坚韧</t>
  </si>
  <si>
    <t>jiān rèn</t>
  </si>
  <si>
    <t>tough and tensile; firm and tenacious</t>
  </si>
  <si>
    <t>尖锐</t>
  </si>
  <si>
    <t>jiān ruì</t>
  </si>
  <si>
    <t>acute; penetrating; incisive</t>
  </si>
  <si>
    <t>坚实</t>
  </si>
  <si>
    <t>jiān shí</t>
  </si>
  <si>
    <t>solid; substantial; staunch</t>
  </si>
  <si>
    <t>监视</t>
  </si>
  <si>
    <t>jiān shì</t>
  </si>
  <si>
    <t>keep watch over; guard; monitor</t>
  </si>
  <si>
    <t>坚硬</t>
  </si>
  <si>
    <t>jiān yìng</t>
  </si>
  <si>
    <t>hard; solid; rigidity</t>
  </si>
  <si>
    <t>监狱</t>
  </si>
  <si>
    <t>jiān yù</t>
  </si>
  <si>
    <t>prison; jail</t>
  </si>
  <si>
    <t>拣</t>
  </si>
  <si>
    <t>choose; select; pick out</t>
  </si>
  <si>
    <t>剪彩</t>
  </si>
  <si>
    <t>jiǎn cǎi</t>
  </si>
  <si>
    <t>cut the ribbon at an opening ceremony</t>
  </si>
  <si>
    <t>简化</t>
  </si>
  <si>
    <t>jiǎn huà</t>
  </si>
  <si>
    <t>simplify</t>
  </si>
  <si>
    <t>简陋</t>
  </si>
  <si>
    <t>jiǎn lòu</t>
  </si>
  <si>
    <t>simple and crude</t>
  </si>
  <si>
    <t>检讨</t>
  </si>
  <si>
    <t>jiǎn tǎo</t>
  </si>
  <si>
    <t>self-criticism</t>
  </si>
  <si>
    <t>简体字</t>
  </si>
  <si>
    <t>jiǎn tǐ zì</t>
  </si>
  <si>
    <t>simplified Chinese character</t>
  </si>
  <si>
    <t>检验</t>
  </si>
  <si>
    <t>jiǎn yàn</t>
  </si>
  <si>
    <t>checkout; examine; inspect</t>
  </si>
  <si>
    <t>简要</t>
  </si>
  <si>
    <t>jiǎn yào</t>
  </si>
  <si>
    <t>concise and to the point; brief</t>
  </si>
  <si>
    <t>溅</t>
  </si>
  <si>
    <t>splash; spatter</t>
  </si>
  <si>
    <t>剑</t>
  </si>
  <si>
    <t>double-edged sword</t>
  </si>
  <si>
    <t>鉴别</t>
  </si>
  <si>
    <t>jiàn bié</t>
  </si>
  <si>
    <t>distinguish; discriminate; discern</t>
  </si>
  <si>
    <t>间谍</t>
  </si>
  <si>
    <t>jiàn dié</t>
  </si>
  <si>
    <t>spy; secret agent</t>
  </si>
  <si>
    <t>鉴定</t>
  </si>
  <si>
    <t>jiàn dìng</t>
  </si>
  <si>
    <t>appraise; identify; authenticate</t>
  </si>
  <si>
    <t>见多识广</t>
  </si>
  <si>
    <t>jiàn duō shí guǎng</t>
  </si>
  <si>
    <t>have great experience</t>
  </si>
  <si>
    <t>间隔</t>
  </si>
  <si>
    <t>jiàn gé</t>
  </si>
  <si>
    <t>interval; space</t>
  </si>
  <si>
    <t>间接</t>
  </si>
  <si>
    <t>jiàn jiē</t>
  </si>
  <si>
    <t>secondhand; indirect</t>
  </si>
  <si>
    <t>见解</t>
  </si>
  <si>
    <t>jiàn jiě</t>
  </si>
  <si>
    <t>view; opinion; understanding</t>
  </si>
  <si>
    <t>健全</t>
  </si>
  <si>
    <t>jiàn quán</t>
  </si>
  <si>
    <t>sound; sane; perfect</t>
  </si>
  <si>
    <t>践踏</t>
  </si>
  <si>
    <t>jiàn tà</t>
  </si>
  <si>
    <t>tread on; trample underfoot</t>
  </si>
  <si>
    <t>舰艇</t>
  </si>
  <si>
    <t>jiàn tǐng</t>
  </si>
  <si>
    <t>naval craft</t>
  </si>
  <si>
    <t>见闻</t>
  </si>
  <si>
    <t>jiàn wén</t>
  </si>
  <si>
    <t>what one sees and hears</t>
  </si>
  <si>
    <t>见义勇为</t>
  </si>
  <si>
    <t>jiàn yì yǒng wéi</t>
  </si>
  <si>
    <t>act bravely for a just cause</t>
  </si>
  <si>
    <t>鉴于</t>
  </si>
  <si>
    <t>jiàn yú</t>
  </si>
  <si>
    <t>in view of; in the light of; seeing that</t>
  </si>
  <si>
    <t>将近</t>
  </si>
  <si>
    <t>jiāng jìn</t>
  </si>
  <si>
    <t>be close to; almost; nearby</t>
  </si>
  <si>
    <t>将就</t>
  </si>
  <si>
    <t>jiāng jiu</t>
  </si>
  <si>
    <t>to put up with</t>
  </si>
  <si>
    <t>将军</t>
  </si>
  <si>
    <t>jiāng jūn</t>
  </si>
  <si>
    <t>general; admiral</t>
  </si>
  <si>
    <t>僵硬</t>
  </si>
  <si>
    <t>jiāng yìng</t>
  </si>
  <si>
    <t>stiff; rigid; inflexible</t>
  </si>
  <si>
    <t>桨</t>
  </si>
  <si>
    <t>oar; paddle; propeller</t>
  </si>
  <si>
    <t>奖励</t>
  </si>
  <si>
    <t>jiǎng lì</t>
  </si>
  <si>
    <t>encourage and reward; award; reward</t>
  </si>
  <si>
    <t>奖赏</t>
  </si>
  <si>
    <t>jiǎng shǎng</t>
  </si>
  <si>
    <t>award; reward</t>
  </si>
  <si>
    <t>降临</t>
  </si>
  <si>
    <t>jiàng lín</t>
  </si>
  <si>
    <t>befall; arrive</t>
  </si>
  <si>
    <t>交叉</t>
  </si>
  <si>
    <t>jiāo chā</t>
  </si>
  <si>
    <t>intersect; cross</t>
  </si>
  <si>
    <t>交代</t>
  </si>
  <si>
    <t>jiāo dài</t>
  </si>
  <si>
    <t>hand over; transfer</t>
  </si>
  <si>
    <t>焦点</t>
  </si>
  <si>
    <t>jiāo diǎn</t>
  </si>
  <si>
    <t>focal point; central issue</t>
  </si>
  <si>
    <t>焦急</t>
  </si>
  <si>
    <t>jiāo jí</t>
  </si>
  <si>
    <t>anxious; worried</t>
  </si>
  <si>
    <t>娇气</t>
  </si>
  <si>
    <t>jiāo qì</t>
  </si>
  <si>
    <t>squeamish; finicky</t>
  </si>
  <si>
    <t>交涉</t>
  </si>
  <si>
    <t>jiāo shè</t>
  </si>
  <si>
    <t>negotiate</t>
  </si>
  <si>
    <t>交易</t>
  </si>
  <si>
    <t>jiāo yì</t>
  </si>
  <si>
    <t>business; deal</t>
  </si>
  <si>
    <t>搅拌</t>
  </si>
  <si>
    <t>jiǎo bàn</t>
  </si>
  <si>
    <t>stir; whip; agitate</t>
  </si>
  <si>
    <t>角落</t>
  </si>
  <si>
    <t>jiǎo luò</t>
  </si>
  <si>
    <t>corner; nook; secluded place</t>
  </si>
  <si>
    <t>缴纳</t>
  </si>
  <si>
    <t>jiǎo nà</t>
  </si>
  <si>
    <t>pay (taxes; fine etc)</t>
  </si>
  <si>
    <t>侥幸</t>
  </si>
  <si>
    <t>jiǎo xìng</t>
  </si>
  <si>
    <t>luckily</t>
  </si>
  <si>
    <t>较量</t>
  </si>
  <si>
    <t>jiào liàng</t>
  </si>
  <si>
    <t>measure one's strength with; have a contest</t>
  </si>
  <si>
    <t>教养</t>
  </si>
  <si>
    <t>jiào yǎng</t>
  </si>
  <si>
    <t>bring up; train; educate</t>
  </si>
  <si>
    <t>皆</t>
  </si>
  <si>
    <t>all; each and every</t>
  </si>
  <si>
    <t>阶层</t>
  </si>
  <si>
    <t>jiē céng</t>
  </si>
  <si>
    <t>section; rank; stratum</t>
  </si>
  <si>
    <t>接连</t>
  </si>
  <si>
    <t>jiē lián</t>
  </si>
  <si>
    <t>in a row; in succession</t>
  </si>
  <si>
    <t>揭露</t>
  </si>
  <si>
    <t>jiē lù</t>
  </si>
  <si>
    <t>expose</t>
  </si>
  <si>
    <t>杰出</t>
  </si>
  <si>
    <t>jié chū</t>
  </si>
  <si>
    <t>outstanding; distinguished; prominent</t>
  </si>
  <si>
    <t>竭尽全力</t>
  </si>
  <si>
    <t>jié jìn quán lì</t>
  </si>
  <si>
    <t>strain every nerve; do all in one's power; do everything one can</t>
  </si>
  <si>
    <t>结晶</t>
  </si>
  <si>
    <t>jié jīng</t>
  </si>
  <si>
    <t>crystallise; fruit</t>
  </si>
  <si>
    <t>结局</t>
  </si>
  <si>
    <t>jié jú</t>
  </si>
  <si>
    <t>final result; outcome; ending</t>
  </si>
  <si>
    <t>结算</t>
  </si>
  <si>
    <t>jié suàn</t>
  </si>
  <si>
    <t>settle accounts; close an account</t>
  </si>
  <si>
    <t>截止</t>
  </si>
  <si>
    <t>jié zhǐ</t>
  </si>
  <si>
    <t>to put a stop to something</t>
  </si>
  <si>
    <t>截至</t>
  </si>
  <si>
    <t>jié zhì</t>
  </si>
  <si>
    <t>by; up to; as of</t>
  </si>
  <si>
    <t>节制</t>
  </si>
  <si>
    <t>to control</t>
  </si>
  <si>
    <t>节奏</t>
  </si>
  <si>
    <t>jié zòu</t>
  </si>
  <si>
    <t>rhythm</t>
  </si>
  <si>
    <t>解除</t>
  </si>
  <si>
    <t>jiě chú</t>
  </si>
  <si>
    <t>remove; get rid of</t>
  </si>
  <si>
    <t>解放</t>
  </si>
  <si>
    <t>jiě fàng</t>
  </si>
  <si>
    <t>to liberate; emancipate</t>
  </si>
  <si>
    <t>解雇</t>
  </si>
  <si>
    <t>jiě gù</t>
  </si>
  <si>
    <t>dismiss; fire; lay off</t>
  </si>
  <si>
    <t>解剖</t>
  </si>
  <si>
    <t>jiě pōu</t>
  </si>
  <si>
    <t>dissect; anatomy</t>
  </si>
  <si>
    <t>解散</t>
  </si>
  <si>
    <t>jiě sàn</t>
  </si>
  <si>
    <t>dismiss</t>
  </si>
  <si>
    <t>解体</t>
  </si>
  <si>
    <t>jiě tǐ</t>
  </si>
  <si>
    <t>disintegrate; break up; dismantle</t>
  </si>
  <si>
    <t>戒备</t>
  </si>
  <si>
    <t>jiè bèi</t>
  </si>
  <si>
    <t>guard; take precautions; be on the alert</t>
  </si>
  <si>
    <t>借鉴</t>
  </si>
  <si>
    <t>jiè jiàn</t>
  </si>
  <si>
    <t>use for reference; draw lessons from; draw on the experience of</t>
  </si>
  <si>
    <t>界限</t>
  </si>
  <si>
    <t>jiè xiàn</t>
  </si>
  <si>
    <t>dividing line; limits; bounds</t>
  </si>
  <si>
    <t>借助</t>
  </si>
  <si>
    <t>jiè zhù</t>
  </si>
  <si>
    <t>draw support from; with the help of</t>
  </si>
  <si>
    <t>津津有味</t>
  </si>
  <si>
    <t>jīn jīn yǒu wèi</t>
  </si>
  <si>
    <t>eat with a gusto; find very interesting</t>
  </si>
  <si>
    <t>金融</t>
  </si>
  <si>
    <t>jīn róng</t>
  </si>
  <si>
    <t>finance; banking</t>
  </si>
  <si>
    <t>紧迫</t>
  </si>
  <si>
    <t>jǐn pò</t>
  </si>
  <si>
    <t>urgent; pressing; imminent</t>
  </si>
  <si>
    <t>锦上添花</t>
  </si>
  <si>
    <t>jǐn shàng tiān huā</t>
  </si>
  <si>
    <t>[lit.] onto brocade, add flowers; to add to something that is already perfect [idiom]</t>
  </si>
  <si>
    <t>进而</t>
  </si>
  <si>
    <t>jìn ér</t>
  </si>
  <si>
    <t>and then</t>
  </si>
  <si>
    <t>进攻</t>
  </si>
  <si>
    <t>jìn gōng</t>
  </si>
  <si>
    <t>attack; assault; offensive</t>
  </si>
  <si>
    <t>进化</t>
  </si>
  <si>
    <t>jìn huà</t>
  </si>
  <si>
    <t>evolution</t>
  </si>
  <si>
    <t>近来</t>
  </si>
  <si>
    <t>jìn lái</t>
  </si>
  <si>
    <t>recently; lately</t>
  </si>
  <si>
    <t>浸泡</t>
  </si>
  <si>
    <t>jìn pào</t>
  </si>
  <si>
    <t>soak; bath; immerse</t>
  </si>
  <si>
    <t>晋升</t>
  </si>
  <si>
    <t>jìn shēng</t>
  </si>
  <si>
    <t>promote to a higher office</t>
  </si>
  <si>
    <t>进展</t>
  </si>
  <si>
    <t>jìn zhǎn</t>
  </si>
  <si>
    <t>evolve; make headway</t>
  </si>
  <si>
    <t>茎</t>
  </si>
  <si>
    <t>jīng</t>
  </si>
  <si>
    <t>stem; stalk</t>
  </si>
  <si>
    <t>精打细算</t>
  </si>
  <si>
    <t>jīng dǎ xì suàn</t>
  </si>
  <si>
    <t>calculate very carefully; budget strictly</t>
  </si>
  <si>
    <t>惊动</t>
  </si>
  <si>
    <t>jīng dòng</t>
  </si>
  <si>
    <t>startle; alarm; shock</t>
  </si>
  <si>
    <t>经费</t>
  </si>
  <si>
    <t>jīng fèi</t>
  </si>
  <si>
    <t>funds; outlay</t>
  </si>
  <si>
    <t>精华</t>
  </si>
  <si>
    <t>jīng huá</t>
  </si>
  <si>
    <t>essence; best feature; soul</t>
  </si>
  <si>
    <t>精简</t>
  </si>
  <si>
    <t>jīng jiǎn</t>
  </si>
  <si>
    <t>simplify; cut; reduce</t>
  </si>
  <si>
    <t>兢兢业业</t>
  </si>
  <si>
    <t>jīng jīng yè yè</t>
  </si>
  <si>
    <t>be conscientious and do one's best</t>
  </si>
  <si>
    <t>精密</t>
  </si>
  <si>
    <t>jīng mì</t>
  </si>
  <si>
    <t>precise; accurate</t>
  </si>
  <si>
    <t>惊奇</t>
  </si>
  <si>
    <t>jīng qí</t>
  </si>
  <si>
    <t>wonder; be surprised; be amazed</t>
  </si>
  <si>
    <t>精确</t>
  </si>
  <si>
    <t>jīng què</t>
  </si>
  <si>
    <t>accurate; exact; precise</t>
  </si>
  <si>
    <t>精通</t>
  </si>
  <si>
    <t>jīng tōng</t>
  </si>
  <si>
    <t>be proficient in; have a good command of; master</t>
  </si>
  <si>
    <t>经纬</t>
  </si>
  <si>
    <t>jīng wěi</t>
  </si>
  <si>
    <t>longitude and latitude; logical planning; state of affairs; manage</t>
  </si>
  <si>
    <t>精心</t>
  </si>
  <si>
    <t>jīng xīn</t>
  </si>
  <si>
    <t>meticulously; painstakingly</t>
  </si>
  <si>
    <t>惊讶</t>
  </si>
  <si>
    <t>jīng yà</t>
  </si>
  <si>
    <t>surprised; amazed; astonished</t>
  </si>
  <si>
    <t>精益求精</t>
  </si>
  <si>
    <t>jīng yì qiú jīng</t>
  </si>
  <si>
    <t>constantly striving for perfection</t>
  </si>
  <si>
    <t>精致</t>
  </si>
  <si>
    <t>jīng zhì</t>
  </si>
  <si>
    <t>fine; exquisite; delicate</t>
  </si>
  <si>
    <t>井</t>
  </si>
  <si>
    <t>jǐng</t>
  </si>
  <si>
    <t>well (for drawing water)</t>
  </si>
  <si>
    <t>警告</t>
  </si>
  <si>
    <t>jǐng gào</t>
  </si>
  <si>
    <t>warn; caution; admonish</t>
  </si>
  <si>
    <t>警惕</t>
  </si>
  <si>
    <t>jǐng tì</t>
  </si>
  <si>
    <t>be on guard against; watch out for</t>
  </si>
  <si>
    <t>颈椎</t>
  </si>
  <si>
    <t>jǐng zhuī</t>
  </si>
  <si>
    <t>cervical vertebra [bones in the neck]</t>
  </si>
  <si>
    <t>境界</t>
  </si>
  <si>
    <t>jìng jiè</t>
  </si>
  <si>
    <t>boundary; extent reached</t>
  </si>
  <si>
    <t>敬礼</t>
  </si>
  <si>
    <t>jìng lǐ</t>
  </si>
  <si>
    <t>salute; extend one's greetings</t>
  </si>
  <si>
    <t>竞赛</t>
  </si>
  <si>
    <t>jìng sài</t>
  </si>
  <si>
    <t>contest; competition; race</t>
  </si>
  <si>
    <t>镜头</t>
  </si>
  <si>
    <t>jìng tóu</t>
  </si>
  <si>
    <t>camera lens</t>
  </si>
  <si>
    <t>竞选</t>
  </si>
  <si>
    <t>jìng xuǎn</t>
  </si>
  <si>
    <t>enter into an election contest; campaign for; run for</t>
  </si>
  <si>
    <t>敬业</t>
  </si>
  <si>
    <t>jìng yè</t>
  </si>
  <si>
    <t>to be dedicated to one's work</t>
  </si>
  <si>
    <t>纠纷</t>
  </si>
  <si>
    <t>jiū fēn</t>
  </si>
  <si>
    <t>dispute; issue</t>
  </si>
  <si>
    <t>纠正</t>
  </si>
  <si>
    <t>jiū zhèng</t>
  </si>
  <si>
    <t>correct; put right; redress</t>
  </si>
  <si>
    <t>酒精</t>
  </si>
  <si>
    <t>jiǔ jīng</t>
  </si>
  <si>
    <t>alcohol</t>
  </si>
  <si>
    <t>救济</t>
  </si>
  <si>
    <t>jiù jì</t>
  </si>
  <si>
    <t>relief; succour</t>
  </si>
  <si>
    <t>就近</t>
  </si>
  <si>
    <t>jiù jìn</t>
  </si>
  <si>
    <t>nearby; in the neighbourhood; without having to go far</t>
  </si>
  <si>
    <t>就业</t>
  </si>
  <si>
    <t>jiù yè</t>
  </si>
  <si>
    <t>obtain employment; get a job</t>
  </si>
  <si>
    <t>就职</t>
  </si>
  <si>
    <t>jiù zhí</t>
  </si>
  <si>
    <t>assume office</t>
  </si>
  <si>
    <t>鞠躬</t>
  </si>
  <si>
    <t>jū gōng</t>
  </si>
  <si>
    <t>bow</t>
  </si>
  <si>
    <t>拘留</t>
  </si>
  <si>
    <t>jū liú</t>
  </si>
  <si>
    <t>detain; hold in custody; intern</t>
  </si>
  <si>
    <t>居民</t>
  </si>
  <si>
    <t>jū mín</t>
  </si>
  <si>
    <t>resident</t>
  </si>
  <si>
    <t>拘束</t>
  </si>
  <si>
    <t>jū shù</t>
  </si>
  <si>
    <t>restrain; restrict</t>
  </si>
  <si>
    <t>居住</t>
  </si>
  <si>
    <t>jū zhù</t>
  </si>
  <si>
    <t>live; reside; dwell</t>
  </si>
  <si>
    <t>局部</t>
  </si>
  <si>
    <t>jú bù</t>
  </si>
  <si>
    <t>part; locality</t>
  </si>
  <si>
    <t>局面</t>
  </si>
  <si>
    <t>jú miàn</t>
  </si>
  <si>
    <t>aspect; phase; situation</t>
  </si>
  <si>
    <t>局势</t>
  </si>
  <si>
    <t>jú shì</t>
  </si>
  <si>
    <t>situation</t>
  </si>
  <si>
    <t>局限</t>
  </si>
  <si>
    <t>jú xiàn</t>
  </si>
  <si>
    <t>limit; confine; localisation</t>
  </si>
  <si>
    <t>举动</t>
  </si>
  <si>
    <t>jǔ dòng</t>
  </si>
  <si>
    <t>movement; activity</t>
  </si>
  <si>
    <t>咀嚼</t>
  </si>
  <si>
    <t>jǔ jué</t>
  </si>
  <si>
    <t>chew; mull over</t>
  </si>
  <si>
    <t>沮丧</t>
  </si>
  <si>
    <t>jǔ sàng</t>
  </si>
  <si>
    <t>dispirited; dejected; disheartened</t>
  </si>
  <si>
    <t>举世瞩目</t>
  </si>
  <si>
    <t>jǔ shì zhǔ mù</t>
  </si>
  <si>
    <t>attract worldwide attention</t>
  </si>
  <si>
    <t>举足轻重</t>
  </si>
  <si>
    <t>jǔ zú qīng zhòng</t>
  </si>
  <si>
    <t>play a decisive role; hold the balance of power</t>
  </si>
  <si>
    <t>剧本</t>
  </si>
  <si>
    <t>jù běn</t>
  </si>
  <si>
    <t>play; script</t>
  </si>
  <si>
    <t>聚精会神</t>
  </si>
  <si>
    <t>jù jīng huì shén</t>
  </si>
  <si>
    <t>concentrate one's attention on; be absorbed</t>
  </si>
  <si>
    <t>剧烈</t>
  </si>
  <si>
    <t>jù liè</t>
  </si>
  <si>
    <t>violent; acute; severe</t>
  </si>
  <si>
    <t>据悉</t>
  </si>
  <si>
    <t>jù xī</t>
  </si>
  <si>
    <t>it is reported; by report</t>
  </si>
  <si>
    <t>卷</t>
  </si>
  <si>
    <t>juǎn</t>
  </si>
  <si>
    <t>roll; examination paper</t>
  </si>
  <si>
    <t>决策</t>
  </si>
  <si>
    <t>jué cè</t>
  </si>
  <si>
    <t>make a strategic decision; decide a policy</t>
  </si>
  <si>
    <t>绝望</t>
  </si>
  <si>
    <t>jué wàng</t>
  </si>
  <si>
    <t>give up all hope; despair</t>
  </si>
  <si>
    <t>觉悟</t>
  </si>
  <si>
    <t>jué wù</t>
  </si>
  <si>
    <t>consciousness; awareness; understanding</t>
  </si>
  <si>
    <t>觉醒</t>
  </si>
  <si>
    <t>jué xǐng</t>
  </si>
  <si>
    <t>awaken</t>
  </si>
  <si>
    <t>军队</t>
  </si>
  <si>
    <t>jūn duì</t>
  </si>
  <si>
    <t>armed forces; troops</t>
  </si>
  <si>
    <t>君子</t>
  </si>
  <si>
    <t>jūn zǐ</t>
  </si>
  <si>
    <t>gentleman</t>
  </si>
  <si>
    <t>卡通</t>
  </si>
  <si>
    <t>kǎ tōng</t>
  </si>
  <si>
    <t>开采</t>
  </si>
  <si>
    <t>kāi cǎi</t>
  </si>
  <si>
    <t>mine; extract; exploit</t>
  </si>
  <si>
    <t>开除</t>
  </si>
  <si>
    <t>kāi chú</t>
  </si>
  <si>
    <t>expel; discharge; dismiss</t>
  </si>
  <si>
    <t>开阔</t>
  </si>
  <si>
    <t>kāi kuò</t>
  </si>
  <si>
    <t>open; tolerant; generous in thoughts</t>
  </si>
  <si>
    <t>开朗</t>
  </si>
  <si>
    <t>kāi lǎng</t>
  </si>
  <si>
    <t>open and clear</t>
  </si>
  <si>
    <t>开明</t>
  </si>
  <si>
    <t>kāi míng</t>
  </si>
  <si>
    <t>enlightened; liberal; open-minded</t>
  </si>
  <si>
    <t>开辟</t>
  </si>
  <si>
    <t>kāi pì</t>
  </si>
  <si>
    <t>open up; hew out</t>
  </si>
  <si>
    <t>开拓</t>
  </si>
  <si>
    <t>kāi tuò</t>
  </si>
  <si>
    <t>open up; reclaim; extension</t>
  </si>
  <si>
    <t>开展</t>
  </si>
  <si>
    <t>kāi zhǎn</t>
  </si>
  <si>
    <t>develop; launch; unfold</t>
  </si>
  <si>
    <t>开支</t>
  </si>
  <si>
    <t>kāi zhī</t>
  </si>
  <si>
    <t>pay; spend; expenditure</t>
  </si>
  <si>
    <t>刊登</t>
  </si>
  <si>
    <t>kān dēng</t>
  </si>
  <si>
    <t>publish; carry</t>
  </si>
  <si>
    <t>勘探</t>
  </si>
  <si>
    <t>kān tàn</t>
  </si>
  <si>
    <t>prospect; reconnaissance</t>
  </si>
  <si>
    <t>刊物</t>
  </si>
  <si>
    <t>kān wù</t>
  </si>
  <si>
    <t>publication; journal; periodical</t>
  </si>
  <si>
    <t>砍伐</t>
  </si>
  <si>
    <t>kǎn fá</t>
  </si>
  <si>
    <t>to hew</t>
  </si>
  <si>
    <t>侃侃而谈</t>
  </si>
  <si>
    <t>kǎn kǎn ér tán</t>
  </si>
  <si>
    <t>to speak frankly with assurance</t>
  </si>
  <si>
    <t>看待</t>
  </si>
  <si>
    <t>kàn dài</t>
  </si>
  <si>
    <t>look upon; regard; treat</t>
  </si>
  <si>
    <t>慷慨</t>
  </si>
  <si>
    <t>kāng kǎi</t>
  </si>
  <si>
    <t>vehement; fervent</t>
  </si>
  <si>
    <t>扛</t>
  </si>
  <si>
    <t>káng</t>
  </si>
  <si>
    <t>lift with both hands; carry on the shoulder</t>
  </si>
  <si>
    <t>抗议</t>
  </si>
  <si>
    <t>kàng yì</t>
  </si>
  <si>
    <t>to protest; object; remonstrate</t>
  </si>
  <si>
    <t>考察</t>
  </si>
  <si>
    <t>kǎo chá</t>
  </si>
  <si>
    <t>inspect; investigate</t>
  </si>
  <si>
    <t>考古</t>
  </si>
  <si>
    <t>kǎo gǔ</t>
  </si>
  <si>
    <t>archaeology</t>
  </si>
  <si>
    <t>考核</t>
  </si>
  <si>
    <t>kǎo hé</t>
  </si>
  <si>
    <t>examine; appraise; assess</t>
  </si>
  <si>
    <t>考验</t>
  </si>
  <si>
    <t>kǎo yàn</t>
  </si>
  <si>
    <t>test; trial; ordeal</t>
  </si>
  <si>
    <t>靠拢</t>
  </si>
  <si>
    <t>kào lǒng</t>
  </si>
  <si>
    <t>draw close to; approach</t>
  </si>
  <si>
    <t>磕</t>
  </si>
  <si>
    <t>knock; knock something out of a vessel/container etc</t>
  </si>
  <si>
    <t>科目</t>
  </si>
  <si>
    <t>kē mù</t>
  </si>
  <si>
    <t>subject; course</t>
  </si>
  <si>
    <t>可观</t>
  </si>
  <si>
    <t>kě guān</t>
  </si>
  <si>
    <t>considerable; impressive; sizable</t>
  </si>
  <si>
    <t>可口</t>
  </si>
  <si>
    <t>kě kǒu</t>
  </si>
  <si>
    <t>good to eat; tasty</t>
  </si>
  <si>
    <t>渴望</t>
  </si>
  <si>
    <t>kě wàng</t>
  </si>
  <si>
    <t>fall over oneself; dying to; thirst for</t>
  </si>
  <si>
    <t>可恶</t>
  </si>
  <si>
    <t>kě wù</t>
  </si>
  <si>
    <t>hateful; detestable; loathsome</t>
  </si>
  <si>
    <t>可行</t>
  </si>
  <si>
    <t>kě xíng</t>
  </si>
  <si>
    <t>feasible; practicable; workable</t>
  </si>
  <si>
    <t>刻不容缓</t>
  </si>
  <si>
    <t>kè bù róng huǎn</t>
  </si>
  <si>
    <t>admit no delay; of great urgency</t>
  </si>
  <si>
    <t>客户</t>
  </si>
  <si>
    <t>kè hù</t>
  </si>
  <si>
    <t>customer; client</t>
  </si>
  <si>
    <t>课题</t>
  </si>
  <si>
    <t>kè tí</t>
  </si>
  <si>
    <t>a question for study or discussion</t>
  </si>
  <si>
    <t>克制</t>
  </si>
  <si>
    <t>kè zhì</t>
  </si>
  <si>
    <t>to restrain</t>
  </si>
  <si>
    <t>啃</t>
  </si>
  <si>
    <t>kěn</t>
  </si>
  <si>
    <t>gnaw</t>
  </si>
  <si>
    <t>恳切</t>
  </si>
  <si>
    <t>kěn qiè</t>
  </si>
  <si>
    <t>earnest; sincere</t>
  </si>
  <si>
    <t>坑</t>
  </si>
  <si>
    <t>kēng</t>
  </si>
  <si>
    <t>pit</t>
  </si>
  <si>
    <t>空洞</t>
  </si>
  <si>
    <t>kōng dòng</t>
  </si>
  <si>
    <t>cavity; void; hollow</t>
  </si>
  <si>
    <t>空前绝后</t>
  </si>
  <si>
    <t>kōng qián jué hòu</t>
  </si>
  <si>
    <t>unsurpassed; never known before and never to occur again</t>
  </si>
  <si>
    <t>空想</t>
  </si>
  <si>
    <t>kōng xiǎng</t>
  </si>
  <si>
    <t>daydream; fantasy</t>
  </si>
  <si>
    <t>空虚</t>
  </si>
  <si>
    <t>kōng xū</t>
  </si>
  <si>
    <t>hollow; void</t>
  </si>
  <si>
    <t>孔</t>
  </si>
  <si>
    <t>kǒng</t>
  </si>
  <si>
    <t>hole</t>
  </si>
  <si>
    <t>恐怖</t>
  </si>
  <si>
    <t>kǒng bù</t>
  </si>
  <si>
    <t>terrifying; horrible; dreadful</t>
  </si>
  <si>
    <t>恐吓</t>
  </si>
  <si>
    <t>kǒng hè</t>
  </si>
  <si>
    <t>threaten; intimidate; menace</t>
  </si>
  <si>
    <t>恐惧</t>
  </si>
  <si>
    <t>kǒng jù</t>
  </si>
  <si>
    <t>fear; dread; be afraid of</t>
  </si>
  <si>
    <t>空白</t>
  </si>
  <si>
    <t>kòng bái</t>
  </si>
  <si>
    <t>blank space; gap; margin</t>
  </si>
  <si>
    <t>空隙</t>
  </si>
  <si>
    <t>kòng xì</t>
  </si>
  <si>
    <t>interval; gap; space</t>
  </si>
  <si>
    <t>口气</t>
  </si>
  <si>
    <t>kǒu qì</t>
  </si>
  <si>
    <t>tone; note</t>
  </si>
  <si>
    <t>口腔</t>
  </si>
  <si>
    <t>kǒu qiāng</t>
  </si>
  <si>
    <t>oral cavity; mouth</t>
  </si>
  <si>
    <t>口头</t>
  </si>
  <si>
    <t>kǒu tóu</t>
  </si>
  <si>
    <t>oral; verbal; in speech</t>
  </si>
  <si>
    <t>口音</t>
  </si>
  <si>
    <t>kǒu yīn</t>
  </si>
  <si>
    <t>voice</t>
  </si>
  <si>
    <t>扣</t>
  </si>
  <si>
    <t>kòu</t>
  </si>
  <si>
    <t>to deduct (money)</t>
  </si>
  <si>
    <t>哭泣</t>
  </si>
  <si>
    <t>kū qì</t>
  </si>
  <si>
    <t>to weep</t>
  </si>
  <si>
    <t>枯萎</t>
  </si>
  <si>
    <t>kū wěi</t>
  </si>
  <si>
    <t>to wilt</t>
  </si>
  <si>
    <t>枯燥</t>
  </si>
  <si>
    <t>kū zào</t>
  </si>
  <si>
    <t>dull and dry; uninteresting; monotonous</t>
  </si>
  <si>
    <t>苦尽甘来</t>
  </si>
  <si>
    <t>kǔ jìn gān lái</t>
  </si>
  <si>
    <t>all sufferings have their reward; after the bitter comes the sweet</t>
  </si>
  <si>
    <t>苦涩</t>
  </si>
  <si>
    <t>kǔ sè</t>
  </si>
  <si>
    <t>bitter and astringent</t>
  </si>
  <si>
    <t>挎</t>
  </si>
  <si>
    <t>kuà</t>
  </si>
  <si>
    <t>carry on the arm/over one's shoulder/at one's side</t>
  </si>
  <si>
    <t>跨</t>
  </si>
  <si>
    <t>step; stride; straddle</t>
  </si>
  <si>
    <t>快活</t>
  </si>
  <si>
    <t>kuài huo</t>
  </si>
  <si>
    <t>happy; cheerful; joyful</t>
  </si>
  <si>
    <t>宽敞</t>
  </si>
  <si>
    <t>kuān chang</t>
  </si>
  <si>
    <t>spacious; roomy</t>
  </si>
  <si>
    <t>宽容</t>
  </si>
  <si>
    <t>kuān róng</t>
  </si>
  <si>
    <t>lenient</t>
  </si>
  <si>
    <t>款待</t>
  </si>
  <si>
    <t>kuǎn dài</t>
  </si>
  <si>
    <t>entertain with courtesy and warmth</t>
  </si>
  <si>
    <t>款式</t>
  </si>
  <si>
    <t>kuǎn shì</t>
  </si>
  <si>
    <t>model; style; design</t>
  </si>
  <si>
    <t>筐</t>
  </si>
  <si>
    <t>kuāng</t>
  </si>
  <si>
    <t>basket; basketful</t>
  </si>
  <si>
    <t>矿产</t>
  </si>
  <si>
    <t>kuàng chǎn</t>
  </si>
  <si>
    <t>minerals</t>
  </si>
  <si>
    <t>框架</t>
  </si>
  <si>
    <t>kuàng jià</t>
  </si>
  <si>
    <t>frame</t>
  </si>
  <si>
    <t>旷课</t>
  </si>
  <si>
    <t>kuàng kè</t>
  </si>
  <si>
    <t>play truant; absent from school without permission</t>
  </si>
  <si>
    <t>况且</t>
  </si>
  <si>
    <t>kuàng qiě</t>
  </si>
  <si>
    <t>moreover; besides; in addition</t>
  </si>
  <si>
    <t>亏待</t>
  </si>
  <si>
    <t>kuī dài</t>
  </si>
  <si>
    <t>treat unfairly</t>
  </si>
  <si>
    <t>亏损</t>
  </si>
  <si>
    <t>kuī sǔn</t>
  </si>
  <si>
    <t>loss; deficit</t>
  </si>
  <si>
    <t>捆绑</t>
  </si>
  <si>
    <t>kǔn bǎng</t>
  </si>
  <si>
    <t>truss up; tie up; bind</t>
  </si>
  <si>
    <t>扩充</t>
  </si>
  <si>
    <t>kuò chōng</t>
  </si>
  <si>
    <t>expand; augment; enlarge</t>
  </si>
  <si>
    <t>扩散</t>
  </si>
  <si>
    <t>kuò sàn</t>
  </si>
  <si>
    <t>spread; diffuse; scatter about</t>
  </si>
  <si>
    <t>扩张</t>
  </si>
  <si>
    <t>kuò zhāng</t>
  </si>
  <si>
    <t>expand; enlarge; extend</t>
  </si>
  <si>
    <t>啦</t>
  </si>
  <si>
    <t>[indicates excitement or doubt]</t>
  </si>
  <si>
    <t>喇叭</t>
  </si>
  <si>
    <t>lǎ ba</t>
  </si>
  <si>
    <t>loudspeaker; trumpet; horn</t>
  </si>
  <si>
    <t>蜡烛</t>
  </si>
  <si>
    <t>là zhú</t>
  </si>
  <si>
    <t>candle</t>
  </si>
  <si>
    <t>来历</t>
  </si>
  <si>
    <t>lái lì</t>
  </si>
  <si>
    <t>origin; source; background</t>
  </si>
  <si>
    <t>来源</t>
  </si>
  <si>
    <t>lái yuán</t>
  </si>
  <si>
    <t>source; origin</t>
  </si>
  <si>
    <t>栏目</t>
  </si>
  <si>
    <t>lán mù</t>
  </si>
  <si>
    <t>the heading or title of a column</t>
  </si>
  <si>
    <t>懒惰</t>
  </si>
  <si>
    <t>lǎn duò</t>
  </si>
  <si>
    <t>lazy; idle</t>
  </si>
  <si>
    <t>狼狈</t>
  </si>
  <si>
    <t>láng bèi</t>
  </si>
  <si>
    <t>in a difficult position; in a tight corner</t>
  </si>
  <si>
    <t>狼吞虎咽</t>
  </si>
  <si>
    <t>láng tūn hǔ yàn</t>
  </si>
  <si>
    <t>to wolf down one's food [idiom]</t>
  </si>
  <si>
    <t>捞</t>
  </si>
  <si>
    <t>lāo</t>
  </si>
  <si>
    <t>fish for; scoop up; dredge out</t>
  </si>
  <si>
    <t>唠叨</t>
  </si>
  <si>
    <t>láo dao</t>
  </si>
  <si>
    <t>chatter</t>
  </si>
  <si>
    <t>牢固</t>
  </si>
  <si>
    <t>láo gù</t>
  </si>
  <si>
    <t>firm; secure</t>
  </si>
  <si>
    <t>牢骚</t>
  </si>
  <si>
    <t>láo sāo</t>
  </si>
  <si>
    <t>complaint; grievance</t>
  </si>
  <si>
    <t>乐趣</t>
  </si>
  <si>
    <t>lè qù</t>
  </si>
  <si>
    <t>delight; pleasure</t>
  </si>
  <si>
    <t>乐意</t>
  </si>
  <si>
    <t>lè yì</t>
  </si>
  <si>
    <t>be happy to</t>
  </si>
  <si>
    <t>雷达</t>
  </si>
  <si>
    <t>léi dá</t>
  </si>
  <si>
    <t>radar</t>
  </si>
  <si>
    <t>类似</t>
  </si>
  <si>
    <t>lèi sì</t>
  </si>
  <si>
    <t>like; similar; analagous</t>
  </si>
  <si>
    <t>冷酷</t>
  </si>
  <si>
    <t>lěng kù</t>
  </si>
  <si>
    <t>unfeeling; callous; grim</t>
  </si>
  <si>
    <t>冷落</t>
  </si>
  <si>
    <t>lěng luò</t>
  </si>
  <si>
    <t>desolate</t>
  </si>
  <si>
    <t>冷却</t>
  </si>
  <si>
    <t>lěng què</t>
  </si>
  <si>
    <t>cooling; burial</t>
  </si>
  <si>
    <t>愣</t>
  </si>
  <si>
    <t>lèng</t>
  </si>
  <si>
    <t>absent-minded; distracted; rashly</t>
  </si>
  <si>
    <t>黎明</t>
  </si>
  <si>
    <t>lí míng</t>
  </si>
  <si>
    <t>dawn; daybreak</t>
  </si>
  <si>
    <t>理睬</t>
  </si>
  <si>
    <t>lǐ cǎi</t>
  </si>
  <si>
    <t>pay attention to; show interest in; take notice of</t>
  </si>
  <si>
    <t>里程碑</t>
  </si>
  <si>
    <t>lǐ chéng bēi</t>
  </si>
  <si>
    <t>milestone</t>
  </si>
  <si>
    <t>礼节</t>
  </si>
  <si>
    <t>lǐ jié</t>
  </si>
  <si>
    <t>courtesy; etiquette; protocol; ceremony</t>
  </si>
  <si>
    <t>礼尚往来</t>
  </si>
  <si>
    <t>lǐ shàng wǎng lái</t>
  </si>
  <si>
    <t>fig. return politeness for politeness</t>
  </si>
  <si>
    <t>理所当然</t>
  </si>
  <si>
    <t>lǐ suǒ dāng rán</t>
  </si>
  <si>
    <t>naturally; in very nature of things; it's only right and proper</t>
  </si>
  <si>
    <t>理直气壮</t>
  </si>
  <si>
    <t>lǐ zhí qì zhuàng</t>
  </si>
  <si>
    <t>be bold and straight; be courageous with sufficient reason</t>
  </si>
  <si>
    <t>理智</t>
  </si>
  <si>
    <t>lǐ zhì</t>
  </si>
  <si>
    <t>reason; intellect</t>
  </si>
  <si>
    <t>粒</t>
  </si>
  <si>
    <t>lì</t>
  </si>
  <si>
    <t>granule; pellet; small particle</t>
  </si>
  <si>
    <t>立场</t>
  </si>
  <si>
    <t>lì chǎng</t>
  </si>
  <si>
    <t>position; standpoint</t>
  </si>
  <si>
    <t>历代</t>
  </si>
  <si>
    <t>lì dài</t>
  </si>
  <si>
    <t>successive dynasties; past dynasties</t>
  </si>
  <si>
    <t>立方</t>
  </si>
  <si>
    <t>lì fāng</t>
  </si>
  <si>
    <t>cube; cubic</t>
  </si>
  <si>
    <t>利害</t>
  </si>
  <si>
    <t>lì hài</t>
  </si>
  <si>
    <t>formidable</t>
  </si>
  <si>
    <t>立交桥</t>
  </si>
  <si>
    <t>lì jiāo qiáo</t>
  </si>
  <si>
    <t>viaduct; overpass; flyover</t>
  </si>
  <si>
    <t>历来</t>
  </si>
  <si>
    <t>lì lái</t>
  </si>
  <si>
    <t>always; constantly</t>
  </si>
  <si>
    <t>力求</t>
  </si>
  <si>
    <t>lì qiú</t>
  </si>
  <si>
    <t>to make every effort to</t>
  </si>
  <si>
    <t>力所能及</t>
  </si>
  <si>
    <t>lì suǒ néng jí</t>
  </si>
  <si>
    <t>do everything in one's power</t>
  </si>
  <si>
    <t>立体</t>
  </si>
  <si>
    <t>lì tǐ</t>
  </si>
  <si>
    <t>solid; three-dimensional</t>
  </si>
  <si>
    <t>例外</t>
  </si>
  <si>
    <t>lì wài</t>
  </si>
  <si>
    <t>exception</t>
  </si>
  <si>
    <t>力争</t>
  </si>
  <si>
    <t>lì zhēng</t>
  </si>
  <si>
    <t>work hard for; do all one can to</t>
  </si>
  <si>
    <t>立足</t>
  </si>
  <si>
    <t>lì zú</t>
  </si>
  <si>
    <t>have/keep a foothold somewhere</t>
  </si>
  <si>
    <t>联欢</t>
  </si>
  <si>
    <t>lián huān</t>
  </si>
  <si>
    <t>have a get-together</t>
  </si>
  <si>
    <t>廉洁</t>
  </si>
  <si>
    <t>lián jié</t>
  </si>
  <si>
    <t>honest; with clean hands</t>
  </si>
  <si>
    <t>联络</t>
  </si>
  <si>
    <t>lián luò</t>
  </si>
  <si>
    <t>communicate; contact; get in touch with</t>
  </si>
  <si>
    <t>联盟</t>
  </si>
  <si>
    <t>lián méng</t>
  </si>
  <si>
    <t>alliance; coalition; league</t>
  </si>
  <si>
    <t>连年</t>
  </si>
  <si>
    <t>lián nián</t>
  </si>
  <si>
    <t>in consecutive years; for years on end</t>
  </si>
  <si>
    <t>连锁</t>
  </si>
  <si>
    <t>lián suǒ</t>
  </si>
  <si>
    <t>chain</t>
  </si>
  <si>
    <t>连同</t>
  </si>
  <si>
    <t>lián tóng</t>
  </si>
  <si>
    <t>together with; along with</t>
  </si>
  <si>
    <t>联想</t>
  </si>
  <si>
    <t>lián xiǎng</t>
  </si>
  <si>
    <t>associate; connect in the mind</t>
  </si>
  <si>
    <t>良心</t>
  </si>
  <si>
    <t>liáng xīn</t>
  </si>
  <si>
    <t>conscience</t>
  </si>
  <si>
    <t>晾</t>
  </si>
  <si>
    <t>dry in the air/sun</t>
  </si>
  <si>
    <t>谅解</t>
  </si>
  <si>
    <t>liàng jiě</t>
  </si>
  <si>
    <t>understand; make allowance for</t>
  </si>
  <si>
    <t>辽阔</t>
  </si>
  <si>
    <t>liáo kuò</t>
  </si>
  <si>
    <t>vast; extensive</t>
  </si>
  <si>
    <t>列举</t>
  </si>
  <si>
    <t>liè jǔ</t>
  </si>
  <si>
    <t>list; enumerate</t>
  </si>
  <si>
    <t>淋</t>
  </si>
  <si>
    <t>lín</t>
  </si>
  <si>
    <t>filter; strain</t>
  </si>
  <si>
    <t>临床</t>
  </si>
  <si>
    <t>lín chuáng</t>
  </si>
  <si>
    <t>clinical</t>
  </si>
  <si>
    <t>吝啬</t>
  </si>
  <si>
    <t>lìn sè</t>
  </si>
  <si>
    <t>stingy; miserly; mean</t>
  </si>
  <si>
    <t>凌晨</t>
  </si>
  <si>
    <t>líng chén</t>
  </si>
  <si>
    <t>in the small hours; before dawn</t>
  </si>
  <si>
    <t>灵感</t>
  </si>
  <si>
    <t>líng gǎn</t>
  </si>
  <si>
    <t>inspiration</t>
  </si>
  <si>
    <t>灵魂</t>
  </si>
  <si>
    <t>líng hún</t>
  </si>
  <si>
    <t>soul; spirit</t>
  </si>
  <si>
    <t>伶俐</t>
  </si>
  <si>
    <t>líng lì</t>
  </si>
  <si>
    <t>clever; quick-witted; smart</t>
  </si>
  <si>
    <t>灵敏</t>
  </si>
  <si>
    <t>líng mǐn</t>
  </si>
  <si>
    <t>sensitive; keen; agile</t>
  </si>
  <si>
    <t>零星</t>
  </si>
  <si>
    <t>líng xīng</t>
  </si>
  <si>
    <t>fragmentary; piecemeal; a small amount</t>
  </si>
  <si>
    <t>领会</t>
  </si>
  <si>
    <t>lǐng huì</t>
  </si>
  <si>
    <t>understand; comprehend; grasp</t>
  </si>
  <si>
    <t>领事馆</t>
  </si>
  <si>
    <t>lǐng shì guǎn</t>
  </si>
  <si>
    <t>consulate</t>
  </si>
  <si>
    <t>领土</t>
  </si>
  <si>
    <t>lǐng tǔ</t>
  </si>
  <si>
    <t>territory</t>
  </si>
  <si>
    <t>领悟</t>
  </si>
  <si>
    <t>lǐng wù</t>
  </si>
  <si>
    <t>comprehend; grasp; understand</t>
  </si>
  <si>
    <t>领先</t>
  </si>
  <si>
    <t>lǐng xiān</t>
  </si>
  <si>
    <t>(be in the) lead</t>
  </si>
  <si>
    <t>领袖</t>
  </si>
  <si>
    <t>lǐng xiù</t>
  </si>
  <si>
    <t>leader</t>
  </si>
  <si>
    <t>溜</t>
  </si>
  <si>
    <t>liū</t>
  </si>
  <si>
    <t>swift current; turbulent flow; rainwater from the roof; plaster</t>
  </si>
  <si>
    <t>流浪</t>
  </si>
  <si>
    <t>liú làng</t>
  </si>
  <si>
    <t>roam about; lead a vagrant life</t>
  </si>
  <si>
    <t>留恋</t>
  </si>
  <si>
    <t>liú liàn</t>
  </si>
  <si>
    <t>be reluctant to leave; can't bear to part</t>
  </si>
  <si>
    <t>流露</t>
  </si>
  <si>
    <t>liú lù</t>
  </si>
  <si>
    <t>reveal; betray; show unintentionally</t>
  </si>
  <si>
    <t>流氓</t>
  </si>
  <si>
    <t>liú máng</t>
  </si>
  <si>
    <t>rogue; hoodlum; ruffian</t>
  </si>
  <si>
    <t>留念</t>
  </si>
  <si>
    <t>liú niàn</t>
  </si>
  <si>
    <t>accept as a souvenir</t>
  </si>
  <si>
    <t>留神</t>
  </si>
  <si>
    <t>liú shén</t>
  </si>
  <si>
    <t>be careful; take care; keep one's eyes peeled</t>
  </si>
  <si>
    <t>流通</t>
  </si>
  <si>
    <t>liú tōng</t>
  </si>
  <si>
    <t>circulate</t>
  </si>
  <si>
    <t>聋哑</t>
  </si>
  <si>
    <t>lóng yǎ</t>
  </si>
  <si>
    <t>deaf and dumb; deaf-mute</t>
  </si>
  <si>
    <t>隆重</t>
  </si>
  <si>
    <t>lóng zhòng</t>
  </si>
  <si>
    <t>grand; solemn; ceremonious</t>
  </si>
  <si>
    <t>垄断</t>
  </si>
  <si>
    <t>lǒng duàn</t>
  </si>
  <si>
    <t>monopolise; forestall</t>
  </si>
  <si>
    <t>笼罩</t>
  </si>
  <si>
    <t>lǒng zhào</t>
  </si>
  <si>
    <t>envelop; shroud</t>
  </si>
  <si>
    <t>搂</t>
  </si>
  <si>
    <t>lǒu</t>
  </si>
  <si>
    <t>gather up; rake together; hold up</t>
  </si>
  <si>
    <t>炉灶</t>
  </si>
  <si>
    <t>lú zào</t>
  </si>
  <si>
    <t>(kitchen/cooking) range</t>
  </si>
  <si>
    <t>掠夺</t>
  </si>
  <si>
    <t>luè duó</t>
  </si>
  <si>
    <t>plunder; rob; pillage</t>
  </si>
  <si>
    <t>轮船</t>
  </si>
  <si>
    <t>lún chuán</t>
  </si>
  <si>
    <t>(steam) ship</t>
  </si>
  <si>
    <t>轮廓</t>
  </si>
  <si>
    <t>lún kuò</t>
  </si>
  <si>
    <t>outline; contour profile</t>
  </si>
  <si>
    <t>轮胎</t>
  </si>
  <si>
    <t>lún tāi</t>
  </si>
  <si>
    <t>tyre</t>
  </si>
  <si>
    <t>论坛</t>
  </si>
  <si>
    <t>lùn tán</t>
  </si>
  <si>
    <t>forum</t>
  </si>
  <si>
    <t>论证</t>
  </si>
  <si>
    <t>lùn zhèng</t>
  </si>
  <si>
    <t>demonstration; proof</t>
  </si>
  <si>
    <t>啰唆</t>
  </si>
  <si>
    <t>luō suo</t>
  </si>
  <si>
    <t>talkative; long-winded; fussy</t>
  </si>
  <si>
    <t>落成</t>
  </si>
  <si>
    <t>luò chéng</t>
  </si>
  <si>
    <t>completion</t>
  </si>
  <si>
    <t>落实</t>
  </si>
  <si>
    <t>luò shí</t>
  </si>
  <si>
    <t>practicable; workable</t>
  </si>
  <si>
    <t>络绎不绝</t>
  </si>
  <si>
    <t>luò yì bù jué</t>
  </si>
  <si>
    <t>come and go in a continuous stream</t>
  </si>
  <si>
    <t>屡次</t>
  </si>
  <si>
    <t>lǚ cì</t>
  </si>
  <si>
    <t>time and again; repeatedly</t>
  </si>
  <si>
    <t>履行</t>
  </si>
  <si>
    <t>perform; fulfil; carry out</t>
  </si>
  <si>
    <t>麻痹</t>
  </si>
  <si>
    <t>má bì</t>
  </si>
  <si>
    <t>paralysis; palsy</t>
  </si>
  <si>
    <t>麻木</t>
  </si>
  <si>
    <t>má mù</t>
  </si>
  <si>
    <t>numb</t>
  </si>
  <si>
    <t>麻醉</t>
  </si>
  <si>
    <t>má zuì</t>
  </si>
  <si>
    <t>anaesthesia; narcosis</t>
  </si>
  <si>
    <t>码头</t>
  </si>
  <si>
    <t>mǎ tóu</t>
  </si>
  <si>
    <t>wharf; dock; pier</t>
  </si>
  <si>
    <t>蚂蚁</t>
  </si>
  <si>
    <t>mǎ yǐ</t>
  </si>
  <si>
    <t>ant</t>
  </si>
  <si>
    <t>嘛</t>
  </si>
  <si>
    <t>[indicates that something is obvious; calls for the listener's attention]</t>
  </si>
  <si>
    <t>埋伏</t>
  </si>
  <si>
    <t>mái fú</t>
  </si>
  <si>
    <t>ambush; lie in wait</t>
  </si>
  <si>
    <t>埋没</t>
  </si>
  <si>
    <t>mái mò</t>
  </si>
  <si>
    <t>bury; cover up</t>
  </si>
  <si>
    <t>埋葬</t>
  </si>
  <si>
    <t>mái zàng</t>
  </si>
  <si>
    <t>bury</t>
  </si>
  <si>
    <t>迈</t>
  </si>
  <si>
    <t>step; stride</t>
  </si>
  <si>
    <t>脉搏</t>
  </si>
  <si>
    <t>mài bó</t>
  </si>
  <si>
    <t>pulse</t>
  </si>
  <si>
    <t>埋怨</t>
  </si>
  <si>
    <t>mán yuàn</t>
  </si>
  <si>
    <t>complain; blame; grumble</t>
  </si>
  <si>
    <t>漫长</t>
  </si>
  <si>
    <t>màn cháng</t>
  </si>
  <si>
    <t>very long; endless</t>
  </si>
  <si>
    <t>漫画</t>
  </si>
  <si>
    <t>màn huà</t>
  </si>
  <si>
    <t>cartoon; caricature; comic</t>
  </si>
  <si>
    <t>慢性</t>
  </si>
  <si>
    <t>màn xìng</t>
  </si>
  <si>
    <t>slow in taking effect; chronic</t>
  </si>
  <si>
    <t>蔓延</t>
  </si>
  <si>
    <t>màn yán</t>
  </si>
  <si>
    <t>spread; stretch; extend</t>
  </si>
  <si>
    <t>忙碌</t>
  </si>
  <si>
    <t>máng lù</t>
  </si>
  <si>
    <t>be busy; bustle about; be on the go</t>
  </si>
  <si>
    <t>茫茫</t>
  </si>
  <si>
    <t>máng máng</t>
  </si>
  <si>
    <t>boundless; vast</t>
  </si>
  <si>
    <t>盲目</t>
  </si>
  <si>
    <t>máng mù</t>
  </si>
  <si>
    <t>blind</t>
  </si>
  <si>
    <t>茫然</t>
  </si>
  <si>
    <t>máng rán</t>
  </si>
  <si>
    <t>ignorant; vacant; in the dark</t>
  </si>
  <si>
    <t>冒充</t>
  </si>
  <si>
    <t>mào chōng</t>
  </si>
  <si>
    <t>pretend to be; pass somebody or something off as</t>
  </si>
  <si>
    <t>冒犯</t>
  </si>
  <si>
    <t>mào fàn</t>
  </si>
  <si>
    <t>to offend</t>
  </si>
  <si>
    <t>茂盛</t>
  </si>
  <si>
    <t>mào shèng</t>
  </si>
  <si>
    <t>luxuriant; flourishing; exuberant</t>
  </si>
  <si>
    <t>枚</t>
  </si>
  <si>
    <t>méi</t>
  </si>
  <si>
    <t>trunk; horse whip; gag</t>
  </si>
  <si>
    <t>媒介</t>
  </si>
  <si>
    <t>méi jiè</t>
  </si>
  <si>
    <t>intermediary; medium; vehicle</t>
  </si>
  <si>
    <t>美观</t>
  </si>
  <si>
    <t>měi guān</t>
  </si>
  <si>
    <t>pleasing to the eye; beautiful</t>
  </si>
  <si>
    <t>美满</t>
  </si>
  <si>
    <t>měi mǎn</t>
  </si>
  <si>
    <t>happy; satisfied; blissful</t>
  </si>
  <si>
    <t>美妙</t>
  </si>
  <si>
    <t>měi miào</t>
  </si>
  <si>
    <t>beautiful; splendid; wonderful</t>
  </si>
  <si>
    <t>萌芽</t>
  </si>
  <si>
    <t>méng yá</t>
  </si>
  <si>
    <t>sprout; shoot; bud</t>
  </si>
  <si>
    <t>猛烈</t>
  </si>
  <si>
    <t>měng liè</t>
  </si>
  <si>
    <t>fierce; violent; vigorous</t>
  </si>
  <si>
    <t>眯</t>
  </si>
  <si>
    <t>mī</t>
  </si>
  <si>
    <t>get into one's eyes</t>
  </si>
  <si>
    <t>弥补</t>
  </si>
  <si>
    <t>mí bǔ</t>
  </si>
  <si>
    <t>make up; remedy; make good</t>
  </si>
  <si>
    <t>迷惑</t>
  </si>
  <si>
    <t>mí huò</t>
  </si>
  <si>
    <t>puzzle; confuse; perplex</t>
  </si>
  <si>
    <t>弥漫</t>
  </si>
  <si>
    <t>mí màn</t>
  </si>
  <si>
    <t>suffuse; pervade; fill the air</t>
  </si>
  <si>
    <t>迷人</t>
  </si>
  <si>
    <t>mí rén</t>
  </si>
  <si>
    <t>charming; fascinating; enchanting</t>
  </si>
  <si>
    <t>迷信</t>
  </si>
  <si>
    <t>mí xìn</t>
  </si>
  <si>
    <t>superstition</t>
  </si>
  <si>
    <t>谜语</t>
  </si>
  <si>
    <t>mí yǔ</t>
  </si>
  <si>
    <t>riddle; conundrum</t>
  </si>
  <si>
    <t>密度</t>
  </si>
  <si>
    <t>mì dù</t>
  </si>
  <si>
    <t>density; thickness</t>
  </si>
  <si>
    <t>密封</t>
  </si>
  <si>
    <t>seal (eg. airtight; hermetically)</t>
  </si>
  <si>
    <t>棉花</t>
  </si>
  <si>
    <t>mián hua</t>
  </si>
  <si>
    <t>cotton</t>
  </si>
  <si>
    <t>免得</t>
  </si>
  <si>
    <t>miǎn de</t>
  </si>
  <si>
    <t>so as not to; so as to avoid</t>
  </si>
  <si>
    <t>勉励</t>
  </si>
  <si>
    <t>miǎn lì</t>
  </si>
  <si>
    <t>勉强</t>
  </si>
  <si>
    <t>miǎn qiǎng</t>
  </si>
  <si>
    <t>manage with an effort; do with difficulty</t>
  </si>
  <si>
    <t>免疫</t>
  </si>
  <si>
    <t>miǎn yì</t>
  </si>
  <si>
    <t>immunisation</t>
  </si>
  <si>
    <t>面貌</t>
  </si>
  <si>
    <t>miàn mào</t>
  </si>
  <si>
    <t>face; features; looks</t>
  </si>
  <si>
    <t>面子</t>
  </si>
  <si>
    <t>miàn zi</t>
  </si>
  <si>
    <t>face; reputation</t>
  </si>
  <si>
    <t>描绘</t>
  </si>
  <si>
    <t>miáo huì</t>
  </si>
  <si>
    <t>describe; display; depict</t>
  </si>
  <si>
    <t>瞄准</t>
  </si>
  <si>
    <t>miáo zhǔn</t>
  </si>
  <si>
    <t>to aim (a weapon at a target)</t>
  </si>
  <si>
    <t>藐视</t>
  </si>
  <si>
    <t>miǎo shì</t>
  </si>
  <si>
    <t>look down on</t>
  </si>
  <si>
    <t>渺小</t>
  </si>
  <si>
    <t>miǎo xiǎo</t>
  </si>
  <si>
    <t>tiny; negligible; insignificant</t>
  </si>
  <si>
    <t>蔑视</t>
  </si>
  <si>
    <t>miè shì</t>
  </si>
  <si>
    <t>despise; show contempt for; scorn</t>
  </si>
  <si>
    <t>灭亡</t>
  </si>
  <si>
    <t>miè wáng</t>
  </si>
  <si>
    <t>be destroyed; become extinct; die out</t>
  </si>
  <si>
    <t>民间</t>
  </si>
  <si>
    <t>mín jiān</t>
  </si>
  <si>
    <t>among the people; popular; folk</t>
  </si>
  <si>
    <t>民主</t>
  </si>
  <si>
    <t>mín zhǔ</t>
  </si>
  <si>
    <t>democracy</t>
  </si>
  <si>
    <t>敏捷</t>
  </si>
  <si>
    <t>mǐn jié</t>
  </si>
  <si>
    <t>quick; nimble; agile</t>
  </si>
  <si>
    <t>敏锐</t>
  </si>
  <si>
    <t>mǐn ruì</t>
  </si>
  <si>
    <t>sharp; acute; keen</t>
  </si>
  <si>
    <t>名次</t>
  </si>
  <si>
    <t>míng cì</t>
  </si>
  <si>
    <t>placing (eg in a competition); ranking</t>
  </si>
  <si>
    <t>名额</t>
  </si>
  <si>
    <t>míng é</t>
  </si>
  <si>
    <t>quota (of people); [the number of people assigned or allowed]</t>
  </si>
  <si>
    <t>名副其实</t>
  </si>
  <si>
    <t>míng fù qí shí</t>
  </si>
  <si>
    <t>be worthy of the name; be worthy of one's reputation</t>
  </si>
  <si>
    <t>明明</t>
  </si>
  <si>
    <t>míng míng</t>
  </si>
  <si>
    <t>obviously; undoubtedly; plainly</t>
  </si>
  <si>
    <t>名誉</t>
  </si>
  <si>
    <t>míng yù</t>
  </si>
  <si>
    <t>fame; reputation; honorary</t>
  </si>
  <si>
    <t>明智</t>
  </si>
  <si>
    <t>míng zhì</t>
  </si>
  <si>
    <t>sensible</t>
  </si>
  <si>
    <t>命名</t>
  </si>
  <si>
    <t>mìng míng</t>
  </si>
  <si>
    <t>nominate; nomenclature</t>
  </si>
  <si>
    <t>摸索</t>
  </si>
  <si>
    <t>mō suo</t>
  </si>
  <si>
    <t>grope; feel about; fumble</t>
  </si>
  <si>
    <t>膜</t>
  </si>
  <si>
    <t>mó</t>
  </si>
  <si>
    <t>membrane; film; thin coating</t>
  </si>
  <si>
    <t>摩擦</t>
  </si>
  <si>
    <t>mó cā</t>
  </si>
  <si>
    <t>rub; chafe; friction</t>
  </si>
  <si>
    <t>模范</t>
  </si>
  <si>
    <t>mó fàn</t>
  </si>
  <si>
    <t>an exemplary person or thing; model; fine example</t>
  </si>
  <si>
    <t>魔鬼</t>
  </si>
  <si>
    <t>mó guǐ</t>
  </si>
  <si>
    <t>devil; demon; monster</t>
  </si>
  <si>
    <t>磨合</t>
  </si>
  <si>
    <t>mó hé</t>
  </si>
  <si>
    <t>grinding-in</t>
  </si>
  <si>
    <t>模式</t>
  </si>
  <si>
    <t>mó shì</t>
  </si>
  <si>
    <t>model; mode; type</t>
  </si>
  <si>
    <t>魔术</t>
  </si>
  <si>
    <t>mó shù</t>
  </si>
  <si>
    <t>magic</t>
  </si>
  <si>
    <t>模型</t>
  </si>
  <si>
    <t>mó xíng</t>
  </si>
  <si>
    <t>model; pattern; mould</t>
  </si>
  <si>
    <t>抹杀</t>
  </si>
  <si>
    <t>mǒ shā</t>
  </si>
  <si>
    <t>blot out; obliterate; write off</t>
  </si>
  <si>
    <t>莫名其妙</t>
  </si>
  <si>
    <t>mò míng qí miào</t>
  </si>
  <si>
    <t>be baffled; be in a fog</t>
  </si>
  <si>
    <t>默默</t>
  </si>
  <si>
    <t>mò mò</t>
  </si>
  <si>
    <t>quietly; silently</t>
  </si>
  <si>
    <t>墨水儿</t>
  </si>
  <si>
    <t>mò shuǐ er</t>
  </si>
  <si>
    <t>ink</t>
  </si>
  <si>
    <t>谋求</t>
  </si>
  <si>
    <t>móu qiú</t>
  </si>
  <si>
    <t>seek; strive for</t>
  </si>
  <si>
    <t>模样</t>
  </si>
  <si>
    <t>mú yàng</t>
  </si>
  <si>
    <t>appearance; look</t>
  </si>
  <si>
    <t>母语</t>
  </si>
  <si>
    <t>mǔ yǔ</t>
  </si>
  <si>
    <t>mother tongue</t>
  </si>
  <si>
    <t>目睹</t>
  </si>
  <si>
    <t>mù dǔ</t>
  </si>
  <si>
    <t>see with one's own eyes; witness</t>
  </si>
  <si>
    <t>目光</t>
  </si>
  <si>
    <t>mù guāng</t>
  </si>
  <si>
    <t>sight; vision; view</t>
  </si>
  <si>
    <t>沐浴</t>
  </si>
  <si>
    <t>mù yù</t>
  </si>
  <si>
    <t>have a bath</t>
  </si>
  <si>
    <t>拿手</t>
  </si>
  <si>
    <t>ná shǒu</t>
  </si>
  <si>
    <t>adept; expert; good at</t>
  </si>
  <si>
    <t>纳闷儿</t>
  </si>
  <si>
    <t>nà mèn er</t>
  </si>
  <si>
    <t>feel puzzled; be perplexed</t>
  </si>
  <si>
    <t>耐用</t>
  </si>
  <si>
    <t>nài yòng</t>
  </si>
  <si>
    <t>durable; stand wear and tear</t>
  </si>
  <si>
    <t>难得</t>
  </si>
  <si>
    <t>nán dé</t>
  </si>
  <si>
    <t>hard to come by; rare</t>
  </si>
  <si>
    <t>难堪</t>
  </si>
  <si>
    <t>nán kān</t>
  </si>
  <si>
    <t>intolerable; unbearable</t>
  </si>
  <si>
    <t>难能可贵</t>
  </si>
  <si>
    <t>nán néng kě guì</t>
  </si>
  <si>
    <t>deserving praise for one's excellent performance or behaviour; estimable</t>
  </si>
  <si>
    <t>南辕北辙</t>
  </si>
  <si>
    <t>nán yuán běi zhé</t>
  </si>
  <si>
    <t>to act in a way that defeats one's purpose [idiom]</t>
  </si>
  <si>
    <t>恼火</t>
  </si>
  <si>
    <t>nǎo huǒ</t>
  </si>
  <si>
    <t>annoyed; irritated; vexed</t>
  </si>
  <si>
    <t>内涵</t>
  </si>
  <si>
    <t>nèi hán</t>
  </si>
  <si>
    <t>connotation; implication</t>
  </si>
  <si>
    <t>内幕</t>
  </si>
  <si>
    <t>nèi mù</t>
  </si>
  <si>
    <t>what goes on behind the scenes; inside story</t>
  </si>
  <si>
    <t>内在</t>
  </si>
  <si>
    <t>nèi zài</t>
  </si>
  <si>
    <t>inherent; intrinsic</t>
  </si>
  <si>
    <t>能量</t>
  </si>
  <si>
    <t>néng liàng</t>
  </si>
  <si>
    <t>amount of energy</t>
  </si>
  <si>
    <t>拟定</t>
  </si>
  <si>
    <t>nǐ dìng</t>
  </si>
  <si>
    <t>draft; draw up; work out</t>
  </si>
  <si>
    <t>逆行</t>
  </si>
  <si>
    <t>nì xíng</t>
  </si>
  <si>
    <t>go against one-way traffic</t>
  </si>
  <si>
    <t>年度</t>
  </si>
  <si>
    <t>nián dù</t>
  </si>
  <si>
    <t>捏</t>
  </si>
  <si>
    <t>niē</t>
  </si>
  <si>
    <t>hold between the fingers; pinch</t>
  </si>
  <si>
    <t>拧</t>
  </si>
  <si>
    <t>níng</t>
  </si>
  <si>
    <t>twist; wring; tweak</t>
  </si>
  <si>
    <t>凝固</t>
  </si>
  <si>
    <t>níng gù</t>
  </si>
  <si>
    <t>solidify</t>
  </si>
  <si>
    <t>凝聚</t>
  </si>
  <si>
    <t>níng jù</t>
  </si>
  <si>
    <t>condense; coagulate; accumulate</t>
  </si>
  <si>
    <t>凝视</t>
  </si>
  <si>
    <t>níng shì</t>
  </si>
  <si>
    <t>stare; gaze fixedly</t>
  </si>
  <si>
    <t>宁肯</t>
  </si>
  <si>
    <t>nìng kěn</t>
  </si>
  <si>
    <t>would rather</t>
  </si>
  <si>
    <t>宁愿</t>
  </si>
  <si>
    <t>nìng yuàn</t>
  </si>
  <si>
    <t>纽扣儿</t>
  </si>
  <si>
    <t>niǔ kòu er</t>
  </si>
  <si>
    <t>button</t>
  </si>
  <si>
    <t>扭转</t>
  </si>
  <si>
    <t>niǔ zhuǎn</t>
  </si>
  <si>
    <t>turn round; reverse</t>
  </si>
  <si>
    <t>浓厚</t>
  </si>
  <si>
    <t>nóng hòu</t>
  </si>
  <si>
    <t>dense; deep; strong</t>
  </si>
  <si>
    <t>农历</t>
  </si>
  <si>
    <t>nóng lì</t>
  </si>
  <si>
    <t>[the traditional Chinese (agricultural/lunar) calendar]</t>
  </si>
  <si>
    <t>奴隶</t>
  </si>
  <si>
    <t>nú lì</t>
  </si>
  <si>
    <t>slave</t>
  </si>
  <si>
    <t>挪</t>
  </si>
  <si>
    <t>nuó</t>
  </si>
  <si>
    <t>move; shift</t>
  </si>
  <si>
    <t>虐待</t>
  </si>
  <si>
    <t>nüè dài</t>
  </si>
  <si>
    <t>maltreat; ill-treat; tyrannise</t>
  </si>
  <si>
    <t>哦</t>
  </si>
  <si>
    <t>ò</t>
  </si>
  <si>
    <t>softly chant</t>
  </si>
  <si>
    <t>殴打</t>
  </si>
  <si>
    <t>ōu dǎ</t>
  </si>
  <si>
    <t>beat up; hit</t>
  </si>
  <si>
    <t>呕吐</t>
  </si>
  <si>
    <t>ǒu tù</t>
  </si>
  <si>
    <t>vomit; throw up; retch</t>
  </si>
  <si>
    <t>趴</t>
  </si>
  <si>
    <t>pā</t>
  </si>
  <si>
    <t>lie on one's stomach</t>
  </si>
  <si>
    <t>排斥</t>
  </si>
  <si>
    <t>pái chì</t>
  </si>
  <si>
    <t>repel; exclude; eject</t>
  </si>
  <si>
    <t>排除</t>
  </si>
  <si>
    <t>pái chú</t>
  </si>
  <si>
    <t>get rid of; remove; eliminate</t>
  </si>
  <si>
    <t>排放</t>
  </si>
  <si>
    <t>pái fàng</t>
  </si>
  <si>
    <t>discharge; issue</t>
  </si>
  <si>
    <t>徘徊</t>
  </si>
  <si>
    <t>pái huái</t>
  </si>
  <si>
    <t>pace up and down; linger about; hesitate</t>
  </si>
  <si>
    <t>排练</t>
  </si>
  <si>
    <t>pái liàn</t>
  </si>
  <si>
    <t>rehearse</t>
  </si>
  <si>
    <t>派别</t>
  </si>
  <si>
    <t>pài bié</t>
  </si>
  <si>
    <t>faction; category</t>
  </si>
  <si>
    <t>派遣</t>
  </si>
  <si>
    <t>pài qiǎn</t>
  </si>
  <si>
    <t>send someone on mission; dispatch</t>
  </si>
  <si>
    <t>攀登</t>
  </si>
  <si>
    <t>pān dēng</t>
  </si>
  <si>
    <t>climb; clamber; scale</t>
  </si>
  <si>
    <t>盘旋</t>
  </si>
  <si>
    <t>pán xuán</t>
  </si>
  <si>
    <t>circle (around); spiral</t>
  </si>
  <si>
    <t>畔</t>
  </si>
  <si>
    <t>pàn</t>
  </si>
  <si>
    <t>side; bank; boundary</t>
  </si>
  <si>
    <t>判决</t>
  </si>
  <si>
    <t>pàn jué</t>
  </si>
  <si>
    <t>court decision; judgment</t>
  </si>
  <si>
    <t>庞大</t>
  </si>
  <si>
    <t>páng dà</t>
  </si>
  <si>
    <t>huge; enormous; massive</t>
  </si>
  <si>
    <t>抛弃</t>
  </si>
  <si>
    <t>pāo qì</t>
  </si>
  <si>
    <t>throw away; abandon; forsake</t>
  </si>
  <si>
    <t>泡沫</t>
  </si>
  <si>
    <t>pào mò</t>
  </si>
  <si>
    <t>foam; froth</t>
  </si>
  <si>
    <t>培育</t>
  </si>
  <si>
    <t>péi yù</t>
  </si>
  <si>
    <t>cultivate; foster; raise</t>
  </si>
  <si>
    <t>配备</t>
  </si>
  <si>
    <t>pèi bèi</t>
  </si>
  <si>
    <t>allocate; provide; fit out</t>
  </si>
  <si>
    <t>配偶</t>
  </si>
  <si>
    <t>pèi ǒu</t>
  </si>
  <si>
    <t>spouse; partner; mate</t>
  </si>
  <si>
    <t>配套</t>
  </si>
  <si>
    <t>pèi tào</t>
  </si>
  <si>
    <t>form a complete set; complement</t>
  </si>
  <si>
    <t>盆地</t>
  </si>
  <si>
    <t>pén dì</t>
  </si>
  <si>
    <t>basin; saucer; bowl</t>
  </si>
  <si>
    <t>烹饪</t>
  </si>
  <si>
    <t>pēng rèn</t>
  </si>
  <si>
    <t>cooking; culinary art</t>
  </si>
  <si>
    <t>捧</t>
  </si>
  <si>
    <t>pěng</t>
  </si>
  <si>
    <t>hold or carry in both hands; boost; exalt</t>
  </si>
  <si>
    <t>劈</t>
  </si>
  <si>
    <t>split; chop; cleave</t>
  </si>
  <si>
    <t>批发</t>
  </si>
  <si>
    <t>pī fā</t>
  </si>
  <si>
    <t>wholesale; be authorised for dispatch</t>
  </si>
  <si>
    <t>批判</t>
  </si>
  <si>
    <t>pī pàn</t>
  </si>
  <si>
    <t>criticise; repudiate; critique</t>
  </si>
  <si>
    <t>疲惫</t>
  </si>
  <si>
    <t>pí bèi</t>
  </si>
  <si>
    <t>tired out; weary; exhausted</t>
  </si>
  <si>
    <t>皮革</t>
  </si>
  <si>
    <t>pí gé</t>
  </si>
  <si>
    <t>leather; hide</t>
  </si>
  <si>
    <t>疲倦</t>
  </si>
  <si>
    <t>pí juàn</t>
  </si>
  <si>
    <t>tired; weary; fatigued</t>
  </si>
  <si>
    <t>屁股</t>
  </si>
  <si>
    <t>pì gu</t>
  </si>
  <si>
    <t>buttocks; bottom; behind</t>
  </si>
  <si>
    <t>譬如</t>
  </si>
  <si>
    <t>pì rú</t>
  </si>
  <si>
    <t>偏差</t>
  </si>
  <si>
    <t>piān chā</t>
  </si>
  <si>
    <t>deviation; offset; deflection</t>
  </si>
  <si>
    <t>偏见</t>
  </si>
  <si>
    <t>piān jiàn</t>
  </si>
  <si>
    <t>prejudice; bias</t>
  </si>
  <si>
    <t>偏僻</t>
  </si>
  <si>
    <t>piān pì</t>
  </si>
  <si>
    <t>remote; out-of-the-way; far-off</t>
  </si>
  <si>
    <t>偏偏</t>
  </si>
  <si>
    <t>piān piān</t>
  </si>
  <si>
    <t>deliberately; just; only</t>
  </si>
  <si>
    <t>片断</t>
  </si>
  <si>
    <t>piàn duàn</t>
  </si>
  <si>
    <t>segment</t>
  </si>
  <si>
    <t>片刻</t>
  </si>
  <si>
    <t>piàn kè</t>
  </si>
  <si>
    <t>an instant; a moment; a little while</t>
  </si>
  <si>
    <t>漂浮</t>
  </si>
  <si>
    <t>piāo fú</t>
  </si>
  <si>
    <t>float; superficial</t>
  </si>
  <si>
    <t>飘扬</t>
  </si>
  <si>
    <t>piāo yáng</t>
  </si>
  <si>
    <t>wave; flutter; fly</t>
  </si>
  <si>
    <t>撇</t>
  </si>
  <si>
    <t>piě</t>
  </si>
  <si>
    <t>拼搏</t>
  </si>
  <si>
    <t>pīn bó</t>
  </si>
  <si>
    <t>go all out in work; combat</t>
  </si>
  <si>
    <t>拼命</t>
  </si>
  <si>
    <t>pīn mìng</t>
  </si>
  <si>
    <t>risk one's life; desperately</t>
  </si>
  <si>
    <t>贫乏</t>
  </si>
  <si>
    <t>pín fá</t>
  </si>
  <si>
    <t>poor; meagre</t>
  </si>
  <si>
    <t>频繁</t>
  </si>
  <si>
    <t>pín fán</t>
  </si>
  <si>
    <t>frequently; often</t>
  </si>
  <si>
    <t>贫困</t>
  </si>
  <si>
    <t>pín kùn</t>
  </si>
  <si>
    <t>impoverished; poverty-stricken</t>
  </si>
  <si>
    <t>频率</t>
  </si>
  <si>
    <t>pín lǜ</t>
  </si>
  <si>
    <t>frequency; rate</t>
  </si>
  <si>
    <t>品尝</t>
  </si>
  <si>
    <t>pǐn cháng</t>
  </si>
  <si>
    <t>taste; sample</t>
  </si>
  <si>
    <t>品德</t>
  </si>
  <si>
    <t>pǐn dé</t>
  </si>
  <si>
    <t>moral character; morality</t>
  </si>
  <si>
    <t>品质</t>
  </si>
  <si>
    <t>pǐn zhì</t>
  </si>
  <si>
    <t>character; quality</t>
  </si>
  <si>
    <t>品种</t>
  </si>
  <si>
    <t>pǐn zhǒng</t>
  </si>
  <si>
    <t>breed; strain; variety</t>
  </si>
  <si>
    <t>平凡</t>
  </si>
  <si>
    <t>píng fán</t>
  </si>
  <si>
    <t>ordinary; common</t>
  </si>
  <si>
    <t>评估</t>
  </si>
  <si>
    <t>píng gū</t>
  </si>
  <si>
    <t>estimate; assess; appraise</t>
  </si>
  <si>
    <t>评论</t>
  </si>
  <si>
    <t>píng lùn</t>
  </si>
  <si>
    <t>comment on; discuss</t>
  </si>
  <si>
    <t>平面</t>
  </si>
  <si>
    <t>píng miàn</t>
  </si>
  <si>
    <t>plane; flat surface</t>
  </si>
  <si>
    <t>屏幕</t>
  </si>
  <si>
    <t>píng mù</t>
  </si>
  <si>
    <t>screen</t>
  </si>
  <si>
    <t>平坦</t>
  </si>
  <si>
    <t>píng tǎn</t>
  </si>
  <si>
    <t>even; smooth; level</t>
  </si>
  <si>
    <t>平行</t>
  </si>
  <si>
    <t>píng xíng</t>
  </si>
  <si>
    <t>on an equal footing; parallel; simultaneous</t>
  </si>
  <si>
    <t>平庸</t>
  </si>
  <si>
    <t>píng yōng</t>
  </si>
  <si>
    <t>mediocre, common place</t>
  </si>
  <si>
    <t>平原</t>
  </si>
  <si>
    <t>píng yuán</t>
  </si>
  <si>
    <t>plain; flatlands</t>
  </si>
  <si>
    <t>屏障</t>
  </si>
  <si>
    <t>píng zhàng</t>
  </si>
  <si>
    <t>protective screen</t>
  </si>
  <si>
    <t>坡</t>
  </si>
  <si>
    <t>pō</t>
  </si>
  <si>
    <t>slope; slanting</t>
  </si>
  <si>
    <t>泼</t>
  </si>
  <si>
    <t>sprinkle; splash</t>
  </si>
  <si>
    <t>颇</t>
  </si>
  <si>
    <t>inclined to one side; oblique; quite</t>
  </si>
  <si>
    <t>迫不及待</t>
  </si>
  <si>
    <t>pò bù jí dài</t>
  </si>
  <si>
    <t>unable to hold oneself back; in haste</t>
  </si>
  <si>
    <t>迫害</t>
  </si>
  <si>
    <t>pò hài</t>
  </si>
  <si>
    <t>persecute; oppress cruelly</t>
  </si>
  <si>
    <t>魄力</t>
  </si>
  <si>
    <t>pò lì</t>
  </si>
  <si>
    <t>daring; courage</t>
  </si>
  <si>
    <t>破例</t>
  </si>
  <si>
    <t>break a rule; make an exception</t>
  </si>
  <si>
    <t>扑</t>
  </si>
  <si>
    <t>pū</t>
  </si>
  <si>
    <t>dedicate all one's energies to a cause</t>
  </si>
  <si>
    <t>铺</t>
  </si>
  <si>
    <t>spread; display; bed</t>
  </si>
  <si>
    <t>普及</t>
  </si>
  <si>
    <t>pǔ jí</t>
  </si>
  <si>
    <t>popularise; disseminate; universal</t>
  </si>
  <si>
    <t>朴实</t>
  </si>
  <si>
    <t>pǔ shí</t>
  </si>
  <si>
    <t>simple; plain</t>
  </si>
  <si>
    <t>朴素</t>
  </si>
  <si>
    <t>pǔ sù</t>
  </si>
  <si>
    <t>瀑布</t>
  </si>
  <si>
    <t>pù bù</t>
  </si>
  <si>
    <t>waterfall; falls</t>
  </si>
  <si>
    <t>欺负</t>
  </si>
  <si>
    <t>qī fu</t>
  </si>
  <si>
    <t>browbeat; take advantage of; pick on</t>
  </si>
  <si>
    <t>凄凉</t>
  </si>
  <si>
    <t>qī liáng</t>
  </si>
  <si>
    <t>dreary; desolate; gloomy and forlorn</t>
  </si>
  <si>
    <t>欺骗</t>
  </si>
  <si>
    <t>qī piàn</t>
  </si>
  <si>
    <t>cheat; deceive; defraud</t>
  </si>
  <si>
    <t>期望</t>
  </si>
  <si>
    <t>qī wàng</t>
  </si>
  <si>
    <t>hope; expectation; wish</t>
  </si>
  <si>
    <t>期限</t>
  </si>
  <si>
    <t>qī xiàn</t>
  </si>
  <si>
    <t>time limit; allotted time; deadline</t>
  </si>
  <si>
    <t>奇妙</t>
  </si>
  <si>
    <t>qí miào</t>
  </si>
  <si>
    <t>marvellous; wonderful; intriguing</t>
  </si>
  <si>
    <t>旗袍</t>
  </si>
  <si>
    <t>qí páo</t>
  </si>
  <si>
    <t>chi-pao/cheongsam [a close-fitting woman's dress with high neck and slit skirt]</t>
  </si>
  <si>
    <t>齐全</t>
  </si>
  <si>
    <t>qí quán</t>
  </si>
  <si>
    <t>complete; ready</t>
  </si>
  <si>
    <t>歧视</t>
  </si>
  <si>
    <t>qí shì</t>
  </si>
  <si>
    <t>discriminate against</t>
  </si>
  <si>
    <t>齐心协力</t>
  </si>
  <si>
    <t>qí xīn xié lì</t>
  </si>
  <si>
    <t>make a concerted effort</t>
  </si>
  <si>
    <t>旗帜</t>
  </si>
  <si>
    <t>qí zhì</t>
  </si>
  <si>
    <t>banner; flag; colours</t>
  </si>
  <si>
    <t>起草</t>
  </si>
  <si>
    <t>qǐ cǎo</t>
  </si>
  <si>
    <t>draft; draw up; write out</t>
  </si>
  <si>
    <t>启程</t>
  </si>
  <si>
    <t>qǐ chéng</t>
  </si>
  <si>
    <t>set out; start on a journey</t>
  </si>
  <si>
    <t>起初</t>
  </si>
  <si>
    <t>qǐ chū</t>
  </si>
  <si>
    <t>originally; at first; in the beginning</t>
  </si>
  <si>
    <t>起伏</t>
  </si>
  <si>
    <t>qǐ fú</t>
  </si>
  <si>
    <t>rise and fall; ups and downs; undulate</t>
  </si>
  <si>
    <t>乞丐</t>
  </si>
  <si>
    <t>qǐ gài</t>
  </si>
  <si>
    <t>beggar</t>
  </si>
  <si>
    <t>起哄</t>
  </si>
  <si>
    <t>qǐ hòng</t>
  </si>
  <si>
    <t>gather together to stir up trouble</t>
  </si>
  <si>
    <t>起码</t>
  </si>
  <si>
    <t>qǐ mǎ</t>
  </si>
  <si>
    <t>elementary; rudimentary</t>
  </si>
  <si>
    <t>启蒙</t>
  </si>
  <si>
    <t>qǐ méng</t>
  </si>
  <si>
    <t>enlightened</t>
  </si>
  <si>
    <t>启事</t>
  </si>
  <si>
    <t>qǐ shì</t>
  </si>
  <si>
    <t>notice; announcement</t>
  </si>
  <si>
    <t>启示</t>
  </si>
  <si>
    <t>inspiration; enlightenment; revelation</t>
  </si>
  <si>
    <t>企图</t>
  </si>
  <si>
    <t>qǐ tú</t>
  </si>
  <si>
    <t>attempt; seek; try</t>
  </si>
  <si>
    <t>岂有此理</t>
  </si>
  <si>
    <t>qǐ yǒu cǐ lǐ</t>
  </si>
  <si>
    <t>there is no such a rule; absurd</t>
  </si>
  <si>
    <t>起源</t>
  </si>
  <si>
    <t>qǐ yuán</t>
  </si>
  <si>
    <t>origin; beginning</t>
  </si>
  <si>
    <t>器材</t>
  </si>
  <si>
    <t>qì cái</t>
  </si>
  <si>
    <t>equipment; material; apparatus</t>
  </si>
  <si>
    <t>气概</t>
  </si>
  <si>
    <t>qì gài</t>
  </si>
  <si>
    <t>mettle; spirit; heroic manner</t>
  </si>
  <si>
    <t>气功</t>
  </si>
  <si>
    <t>qì gōng</t>
  </si>
  <si>
    <t>qigong [a system of deep breathing exercises; breathing technique]</t>
  </si>
  <si>
    <t>器官</t>
  </si>
  <si>
    <t>qì guān</t>
  </si>
  <si>
    <t>organ; apparatus</t>
  </si>
  <si>
    <t>迄今为止</t>
  </si>
  <si>
    <t>qì jīn wéi zhǐ</t>
  </si>
  <si>
    <t>to this day; thus far; so far</t>
  </si>
  <si>
    <t>气魄</t>
  </si>
  <si>
    <t>qì pò</t>
  </si>
  <si>
    <t>boldness of vision; daring; courage</t>
  </si>
  <si>
    <t>气色</t>
  </si>
  <si>
    <t>qì sè</t>
  </si>
  <si>
    <t>complexion; colour</t>
  </si>
  <si>
    <t>气势</t>
  </si>
  <si>
    <t>qì shì</t>
  </si>
  <si>
    <t>momentum; imposing manner</t>
  </si>
  <si>
    <t>气味</t>
  </si>
  <si>
    <t>qì wèi</t>
  </si>
  <si>
    <t>smell; odour; flavour</t>
  </si>
  <si>
    <t>气象</t>
  </si>
  <si>
    <t>qì xiàng</t>
  </si>
  <si>
    <t>meteorology; atmosphere</t>
  </si>
  <si>
    <t>气压</t>
  </si>
  <si>
    <t>qì yā</t>
  </si>
  <si>
    <t>pressure; atmospheric pressure; gas pressure</t>
  </si>
  <si>
    <t>气质</t>
  </si>
  <si>
    <t>qì zhì</t>
  </si>
  <si>
    <t>manners</t>
  </si>
  <si>
    <t>掐</t>
  </si>
  <si>
    <t>qiā</t>
  </si>
  <si>
    <t>pinch; nip; clutch</t>
  </si>
  <si>
    <t>恰当</t>
  </si>
  <si>
    <t>qià dàng</t>
  </si>
  <si>
    <t>suitable; fitting; appropriate</t>
  </si>
  <si>
    <t>恰到好处</t>
  </si>
  <si>
    <t>qià dào hǎo chù</t>
  </si>
  <si>
    <t>be just perfect; be to the point; just right</t>
  </si>
  <si>
    <t>恰巧</t>
  </si>
  <si>
    <t>qià qiǎo</t>
  </si>
  <si>
    <t>fortunately; as chance would have it</t>
  </si>
  <si>
    <t>洽谈</t>
  </si>
  <si>
    <t>qià tán</t>
  </si>
  <si>
    <t>make arrangements with; talk over with</t>
  </si>
  <si>
    <t>牵</t>
  </si>
  <si>
    <t>to lead along; to pull; implicate</t>
  </si>
  <si>
    <t>牵扯</t>
  </si>
  <si>
    <t>qiān chě</t>
  </si>
  <si>
    <t>involve; implicate; drag into</t>
  </si>
  <si>
    <t>千方百计</t>
  </si>
  <si>
    <t>qiān fāng bǎi jì</t>
  </si>
  <si>
    <t>make every attempt to; use every means to</t>
  </si>
  <si>
    <t>迁就</t>
  </si>
  <si>
    <t>qiān jiù</t>
  </si>
  <si>
    <t>yield to; give in to</t>
  </si>
  <si>
    <t>签署</t>
  </si>
  <si>
    <t>qiān shǔ</t>
  </si>
  <si>
    <t>sign (an agreement)</t>
  </si>
  <si>
    <t>迁徙</t>
  </si>
  <si>
    <t>qiān xǐ</t>
  </si>
  <si>
    <t>move; migrate</t>
  </si>
  <si>
    <t>谦逊</t>
  </si>
  <si>
    <t>qiān xùn</t>
  </si>
  <si>
    <t>modest; unassuming</t>
  </si>
  <si>
    <t>牵制</t>
  </si>
  <si>
    <t>qiān zhì</t>
  </si>
  <si>
    <t>pin down; tie up</t>
  </si>
  <si>
    <t>前景</t>
  </si>
  <si>
    <t>qián jǐng</t>
  </si>
  <si>
    <t>foreground; prospect; vista</t>
  </si>
  <si>
    <t>潜力</t>
  </si>
  <si>
    <t>qián lì</t>
  </si>
  <si>
    <t>latent capacity; potential</t>
  </si>
  <si>
    <t>潜水</t>
  </si>
  <si>
    <t>qián shuǐ</t>
  </si>
  <si>
    <t>go under water; dive; ground water</t>
  </si>
  <si>
    <t>前提</t>
  </si>
  <si>
    <t>qián tí</t>
  </si>
  <si>
    <t>premise</t>
  </si>
  <si>
    <t>潜移默化</t>
  </si>
  <si>
    <t>qián yí mò huà</t>
  </si>
  <si>
    <t>exert a subtle influence on somebody's character</t>
  </si>
  <si>
    <t>谴责</t>
  </si>
  <si>
    <t>qiǎn zé</t>
  </si>
  <si>
    <t>condemn; blame; denounce</t>
  </si>
  <si>
    <t>抢劫</t>
  </si>
  <si>
    <t>qiāng jié</t>
  </si>
  <si>
    <t>rob; loot; plunder</t>
  </si>
  <si>
    <t>强制</t>
  </si>
  <si>
    <t>qiáng zhì</t>
  </si>
  <si>
    <t>抢救</t>
  </si>
  <si>
    <t>qiǎng jiù</t>
  </si>
  <si>
    <t>rescue; save; salvage</t>
  </si>
  <si>
    <t>强迫</t>
  </si>
  <si>
    <t>qiǎng pò</t>
  </si>
  <si>
    <t>force; compel; impel</t>
  </si>
  <si>
    <t>桥梁</t>
  </si>
  <si>
    <t>qiáo liáng</t>
  </si>
  <si>
    <t>bridge; approach</t>
  </si>
  <si>
    <t>翘</t>
  </si>
  <si>
    <t>qiào</t>
  </si>
  <si>
    <t>stick up; bend upwards; curl up</t>
  </si>
  <si>
    <t>窍门</t>
  </si>
  <si>
    <t>qiào mén</t>
  </si>
  <si>
    <t>a trick</t>
  </si>
  <si>
    <t>锲而不舍</t>
  </si>
  <si>
    <t>qiè ér bù shě</t>
  </si>
  <si>
    <t>keep on chipping away; work with perseverance</t>
  </si>
  <si>
    <t>切实</t>
  </si>
  <si>
    <t>qiè shí</t>
  </si>
  <si>
    <t>practical; feasible; realistic</t>
  </si>
  <si>
    <t>侵犯</t>
  </si>
  <si>
    <t>qīn fàn</t>
  </si>
  <si>
    <t>encroach on; infringe upon</t>
  </si>
  <si>
    <t>侵略</t>
  </si>
  <si>
    <t>qīn lüè</t>
  </si>
  <si>
    <t>invade; aggress</t>
  </si>
  <si>
    <t>亲密</t>
  </si>
  <si>
    <t>qīn mì</t>
  </si>
  <si>
    <t>intimate</t>
  </si>
  <si>
    <t>钦佩</t>
  </si>
  <si>
    <t>qīn pèi</t>
  </si>
  <si>
    <t>admire; respect; think highly of</t>
  </si>
  <si>
    <t>亲热</t>
  </si>
  <si>
    <t>qīn rè</t>
  </si>
  <si>
    <t>warm; affectionate</t>
  </si>
  <si>
    <t>勤俭</t>
  </si>
  <si>
    <t>qín jiǎn</t>
  </si>
  <si>
    <t>hardworking and thrifty</t>
  </si>
  <si>
    <t>勤劳</t>
  </si>
  <si>
    <t>qín láo</t>
  </si>
  <si>
    <t>diligent; industrious; hardworking</t>
  </si>
  <si>
    <t>清澈</t>
  </si>
  <si>
    <t>qīng chè</t>
  </si>
  <si>
    <t>clear; limpid</t>
  </si>
  <si>
    <t>清晨</t>
  </si>
  <si>
    <t>qīng chén</t>
  </si>
  <si>
    <t>清除</t>
  </si>
  <si>
    <t>qīng chú</t>
  </si>
  <si>
    <t>clean up; purge; reset</t>
  </si>
  <si>
    <t>清洁</t>
  </si>
  <si>
    <t>qīng jié</t>
  </si>
  <si>
    <t>清理</t>
  </si>
  <si>
    <t>qīng lǐ</t>
  </si>
  <si>
    <t>put in order; disentangle</t>
  </si>
  <si>
    <t>倾听</t>
  </si>
  <si>
    <t>qīng tīng</t>
  </si>
  <si>
    <t>listen for; listen attentively to</t>
  </si>
  <si>
    <t>清晰</t>
  </si>
  <si>
    <t>qīng xī</t>
  </si>
  <si>
    <t>vivid; distinct; clear</t>
  </si>
  <si>
    <t>倾向</t>
  </si>
  <si>
    <t>qīng xiàng</t>
  </si>
  <si>
    <t>be inclined to; prefer</t>
  </si>
  <si>
    <t>倾斜</t>
  </si>
  <si>
    <t>qīng xié</t>
  </si>
  <si>
    <t>bias; tilt; lean</t>
  </si>
  <si>
    <t>清醒</t>
  </si>
  <si>
    <t>qīng xǐng</t>
  </si>
  <si>
    <t>clear-headed; sober; come to/round</t>
  </si>
  <si>
    <t>清真</t>
  </si>
  <si>
    <t>qīng zhēn</t>
  </si>
  <si>
    <t>Islamic; Muslim</t>
  </si>
  <si>
    <t>情报</t>
  </si>
  <si>
    <t>qíng bào</t>
  </si>
  <si>
    <t>intelligence; information</t>
  </si>
  <si>
    <t>情节</t>
  </si>
  <si>
    <t>qíng jié</t>
  </si>
  <si>
    <t>plot; story; details of a case</t>
  </si>
  <si>
    <t>晴朗</t>
  </si>
  <si>
    <t>qíng lǎng</t>
  </si>
  <si>
    <t>fine and cloudless</t>
  </si>
  <si>
    <t>情理</t>
  </si>
  <si>
    <t>qíng lǐ</t>
  </si>
  <si>
    <t>reason; sense</t>
  </si>
  <si>
    <t>情形</t>
  </si>
  <si>
    <t>qíng xíng</t>
  </si>
  <si>
    <t>circumstances; situation; state of affairs</t>
  </si>
  <si>
    <t>请柬</t>
  </si>
  <si>
    <t>qǐng jiǎn</t>
  </si>
  <si>
    <t>invitation card</t>
  </si>
  <si>
    <t>请教</t>
  </si>
  <si>
    <t>qǐng jiào</t>
  </si>
  <si>
    <t>ask for advice; consult</t>
  </si>
  <si>
    <t>请示</t>
  </si>
  <si>
    <t>qǐng shì</t>
  </si>
  <si>
    <t>request/ask for instructions</t>
  </si>
  <si>
    <t>请帖</t>
  </si>
  <si>
    <t>qǐng tiě</t>
  </si>
  <si>
    <t>invitation (card)</t>
  </si>
  <si>
    <t>丘陵</t>
  </si>
  <si>
    <t>qiū líng</t>
  </si>
  <si>
    <t>hills</t>
  </si>
  <si>
    <t>区分</t>
  </si>
  <si>
    <t>qū fēn</t>
  </si>
  <si>
    <t>discriminate; differentiate; make a distinction between</t>
  </si>
  <si>
    <t>屈服</t>
  </si>
  <si>
    <t>qū fú</t>
  </si>
  <si>
    <t>surrender; yield</t>
  </si>
  <si>
    <t>区域</t>
  </si>
  <si>
    <t>qū yù</t>
  </si>
  <si>
    <t>area; reach; domain</t>
  </si>
  <si>
    <t>曲折</t>
  </si>
  <si>
    <t>qū zhé</t>
  </si>
  <si>
    <t>circuitous; intricate; tortuous</t>
  </si>
  <si>
    <t>驱逐</t>
  </si>
  <si>
    <t>qū zhú</t>
  </si>
  <si>
    <t>drive out; expel; banish</t>
  </si>
  <si>
    <t>渠道</t>
  </si>
  <si>
    <t>qú dào</t>
  </si>
  <si>
    <t>irrigation ditch; canal; channel</t>
  </si>
  <si>
    <t>取缔</t>
  </si>
  <si>
    <t>qǔ dì</t>
  </si>
  <si>
    <t>ban; prohibit; forbid</t>
  </si>
  <si>
    <t>曲子</t>
  </si>
  <si>
    <t>qǔ zi</t>
  </si>
  <si>
    <t>tune; melody</t>
  </si>
  <si>
    <t>趣味</t>
  </si>
  <si>
    <t>qù wèi</t>
  </si>
  <si>
    <t>interest; delight</t>
  </si>
  <si>
    <t>圈套</t>
  </si>
  <si>
    <t>quān tào</t>
  </si>
  <si>
    <t>snare; trap</t>
  </si>
  <si>
    <t>权衡</t>
  </si>
  <si>
    <t>quán héng</t>
  </si>
  <si>
    <t>judge; weigh and consider</t>
  </si>
  <si>
    <t>全局</t>
  </si>
  <si>
    <t>quán jú</t>
  </si>
  <si>
    <t>situation as a whole</t>
  </si>
  <si>
    <t>全力以赴</t>
  </si>
  <si>
    <t>quán lì yǐ fù</t>
  </si>
  <si>
    <t>devote every effort to</t>
  </si>
  <si>
    <t>拳头</t>
  </si>
  <si>
    <t>quán tou</t>
  </si>
  <si>
    <t>fist</t>
  </si>
  <si>
    <t>权威</t>
  </si>
  <si>
    <t>quán wēi</t>
  </si>
  <si>
    <t>authority</t>
  </si>
  <si>
    <t>犬</t>
  </si>
  <si>
    <t>quǎn</t>
  </si>
  <si>
    <t>缺口</t>
  </si>
  <si>
    <t>quē kǒu</t>
  </si>
  <si>
    <t>breach; gap; loophole</t>
  </si>
  <si>
    <t>缺席</t>
  </si>
  <si>
    <t>quē xí</t>
  </si>
  <si>
    <t>absent</t>
  </si>
  <si>
    <t>缺陷</t>
  </si>
  <si>
    <t>quē xiàn</t>
  </si>
  <si>
    <t>defect; fault</t>
  </si>
  <si>
    <t>瘸</t>
  </si>
  <si>
    <t>qué</t>
  </si>
  <si>
    <t>be lame; limp</t>
  </si>
  <si>
    <t>确保</t>
  </si>
  <si>
    <t>què bǎo</t>
  </si>
  <si>
    <t>ensure; guarantee</t>
  </si>
  <si>
    <t>确立</t>
  </si>
  <si>
    <t>què lì</t>
  </si>
  <si>
    <t>establish</t>
  </si>
  <si>
    <t>确切</t>
  </si>
  <si>
    <t>què qiè</t>
  </si>
  <si>
    <t>definite; exact; precise</t>
  </si>
  <si>
    <t>确信</t>
  </si>
  <si>
    <t>què xìn</t>
  </si>
  <si>
    <t>firmly believe; be convinced; be sure</t>
  </si>
  <si>
    <t>群众</t>
  </si>
  <si>
    <t>qún zhòng</t>
  </si>
  <si>
    <t>the masses; general public; the common people</t>
  </si>
  <si>
    <t>染</t>
  </si>
  <si>
    <t>rǎn</t>
  </si>
  <si>
    <t>dye; acquire; soil</t>
  </si>
  <si>
    <t>嚷</t>
  </si>
  <si>
    <t>rǎng</t>
  </si>
  <si>
    <t>to shout; blurt out; make a noise</t>
  </si>
  <si>
    <t>让步</t>
  </si>
  <si>
    <t>ràng bù</t>
  </si>
  <si>
    <t>to concede; compromise</t>
  </si>
  <si>
    <t>饶恕</t>
  </si>
  <si>
    <t>ráo shù</t>
  </si>
  <si>
    <t>forgive; pardon; excuse</t>
  </si>
  <si>
    <t>扰乱</t>
  </si>
  <si>
    <t>rǎo luàn</t>
  </si>
  <si>
    <t>harass; disturb; cause havoc</t>
  </si>
  <si>
    <t>惹祸</t>
  </si>
  <si>
    <t>rě huò</t>
  </si>
  <si>
    <t>court disaster; stir up trouble</t>
  </si>
  <si>
    <t>热泪盈眶</t>
  </si>
  <si>
    <t>rè lèi yíng kuàng</t>
  </si>
  <si>
    <t>tears welled up in one's eyes</t>
  </si>
  <si>
    <t>热门</t>
  </si>
  <si>
    <t>rè mén</t>
  </si>
  <si>
    <t>in great demand; hot topic</t>
  </si>
  <si>
    <t>仁慈</t>
  </si>
  <si>
    <t>rén cí</t>
  </si>
  <si>
    <t>benevolent; merciful; kind</t>
  </si>
  <si>
    <t>人道</t>
  </si>
  <si>
    <t>rén dào</t>
  </si>
  <si>
    <t>humanity; human sympathy</t>
  </si>
  <si>
    <t>人格</t>
  </si>
  <si>
    <t>rén gé</t>
  </si>
  <si>
    <t>personality; character</t>
  </si>
  <si>
    <t>人工</t>
  </si>
  <si>
    <t>rén gōng</t>
  </si>
  <si>
    <t>man-made; artificial</t>
  </si>
  <si>
    <t>人家</t>
  </si>
  <si>
    <t>rén jia</t>
  </si>
  <si>
    <t>other; another</t>
  </si>
  <si>
    <t>人间</t>
  </si>
  <si>
    <t>rén jiān</t>
  </si>
  <si>
    <t>the (human) world</t>
  </si>
  <si>
    <t>人士</t>
  </si>
  <si>
    <t>public figure; personage</t>
  </si>
  <si>
    <t>人为</t>
  </si>
  <si>
    <t>rén wéi</t>
  </si>
  <si>
    <t>artificial; man-made</t>
  </si>
  <si>
    <t>人性</t>
  </si>
  <si>
    <t>rén xìng</t>
  </si>
  <si>
    <t>human feelings; reason</t>
  </si>
  <si>
    <t>人质</t>
  </si>
  <si>
    <t>rén zhì</t>
  </si>
  <si>
    <t>hostage</t>
  </si>
  <si>
    <t>忍耐</t>
  </si>
  <si>
    <t>rěn nài</t>
  </si>
  <si>
    <t>exercise patience; restrain oneself; be tolerant of</t>
  </si>
  <si>
    <t>忍受</t>
  </si>
  <si>
    <t>rěn shòu</t>
  </si>
  <si>
    <t>bear; undergo; suffer</t>
  </si>
  <si>
    <t>认定</t>
  </si>
  <si>
    <t>rèn dìng</t>
  </si>
  <si>
    <t>firmly believe; affirm; maintain</t>
  </si>
  <si>
    <t>认可</t>
  </si>
  <si>
    <t>rèn kě</t>
  </si>
  <si>
    <t>approve; accept; confirm</t>
  </si>
  <si>
    <t>任命</t>
  </si>
  <si>
    <t>rèn mìng</t>
  </si>
  <si>
    <t>appoint; commission; designate</t>
  </si>
  <si>
    <t>任性</t>
  </si>
  <si>
    <t>rèn xìng</t>
  </si>
  <si>
    <t>capricious; willful</t>
  </si>
  <si>
    <t>任意</t>
  </si>
  <si>
    <t>rèn yì</t>
  </si>
  <si>
    <t>wantonly; wilfully</t>
  </si>
  <si>
    <t>任重道远</t>
  </si>
  <si>
    <t>rèn zhòng dào yuǎn</t>
  </si>
  <si>
    <t>take a heavy burden and embark on a long road; ability to carry heavy responsibilities through thick and thin; It is a long-term; arduous task; It is an arduous task and the road is long</t>
  </si>
  <si>
    <t>仍旧</t>
  </si>
  <si>
    <t>réng jiù</t>
  </si>
  <si>
    <t>remain the same; continue to be; as before</t>
  </si>
  <si>
    <t>日新月异</t>
  </si>
  <si>
    <t>rì xīn yuè yì</t>
  </si>
  <si>
    <t>change rapidly; alter from day to day</t>
  </si>
  <si>
    <t>日益</t>
  </si>
  <si>
    <t>rì yì</t>
  </si>
  <si>
    <t>increasingly; more and more; with each passing day</t>
  </si>
  <si>
    <t>融化</t>
  </si>
  <si>
    <t>róng huà</t>
  </si>
  <si>
    <t>melt; thaw</t>
  </si>
  <si>
    <t>溶解</t>
  </si>
  <si>
    <t>róng jiě</t>
  </si>
  <si>
    <t>dissolve; solution</t>
  </si>
  <si>
    <t>容貌</t>
  </si>
  <si>
    <t>róng mào</t>
  </si>
  <si>
    <t>appearance; looks</t>
  </si>
  <si>
    <t>容纳</t>
  </si>
  <si>
    <t>róng nà</t>
  </si>
  <si>
    <t>hold; contain; accommodate</t>
  </si>
  <si>
    <t>容器</t>
  </si>
  <si>
    <t>róng qì</t>
  </si>
  <si>
    <t>container; holder; pack</t>
  </si>
  <si>
    <t>融洽</t>
  </si>
  <si>
    <t>róng qià</t>
  </si>
  <si>
    <t>harmonious; on friendly terms</t>
  </si>
  <si>
    <t>容忍</t>
  </si>
  <si>
    <t>róng rěn</t>
  </si>
  <si>
    <t>tolerate; put up with</t>
  </si>
  <si>
    <t>荣幸</t>
  </si>
  <si>
    <t>róng xìng</t>
  </si>
  <si>
    <t>honoured</t>
  </si>
  <si>
    <t>荣誉</t>
  </si>
  <si>
    <t>róng yù</t>
  </si>
  <si>
    <t>honour; glory</t>
  </si>
  <si>
    <t>揉</t>
  </si>
  <si>
    <t>róu</t>
  </si>
  <si>
    <t>柔和</t>
  </si>
  <si>
    <t>róu hé</t>
  </si>
  <si>
    <t>soft; gentle; mild</t>
  </si>
  <si>
    <t>儒家</t>
  </si>
  <si>
    <t>Rú jiā</t>
  </si>
  <si>
    <t>Confucianism</t>
  </si>
  <si>
    <t>弱点</t>
  </si>
  <si>
    <t>ruò diǎn</t>
  </si>
  <si>
    <t>weakness; weak point; failing</t>
  </si>
  <si>
    <t>若干</t>
  </si>
  <si>
    <t>ruò gān</t>
  </si>
  <si>
    <t>a certain number or amount</t>
  </si>
  <si>
    <t>撒谎</t>
  </si>
  <si>
    <t>sā huǎng</t>
  </si>
  <si>
    <t>tell a lie; make up a story</t>
  </si>
  <si>
    <t>散文</t>
  </si>
  <si>
    <t>sǎn wén</t>
  </si>
  <si>
    <t>prose; essay</t>
  </si>
  <si>
    <t>散布</t>
  </si>
  <si>
    <t>go for a walk</t>
  </si>
  <si>
    <t>散发</t>
  </si>
  <si>
    <t>sàn fā</t>
  </si>
  <si>
    <t>send out; diffuse; emit</t>
  </si>
  <si>
    <t>丧失</t>
  </si>
  <si>
    <t>sàng shī</t>
  </si>
  <si>
    <t>lose; forfeit</t>
  </si>
  <si>
    <t>骚扰</t>
  </si>
  <si>
    <t>sāo rǎo</t>
  </si>
  <si>
    <t>to disturb</t>
  </si>
  <si>
    <t>嫂子</t>
  </si>
  <si>
    <t>sǎo zi</t>
  </si>
  <si>
    <t>sister-in-law [elder brother's wife]</t>
  </si>
  <si>
    <t>刹车</t>
  </si>
  <si>
    <t>shā chē</t>
  </si>
  <si>
    <t>put on the brake; stop a machine</t>
  </si>
  <si>
    <t>啥</t>
  </si>
  <si>
    <t>shá</t>
  </si>
  <si>
    <t>what</t>
  </si>
  <si>
    <t>筛选</t>
  </si>
  <si>
    <t>shāi xuǎn</t>
  </si>
  <si>
    <t>filter; screen; preparation by screening</t>
  </si>
  <si>
    <t>山脉</t>
  </si>
  <si>
    <t>shān mài</t>
  </si>
  <si>
    <t>mountain range</t>
  </si>
  <si>
    <t>闪烁</t>
  </si>
  <si>
    <t>shǎn shuò</t>
  </si>
  <si>
    <t>twinkle; glimmer; glisten</t>
  </si>
  <si>
    <t>擅长</t>
  </si>
  <si>
    <t>shàn cháng</t>
  </si>
  <si>
    <t>be good at; be expert in; be skilled in</t>
  </si>
  <si>
    <t>擅自</t>
  </si>
  <si>
    <t>shàn zì</t>
  </si>
  <si>
    <t>do something without authorization; take a liberty</t>
  </si>
  <si>
    <t>商标</t>
  </si>
  <si>
    <t>shāng biāo</t>
  </si>
  <si>
    <t>trademark; brand</t>
  </si>
  <si>
    <t>伤脑筋</t>
  </si>
  <si>
    <t>shāng nǎo jīn</t>
  </si>
  <si>
    <t>cause somebody a headache; bothersome</t>
  </si>
  <si>
    <t>上级</t>
  </si>
  <si>
    <t>shàng jí</t>
  </si>
  <si>
    <t>high level; higher-ups</t>
  </si>
  <si>
    <t>上进</t>
  </si>
  <si>
    <t>shàng jìn</t>
  </si>
  <si>
    <t>[fig.] be ambitious to improve oneself</t>
  </si>
  <si>
    <t>尚且</t>
  </si>
  <si>
    <t>shàng qiě</t>
  </si>
  <si>
    <t>[with negative] not even, let alone</t>
  </si>
  <si>
    <t>上任</t>
  </si>
  <si>
    <t>shàng rèn</t>
  </si>
  <si>
    <t>take up an official post; assume office</t>
  </si>
  <si>
    <t>上瘾</t>
  </si>
  <si>
    <t>shàng yǐn</t>
  </si>
  <si>
    <t>to be addicted (to something)</t>
  </si>
  <si>
    <t>上游</t>
  </si>
  <si>
    <t>shàng yóu</t>
  </si>
  <si>
    <t>head waters; upper reaches (of a river); advanced position</t>
  </si>
  <si>
    <t>梢</t>
  </si>
  <si>
    <t>shāo</t>
  </si>
  <si>
    <t>tip; the thin end of a twig; etc</t>
  </si>
  <si>
    <t>捎</t>
  </si>
  <si>
    <t>drive backwards; back</t>
  </si>
  <si>
    <t>哨</t>
  </si>
  <si>
    <t>shào</t>
  </si>
  <si>
    <t>sentry; whistle; chirp</t>
  </si>
  <si>
    <t>奢侈</t>
  </si>
  <si>
    <t>shē chǐ</t>
  </si>
  <si>
    <t>luxurious; extravagant</t>
  </si>
  <si>
    <t>舌头</t>
  </si>
  <si>
    <t>shé tou</t>
  </si>
  <si>
    <t>tongue</t>
  </si>
  <si>
    <t>涉及</t>
  </si>
  <si>
    <t>shè jí</t>
  </si>
  <si>
    <t>involve; relate to; refer to</t>
  </si>
  <si>
    <t>设立</t>
  </si>
  <si>
    <t>shè lì</t>
  </si>
  <si>
    <t>establish; set up; found</t>
  </si>
  <si>
    <t>社区</t>
  </si>
  <si>
    <t>shè qū</t>
  </si>
  <si>
    <t>community (district)</t>
  </si>
  <si>
    <t>摄氏度</t>
  </si>
  <si>
    <t>shè shì dù</t>
  </si>
  <si>
    <t>degree Celsius/centigrade</t>
  </si>
  <si>
    <t>设想</t>
  </si>
  <si>
    <t>shè xiǎng</t>
  </si>
  <si>
    <t>imagine; envisage; conceive</t>
  </si>
  <si>
    <t>设置</t>
  </si>
  <si>
    <t>shè zhì</t>
  </si>
  <si>
    <t>set up; install; fit</t>
  </si>
  <si>
    <t>深奥</t>
  </si>
  <si>
    <t>shēn ào</t>
  </si>
  <si>
    <t>depth; abstruse; profound</t>
  </si>
  <si>
    <t>申报</t>
  </si>
  <si>
    <t>shēn bào</t>
  </si>
  <si>
    <t>report to a higher body</t>
  </si>
  <si>
    <t>深沉</t>
  </si>
  <si>
    <t>shēn chén</t>
  </si>
  <si>
    <t>dark; deep</t>
  </si>
  <si>
    <t>深情厚谊</t>
  </si>
  <si>
    <t>shēn qíng hòu yì</t>
  </si>
  <si>
    <t>deep friendship</t>
  </si>
  <si>
    <t>绅士</t>
  </si>
  <si>
    <t>shēn shì</t>
  </si>
  <si>
    <t>gentleman; gentry</t>
  </si>
  <si>
    <t>呻吟</t>
  </si>
  <si>
    <t>shēn yín</t>
  </si>
  <si>
    <t>groan; moan</t>
  </si>
  <si>
    <t>神经</t>
  </si>
  <si>
    <t>shén jīng</t>
  </si>
  <si>
    <t>nerve; nervous</t>
  </si>
  <si>
    <t>神奇</t>
  </si>
  <si>
    <t>shén qí</t>
  </si>
  <si>
    <t>magical; mystical; miraculous</t>
  </si>
  <si>
    <t>神气</t>
  </si>
  <si>
    <t>shén qì</t>
  </si>
  <si>
    <t>expression; air; manner</t>
  </si>
  <si>
    <t>神圣</t>
  </si>
  <si>
    <t>shén shèng</t>
  </si>
  <si>
    <t>sacred; holy</t>
  </si>
  <si>
    <t>神态</t>
  </si>
  <si>
    <t>shén tài</t>
  </si>
  <si>
    <t>expression; manner; bearing</t>
  </si>
  <si>
    <t>神仙</t>
  </si>
  <si>
    <t>shén xiān</t>
  </si>
  <si>
    <t>supernatural being; immortal</t>
  </si>
  <si>
    <t>审查</t>
  </si>
  <si>
    <t>shěn chá</t>
  </si>
  <si>
    <t>examine; investigate; check</t>
  </si>
  <si>
    <t>审理</t>
  </si>
  <si>
    <t>shěn lǐ</t>
  </si>
  <si>
    <t>try; hear [in court]</t>
  </si>
  <si>
    <t>审美</t>
  </si>
  <si>
    <t>shěn měi</t>
  </si>
  <si>
    <t>appreciation of beauty</t>
  </si>
  <si>
    <t>审判</t>
  </si>
  <si>
    <t>shěn pàn</t>
  </si>
  <si>
    <t>bring to trial; try [in court]</t>
  </si>
  <si>
    <t>渗透</t>
  </si>
  <si>
    <t>shèn tòu</t>
  </si>
  <si>
    <t>osmosis; permeate; seep</t>
  </si>
  <si>
    <t>慎重</t>
  </si>
  <si>
    <t>shèn zhòng</t>
  </si>
  <si>
    <t>careful; considerate; discreet</t>
  </si>
  <si>
    <t>牲畜</t>
  </si>
  <si>
    <t>shēng chù</t>
  </si>
  <si>
    <t>livestock; domestic animals</t>
  </si>
  <si>
    <t>生存</t>
  </si>
  <si>
    <t>shēng cún</t>
  </si>
  <si>
    <t>exist; survive</t>
  </si>
  <si>
    <t>生机</t>
  </si>
  <si>
    <t>shēng jī</t>
  </si>
  <si>
    <t>lease of life; vitality</t>
  </si>
  <si>
    <t>生理</t>
  </si>
  <si>
    <t>shēng lǐ</t>
  </si>
  <si>
    <t>physiology</t>
  </si>
  <si>
    <t>声明</t>
  </si>
  <si>
    <t>shēng míng</t>
  </si>
  <si>
    <t>state; declare; announce</t>
  </si>
  <si>
    <t>声势</t>
  </si>
  <si>
    <t>shēng shì</t>
  </si>
  <si>
    <t>impetus; momentum</t>
  </si>
  <si>
    <t>生疏</t>
  </si>
  <si>
    <t>shēng shū</t>
  </si>
  <si>
    <t>not familiar; disacquaintance</t>
  </si>
  <si>
    <t>生态</t>
  </si>
  <si>
    <t>shēng tài</t>
  </si>
  <si>
    <t>ecology; organism's modes of life and relation to their environment</t>
  </si>
  <si>
    <t>生物</t>
  </si>
  <si>
    <t>shēng wù</t>
  </si>
  <si>
    <t>biology; living things; organisms</t>
  </si>
  <si>
    <t>生肖</t>
  </si>
  <si>
    <t>shēng xiào</t>
  </si>
  <si>
    <t>animal of the Chinese zodiac</t>
  </si>
  <si>
    <t>生效</t>
  </si>
  <si>
    <t>come into force; take effect</t>
  </si>
  <si>
    <t>生锈</t>
  </si>
  <si>
    <t>shēng xiù</t>
  </si>
  <si>
    <t>get rusty; rust</t>
  </si>
  <si>
    <t>声誉</t>
  </si>
  <si>
    <t>shēng yù</t>
  </si>
  <si>
    <t>reputation; fame; prestige</t>
  </si>
  <si>
    <t>生育</t>
  </si>
  <si>
    <t>give birth to; bear</t>
  </si>
  <si>
    <t>省会</t>
  </si>
  <si>
    <t>shěng huì</t>
  </si>
  <si>
    <t>provincial capital</t>
  </si>
  <si>
    <t>盛产</t>
  </si>
  <si>
    <t>shèng chǎn</t>
  </si>
  <si>
    <t>abound in; teem with</t>
  </si>
  <si>
    <t>胜负</t>
  </si>
  <si>
    <t>shèng fù</t>
  </si>
  <si>
    <t>victory or defeat; success or failure</t>
  </si>
  <si>
    <t>盛开</t>
  </si>
  <si>
    <t>shèng kāi</t>
  </si>
  <si>
    <t>be in full bloom</t>
  </si>
  <si>
    <t>盛情</t>
  </si>
  <si>
    <t>shèng qíng</t>
  </si>
  <si>
    <t>great kindness; boundless hospitality</t>
  </si>
  <si>
    <t>盛行</t>
  </si>
  <si>
    <t>shèng xíng</t>
  </si>
  <si>
    <t>be current; be in vogue</t>
  </si>
  <si>
    <t>师范</t>
  </si>
  <si>
    <t>shī fàn</t>
  </si>
  <si>
    <t>teacher-training</t>
  </si>
  <si>
    <t>施加</t>
  </si>
  <si>
    <t>shī jiā</t>
  </si>
  <si>
    <t>exert; bring to bear on; impose</t>
  </si>
  <si>
    <t>失事</t>
  </si>
  <si>
    <t>shī shì</t>
  </si>
  <si>
    <t>be involved in a crash</t>
  </si>
  <si>
    <t>尸体</t>
  </si>
  <si>
    <t>shī tǐ</t>
  </si>
  <si>
    <t>corpse; dead body; cadaver</t>
  </si>
  <si>
    <t>失误</t>
  </si>
  <si>
    <t>shī wù</t>
  </si>
  <si>
    <t>miss; fault</t>
  </si>
  <si>
    <t>施展</t>
  </si>
  <si>
    <t>shī zhǎn</t>
  </si>
  <si>
    <t>put to good use</t>
  </si>
  <si>
    <t>失踪</t>
  </si>
  <si>
    <t>shī zōng</t>
  </si>
  <si>
    <t>be missing</t>
  </si>
  <si>
    <t>拾</t>
  </si>
  <si>
    <t>pick up; collect; ten [formal]</t>
  </si>
  <si>
    <t>识别</t>
  </si>
  <si>
    <t>shí bié</t>
  </si>
  <si>
    <t>discriminate; distinguish; discern</t>
  </si>
  <si>
    <t>时常</t>
  </si>
  <si>
    <t>shí cháng</t>
  </si>
  <si>
    <t>often; frequently; now and again</t>
  </si>
  <si>
    <t>时而</t>
  </si>
  <si>
    <t>shí ér</t>
  </si>
  <si>
    <t>from time to time; sometimes</t>
  </si>
  <si>
    <t>时光</t>
  </si>
  <si>
    <t>shí guāng</t>
  </si>
  <si>
    <t>实惠</t>
  </si>
  <si>
    <t>shí huì</t>
  </si>
  <si>
    <t>material/tangible benefit</t>
  </si>
  <si>
    <t>时机</t>
  </si>
  <si>
    <t>shí jī</t>
  </si>
  <si>
    <t>opportunity; an opportune moment</t>
  </si>
  <si>
    <t>实力</t>
  </si>
  <si>
    <t>shí lì</t>
  </si>
  <si>
    <t>actual strength</t>
  </si>
  <si>
    <t>实施</t>
  </si>
  <si>
    <t>shí shī</t>
  </si>
  <si>
    <t>put into effect; implement; carry out</t>
  </si>
  <si>
    <t>时事</t>
  </si>
  <si>
    <t>shí shì</t>
  </si>
  <si>
    <t>current events; current affairs</t>
  </si>
  <si>
    <t>实事求是</t>
  </si>
  <si>
    <t>shí shì qiú shì</t>
  </si>
  <si>
    <t>base on facts; be practical and realistic</t>
  </si>
  <si>
    <t>实行</t>
  </si>
  <si>
    <t>shí xíng</t>
  </si>
  <si>
    <t>put into practice; carry out; implement</t>
  </si>
  <si>
    <t>石油</t>
  </si>
  <si>
    <t>shí yóu</t>
  </si>
  <si>
    <t>petroleum; oil</t>
  </si>
  <si>
    <t>实质</t>
  </si>
  <si>
    <t>shí zhì</t>
  </si>
  <si>
    <t>substance; essence; texture</t>
  </si>
  <si>
    <t>十足</t>
  </si>
  <si>
    <t>shí zú</t>
  </si>
  <si>
    <t>100 per cent; out-and-out; sheer</t>
  </si>
  <si>
    <t>使命</t>
  </si>
  <si>
    <t>shǐ mìng</t>
  </si>
  <si>
    <t>mission</t>
  </si>
  <si>
    <t>势必</t>
  </si>
  <si>
    <t>shì bì</t>
  </si>
  <si>
    <t>be bound to; certainly will</t>
  </si>
  <si>
    <t>世代</t>
  </si>
  <si>
    <t>shì dài</t>
  </si>
  <si>
    <t>generation</t>
  </si>
  <si>
    <t>示范</t>
  </si>
  <si>
    <t>shì fàn</t>
  </si>
  <si>
    <t>set an example; demonstrate</t>
  </si>
  <si>
    <t>释放</t>
  </si>
  <si>
    <t>shì fàng</t>
  </si>
  <si>
    <t>release; deliver; set free</t>
  </si>
  <si>
    <t>是非</t>
  </si>
  <si>
    <t>shì fēi</t>
  </si>
  <si>
    <t>right and wrong; quarrel; dispute</t>
  </si>
  <si>
    <t>事故</t>
  </si>
  <si>
    <t>shì gù</t>
  </si>
  <si>
    <t>accident; malfunction; fault</t>
  </si>
  <si>
    <t>事迹</t>
  </si>
  <si>
    <t>deed; achievement</t>
  </si>
  <si>
    <t>事件</t>
  </si>
  <si>
    <t>shì jiàn</t>
  </si>
  <si>
    <t>event; incident</t>
  </si>
  <si>
    <t>视力</t>
  </si>
  <si>
    <t>shì lì</t>
  </si>
  <si>
    <t>vision; sight</t>
  </si>
  <si>
    <t>势力</t>
  </si>
  <si>
    <t>shì li</t>
  </si>
  <si>
    <t>force; power; influence</t>
  </si>
  <si>
    <t>视频</t>
  </si>
  <si>
    <t>shì pín</t>
  </si>
  <si>
    <t>video</t>
  </si>
  <si>
    <t>逝世</t>
  </si>
  <si>
    <t>shì shì</t>
  </si>
  <si>
    <t>pass away; die</t>
  </si>
  <si>
    <t>事态</t>
  </si>
  <si>
    <t>shì tài</t>
  </si>
  <si>
    <t>state of affairs; situation</t>
  </si>
  <si>
    <t>试图</t>
  </si>
  <si>
    <t>shì tú</t>
  </si>
  <si>
    <t>to attempt; try</t>
  </si>
  <si>
    <t>示威</t>
  </si>
  <si>
    <t>shì wēi</t>
  </si>
  <si>
    <t>demonstrate; put on a show of force; display one's strength</t>
  </si>
  <si>
    <t>事务</t>
  </si>
  <si>
    <t>(political; economic) affairs</t>
  </si>
  <si>
    <t>视线</t>
  </si>
  <si>
    <t>shì xiàn</t>
  </si>
  <si>
    <t>line of sight</t>
  </si>
  <si>
    <t>事项</t>
  </si>
  <si>
    <t>shì xiàng</t>
  </si>
  <si>
    <t>matter; item</t>
  </si>
  <si>
    <t>试验</t>
  </si>
  <si>
    <t>shì yàn</t>
  </si>
  <si>
    <t>trial; experiment; test</t>
  </si>
  <si>
    <t>视野</t>
  </si>
  <si>
    <t>shì yě</t>
  </si>
  <si>
    <t>field of vision; scan</t>
  </si>
  <si>
    <t>事业</t>
  </si>
  <si>
    <t>shì yè</t>
  </si>
  <si>
    <t>undertaking; enterprise</t>
  </si>
  <si>
    <t>适宜</t>
  </si>
  <si>
    <t>shì yí</t>
  </si>
  <si>
    <t>suitable; fit; appropriate; proper</t>
  </si>
  <si>
    <t>示意</t>
  </si>
  <si>
    <t>shì yì</t>
  </si>
  <si>
    <t>signal; hint; give a sign</t>
  </si>
  <si>
    <t>收藏</t>
  </si>
  <si>
    <t>shōu cáng</t>
  </si>
  <si>
    <t>collect; store up</t>
  </si>
  <si>
    <t>收缩</t>
  </si>
  <si>
    <t>shōu suō</t>
  </si>
  <si>
    <t>contract; shrink; concentrate one's forces</t>
  </si>
  <si>
    <t>收益</t>
  </si>
  <si>
    <t>shōu yì</t>
  </si>
  <si>
    <t>income; proceeds; earnings</t>
  </si>
  <si>
    <t>收音机</t>
  </si>
  <si>
    <t>shōu yīn jī</t>
  </si>
  <si>
    <t>radio (set)</t>
  </si>
  <si>
    <t>手法</t>
  </si>
  <si>
    <t>shǒu fǎ</t>
  </si>
  <si>
    <t>守护</t>
  </si>
  <si>
    <t>shǒu hù</t>
  </si>
  <si>
    <t>guard; defend; ward</t>
  </si>
  <si>
    <t>手势</t>
  </si>
  <si>
    <t>shǒu shì</t>
  </si>
  <si>
    <t>gesture; sign; signal</t>
  </si>
  <si>
    <t>首饰</t>
  </si>
  <si>
    <t>head ornament</t>
  </si>
  <si>
    <t>首要</t>
  </si>
  <si>
    <t>shǒu yào</t>
  </si>
  <si>
    <t>of the first importance;chief</t>
  </si>
  <si>
    <t>手艺</t>
  </si>
  <si>
    <t>shǒu yì</t>
  </si>
  <si>
    <t>workmanship; craftsmanship; handicraft</t>
  </si>
  <si>
    <t>授予</t>
  </si>
  <si>
    <t>shòu yǔ</t>
  </si>
  <si>
    <t>award; grant; confer</t>
  </si>
  <si>
    <t>受罪</t>
  </si>
  <si>
    <t>shòu zuì</t>
  </si>
  <si>
    <t>endure hardships</t>
  </si>
  <si>
    <t>舒畅</t>
  </si>
  <si>
    <t>shū chàng</t>
  </si>
  <si>
    <t>happy; entirely free from worry</t>
  </si>
  <si>
    <t>书法</t>
  </si>
  <si>
    <t>shū fǎ</t>
  </si>
  <si>
    <t>calligraphy; penmanship</t>
  </si>
  <si>
    <t>疏忽</t>
  </si>
  <si>
    <t>shū hu</t>
  </si>
  <si>
    <t>carelessness; negligence; oversight</t>
  </si>
  <si>
    <t>书籍</t>
  </si>
  <si>
    <t>shū jí</t>
  </si>
  <si>
    <t>books; literature</t>
  </si>
  <si>
    <t>书记</t>
  </si>
  <si>
    <t>shū ji</t>
  </si>
  <si>
    <t>secretary; clerk</t>
  </si>
  <si>
    <t>书面</t>
  </si>
  <si>
    <t>shū miàn</t>
  </si>
  <si>
    <t>in written form; in writing</t>
  </si>
  <si>
    <t>疏远</t>
  </si>
  <si>
    <t>shū yuǎn</t>
  </si>
  <si>
    <t>become estranged</t>
  </si>
  <si>
    <t>竖</t>
  </si>
  <si>
    <t>vertical; upright; perpendicular</t>
  </si>
  <si>
    <t>束</t>
  </si>
  <si>
    <t>bind; tie; bunch; sheaf</t>
  </si>
  <si>
    <t>数额</t>
  </si>
  <si>
    <t>shù é</t>
  </si>
  <si>
    <t>number; amount; quota</t>
  </si>
  <si>
    <t>束缚</t>
  </si>
  <si>
    <t>shù fù</t>
  </si>
  <si>
    <t>tie; bind up; fetter</t>
  </si>
  <si>
    <t>树立</t>
  </si>
  <si>
    <t>shù lì</t>
  </si>
  <si>
    <t>set up; establish; build</t>
  </si>
  <si>
    <t>耍</t>
  </si>
  <si>
    <t>shuǎ</t>
  </si>
  <si>
    <t>play with; flourish</t>
  </si>
  <si>
    <t>衰老</t>
  </si>
  <si>
    <t>shuāi lǎo</t>
  </si>
  <si>
    <t>grow old; deteriorate with age</t>
  </si>
  <si>
    <t>衰退</t>
  </si>
  <si>
    <t>shuāi tuì</t>
  </si>
  <si>
    <t>decline; decay; rust</t>
  </si>
  <si>
    <t>率领</t>
  </si>
  <si>
    <t>shuài lǐng</t>
  </si>
  <si>
    <t>lead; head; command</t>
  </si>
  <si>
    <t>涮火锅</t>
  </si>
  <si>
    <t>shuàn huǒ guō</t>
  </si>
  <si>
    <t>eat hot pot</t>
  </si>
  <si>
    <t>双胞胎</t>
  </si>
  <si>
    <t>shuāng bāo tāi</t>
  </si>
  <si>
    <t>twins</t>
  </si>
  <si>
    <t>爽快</t>
  </si>
  <si>
    <t>shuǎng kuài</t>
  </si>
  <si>
    <t>refreshed; comfortable</t>
  </si>
  <si>
    <t>水利</t>
  </si>
  <si>
    <t>shuǐ lì</t>
  </si>
  <si>
    <t>water conservancy; irrigation works</t>
  </si>
  <si>
    <t>水龙头</t>
  </si>
  <si>
    <t>shuǐ lóng tóu</t>
  </si>
  <si>
    <t>stopcock; tap; faucet</t>
  </si>
  <si>
    <t>水泥</t>
  </si>
  <si>
    <t>shuǐ ní</t>
  </si>
  <si>
    <t>cement; concrete</t>
  </si>
  <si>
    <t>瞬间</t>
  </si>
  <si>
    <t>shùn jiān</t>
  </si>
  <si>
    <t>moment</t>
  </si>
  <si>
    <t>司法</t>
  </si>
  <si>
    <t>sī fǎ</t>
  </si>
  <si>
    <t>administration of justice; judiciary</t>
  </si>
  <si>
    <t>司令</t>
  </si>
  <si>
    <t>sī lìng</t>
  </si>
  <si>
    <t>commander; commanding officer</t>
  </si>
  <si>
    <t>思念</t>
  </si>
  <si>
    <t>sī niàn</t>
  </si>
  <si>
    <t>long for; remember fondly; yearn</t>
  </si>
  <si>
    <t>思索</t>
  </si>
  <si>
    <t>sī suǒ</t>
  </si>
  <si>
    <t>think deeply; ponder; speculate</t>
  </si>
  <si>
    <t>思维</t>
  </si>
  <si>
    <t>sī wéi</t>
  </si>
  <si>
    <t>thought; thinking</t>
  </si>
  <si>
    <t>斯文</t>
  </si>
  <si>
    <t>sī wen</t>
  </si>
  <si>
    <t>refined; gentle</t>
  </si>
  <si>
    <t>私自</t>
  </si>
  <si>
    <t>sī zì</t>
  </si>
  <si>
    <t>privately; secretly</t>
  </si>
  <si>
    <t>死亡</t>
  </si>
  <si>
    <t>sǐ wáng</t>
  </si>
  <si>
    <t>die; death</t>
  </si>
  <si>
    <t>寺庙</t>
  </si>
  <si>
    <t>sì miào</t>
  </si>
  <si>
    <t>temple</t>
  </si>
  <si>
    <t>肆无忌惮</t>
  </si>
  <si>
    <t>sì wú jì dàn</t>
  </si>
  <si>
    <t>act recklessly without care for anyone else; act outrageously</t>
  </si>
  <si>
    <t>饲养</t>
  </si>
  <si>
    <t>sì yǎng</t>
  </si>
  <si>
    <t>raise; rear; feed</t>
  </si>
  <si>
    <t>四肢</t>
  </si>
  <si>
    <t>sì zhī</t>
  </si>
  <si>
    <t>the four limbs [arms and legs]; all fours</t>
  </si>
  <si>
    <t>耸</t>
  </si>
  <si>
    <t>sǒng</t>
  </si>
  <si>
    <t>tower aloft; rise straight up; alarm</t>
  </si>
  <si>
    <t>艘</t>
  </si>
  <si>
    <t>sōu</t>
  </si>
  <si>
    <t>great boat; ship</t>
  </si>
  <si>
    <t>苏醒</t>
  </si>
  <si>
    <t>sū xǐng</t>
  </si>
  <si>
    <t>revive; regain consciousness; come round</t>
  </si>
  <si>
    <t>俗话</t>
  </si>
  <si>
    <t>sú huà</t>
  </si>
  <si>
    <t>common saying; adage</t>
  </si>
  <si>
    <t>素食</t>
  </si>
  <si>
    <t>sù shí</t>
  </si>
  <si>
    <t>vegetarian food</t>
  </si>
  <si>
    <t>诉讼</t>
  </si>
  <si>
    <t>sù sòng</t>
  </si>
  <si>
    <t>lawsuit; litigation; legal action</t>
  </si>
  <si>
    <t>塑造</t>
  </si>
  <si>
    <t>sù zào</t>
  </si>
  <si>
    <t>model; mould</t>
  </si>
  <si>
    <t>素质</t>
  </si>
  <si>
    <t>sù zhì</t>
  </si>
  <si>
    <t>算数</t>
  </si>
  <si>
    <t>suàn shù</t>
  </si>
  <si>
    <t>do sums; count</t>
  </si>
  <si>
    <t>随即</t>
  </si>
  <si>
    <t>suí jí</t>
  </si>
  <si>
    <t>immediately; presently</t>
  </si>
  <si>
    <t>随意</t>
  </si>
  <si>
    <t>suí yì</t>
  </si>
  <si>
    <t>at will; as one pleases; ad lib</t>
  </si>
  <si>
    <t>隧道</t>
  </si>
  <si>
    <t>suì dào</t>
  </si>
  <si>
    <t>tunnel</t>
  </si>
  <si>
    <t>岁月</t>
  </si>
  <si>
    <t>suì yuè</t>
  </si>
  <si>
    <t>years</t>
  </si>
  <si>
    <t>损坏</t>
  </si>
  <si>
    <t>sǔn huài</t>
  </si>
  <si>
    <t>damage; injure; spoil</t>
  </si>
  <si>
    <t>索取</t>
  </si>
  <si>
    <t>suǒ qǔ</t>
  </si>
  <si>
    <t>obtain</t>
  </si>
  <si>
    <t>索性</t>
  </si>
  <si>
    <t>suǒ xìng</t>
  </si>
  <si>
    <t>might as well; simply</t>
  </si>
  <si>
    <t>塌</t>
  </si>
  <si>
    <t>collapse; cave in; sink</t>
  </si>
  <si>
    <t>踏实</t>
  </si>
  <si>
    <t>tā shi</t>
  </si>
  <si>
    <t>dependable; steady and sure</t>
  </si>
  <si>
    <t>塔</t>
  </si>
  <si>
    <t>tǎ</t>
  </si>
  <si>
    <t>pagoda; tower; minaret</t>
  </si>
  <si>
    <t>台风</t>
  </si>
  <si>
    <t>tái fēng</t>
  </si>
  <si>
    <t>typhoon; stage manners</t>
  </si>
  <si>
    <t>泰斗</t>
  </si>
  <si>
    <t>tài dǒu</t>
  </si>
  <si>
    <t>a leading authority</t>
  </si>
  <si>
    <t>太空</t>
  </si>
  <si>
    <t>tài kōng</t>
  </si>
  <si>
    <t>the firmament; outer space</t>
  </si>
  <si>
    <t>摊</t>
  </si>
  <si>
    <t>tān</t>
  </si>
  <si>
    <t>to spread out</t>
  </si>
  <si>
    <t>瘫痪</t>
  </si>
  <si>
    <t>tān huàn</t>
  </si>
  <si>
    <t>贪婪</t>
  </si>
  <si>
    <t>tān lán</t>
  </si>
  <si>
    <t>avaricious; greedy; rapacious</t>
  </si>
  <si>
    <t>贪污</t>
  </si>
  <si>
    <t>tān wū</t>
  </si>
  <si>
    <t>corruption; embezzle</t>
  </si>
  <si>
    <t>弹性</t>
  </si>
  <si>
    <t>tán xìng</t>
  </si>
  <si>
    <t>elasticity; resilience</t>
  </si>
  <si>
    <t>坦白</t>
  </si>
  <si>
    <t>tǎn bái</t>
  </si>
  <si>
    <t>honest; frank; candid</t>
  </si>
  <si>
    <t>探测</t>
  </si>
  <si>
    <t>tàn cè</t>
  </si>
  <si>
    <t>survey; sound; probe</t>
  </si>
  <si>
    <t>叹气</t>
  </si>
  <si>
    <t>tàn qì</t>
  </si>
  <si>
    <t>sigh</t>
  </si>
  <si>
    <t>探索</t>
  </si>
  <si>
    <t>tàn suǒ</t>
  </si>
  <si>
    <t>explore; probe; search</t>
  </si>
  <si>
    <t>探讨</t>
  </si>
  <si>
    <t>tàn tǎo</t>
  </si>
  <si>
    <t>inquire into; probe; investigate</t>
  </si>
  <si>
    <t>探望</t>
  </si>
  <si>
    <t>tàn wàng</t>
  </si>
  <si>
    <t>visit; pay a visit to; call on</t>
  </si>
  <si>
    <t>倘若</t>
  </si>
  <si>
    <t>tǎng ruò</t>
  </si>
  <si>
    <t>if, in case</t>
  </si>
  <si>
    <t>掏</t>
  </si>
  <si>
    <t>tāo</t>
  </si>
  <si>
    <t>draw out; pull out; fish out;</t>
  </si>
  <si>
    <t>滔滔不绝</t>
  </si>
  <si>
    <t>tāo tāo bù jué</t>
  </si>
  <si>
    <t>exhaust oneself by talking</t>
  </si>
  <si>
    <t>陶瓷</t>
  </si>
  <si>
    <t>táo cí</t>
  </si>
  <si>
    <t>ceramics; pottery and porcelain</t>
  </si>
  <si>
    <t>淘汰</t>
  </si>
  <si>
    <t>táo tài</t>
  </si>
  <si>
    <t>eliminate through selection or competition; weed out</t>
  </si>
  <si>
    <t>陶醉</t>
  </si>
  <si>
    <t>táo zuì</t>
  </si>
  <si>
    <t>to be infatuated with</t>
  </si>
  <si>
    <t>讨好</t>
  </si>
  <si>
    <t>tǎo hǎo</t>
  </si>
  <si>
    <t>to win favor by fawning on somebody</t>
  </si>
  <si>
    <t>特长</t>
  </si>
  <si>
    <t>tè cháng</t>
  </si>
  <si>
    <t>what one is skilled in; strong point; speciality</t>
  </si>
  <si>
    <t>特定</t>
  </si>
  <si>
    <t>tè dìng</t>
  </si>
  <si>
    <t>specially appointed; specially designated</t>
  </si>
  <si>
    <t>特意</t>
  </si>
  <si>
    <t>tè yì</t>
  </si>
  <si>
    <t>for a special purpose</t>
  </si>
  <si>
    <t>提拔</t>
  </si>
  <si>
    <t>tí bá</t>
  </si>
  <si>
    <t>promote</t>
  </si>
  <si>
    <t>题材</t>
  </si>
  <si>
    <t>tí cái</t>
  </si>
  <si>
    <t>subject matter; theme</t>
  </si>
  <si>
    <t>提炼</t>
  </si>
  <si>
    <t>tí liàn</t>
  </si>
  <si>
    <t>extract and refine</t>
  </si>
  <si>
    <t>提示</t>
  </si>
  <si>
    <t>tí shì</t>
  </si>
  <si>
    <t>point out; prompt</t>
  </si>
  <si>
    <t>提议</t>
  </si>
  <si>
    <t>tí yì</t>
  </si>
  <si>
    <t>propose; suggest; move</t>
  </si>
  <si>
    <t>体裁</t>
  </si>
  <si>
    <t>tǐ cái</t>
  </si>
  <si>
    <t>form of writing</t>
  </si>
  <si>
    <t>体积</t>
  </si>
  <si>
    <t>tǐ jī</t>
  </si>
  <si>
    <t>volume; bulk</t>
  </si>
  <si>
    <t>体谅</t>
  </si>
  <si>
    <t>tǐ liàng</t>
  </si>
  <si>
    <t>show understanding and sympathy for</t>
  </si>
  <si>
    <t>体面</t>
  </si>
  <si>
    <t>tǐ miàn</t>
  </si>
  <si>
    <t>dignity; propriety; face</t>
  </si>
  <si>
    <t>体系</t>
  </si>
  <si>
    <t>tǐ xì</t>
  </si>
  <si>
    <t>system; setup</t>
  </si>
  <si>
    <t>天才</t>
  </si>
  <si>
    <t>tiān cái</t>
  </si>
  <si>
    <t>genius; talent; gift</t>
  </si>
  <si>
    <t>天赋</t>
  </si>
  <si>
    <t>tiān fù</t>
  </si>
  <si>
    <t>natural gift, talent</t>
  </si>
  <si>
    <t>天伦之乐</t>
  </si>
  <si>
    <t>tiān lún zhī lè</t>
  </si>
  <si>
    <t>the happiness of a family reunion</t>
  </si>
  <si>
    <t>天然气</t>
  </si>
  <si>
    <t>tiān rán qì</t>
  </si>
  <si>
    <t>natural gas</t>
  </si>
  <si>
    <t>天生</t>
  </si>
  <si>
    <t>tiān shēng</t>
  </si>
  <si>
    <t>inherent; innate</t>
  </si>
  <si>
    <t>天堂</t>
  </si>
  <si>
    <t>tiān táng</t>
  </si>
  <si>
    <t>heaven; paradise</t>
  </si>
  <si>
    <t>天文</t>
  </si>
  <si>
    <t>tiān wén</t>
  </si>
  <si>
    <t>astronomy</t>
  </si>
  <si>
    <t>田径</t>
  </si>
  <si>
    <t>tián jìng</t>
  </si>
  <si>
    <t>track and field (athletics)</t>
  </si>
  <si>
    <t>田野</t>
  </si>
  <si>
    <t>tián yě</t>
  </si>
  <si>
    <t>fields; open country</t>
  </si>
  <si>
    <t>舔</t>
  </si>
  <si>
    <t>tiǎn</t>
  </si>
  <si>
    <t>to lick; lap</t>
  </si>
  <si>
    <t>挑剔</t>
  </si>
  <si>
    <t>tiāo ti</t>
  </si>
  <si>
    <t>nitpick; be hypercritical; be fastidious</t>
  </si>
  <si>
    <t>调和</t>
  </si>
  <si>
    <t>tiáo hé</t>
  </si>
  <si>
    <t>mediate; reconcile</t>
  </si>
  <si>
    <t>调剂</t>
  </si>
  <si>
    <t>tiáo jì</t>
  </si>
  <si>
    <t>make up a prescription; adjust; regulate</t>
  </si>
  <si>
    <t>调节</t>
  </si>
  <si>
    <t>tiáo jié</t>
  </si>
  <si>
    <t>regulate; adjust; monitor</t>
  </si>
  <si>
    <t>调解</t>
  </si>
  <si>
    <t>tiáo jiě</t>
  </si>
  <si>
    <t>mediate; make peace; arbitrate</t>
  </si>
  <si>
    <t>条款</t>
  </si>
  <si>
    <t>tiáo kuǎn</t>
  </si>
  <si>
    <t>clause; article; provision</t>
  </si>
  <si>
    <t>条理</t>
  </si>
  <si>
    <t>tiáo lǐ</t>
  </si>
  <si>
    <t>proper arrangement; orderliness</t>
  </si>
  <si>
    <t>调料</t>
  </si>
  <si>
    <t>tiáo liào</t>
  </si>
  <si>
    <t>seasoning; condiment</t>
  </si>
  <si>
    <t>条约</t>
  </si>
  <si>
    <t>tiáo yuē</t>
  </si>
  <si>
    <t>convention; treaty; pact</t>
  </si>
  <si>
    <t>挑拨</t>
  </si>
  <si>
    <t>tiǎo bō</t>
  </si>
  <si>
    <t>instigate; incite; foment</t>
  </si>
  <si>
    <t>挑衅</t>
  </si>
  <si>
    <t>tiǎo xìn</t>
  </si>
  <si>
    <t>provoke; defiance</t>
  </si>
  <si>
    <t>跳跃</t>
  </si>
  <si>
    <t>tiào yuè</t>
  </si>
  <si>
    <t>jump; skip; hop</t>
  </si>
  <si>
    <t>停泊</t>
  </si>
  <si>
    <t>tíng bó</t>
  </si>
  <si>
    <t>anchor; berth; mooring</t>
  </si>
  <si>
    <t>停顿</t>
  </si>
  <si>
    <t>tíng dùn</t>
  </si>
  <si>
    <t>stop; halt; pause</t>
  </si>
  <si>
    <t>停滞</t>
  </si>
  <si>
    <t>tíng zhì</t>
  </si>
  <si>
    <t>stagnate; bog down; be at a standstill</t>
  </si>
  <si>
    <t>亭子</t>
  </si>
  <si>
    <t>tíng zi</t>
  </si>
  <si>
    <t>pavilion; kiosk</t>
  </si>
  <si>
    <t>挺拔</t>
  </si>
  <si>
    <t>tǐng bá</t>
  </si>
  <si>
    <t>tall and straight</t>
  </si>
  <si>
    <t>通货膨胀</t>
  </si>
  <si>
    <t>tōng huò péng zhàng</t>
  </si>
  <si>
    <t>inflation; expansion of the currency</t>
  </si>
  <si>
    <t>通缉</t>
  </si>
  <si>
    <t>tōng jī</t>
  </si>
  <si>
    <t>to order the arrest of somebody as criminal</t>
  </si>
  <si>
    <t>通俗</t>
  </si>
  <si>
    <t>tōng sú</t>
  </si>
  <si>
    <t>popular; common</t>
  </si>
  <si>
    <t>通讯</t>
  </si>
  <si>
    <t>tōng xùn</t>
  </si>
  <si>
    <t>news report</t>
  </si>
  <si>
    <t>通用</t>
  </si>
  <si>
    <t>tōng yòng</t>
  </si>
  <si>
    <t>be in common use; be current</t>
  </si>
  <si>
    <t>铜</t>
  </si>
  <si>
    <t>tóng</t>
  </si>
  <si>
    <t>copper</t>
  </si>
  <si>
    <t>同胞</t>
  </si>
  <si>
    <t>tóng bāo</t>
  </si>
  <si>
    <t>compatriot; sibling</t>
  </si>
  <si>
    <t>童话</t>
  </si>
  <si>
    <t>tóng huà</t>
  </si>
  <si>
    <t>children's stories; fairy tales</t>
  </si>
  <si>
    <t>同志</t>
  </si>
  <si>
    <t>tóng zhì</t>
  </si>
  <si>
    <t>comrade</t>
  </si>
  <si>
    <t>统筹兼顾</t>
  </si>
  <si>
    <t>tǒng chóu jiān gù</t>
  </si>
  <si>
    <t>overall planning considering all factors</t>
  </si>
  <si>
    <t>统计</t>
  </si>
  <si>
    <t>tǒng jì</t>
  </si>
  <si>
    <t>statistics; numerical statement</t>
  </si>
  <si>
    <t>统统</t>
  </si>
  <si>
    <t>tǒng tǒng</t>
  </si>
  <si>
    <t>all; completely; entirely</t>
  </si>
  <si>
    <t>统治</t>
  </si>
  <si>
    <t>tǒng zhì</t>
  </si>
  <si>
    <t>rule; dominate; govern</t>
  </si>
  <si>
    <t>投机</t>
  </si>
  <si>
    <t>tóu jī</t>
  </si>
  <si>
    <t>speculate; be opportunistic</t>
  </si>
  <si>
    <t>投票</t>
  </si>
  <si>
    <t>tóu piào</t>
  </si>
  <si>
    <t>vote</t>
  </si>
  <si>
    <t>投诉</t>
  </si>
  <si>
    <t>tóu sù</t>
  </si>
  <si>
    <t>complaint</t>
  </si>
  <si>
    <t>投降</t>
  </si>
  <si>
    <t>tóu xiáng</t>
  </si>
  <si>
    <t>surrender; capitulate</t>
  </si>
  <si>
    <t>投掷</t>
  </si>
  <si>
    <t>tóu zhì</t>
  </si>
  <si>
    <t>throw; hurl; cast</t>
  </si>
  <si>
    <t>透露</t>
  </si>
  <si>
    <t>tòu lù</t>
  </si>
  <si>
    <t>to reveal</t>
  </si>
  <si>
    <t>秃</t>
  </si>
  <si>
    <t>tū</t>
  </si>
  <si>
    <t>bald; bare; barren</t>
  </si>
  <si>
    <t>突破</t>
  </si>
  <si>
    <t>tū pò</t>
  </si>
  <si>
    <t>break through; surmount</t>
  </si>
  <si>
    <t>图案</t>
  </si>
  <si>
    <t>tú àn</t>
  </si>
  <si>
    <t>pattern; design</t>
  </si>
  <si>
    <t>徒弟</t>
  </si>
  <si>
    <t>tú dì</t>
  </si>
  <si>
    <t>apprentice; disciple</t>
  </si>
  <si>
    <t>途径</t>
  </si>
  <si>
    <t>tú jìng</t>
  </si>
  <si>
    <t>road; avenue; way</t>
  </si>
  <si>
    <t>涂抹</t>
  </si>
  <si>
    <t>tú mǒ</t>
  </si>
  <si>
    <t>daub; smear; paint</t>
  </si>
  <si>
    <t>土壤</t>
  </si>
  <si>
    <t>tǔ rǎng</t>
  </si>
  <si>
    <t>soil; ground</t>
  </si>
  <si>
    <t>团结</t>
  </si>
  <si>
    <t>tuán jié</t>
  </si>
  <si>
    <t>unite; rally</t>
  </si>
  <si>
    <t>团体</t>
  </si>
  <si>
    <t>tuán tǐ</t>
  </si>
  <si>
    <t>organization; group; team</t>
  </si>
  <si>
    <t>团圆</t>
  </si>
  <si>
    <t>tuán yuán</t>
  </si>
  <si>
    <t>to have a reunion</t>
  </si>
  <si>
    <t>推测</t>
  </si>
  <si>
    <t>tuī cè</t>
  </si>
  <si>
    <t>infer; conjecture; guess</t>
  </si>
  <si>
    <t>推翻</t>
  </si>
  <si>
    <t>tuī fān</t>
  </si>
  <si>
    <t>overthrow; overturn; topple</t>
  </si>
  <si>
    <t>推理</t>
  </si>
  <si>
    <t>tuī lǐ</t>
  </si>
  <si>
    <t>inference; reasoning</t>
  </si>
  <si>
    <t>推论</t>
  </si>
  <si>
    <t>tuī lùn</t>
  </si>
  <si>
    <t>inference; triangulation</t>
  </si>
  <si>
    <t>推销</t>
  </si>
  <si>
    <t>tuī xiāo</t>
  </si>
  <si>
    <t>market; peddle; sales promotion</t>
  </si>
  <si>
    <t>吞吞吐吐</t>
  </si>
  <si>
    <t>tūn tūn tǔ tǔ</t>
  </si>
  <si>
    <t>to hum and haw [idiom]</t>
  </si>
  <si>
    <t>脱离</t>
  </si>
  <si>
    <t>tuō lí</t>
  </si>
  <si>
    <t>separate oneself from; break away from</t>
  </si>
  <si>
    <t>拖延</t>
  </si>
  <si>
    <t>tuō yán</t>
  </si>
  <si>
    <t>delay; put off; procrastinate</t>
  </si>
  <si>
    <t>托运</t>
  </si>
  <si>
    <t>tuō yùn</t>
  </si>
  <si>
    <t>consign for shipment</t>
  </si>
  <si>
    <t>妥当</t>
  </si>
  <si>
    <t>tuǒ dang</t>
  </si>
  <si>
    <t>well-thought-out; appropriate; proper</t>
  </si>
  <si>
    <t>妥善</t>
  </si>
  <si>
    <t>tuǒ shàn</t>
  </si>
  <si>
    <t>appropriate; proper; well arranged</t>
  </si>
  <si>
    <t>妥协</t>
  </si>
  <si>
    <t>tuǒ xié</t>
  </si>
  <si>
    <t>come to terms; compromise</t>
  </si>
  <si>
    <t>椭圆</t>
  </si>
  <si>
    <t>tuǒ yuán</t>
  </si>
  <si>
    <t>oval; ellipse</t>
  </si>
  <si>
    <t>唾弃</t>
  </si>
  <si>
    <t>tuò qì</t>
  </si>
  <si>
    <t>spurn</t>
  </si>
  <si>
    <t>挖掘</t>
  </si>
  <si>
    <t>wā jué</t>
  </si>
  <si>
    <t>excavate; unearth; dig</t>
  </si>
  <si>
    <t>娃娃</t>
  </si>
  <si>
    <t>wá wa</t>
  </si>
  <si>
    <t>baby</t>
  </si>
  <si>
    <t>瓦解</t>
  </si>
  <si>
    <t>wǎ jiě</t>
  </si>
  <si>
    <t>disintegrate; collapse; crumble</t>
  </si>
  <si>
    <t>哇</t>
  </si>
  <si>
    <t>wa</t>
  </si>
  <si>
    <t>wow</t>
  </si>
  <si>
    <t>歪曲</t>
  </si>
  <si>
    <t>wāi qū</t>
  </si>
  <si>
    <t>distort; misrepresent; twist</t>
  </si>
  <si>
    <t>外表</t>
  </si>
  <si>
    <t>wài biǎo</t>
  </si>
  <si>
    <t>outward appearance; exterior</t>
  </si>
  <si>
    <t>外行</t>
  </si>
  <si>
    <t>wài háng</t>
  </si>
  <si>
    <t>layman; non-professional</t>
  </si>
  <si>
    <t>外界</t>
  </si>
  <si>
    <t>wài jiè</t>
  </si>
  <si>
    <t>the outside world; outside</t>
  </si>
  <si>
    <t>外向</t>
  </si>
  <si>
    <t>wài xiàng</t>
  </si>
  <si>
    <t>extrovert</t>
  </si>
  <si>
    <t>丸</t>
  </si>
  <si>
    <t>pill</t>
  </si>
  <si>
    <t>完备</t>
  </si>
  <si>
    <t>wán bèi</t>
  </si>
  <si>
    <t>complete; perfect</t>
  </si>
  <si>
    <t>完毕</t>
  </si>
  <si>
    <t>wán bì</t>
  </si>
  <si>
    <t>finish; complete</t>
  </si>
  <si>
    <t>顽固</t>
  </si>
  <si>
    <t>wán gù</t>
  </si>
  <si>
    <t>obstinate; stubborn; headstrong</t>
  </si>
  <si>
    <t>玩弄</t>
  </si>
  <si>
    <t>wán nòng</t>
  </si>
  <si>
    <t>play</t>
  </si>
  <si>
    <t>顽强</t>
  </si>
  <si>
    <t>wán qiáng</t>
  </si>
  <si>
    <t>indomitable; staunch; tenacious</t>
  </si>
  <si>
    <t>玩意儿</t>
  </si>
  <si>
    <t>wán yì er</t>
  </si>
  <si>
    <t>plaything; toy</t>
  </si>
  <si>
    <t>挽回</t>
  </si>
  <si>
    <t>wǎn huí</t>
  </si>
  <si>
    <t>retrieve; redeem</t>
  </si>
  <si>
    <t>挽救</t>
  </si>
  <si>
    <t>wǎn jiù</t>
  </si>
  <si>
    <t>save; remedy; rescue</t>
  </si>
  <si>
    <t>惋惜</t>
  </si>
  <si>
    <t>wǎn xī</t>
  </si>
  <si>
    <t>feel sorry for somebody or about something; to pity</t>
  </si>
  <si>
    <t>万分</t>
  </si>
  <si>
    <t>wàn fēn</t>
  </si>
  <si>
    <t>very much; extremely</t>
  </si>
  <si>
    <t>往常</t>
  </si>
  <si>
    <t>wǎng cháng</t>
  </si>
  <si>
    <t>habitually in the past; as one used to do formerly</t>
  </si>
  <si>
    <t>往事</t>
  </si>
  <si>
    <t>wǎng shì</t>
  </si>
  <si>
    <t>history; the past</t>
  </si>
  <si>
    <t>妄想</t>
  </si>
  <si>
    <t>wàng xiǎng</t>
  </si>
  <si>
    <t>vain hope; wishful thinking</t>
  </si>
  <si>
    <t>微不足道</t>
  </si>
  <si>
    <t>wēi bù zú dào</t>
  </si>
  <si>
    <t>not worth mentioning; insignificant</t>
  </si>
  <si>
    <t>威风</t>
  </si>
  <si>
    <t>wēi fēng</t>
  </si>
  <si>
    <t>power and prestige</t>
  </si>
  <si>
    <t>微观</t>
  </si>
  <si>
    <t>wēi guān</t>
  </si>
  <si>
    <t>microcosmic</t>
  </si>
  <si>
    <t>危机</t>
  </si>
  <si>
    <t>wēi jī</t>
  </si>
  <si>
    <t>crisis; crunch</t>
  </si>
  <si>
    <t>威力</t>
  </si>
  <si>
    <t>wēi lì</t>
  </si>
  <si>
    <t>force; power; might</t>
  </si>
  <si>
    <t>威望</t>
  </si>
  <si>
    <t>wēi wàng</t>
  </si>
  <si>
    <t>prestige</t>
  </si>
  <si>
    <t>威信</t>
  </si>
  <si>
    <t>wēi xìn</t>
  </si>
  <si>
    <t>违背</t>
  </si>
  <si>
    <t>wéi bèi</t>
  </si>
  <si>
    <t>violate; go against; run counter to</t>
  </si>
  <si>
    <t>维持</t>
  </si>
  <si>
    <t>wéi chí</t>
  </si>
  <si>
    <t>keep; maintain; preserve</t>
  </si>
  <si>
    <t>唯独</t>
  </si>
  <si>
    <t>wéi dú</t>
  </si>
  <si>
    <t>only; alone</t>
  </si>
  <si>
    <t>维护</t>
  </si>
  <si>
    <t>wéi hù</t>
  </si>
  <si>
    <t>maintain</t>
  </si>
  <si>
    <t>为难</t>
  </si>
  <si>
    <t>wéi nán</t>
  </si>
  <si>
    <t>feel embarrassed/awkward</t>
  </si>
  <si>
    <t>为期</t>
  </si>
  <si>
    <t>wéi qī</t>
  </si>
  <si>
    <t>by a definite date</t>
  </si>
  <si>
    <t>维生素</t>
  </si>
  <si>
    <t>wéi shēng sù</t>
  </si>
  <si>
    <t>vitamin</t>
  </si>
  <si>
    <t>委托</t>
  </si>
  <si>
    <t>wěi tuō</t>
  </si>
  <si>
    <t>entrust; authorize; bail</t>
  </si>
  <si>
    <t>委员</t>
  </si>
  <si>
    <t>wěi yuán</t>
  </si>
  <si>
    <t>committee member</t>
  </si>
  <si>
    <t>伪造</t>
  </si>
  <si>
    <t>wěi zào</t>
  </si>
  <si>
    <t>counterfeit; forge; falsify</t>
  </si>
  <si>
    <t>畏惧</t>
  </si>
  <si>
    <t>wèi jù</t>
  </si>
  <si>
    <t>fear; awe; dread</t>
  </si>
  <si>
    <t>蔚蓝</t>
  </si>
  <si>
    <t>wèi lán</t>
  </si>
  <si>
    <t>azure</t>
  </si>
  <si>
    <t>未免</t>
  </si>
  <si>
    <t>wèi miǎn</t>
  </si>
  <si>
    <t>rather; a bit too; truly</t>
  </si>
  <si>
    <t>慰问</t>
  </si>
  <si>
    <t>wèi wèn</t>
  </si>
  <si>
    <t>express sympathy and solicitude for</t>
  </si>
  <si>
    <t>卫星</t>
  </si>
  <si>
    <t>wèi xīng</t>
  </si>
  <si>
    <t>satellite; moon</t>
  </si>
  <si>
    <t>温带</t>
  </si>
  <si>
    <t>wēn dài</t>
  </si>
  <si>
    <t>temperate zone</t>
  </si>
  <si>
    <t>温和</t>
  </si>
  <si>
    <t>wēn hé</t>
  </si>
  <si>
    <t>lukewarm</t>
  </si>
  <si>
    <t>文凭</t>
  </si>
  <si>
    <t>wén píng</t>
  </si>
  <si>
    <t>diploma</t>
  </si>
  <si>
    <t>文物</t>
  </si>
  <si>
    <t>wén wù</t>
  </si>
  <si>
    <t>cultural relic; historical relic</t>
  </si>
  <si>
    <t>文献</t>
  </si>
  <si>
    <t>wén xiàn</t>
  </si>
  <si>
    <t>document; literature</t>
  </si>
  <si>
    <t>文雅</t>
  </si>
  <si>
    <t>wén yǎ</t>
  </si>
  <si>
    <t>elegant; refined; cultured</t>
  </si>
  <si>
    <t>文艺</t>
  </si>
  <si>
    <t>wén yì</t>
  </si>
  <si>
    <t>literature and art</t>
  </si>
  <si>
    <t>问世</t>
  </si>
  <si>
    <t>wèn shì</t>
  </si>
  <si>
    <t>be published; come out</t>
  </si>
  <si>
    <t>窝</t>
  </si>
  <si>
    <t>wō</t>
  </si>
  <si>
    <t>nest; den; lair</t>
  </si>
  <si>
    <t>乌黑</t>
  </si>
  <si>
    <t>wū hēi</t>
  </si>
  <si>
    <t>jet-black</t>
  </si>
  <si>
    <t>污蔑</t>
  </si>
  <si>
    <t>wū miè</t>
  </si>
  <si>
    <t>slander; vilify</t>
  </si>
  <si>
    <t>诬陷</t>
  </si>
  <si>
    <t>wū xiàn</t>
  </si>
  <si>
    <t>to frame someone; make a false charge against sb</t>
  </si>
  <si>
    <t>无比</t>
  </si>
  <si>
    <t>wú bǐ</t>
  </si>
  <si>
    <t>incomparable; unparalleled; matchless</t>
  </si>
  <si>
    <t>无偿</t>
  </si>
  <si>
    <t>wú cháng</t>
  </si>
  <si>
    <t>free; gratis</t>
  </si>
  <si>
    <t>无耻</t>
  </si>
  <si>
    <t>wú chǐ</t>
  </si>
  <si>
    <t>shameless; brazen; impudent</t>
  </si>
  <si>
    <t>无动于衷</t>
  </si>
  <si>
    <t>wú dòng yú zhōng</t>
  </si>
  <si>
    <t>be completely indifferent; remain completely unmoved</t>
  </si>
  <si>
    <t>无非</t>
  </si>
  <si>
    <t>wú fēi</t>
  </si>
  <si>
    <t>nothing but; no more than; simply</t>
  </si>
  <si>
    <t>无辜</t>
  </si>
  <si>
    <t>wú gū</t>
  </si>
  <si>
    <t>not guilty [law]</t>
  </si>
  <si>
    <t>无精打采</t>
  </si>
  <si>
    <t>wú jīng dǎ cǎi</t>
  </si>
  <si>
    <t>have the blues; be listless</t>
  </si>
  <si>
    <t>无赖</t>
  </si>
  <si>
    <t>wú lài</t>
  </si>
  <si>
    <t>like a rascal or scoundrel</t>
  </si>
  <si>
    <t>无理取闹</t>
  </si>
  <si>
    <t>wú lǐ qǔ nào</t>
  </si>
  <si>
    <t>make trouble out of nothing; find fault with somebody for no reason whatsoever</t>
  </si>
  <si>
    <t>无能为力</t>
  </si>
  <si>
    <t>wú néng wéi lì</t>
  </si>
  <si>
    <t>helpless; unable to do anything to help</t>
  </si>
  <si>
    <t>无穷无尽</t>
  </si>
  <si>
    <t>wú qióng wú jìn</t>
  </si>
  <si>
    <t>inexhaustible; boundless; endless</t>
  </si>
  <si>
    <t>无微不至</t>
  </si>
  <si>
    <t>wú wēi bú zhì</t>
  </si>
  <si>
    <t>lavish every care on; in every possible way; meticulously</t>
  </si>
  <si>
    <t>无忧无虑</t>
  </si>
  <si>
    <t>wú yōu wú lǜ</t>
  </si>
  <si>
    <t>care-free; without sorrow or anxiety</t>
  </si>
  <si>
    <t>无知</t>
  </si>
  <si>
    <t>wú zhī</t>
  </si>
  <si>
    <t>ignorant</t>
  </si>
  <si>
    <t>舞蹈</t>
  </si>
  <si>
    <t>wǔ dǎo</t>
  </si>
  <si>
    <t>dance</t>
  </si>
  <si>
    <t>武器</t>
  </si>
  <si>
    <t>wǔ qì</t>
  </si>
  <si>
    <t>weapon; arms</t>
  </si>
  <si>
    <t>侮辱</t>
  </si>
  <si>
    <t>wǔ rǔ</t>
  </si>
  <si>
    <t>insult; humiliate</t>
  </si>
  <si>
    <t>武侠</t>
  </si>
  <si>
    <t>wǔ xiá</t>
  </si>
  <si>
    <t>person adept in martial arts who performs chivalrous deeds</t>
  </si>
  <si>
    <t>武装</t>
  </si>
  <si>
    <t>wǔ zhuāng</t>
  </si>
  <si>
    <t>arms; military equipment; armed forces</t>
  </si>
  <si>
    <t>务必</t>
  </si>
  <si>
    <t>wù bì</t>
  </si>
  <si>
    <t>must; be sure to</t>
  </si>
  <si>
    <t>误差</t>
  </si>
  <si>
    <t>wù chā</t>
  </si>
  <si>
    <t>error</t>
  </si>
  <si>
    <t>误解</t>
  </si>
  <si>
    <t>wù jiě</t>
  </si>
  <si>
    <t>misread; misunderstand; misconstrue</t>
  </si>
  <si>
    <t>物美价廉</t>
  </si>
  <si>
    <t>wù měi jià lián</t>
  </si>
  <si>
    <t>high quality and inexpensive</t>
  </si>
  <si>
    <t>物业</t>
  </si>
  <si>
    <t>wù yè</t>
  </si>
  <si>
    <t>property [real estate]</t>
  </si>
  <si>
    <t>物资</t>
  </si>
  <si>
    <t>wù zī</t>
  </si>
  <si>
    <t>goods and materials</t>
  </si>
  <si>
    <t>溪</t>
  </si>
  <si>
    <t>brook; rivulet; streamlet</t>
  </si>
  <si>
    <t>膝盖</t>
  </si>
  <si>
    <t>xī gài</t>
  </si>
  <si>
    <t>knee</t>
  </si>
  <si>
    <t>熄灭</t>
  </si>
  <si>
    <t>xī miè</t>
  </si>
  <si>
    <t>extinguish; quench; put out</t>
  </si>
  <si>
    <t>昔日</t>
  </si>
  <si>
    <t>xī rì</t>
  </si>
  <si>
    <t>in former times; in the past; in the old days</t>
  </si>
  <si>
    <t>牺牲</t>
  </si>
  <si>
    <t>xī shēng</t>
  </si>
  <si>
    <t>a beast slaughtered for sacrifice; sacrifice; sacrifice oneself</t>
  </si>
  <si>
    <t>夕阳</t>
  </si>
  <si>
    <t>xī yáng</t>
  </si>
  <si>
    <t>the setting sun</t>
  </si>
  <si>
    <t>媳妇</t>
  </si>
  <si>
    <t>xí fu</t>
  </si>
  <si>
    <t>wife; daughter-in-law</t>
  </si>
  <si>
    <t>袭击</t>
  </si>
  <si>
    <t>xí jī</t>
  </si>
  <si>
    <t>make a surprise attack on; assault; raid</t>
  </si>
  <si>
    <t>习俗</t>
  </si>
  <si>
    <t>xí sú</t>
  </si>
  <si>
    <t>customs; traditions</t>
  </si>
  <si>
    <t>喜闻乐见</t>
  </si>
  <si>
    <t>xǐ wén lè jiàn</t>
  </si>
  <si>
    <t>be delighted to hear and see</t>
  </si>
  <si>
    <t>喜悦</t>
  </si>
  <si>
    <t>xǐ yuè</t>
  </si>
  <si>
    <t>happy; joyful</t>
  </si>
  <si>
    <t>细胞</t>
  </si>
  <si>
    <t>xì bāo</t>
  </si>
  <si>
    <t>cell [biology]</t>
  </si>
  <si>
    <t>细菌</t>
  </si>
  <si>
    <t>xì jūn</t>
  </si>
  <si>
    <t>germ; bacterium</t>
  </si>
  <si>
    <t>系列</t>
  </si>
  <si>
    <t>xì liè</t>
  </si>
  <si>
    <t>succession; series; set</t>
  </si>
  <si>
    <t>细致</t>
  </si>
  <si>
    <t>xì zhì</t>
  </si>
  <si>
    <t>careful; meticulous; painstaking</t>
  </si>
  <si>
    <t>霞</t>
  </si>
  <si>
    <t>xiá</t>
  </si>
  <si>
    <t>rosy clouds; morning or evening glow</t>
  </si>
  <si>
    <t>狭隘</t>
  </si>
  <si>
    <t>xiá ài</t>
  </si>
  <si>
    <t>narrow; parochial</t>
  </si>
  <si>
    <t>峡谷</t>
  </si>
  <si>
    <t>xiá gǔ</t>
  </si>
  <si>
    <t>gorge; canyon; gulch</t>
  </si>
  <si>
    <t>狭窄</t>
  </si>
  <si>
    <t>xiá zhǎi</t>
  </si>
  <si>
    <t>narrow; cramped</t>
  </si>
  <si>
    <t>下属</t>
  </si>
  <si>
    <t>xià shǔ</t>
  </si>
  <si>
    <t>subordinate; branch</t>
  </si>
  <si>
    <t>先进</t>
  </si>
  <si>
    <t>xiān jìn</t>
  </si>
  <si>
    <t>advanced</t>
  </si>
  <si>
    <t>鲜明</t>
  </si>
  <si>
    <t>xiān míng</t>
  </si>
  <si>
    <t>bright; clear-cut; distinct</t>
  </si>
  <si>
    <t>掀起</t>
  </si>
  <si>
    <t>xiān qǐ</t>
  </si>
  <si>
    <t>lift; raise</t>
  </si>
  <si>
    <t>先前</t>
  </si>
  <si>
    <t>xiān qián</t>
  </si>
  <si>
    <t>before; previously</t>
  </si>
  <si>
    <t>纤维</t>
  </si>
  <si>
    <t>xiān wéi</t>
  </si>
  <si>
    <t>fibre; filament</t>
  </si>
  <si>
    <t>弦</t>
  </si>
  <si>
    <t>the string of a musical instrument/bow; spring</t>
  </si>
  <si>
    <t>嫌</t>
  </si>
  <si>
    <t>suspicion; ill will; resentment</t>
  </si>
  <si>
    <t>闲话</t>
  </si>
  <si>
    <t>xián huà</t>
  </si>
  <si>
    <t>chitchat; digression</t>
  </si>
  <si>
    <t>贤惠</t>
  </si>
  <si>
    <t>xián huì</t>
  </si>
  <si>
    <t>virtuous</t>
  </si>
  <si>
    <t>衔接</t>
  </si>
  <si>
    <t>xián jiē</t>
  </si>
  <si>
    <t>link up; join; connect</t>
  </si>
  <si>
    <t>嫌疑</t>
  </si>
  <si>
    <t>xián yí</t>
  </si>
  <si>
    <t>suspicion</t>
  </si>
  <si>
    <t>显著</t>
  </si>
  <si>
    <t>xiǎn zhù</t>
  </si>
  <si>
    <t>notable; striking; remarkable</t>
  </si>
  <si>
    <t>现场</t>
  </si>
  <si>
    <t>xiàn chǎng</t>
  </si>
  <si>
    <t>scene; site; spot</t>
  </si>
  <si>
    <t>现成</t>
  </si>
  <si>
    <t>xiàn chéng</t>
  </si>
  <si>
    <t>ready-made; off the peg</t>
  </si>
  <si>
    <t>馅儿</t>
  </si>
  <si>
    <t>xiàn er</t>
  </si>
  <si>
    <t>filling</t>
  </si>
  <si>
    <t>宪法</t>
  </si>
  <si>
    <t>xiàn fǎ</t>
  </si>
  <si>
    <t>constitution; charter</t>
  </si>
  <si>
    <t>陷害</t>
  </si>
  <si>
    <t>xiàn hài</t>
  </si>
  <si>
    <t>frame; make a false charge against; snare</t>
  </si>
  <si>
    <t>陷阱</t>
  </si>
  <si>
    <t>xiàn jǐng</t>
  </si>
  <si>
    <t>lit. a pit for trapping animals</t>
  </si>
  <si>
    <t>陷入</t>
  </si>
  <si>
    <t>xiàn rù</t>
  </si>
  <si>
    <t>sink into; fall into; land oneself in</t>
  </si>
  <si>
    <t>线索</t>
  </si>
  <si>
    <t>xiàn suǒ</t>
  </si>
  <si>
    <t>clue; trail; thread</t>
  </si>
  <si>
    <t>现状</t>
  </si>
  <si>
    <t>xiàn zhuàng</t>
  </si>
  <si>
    <t>current situation</t>
  </si>
  <si>
    <t>相差</t>
  </si>
  <si>
    <t>xiāng chà</t>
  </si>
  <si>
    <t>相等</t>
  </si>
  <si>
    <t>xiāng děng</t>
  </si>
  <si>
    <t>be equal to</t>
  </si>
  <si>
    <t>相辅相成</t>
  </si>
  <si>
    <t>xiāng fǔ xiāng chéng</t>
  </si>
  <si>
    <t>complement each other</t>
  </si>
  <si>
    <t>镶嵌</t>
  </si>
  <si>
    <t>xiāng qiàn</t>
  </si>
  <si>
    <t>inlay; mount; fill in</t>
  </si>
  <si>
    <t>相应</t>
  </si>
  <si>
    <t>xiāng yìng</t>
  </si>
  <si>
    <t>corresponding; relevant; work in concert with</t>
  </si>
  <si>
    <t>乡镇</t>
  </si>
  <si>
    <t>xiāng zhèn</t>
  </si>
  <si>
    <t>villages and towns</t>
  </si>
  <si>
    <t>想方设法</t>
  </si>
  <si>
    <t>xiǎng fāng shè fǎ</t>
  </si>
  <si>
    <t>find ways and means to; in every possible way</t>
  </si>
  <si>
    <t>响亮</t>
  </si>
  <si>
    <t>xiǎng liàng</t>
  </si>
  <si>
    <t>loud and clear; resounding; sonorous</t>
  </si>
  <si>
    <t>响应</t>
  </si>
  <si>
    <t>xiǎng yìng</t>
  </si>
  <si>
    <t>respond; answer</t>
  </si>
  <si>
    <t>巷</t>
  </si>
  <si>
    <t>lane; alley</t>
  </si>
  <si>
    <t>向导</t>
  </si>
  <si>
    <t>xiàng dǎo</t>
  </si>
  <si>
    <t>guide</t>
  </si>
  <si>
    <t>向来</t>
  </si>
  <si>
    <t>xiàng lái</t>
  </si>
  <si>
    <t>always; all along</t>
  </si>
  <si>
    <t>相声</t>
  </si>
  <si>
    <t>xiàng sheng</t>
  </si>
  <si>
    <t>comic dialog</t>
  </si>
  <si>
    <t>向往</t>
  </si>
  <si>
    <t>xiàng wǎng</t>
  </si>
  <si>
    <t>yearn for; look forward to</t>
  </si>
  <si>
    <t>削</t>
  </si>
  <si>
    <t>xiāo</t>
  </si>
  <si>
    <t>cut</t>
  </si>
  <si>
    <t>消除</t>
  </si>
  <si>
    <t>xiāo chú</t>
  </si>
  <si>
    <t>eliminate; dispel; clear up</t>
  </si>
  <si>
    <t>消毒</t>
  </si>
  <si>
    <t>xiāo dú</t>
  </si>
  <si>
    <t>disinfect; sterilise</t>
  </si>
  <si>
    <t>消防</t>
  </si>
  <si>
    <t>xiāo fáng</t>
  </si>
  <si>
    <t>extinguish and protect; fire control</t>
  </si>
  <si>
    <t>消耗</t>
  </si>
  <si>
    <t>xiāo hào</t>
  </si>
  <si>
    <t>consume; use up; deplete</t>
  </si>
  <si>
    <t>销毁</t>
  </si>
  <si>
    <t>xiāo huǐ</t>
  </si>
  <si>
    <t>destroy by melting or burning</t>
  </si>
  <si>
    <t>消灭</t>
  </si>
  <si>
    <t>xiāo miè</t>
  </si>
  <si>
    <t>perish; die out; annihilate</t>
  </si>
  <si>
    <t>潇洒</t>
  </si>
  <si>
    <t>xiāo sǎ</t>
  </si>
  <si>
    <t>natural and unrestrained [of a person's appearance or demeanor]</t>
  </si>
  <si>
    <t>小心翼翼</t>
  </si>
  <si>
    <t>xiǎo xīn yì yì</t>
  </si>
  <si>
    <t>with great care; be very scrupulous; ; cautiously</t>
  </si>
  <si>
    <t>肖像</t>
  </si>
  <si>
    <t>xiào xiàng</t>
  </si>
  <si>
    <t>portrait</t>
  </si>
  <si>
    <t>效益</t>
  </si>
  <si>
    <t>xiào yì</t>
  </si>
  <si>
    <t>beneficial result; effectiveness; achievements</t>
  </si>
  <si>
    <t>效应</t>
  </si>
  <si>
    <t>xiào yìng</t>
  </si>
  <si>
    <t>effect [scientific phenomenon]</t>
  </si>
  <si>
    <t>携带</t>
  </si>
  <si>
    <t>xié dài</t>
  </si>
  <si>
    <t>carry; bring; take along</t>
  </si>
  <si>
    <t>协会</t>
  </si>
  <si>
    <t>xié huì</t>
  </si>
  <si>
    <t>association; society; institute</t>
  </si>
  <si>
    <t>协商</t>
  </si>
  <si>
    <t>xié shāng</t>
  </si>
  <si>
    <t>consult; talk things over</t>
  </si>
  <si>
    <t>协调</t>
  </si>
  <si>
    <t>xié tiáo</t>
  </si>
  <si>
    <t>coordinate; integrate; harmonize</t>
  </si>
  <si>
    <t>协议</t>
  </si>
  <si>
    <t>xié yì</t>
  </si>
  <si>
    <t>agree on; understanding; treaty</t>
  </si>
  <si>
    <t>协助</t>
  </si>
  <si>
    <t>xié zhù</t>
  </si>
  <si>
    <t>assist; help</t>
  </si>
  <si>
    <t>屑</t>
  </si>
  <si>
    <t>xiè</t>
  </si>
  <si>
    <t>scraps; crumbs</t>
  </si>
  <si>
    <t>谢绝</t>
  </si>
  <si>
    <t>xiè jué</t>
  </si>
  <si>
    <t>close one's doors; refuse; decline</t>
  </si>
  <si>
    <t>泄露</t>
  </si>
  <si>
    <t>xiè lù</t>
  </si>
  <si>
    <t>let out; reveal; divulge</t>
  </si>
  <si>
    <t>泄气</t>
  </si>
  <si>
    <t>xiè qì</t>
  </si>
  <si>
    <t>lose heart; feel discouraged; be disheartened</t>
  </si>
  <si>
    <t>新陈代谢</t>
  </si>
  <si>
    <t>xīn chén dài xiè</t>
  </si>
  <si>
    <t>the new supersedes the old</t>
  </si>
  <si>
    <t>心得</t>
  </si>
  <si>
    <t>xīn dé</t>
  </si>
  <si>
    <t>what one has learned from work, study etc</t>
  </si>
  <si>
    <t>心甘情愿</t>
  </si>
  <si>
    <t>xīn gān qíng yuàn</t>
  </si>
  <si>
    <t>be delighted to do something [idiom]</t>
  </si>
  <si>
    <t>新郎</t>
  </si>
  <si>
    <t>xīn láng</t>
  </si>
  <si>
    <t>bridegroom</t>
  </si>
  <si>
    <t>心灵</t>
  </si>
  <si>
    <t>xīn líng</t>
  </si>
  <si>
    <t>soul; intelligent</t>
  </si>
  <si>
    <t>新娘</t>
  </si>
  <si>
    <t>xīn niáng</t>
  </si>
  <si>
    <t>bride</t>
  </si>
  <si>
    <t>辛勤</t>
  </si>
  <si>
    <t>xīn qín</t>
  </si>
  <si>
    <t>industrious; hardworking</t>
  </si>
  <si>
    <t>薪水</t>
  </si>
  <si>
    <t>xīn shuǐ</t>
  </si>
  <si>
    <t>salary; pay; wages</t>
  </si>
  <si>
    <t>心态</t>
  </si>
  <si>
    <t>xīn tài</t>
  </si>
  <si>
    <t>mentality; psychology</t>
  </si>
  <si>
    <t>心疼</t>
  </si>
  <si>
    <t>xīn téng</t>
  </si>
  <si>
    <t>love dearly</t>
  </si>
  <si>
    <t>欣慰</t>
  </si>
  <si>
    <t>xīn wèi</t>
  </si>
  <si>
    <t>be relieved; be gratified</t>
  </si>
  <si>
    <t>欣欣向荣</t>
  </si>
  <si>
    <t>xīn xīn xiàng róng</t>
  </si>
  <si>
    <t>thriving; flourishing; prosperous</t>
  </si>
  <si>
    <t>心血</t>
  </si>
  <si>
    <t>xīn xuè</t>
  </si>
  <si>
    <t>painstaking care [lit. with the heart's blood]</t>
  </si>
  <si>
    <t>心眼儿</t>
  </si>
  <si>
    <t>xīn yǎn er</t>
  </si>
  <si>
    <t>heart; mind</t>
  </si>
  <si>
    <t>新颖</t>
  </si>
  <si>
    <t>xīn yǐng</t>
  </si>
  <si>
    <t>new and original; novel</t>
  </si>
  <si>
    <t>信赖</t>
  </si>
  <si>
    <t>xìn lài</t>
  </si>
  <si>
    <t>trust; count on; have faith in</t>
  </si>
  <si>
    <t>信念</t>
  </si>
  <si>
    <t>xìn niàn</t>
  </si>
  <si>
    <t>faith; belief; conviction</t>
  </si>
  <si>
    <t>信仰</t>
  </si>
  <si>
    <t>xìn yǎng</t>
  </si>
  <si>
    <t>faith; belief</t>
  </si>
  <si>
    <t>信誉</t>
  </si>
  <si>
    <t>xìn yù</t>
  </si>
  <si>
    <t>腥</t>
  </si>
  <si>
    <t>xīng</t>
  </si>
  <si>
    <t>raw meat or fish</t>
  </si>
  <si>
    <t>兴高采烈</t>
  </si>
  <si>
    <t>xīng gāo cǎi liè</t>
  </si>
  <si>
    <t>be jubilant; be in good spirits; elated</t>
  </si>
  <si>
    <t>兴隆</t>
  </si>
  <si>
    <t>xīng lóng</t>
  </si>
  <si>
    <t>booming</t>
  </si>
  <si>
    <t>兴旺</t>
  </si>
  <si>
    <t>xīng wàng</t>
  </si>
  <si>
    <t>prosperous; flourishing; thriving</t>
  </si>
  <si>
    <t>刑事</t>
  </si>
  <si>
    <t>criminal; penal</t>
  </si>
  <si>
    <t>形态</t>
  </si>
  <si>
    <t>xíng tài</t>
  </si>
  <si>
    <t>form; shape; pattern</t>
  </si>
  <si>
    <t>行政</t>
  </si>
  <si>
    <t>xíng zhèng</t>
  </si>
  <si>
    <t>administration</t>
  </si>
  <si>
    <t>性感</t>
  </si>
  <si>
    <t>xìng gǎn</t>
  </si>
  <si>
    <t>sexuality; sex appeal</t>
  </si>
  <si>
    <t>性命</t>
  </si>
  <si>
    <t>xìng mìng</t>
  </si>
  <si>
    <t>性能</t>
  </si>
  <si>
    <t>xìng néng</t>
  </si>
  <si>
    <t>function; property; nature</t>
  </si>
  <si>
    <t>兴致勃勃</t>
  </si>
  <si>
    <t>xìng zhì bó bó</t>
  </si>
  <si>
    <t>be in high spirits; cheerful and energetic</t>
  </si>
  <si>
    <t>凶恶</t>
  </si>
  <si>
    <t>xiōng è</t>
  </si>
  <si>
    <t>fierce; ferocious; malevolent</t>
  </si>
  <si>
    <t>胸怀</t>
  </si>
  <si>
    <t>xiōng huái</t>
  </si>
  <si>
    <t>mind; heart; breast</t>
  </si>
  <si>
    <t>凶手</t>
  </si>
  <si>
    <t>xiōng shǒu</t>
  </si>
  <si>
    <t>murderer; assassin; assailant</t>
  </si>
  <si>
    <t>胸膛</t>
  </si>
  <si>
    <t>xiōng táng</t>
  </si>
  <si>
    <t>breast; thorax; chest</t>
  </si>
  <si>
    <t>汹涌</t>
  </si>
  <si>
    <t>xiōng yǒng</t>
  </si>
  <si>
    <t>to surge up violently [of ocean, river, lake etc]</t>
  </si>
  <si>
    <t>雄厚</t>
  </si>
  <si>
    <t>xióng hòu</t>
  </si>
  <si>
    <t>tremendous; rich; abundant</t>
  </si>
  <si>
    <t>雄伟</t>
  </si>
  <si>
    <t>xióng wěi</t>
  </si>
  <si>
    <t>grand; imposing; majestic</t>
  </si>
  <si>
    <t>羞耻</t>
  </si>
  <si>
    <t>xiū chǐ</t>
  </si>
  <si>
    <t>修复</t>
  </si>
  <si>
    <t>xiū fù</t>
  </si>
  <si>
    <t>repair; restore; renovate</t>
  </si>
  <si>
    <t>修建</t>
  </si>
  <si>
    <t>xiū jiàn</t>
  </si>
  <si>
    <t>修养</t>
  </si>
  <si>
    <t>xiū yǎng</t>
  </si>
  <si>
    <t>accomplishment; training; mastery</t>
  </si>
  <si>
    <t>绣</t>
  </si>
  <si>
    <t>xiù</t>
  </si>
  <si>
    <t>embroider</t>
  </si>
  <si>
    <t>嗅觉</t>
  </si>
  <si>
    <t>xiù jué</t>
  </si>
  <si>
    <t>sense of smell</t>
  </si>
  <si>
    <t>虚假</t>
  </si>
  <si>
    <t>xū jiǎ</t>
  </si>
  <si>
    <t>false; sham</t>
  </si>
  <si>
    <t>需求</t>
  </si>
  <si>
    <t>xū qiú</t>
  </si>
  <si>
    <t>need; requirement</t>
  </si>
  <si>
    <t>虚荣</t>
  </si>
  <si>
    <t>xū róng</t>
  </si>
  <si>
    <t>vanity; vain glory</t>
  </si>
  <si>
    <t>虚伪</t>
  </si>
  <si>
    <t>xū wěi</t>
  </si>
  <si>
    <t>sham; false; hypocritical</t>
  </si>
  <si>
    <t>须知</t>
  </si>
  <si>
    <t>xū zhī</t>
  </si>
  <si>
    <t>it must be understood that</t>
  </si>
  <si>
    <t>许可</t>
  </si>
  <si>
    <t>xǔ kě</t>
  </si>
  <si>
    <t>permit; allow</t>
  </si>
  <si>
    <t>酗酒</t>
  </si>
  <si>
    <t>xù jiǔ</t>
  </si>
  <si>
    <t>become drunk and violent</t>
  </si>
  <si>
    <t>畜牧</t>
  </si>
  <si>
    <t>xù mù</t>
  </si>
  <si>
    <t>raise livestock</t>
  </si>
  <si>
    <t>序言</t>
  </si>
  <si>
    <t>xù yán</t>
  </si>
  <si>
    <t>introduction; preface; foreword</t>
  </si>
  <si>
    <t>喧哗</t>
  </si>
  <si>
    <t>xuān huá</t>
  </si>
  <si>
    <t>hubbub</t>
  </si>
  <si>
    <t>宣誓</t>
  </si>
  <si>
    <t>xuān shì</t>
  </si>
  <si>
    <t>swear an oath; make a vow; make a pledge</t>
  </si>
  <si>
    <t>宣扬</t>
  </si>
  <si>
    <t>xuān yáng</t>
  </si>
  <si>
    <t>publicise; advocate; advertise</t>
  </si>
  <si>
    <t>悬挂</t>
  </si>
  <si>
    <t>xuán guà</t>
  </si>
  <si>
    <t>hang; fly; suspend</t>
  </si>
  <si>
    <t>旋律</t>
  </si>
  <si>
    <t>xuán lǜ</t>
  </si>
  <si>
    <t>melody</t>
  </si>
  <si>
    <t>悬念</t>
  </si>
  <si>
    <t>xuán niàn</t>
  </si>
  <si>
    <t>suspense; be concerned about; miss</t>
  </si>
  <si>
    <t>悬殊</t>
  </si>
  <si>
    <t>xuán shū</t>
  </si>
  <si>
    <t>a wide gap</t>
  </si>
  <si>
    <t>悬崖峭壁</t>
  </si>
  <si>
    <t>xuán yá qiào bì</t>
  </si>
  <si>
    <t>precipitous rock faces and sheer cliffs</t>
  </si>
  <si>
    <t>旋转</t>
  </si>
  <si>
    <t>xuán zhuǎn</t>
  </si>
  <si>
    <t>revolve; rotate; spin</t>
  </si>
  <si>
    <t>选拔</t>
  </si>
  <si>
    <t>xuǎn bá</t>
  </si>
  <si>
    <t>select; choose</t>
  </si>
  <si>
    <t>选举</t>
  </si>
  <si>
    <t>xuǎn jǔ</t>
  </si>
  <si>
    <t>elect; vote</t>
  </si>
  <si>
    <t>选手</t>
  </si>
  <si>
    <t>xuǎn shǒu</t>
  </si>
  <si>
    <t>an athlete selected for a sports meet; contestant</t>
  </si>
  <si>
    <t>炫耀</t>
  </si>
  <si>
    <t>xuàn yào</t>
  </si>
  <si>
    <t>to show off</t>
  </si>
  <si>
    <t>削弱</t>
  </si>
  <si>
    <t>xuē ruò</t>
  </si>
  <si>
    <t>weaken; cripple</t>
  </si>
  <si>
    <t>学说</t>
  </si>
  <si>
    <t>xué shuō</t>
  </si>
  <si>
    <t>theory; doctrine</t>
  </si>
  <si>
    <t>学位</t>
  </si>
  <si>
    <t>xué wèi</t>
  </si>
  <si>
    <t>academic degree</t>
  </si>
  <si>
    <t>雪上加霜</t>
  </si>
  <si>
    <t>xuě shàng jiā shuāng</t>
  </si>
  <si>
    <t>snow plus frost; one disaster after another</t>
  </si>
  <si>
    <t>血压</t>
  </si>
  <si>
    <t>xuè yā</t>
  </si>
  <si>
    <t>blood pressure</t>
  </si>
  <si>
    <t>熏陶</t>
  </si>
  <si>
    <t>xūn táo</t>
  </si>
  <si>
    <t>exert a gradual uplifting influence on; nurture; edify</t>
  </si>
  <si>
    <t>循环</t>
  </si>
  <si>
    <t>xún huán</t>
  </si>
  <si>
    <t>circulate; round; repeat</t>
  </si>
  <si>
    <t>巡逻</t>
  </si>
  <si>
    <t>xún luó</t>
  </si>
  <si>
    <t>(go on) patrol</t>
  </si>
  <si>
    <t>寻觅</t>
  </si>
  <si>
    <t>xún mì</t>
  </si>
  <si>
    <t>seek; look for</t>
  </si>
  <si>
    <t>循序渐进</t>
  </si>
  <si>
    <t>xún xù jiàn jìn</t>
  </si>
  <si>
    <t>proceed in an orderly way and step by step</t>
  </si>
  <si>
    <t>岳母</t>
  </si>
  <si>
    <t>yuè mǔ</t>
  </si>
  <si>
    <t>mother-in-law</t>
  </si>
  <si>
    <t>鸦雀无声</t>
  </si>
  <si>
    <t>yā què wú shēng</t>
  </si>
  <si>
    <t>[lit.] crow and sparrow make no sound; all is quiet [idiom]</t>
  </si>
  <si>
    <t>压迫</t>
  </si>
  <si>
    <t>yā pò</t>
  </si>
  <si>
    <t>oppress; repress; constrict</t>
  </si>
  <si>
    <t>压岁钱</t>
  </si>
  <si>
    <t>yā suì qián</t>
  </si>
  <si>
    <t>[money given to children as a lunar New Year gift]</t>
  </si>
  <si>
    <t>压缩</t>
  </si>
  <si>
    <t>yā suō</t>
  </si>
  <si>
    <t>compress; condense; cut down</t>
  </si>
  <si>
    <t>压抑</t>
  </si>
  <si>
    <t>yā yì</t>
  </si>
  <si>
    <t>constrain; inhibit; hold back</t>
  </si>
  <si>
    <t>压榨</t>
  </si>
  <si>
    <t>yā zhà</t>
  </si>
  <si>
    <t>press; squeeze; expression</t>
  </si>
  <si>
    <t>压制</t>
  </si>
  <si>
    <t>yā zhì</t>
  </si>
  <si>
    <t>suppress; stifle; inhibit</t>
  </si>
  <si>
    <t>亚军</t>
  </si>
  <si>
    <t>yà jūn</t>
  </si>
  <si>
    <t>second place; runner-up</t>
  </si>
  <si>
    <t>烟花爆竹</t>
  </si>
  <si>
    <t>yān huā bào zhú</t>
  </si>
  <si>
    <t>fireworks</t>
  </si>
  <si>
    <t>淹没</t>
  </si>
  <si>
    <t>yān mò</t>
  </si>
  <si>
    <t>submerge; inundate; drown</t>
  </si>
  <si>
    <t>沿海</t>
  </si>
  <si>
    <t>yán hǎi</t>
  </si>
  <si>
    <t>along the coast; coastal; littoral</t>
  </si>
  <si>
    <t>严寒</t>
  </si>
  <si>
    <t>yán hán</t>
  </si>
  <si>
    <t>bitter cold</t>
  </si>
  <si>
    <t>严禁</t>
  </si>
  <si>
    <t>yán jìn</t>
  </si>
  <si>
    <t>strictly forbid</t>
  </si>
  <si>
    <t>严峻</t>
  </si>
  <si>
    <t>yán jùn</t>
  </si>
  <si>
    <t>stern; severe; grim</t>
  </si>
  <si>
    <t>严厉</t>
  </si>
  <si>
    <t>yán lì</t>
  </si>
  <si>
    <t>stern; severe</t>
  </si>
  <si>
    <t>言论</t>
  </si>
  <si>
    <t>yán lùn</t>
  </si>
  <si>
    <t>opinion on public affairs; expression of one's political views</t>
  </si>
  <si>
    <t>严密</t>
  </si>
  <si>
    <t>yán mì</t>
  </si>
  <si>
    <t>tight; close; strict</t>
  </si>
  <si>
    <t>延期</t>
  </si>
  <si>
    <t>yán qī</t>
  </si>
  <si>
    <t>postpone; defer; put off</t>
  </si>
  <si>
    <t>炎热</t>
  </si>
  <si>
    <t>yán rè</t>
  </si>
  <si>
    <t>scorching; blazing; burning hot</t>
  </si>
  <si>
    <t>延伸</t>
  </si>
  <si>
    <t>yán shēn</t>
  </si>
  <si>
    <t>extend; elongate; roll out</t>
  </si>
  <si>
    <t>岩石</t>
  </si>
  <si>
    <t>yán shí</t>
  </si>
  <si>
    <t>rock</t>
  </si>
  <si>
    <t>延续</t>
  </si>
  <si>
    <t>yán xù</t>
  </si>
  <si>
    <t>continue; go on; last</t>
  </si>
  <si>
    <t>演变</t>
  </si>
  <si>
    <t>yǎn biàn</t>
  </si>
  <si>
    <t>develop; evolve</t>
  </si>
  <si>
    <t>掩盖</t>
  </si>
  <si>
    <t>yǎn gài</t>
  </si>
  <si>
    <t>cover; conceal; blanket</t>
  </si>
  <si>
    <t>眼光</t>
  </si>
  <si>
    <t>yǎn guāng</t>
  </si>
  <si>
    <t>sight; foresight; insight</t>
  </si>
  <si>
    <t>掩护</t>
  </si>
  <si>
    <t>yǎn hù</t>
  </si>
  <si>
    <t>shield; screen; cover</t>
  </si>
  <si>
    <t>眼色</t>
  </si>
  <si>
    <t>yǎn sè</t>
  </si>
  <si>
    <t>hint given with the eyes; meaningful glance</t>
  </si>
  <si>
    <t>眼神</t>
  </si>
  <si>
    <t>yǎn shén</t>
  </si>
  <si>
    <t>expression in one's eyes</t>
  </si>
  <si>
    <t>掩饰</t>
  </si>
  <si>
    <t>yǎn shì</t>
  </si>
  <si>
    <t>cover up; gloss over; conceal</t>
  </si>
  <si>
    <t>演习</t>
  </si>
  <si>
    <t>yǎn xí</t>
  </si>
  <si>
    <t>manoeuvre; exercise; drill</t>
  </si>
  <si>
    <t>演绎</t>
  </si>
  <si>
    <t>yǎn yì</t>
  </si>
  <si>
    <t>infer; deduce</t>
  </si>
  <si>
    <t>演奏</t>
  </si>
  <si>
    <t>yǎn zòu</t>
  </si>
  <si>
    <t>give a performance (with a musical instrument)</t>
  </si>
  <si>
    <t>验收</t>
  </si>
  <si>
    <t>yàn shōu</t>
  </si>
  <si>
    <t>check before acceptance</t>
  </si>
  <si>
    <t>厌恶</t>
  </si>
  <si>
    <t>yàn wù</t>
  </si>
  <si>
    <t>detest; abhor; be disgusted with</t>
  </si>
  <si>
    <t>验证</t>
  </si>
  <si>
    <t>yàn zhèng</t>
  </si>
  <si>
    <t>test and verify; check; prove</t>
  </si>
  <si>
    <t>氧气</t>
  </si>
  <si>
    <t>yǎng qì</t>
  </si>
  <si>
    <t>oxygen</t>
  </si>
  <si>
    <t>样品</t>
  </si>
  <si>
    <t>yàng pǐn</t>
  </si>
  <si>
    <t>sample; specimen; prototype</t>
  </si>
  <si>
    <t>摇摆</t>
  </si>
  <si>
    <t>yáo bǎi</t>
  </si>
  <si>
    <t>sway; swing; rock</t>
  </si>
  <si>
    <t>摇滚</t>
  </si>
  <si>
    <t>yáo gǔn</t>
  </si>
  <si>
    <t>rock (and roll)</t>
  </si>
  <si>
    <t>遥控</t>
  </si>
  <si>
    <t>yáo kòng</t>
  </si>
  <si>
    <t>remote control</t>
  </si>
  <si>
    <t>谣言</t>
  </si>
  <si>
    <t>yáo yán</t>
  </si>
  <si>
    <t>rumour; groundless allegation</t>
  </si>
  <si>
    <t>遥远</t>
  </si>
  <si>
    <t>yáo yuǎn</t>
  </si>
  <si>
    <t>distant; remote; faraway</t>
  </si>
  <si>
    <t>要点</t>
  </si>
  <si>
    <t>yào diǎn</t>
  </si>
  <si>
    <t>main points; key points; essentials</t>
  </si>
  <si>
    <t>要命</t>
  </si>
  <si>
    <t>yào mìng</t>
  </si>
  <si>
    <t>drive someone to their death</t>
  </si>
  <si>
    <t>要素</t>
  </si>
  <si>
    <t>yào sù</t>
  </si>
  <si>
    <t>essential factor; key element</t>
  </si>
  <si>
    <t>耀眼</t>
  </si>
  <si>
    <t>yào yǎn</t>
  </si>
  <si>
    <t>dazzling</t>
  </si>
  <si>
    <t>野蛮</t>
  </si>
  <si>
    <t>yě mán</t>
  </si>
  <si>
    <t>uncivilized; savage; barbarous</t>
  </si>
  <si>
    <t>野心</t>
  </si>
  <si>
    <t>yě xīn</t>
  </si>
  <si>
    <t>wild ambition; careerism</t>
  </si>
  <si>
    <t>液体</t>
  </si>
  <si>
    <t>yè tǐ</t>
  </si>
  <si>
    <t>liquid</t>
  </si>
  <si>
    <t>依旧</t>
  </si>
  <si>
    <t>yī jiù</t>
  </si>
  <si>
    <t>as before; still</t>
  </si>
  <si>
    <t>依据</t>
  </si>
  <si>
    <t>yī jù</t>
  </si>
  <si>
    <t>名/介</t>
  </si>
  <si>
    <t>according to; in the light of; on the basis of</t>
  </si>
  <si>
    <t>依靠</t>
  </si>
  <si>
    <t>yī kào</t>
  </si>
  <si>
    <t>rely on; depend on</t>
  </si>
  <si>
    <t>依赖</t>
  </si>
  <si>
    <t>yī lài</t>
  </si>
  <si>
    <t>rely on; be dependent on</t>
  </si>
  <si>
    <t>一流</t>
  </si>
  <si>
    <t>yī liú</t>
  </si>
  <si>
    <t>first-rate; top quality</t>
  </si>
  <si>
    <t>一如既往</t>
  </si>
  <si>
    <t>yī rú jì wǎng</t>
  </si>
  <si>
    <t>as in the past; as ever</t>
  </si>
  <si>
    <t>衣裳</t>
  </si>
  <si>
    <t>yī shang</t>
  </si>
  <si>
    <t>clothing; clothes</t>
  </si>
  <si>
    <t>依托</t>
  </si>
  <si>
    <t>yī tuō</t>
  </si>
  <si>
    <t>遗产</t>
  </si>
  <si>
    <t>yí chǎn</t>
  </si>
  <si>
    <t>legacy; inheritance; heritage</t>
  </si>
  <si>
    <t>遗传</t>
  </si>
  <si>
    <t>yí chuán</t>
  </si>
  <si>
    <t>inherit; hereditary</t>
  </si>
  <si>
    <t>一度</t>
  </si>
  <si>
    <t>yí dù</t>
  </si>
  <si>
    <t>once; at one time; for a time</t>
  </si>
  <si>
    <t>一贯</t>
  </si>
  <si>
    <t>yí guàn</t>
  </si>
  <si>
    <t>from beginning to end; consistent; persistent</t>
  </si>
  <si>
    <t>疑惑</t>
  </si>
  <si>
    <t>yí huò</t>
  </si>
  <si>
    <t>feel uncertain; not be convinced</t>
  </si>
  <si>
    <t>遗留</t>
  </si>
  <si>
    <t>yí liú</t>
  </si>
  <si>
    <t>leave behind; hand down</t>
  </si>
  <si>
    <t>一目了然</t>
  </si>
  <si>
    <t>yí mù liǎo rán</t>
  </si>
  <si>
    <t>be immediately obvious; stick out a mile</t>
  </si>
  <si>
    <t>仪器</t>
  </si>
  <si>
    <t>yí qì</t>
  </si>
  <si>
    <t>instrument; appliance; apparatus</t>
  </si>
  <si>
    <t>遗失</t>
  </si>
  <si>
    <t>yí shī</t>
  </si>
  <si>
    <t>仪式</t>
  </si>
  <si>
    <t>yí shì</t>
  </si>
  <si>
    <t>ceremony; rite; function</t>
  </si>
  <si>
    <t>一向</t>
  </si>
  <si>
    <t>yí xiàng</t>
  </si>
  <si>
    <t>consistently; all along; always (previously)</t>
  </si>
  <si>
    <t>以便</t>
  </si>
  <si>
    <t>yǐ biàn</t>
  </si>
  <si>
    <t>so that; in order to</t>
  </si>
  <si>
    <t>以免</t>
  </si>
  <si>
    <t>yǐ miǎn</t>
  </si>
  <si>
    <t>in order to avoid; so as not to; lest</t>
  </si>
  <si>
    <t>以往</t>
  </si>
  <si>
    <t>yǐ wǎng</t>
  </si>
  <si>
    <t>before; formerly; previously; in the past</t>
  </si>
  <si>
    <t>以致</t>
  </si>
  <si>
    <t>yǐ zhì</t>
  </si>
  <si>
    <t>so that; with the result that</t>
  </si>
  <si>
    <t>以至</t>
  </si>
  <si>
    <t>down to</t>
  </si>
  <si>
    <t>翼</t>
  </si>
  <si>
    <t>the wing of a bird/aeroplane; etc; flank; assist</t>
  </si>
  <si>
    <t>亦</t>
  </si>
  <si>
    <t>also; too</t>
  </si>
  <si>
    <t>异常</t>
  </si>
  <si>
    <t>yì cháng</t>
  </si>
  <si>
    <t>unusual; abnormal; anomalous</t>
  </si>
  <si>
    <t>一帆风顺</t>
  </si>
  <si>
    <t>yì fān fēng shùn</t>
  </si>
  <si>
    <t>have a favorable wind all the way; everything going smoothly</t>
  </si>
  <si>
    <t>一举两得</t>
  </si>
  <si>
    <t>yì jǔ liǎng dé</t>
  </si>
  <si>
    <t>achieve two things at once; kill two birds with one stone</t>
  </si>
  <si>
    <t>毅力</t>
  </si>
  <si>
    <t>yì lì</t>
  </si>
  <si>
    <t>willpower; guts; stamina</t>
  </si>
  <si>
    <t>意料</t>
  </si>
  <si>
    <t>yì liào</t>
  </si>
  <si>
    <t>expect; anticipate</t>
  </si>
  <si>
    <t>毅然</t>
  </si>
  <si>
    <t>yì rán</t>
  </si>
  <si>
    <t>resolutely; firmly; determinedly</t>
  </si>
  <si>
    <t>意识</t>
  </si>
  <si>
    <t>yì shi</t>
  </si>
  <si>
    <t>be conscious of; be aware of; realise</t>
  </si>
  <si>
    <t>一丝不苟</t>
  </si>
  <si>
    <t>yì sī bù gǒu</t>
  </si>
  <si>
    <t>dot the i's and cross the t's</t>
  </si>
  <si>
    <t>意图</t>
  </si>
  <si>
    <t>yì tú</t>
  </si>
  <si>
    <t>intention; purpose; intent</t>
  </si>
  <si>
    <t>意味着</t>
  </si>
  <si>
    <t>yì wèi zhe</t>
  </si>
  <si>
    <t>signify; mean; imply</t>
  </si>
  <si>
    <t>意向</t>
  </si>
  <si>
    <t>yì xiàng</t>
  </si>
  <si>
    <t>intention; purpose</t>
  </si>
  <si>
    <t>意志</t>
  </si>
  <si>
    <t>yì zhì</t>
  </si>
  <si>
    <t>will</t>
  </si>
  <si>
    <t>阴谋</t>
  </si>
  <si>
    <t>yīn móu</t>
  </si>
  <si>
    <t>plot; scheme; conspiracy</t>
  </si>
  <si>
    <t>音响</t>
  </si>
  <si>
    <t>yīn xiǎng</t>
  </si>
  <si>
    <t>sound; acoustics; audio</t>
  </si>
  <si>
    <t>隐蔽</t>
  </si>
  <si>
    <t>yǐn bì</t>
  </si>
  <si>
    <t>take cover; hide; conceal</t>
  </si>
  <si>
    <t>引导</t>
  </si>
  <si>
    <t>yǐn dǎo</t>
  </si>
  <si>
    <t>guide; lead; pilot</t>
  </si>
  <si>
    <t>隐患</t>
  </si>
  <si>
    <t>yǐn huàn</t>
  </si>
  <si>
    <t>hidden trouble/danger</t>
  </si>
  <si>
    <t>隐瞒</t>
  </si>
  <si>
    <t>yǐn mán</t>
  </si>
  <si>
    <t>conceal; hide; hold back</t>
  </si>
  <si>
    <t>引擎</t>
  </si>
  <si>
    <t>yǐn qíng</t>
  </si>
  <si>
    <t>engine</t>
  </si>
  <si>
    <t>饮食</t>
  </si>
  <si>
    <t>yǐn shí</t>
  </si>
  <si>
    <t>food and drink; diet</t>
  </si>
  <si>
    <t>隐私</t>
  </si>
  <si>
    <t>yǐn sī</t>
  </si>
  <si>
    <t>conceal; hide; secret</t>
  </si>
  <si>
    <t>引用</t>
  </si>
  <si>
    <t>yǐn yòng</t>
  </si>
  <si>
    <t>quote; cite; recommend</t>
  </si>
  <si>
    <t>隐约</t>
  </si>
  <si>
    <t>yǐn yuē</t>
  </si>
  <si>
    <t>indistinct; faint</t>
  </si>
  <si>
    <t>婴儿</t>
  </si>
  <si>
    <t>yīng ér</t>
  </si>
  <si>
    <t>baby; infant</t>
  </si>
  <si>
    <t>英明</t>
  </si>
  <si>
    <t>yīng míng</t>
  </si>
  <si>
    <t>wise; brilliant</t>
  </si>
  <si>
    <t>英勇</t>
  </si>
  <si>
    <t>yīng yǒng</t>
  </si>
  <si>
    <t>heroic; valiant; courageous</t>
  </si>
  <si>
    <t>盈利</t>
  </si>
  <si>
    <t>yíng lì</t>
  </si>
  <si>
    <t>profit; gain</t>
  </si>
  <si>
    <t>迎面</t>
  </si>
  <si>
    <t>yíng miàn</t>
  </si>
  <si>
    <t>head-on; face to face</t>
  </si>
  <si>
    <t>应酬</t>
  </si>
  <si>
    <t>yìng chou</t>
  </si>
  <si>
    <t>engage in social activities</t>
  </si>
  <si>
    <t>应邀</t>
  </si>
  <si>
    <t>yìng yāo</t>
  </si>
  <si>
    <t>at somebody's invitation</t>
  </si>
  <si>
    <t>拥护</t>
  </si>
  <si>
    <t>yōng hù</t>
  </si>
  <si>
    <t>support; uphold; endorse</t>
  </si>
  <si>
    <t>庸俗</t>
  </si>
  <si>
    <t>yōng sú</t>
  </si>
  <si>
    <t>vulgar; philistine; base</t>
  </si>
  <si>
    <t>拥有</t>
  </si>
  <si>
    <t>yōng yǒu</t>
  </si>
  <si>
    <t>possess; have; own</t>
  </si>
  <si>
    <t>永恒</t>
  </si>
  <si>
    <t>yǒng héng</t>
  </si>
  <si>
    <t>eternal</t>
  </si>
  <si>
    <t>涌现</t>
  </si>
  <si>
    <t>yǒng xiàn</t>
  </si>
  <si>
    <t>emerge in large numbers; spring up</t>
  </si>
  <si>
    <t>勇于</t>
  </si>
  <si>
    <t>yǒng yú</t>
  </si>
  <si>
    <t>be brave in; be bold in; have the courage to</t>
  </si>
  <si>
    <t>踊跃</t>
  </si>
  <si>
    <t>yǒng yuè</t>
  </si>
  <si>
    <t>用户</t>
  </si>
  <si>
    <t>yòng hù</t>
  </si>
  <si>
    <t>user; subscriber; consumer</t>
  </si>
  <si>
    <t>优胜劣汰</t>
  </si>
  <si>
    <t>yōu shèng liè tài</t>
  </si>
  <si>
    <t>survival of the fittest</t>
  </si>
  <si>
    <t>优先</t>
  </si>
  <si>
    <t>yōu xiān</t>
  </si>
  <si>
    <t>take precedence; prior</t>
  </si>
  <si>
    <t>优异</t>
  </si>
  <si>
    <t>yōu yì</t>
  </si>
  <si>
    <t>excellent; outstanding</t>
  </si>
  <si>
    <t>忧郁</t>
  </si>
  <si>
    <t>yōu yù</t>
  </si>
  <si>
    <t>melancholy; heavy-hearted; dejected</t>
  </si>
  <si>
    <t>优越</t>
  </si>
  <si>
    <t>yōu yuè</t>
  </si>
  <si>
    <t>superior; advantageous</t>
  </si>
  <si>
    <t>油腻</t>
  </si>
  <si>
    <t>yóu nì</t>
  </si>
  <si>
    <t>greasy; oily</t>
  </si>
  <si>
    <t>油漆</t>
  </si>
  <si>
    <t>yóu qī</t>
  </si>
  <si>
    <t>paint; oil colour</t>
  </si>
  <si>
    <t>犹如</t>
  </si>
  <si>
    <t>yóu rú</t>
  </si>
  <si>
    <t>just as; like; as if</t>
  </si>
  <si>
    <t>有条不紊</t>
  </si>
  <si>
    <t>yǒu tiáo bù wěn</t>
  </si>
  <si>
    <t>all in good order; methodically; systematically</t>
  </si>
  <si>
    <t>诱惑</t>
  </si>
  <si>
    <t>yòu huò</t>
  </si>
  <si>
    <t>entice; tempt; lure</t>
  </si>
  <si>
    <t>幼稚</t>
  </si>
  <si>
    <t>yòu zhì</t>
  </si>
  <si>
    <t>young; childish</t>
  </si>
  <si>
    <t>愚蠢</t>
  </si>
  <si>
    <t>yú chǔn</t>
  </si>
  <si>
    <t>stupid; foolish; silly</t>
  </si>
  <si>
    <t>舆论</t>
  </si>
  <si>
    <t>yú lùn</t>
  </si>
  <si>
    <t>public opinion</t>
  </si>
  <si>
    <t>愚昧</t>
  </si>
  <si>
    <t>yú mèi</t>
  </si>
  <si>
    <t>fatuous; ignorant</t>
  </si>
  <si>
    <t>渔民</t>
  </si>
  <si>
    <t>yú mín</t>
  </si>
  <si>
    <t>fisherman</t>
  </si>
  <si>
    <t>与日俱增</t>
  </si>
  <si>
    <t>yǔ rì jù zēng</t>
  </si>
  <si>
    <t>grow with each passing day</t>
  </si>
  <si>
    <t>羽绒服</t>
  </si>
  <si>
    <t>yǔ róng fú</t>
  </si>
  <si>
    <t>down-filled coat</t>
  </si>
  <si>
    <t>宇宙</t>
  </si>
  <si>
    <t>yǔ zhòu</t>
  </si>
  <si>
    <t>universe; cosmos</t>
  </si>
  <si>
    <t>愈</t>
  </si>
  <si>
    <t>yù</t>
  </si>
  <si>
    <t>heal; recover; increasingly</t>
  </si>
  <si>
    <t>玉</t>
  </si>
  <si>
    <t>jade</t>
  </si>
  <si>
    <t>预料</t>
  </si>
  <si>
    <t>yù liào</t>
  </si>
  <si>
    <t>expect; predict</t>
  </si>
  <si>
    <t>预期</t>
  </si>
  <si>
    <t>yù qī</t>
  </si>
  <si>
    <t>预算</t>
  </si>
  <si>
    <t>yù suàn</t>
  </si>
  <si>
    <t>budget</t>
  </si>
  <si>
    <t>欲望</t>
  </si>
  <si>
    <t>yù wàng</t>
  </si>
  <si>
    <t>desire; wish</t>
  </si>
  <si>
    <t>预先</t>
  </si>
  <si>
    <t>yù xiān</t>
  </si>
  <si>
    <t>预言</t>
  </si>
  <si>
    <t>yù yán</t>
  </si>
  <si>
    <t>prophesy; predict; foretell</t>
  </si>
  <si>
    <t>寓言</t>
  </si>
  <si>
    <t>fable; allegory; parable</t>
  </si>
  <si>
    <t>预兆</t>
  </si>
  <si>
    <t>yù zhào</t>
  </si>
  <si>
    <t>omen; sign; harbinger</t>
  </si>
  <si>
    <t>冤枉</t>
  </si>
  <si>
    <t>yuān wang</t>
  </si>
  <si>
    <t>wrong; treat unjustly</t>
  </si>
  <si>
    <t>原告</t>
  </si>
  <si>
    <t>yuán gào</t>
  </si>
  <si>
    <t>plaintiff; complainant</t>
  </si>
  <si>
    <t>缘故</t>
  </si>
  <si>
    <t>yuán gù</t>
  </si>
  <si>
    <t>cause; reason</t>
  </si>
  <si>
    <t>原理</t>
  </si>
  <si>
    <t>yuán lǐ</t>
  </si>
  <si>
    <t>principle; tenet; axiom</t>
  </si>
  <si>
    <t>园林</t>
  </si>
  <si>
    <t>yuán lín</t>
  </si>
  <si>
    <t>gardens; park</t>
  </si>
  <si>
    <t>圆满</t>
  </si>
  <si>
    <t>yuán mǎn</t>
  </si>
  <si>
    <t>perfect; satisfactory</t>
  </si>
  <si>
    <t>源泉</t>
  </si>
  <si>
    <t>yuán quán</t>
  </si>
  <si>
    <t>fountain; source</t>
  </si>
  <si>
    <t>原始</t>
  </si>
  <si>
    <t>yuán shǐ</t>
  </si>
  <si>
    <t>original; firsthand; primitive</t>
  </si>
  <si>
    <t>元首</t>
  </si>
  <si>
    <t>yuán shǒu</t>
  </si>
  <si>
    <t>head of a state; chief executive</t>
  </si>
  <si>
    <t>元素</t>
  </si>
  <si>
    <t>yuán sù</t>
  </si>
  <si>
    <t>element</t>
  </si>
  <si>
    <t>原先</t>
  </si>
  <si>
    <t>yuán xiān</t>
  </si>
  <si>
    <t>former; original</t>
  </si>
  <si>
    <t>元宵节</t>
  </si>
  <si>
    <t>yuán xiāo jié</t>
  </si>
  <si>
    <t>Lantern Festival</t>
  </si>
  <si>
    <t>约束</t>
  </si>
  <si>
    <t>yuē shù</t>
  </si>
  <si>
    <t>keep within bounds; restrain</t>
  </si>
  <si>
    <t>乐谱</t>
  </si>
  <si>
    <t>yuè pǔ</t>
  </si>
  <si>
    <t>music score</t>
  </si>
  <si>
    <t>熨</t>
  </si>
  <si>
    <t>yùn</t>
  </si>
  <si>
    <t>iron; press</t>
  </si>
  <si>
    <t>蕴藏</t>
  </si>
  <si>
    <t>yùn cáng</t>
  </si>
  <si>
    <t>hold in store; contain</t>
  </si>
  <si>
    <t>酝酿</t>
  </si>
  <si>
    <t>yùn niàng</t>
  </si>
  <si>
    <t>brew; ferment</t>
  </si>
  <si>
    <t>运算</t>
  </si>
  <si>
    <t>yùn suàn</t>
  </si>
  <si>
    <t>operation; arithmetic</t>
  </si>
  <si>
    <t>运行</t>
  </si>
  <si>
    <t>yùn xíng</t>
  </si>
  <si>
    <t>move; be in motion; run</t>
  </si>
  <si>
    <t>孕育</t>
  </si>
  <si>
    <t>yùn yù</t>
  </si>
  <si>
    <t>be pregnant</t>
  </si>
  <si>
    <t>砸</t>
  </si>
  <si>
    <t>zá</t>
  </si>
  <si>
    <t>pound; tamp; crush</t>
  </si>
  <si>
    <t>杂技</t>
  </si>
  <si>
    <t>zá jì</t>
  </si>
  <si>
    <t>acrobatics</t>
  </si>
  <si>
    <t>杂交</t>
  </si>
  <si>
    <t>zá jiāo</t>
  </si>
  <si>
    <t>hybridise; cross breed</t>
  </si>
  <si>
    <t>咋</t>
  </si>
  <si>
    <t>zǎ</t>
  </si>
  <si>
    <t>how; why [dialect for 怎么]</t>
  </si>
  <si>
    <t>灾难</t>
  </si>
  <si>
    <t>zāi nàn</t>
  </si>
  <si>
    <t>calamity; disaster; catastrophe</t>
  </si>
  <si>
    <t>栽培</t>
  </si>
  <si>
    <t>zāi péi</t>
  </si>
  <si>
    <t>cultivate; grow; plant</t>
  </si>
  <si>
    <t>宰</t>
  </si>
  <si>
    <t>zǎi</t>
  </si>
  <si>
    <t>slaughter; butcher</t>
  </si>
  <si>
    <t>再接再厉</t>
  </si>
  <si>
    <t>zài jiē zài lì</t>
  </si>
  <si>
    <t>redouble your efforts</t>
  </si>
  <si>
    <t>在意</t>
  </si>
  <si>
    <t>zài yì</t>
  </si>
  <si>
    <t>take notice of; care about; mind; take to heart</t>
  </si>
  <si>
    <t>攒</t>
  </si>
  <si>
    <t>zǎn</t>
  </si>
  <si>
    <t>collect together; assemble</t>
  </si>
  <si>
    <t>暂且</t>
  </si>
  <si>
    <t>zàn qiě</t>
  </si>
  <si>
    <t>for the time being; for the moment</t>
  </si>
  <si>
    <t>赞叹</t>
  </si>
  <si>
    <t>zàn tàn</t>
  </si>
  <si>
    <t>gasp in admiration; highly praise</t>
  </si>
  <si>
    <t>赞助</t>
  </si>
  <si>
    <t>zàn zhù</t>
  </si>
  <si>
    <t>support; sponsor; donate money to assist</t>
  </si>
  <si>
    <t>遭受</t>
  </si>
  <si>
    <t>zāo shòu</t>
  </si>
  <si>
    <t>suffer; be subjected to; sustain</t>
  </si>
  <si>
    <t>糟蹋</t>
  </si>
  <si>
    <t>zāo ta</t>
  </si>
  <si>
    <t>waste; ruin; spoil</t>
  </si>
  <si>
    <t>遭殃</t>
  </si>
  <si>
    <t>zāo yāng</t>
  </si>
  <si>
    <t>suffer (disaster)</t>
  </si>
  <si>
    <t>遭遇</t>
  </si>
  <si>
    <t>zāo yù</t>
  </si>
  <si>
    <t>meet with; encounter; run up against</t>
  </si>
  <si>
    <t>造型</t>
  </si>
  <si>
    <t>zào xíng</t>
  </si>
  <si>
    <t>modelling; profiling; mouldmaking</t>
  </si>
  <si>
    <t>噪音</t>
  </si>
  <si>
    <t>zào yīn</t>
  </si>
  <si>
    <t>noise; undesired sound</t>
  </si>
  <si>
    <t>责怪</t>
  </si>
  <si>
    <t>zé guài</t>
  </si>
  <si>
    <t>blame</t>
  </si>
  <si>
    <t>贼</t>
  </si>
  <si>
    <t>zéi</t>
  </si>
  <si>
    <t>thief; traitor; extremely</t>
  </si>
  <si>
    <t>增添</t>
  </si>
  <si>
    <t>zēng tiān</t>
  </si>
  <si>
    <t>add</t>
  </si>
  <si>
    <t>赠送</t>
  </si>
  <si>
    <t>zèng sòng</t>
  </si>
  <si>
    <t>give as a present; present as a gift</t>
  </si>
  <si>
    <t>扎</t>
  </si>
  <si>
    <t>zhā</t>
  </si>
  <si>
    <t>prick; stab</t>
  </si>
  <si>
    <t>渣</t>
  </si>
  <si>
    <t>dregs; residue; sediment</t>
  </si>
  <si>
    <t>扎实</t>
  </si>
  <si>
    <t>zhā shi</t>
  </si>
  <si>
    <t>sturdy; strong</t>
  </si>
  <si>
    <t>眨</t>
  </si>
  <si>
    <t>zhǎ</t>
  </si>
  <si>
    <t>blink; wink</t>
  </si>
  <si>
    <t>诈骗</t>
  </si>
  <si>
    <t>zhà piàn</t>
  </si>
  <si>
    <t>defraud; swindle</t>
  </si>
  <si>
    <t>摘要</t>
  </si>
  <si>
    <t>zhāi yào</t>
  </si>
  <si>
    <t>summary; abstract</t>
  </si>
  <si>
    <t>债券</t>
  </si>
  <si>
    <t>zhài quàn</t>
  </si>
  <si>
    <t>bond; debenture</t>
  </si>
  <si>
    <t>沾光</t>
  </si>
  <si>
    <t>zhān guāng</t>
  </si>
  <si>
    <t>benefit from association with somebody or something</t>
  </si>
  <si>
    <t>瞻仰</t>
  </si>
  <si>
    <t>zhān yǎng</t>
  </si>
  <si>
    <t>look at with reverence</t>
  </si>
  <si>
    <t>斩钉截铁</t>
  </si>
  <si>
    <t>zhǎn dīng jié tiě</t>
  </si>
  <si>
    <t>resolute and decisive; categorical</t>
  </si>
  <si>
    <t>展示</t>
  </si>
  <si>
    <t>zhǎn shì</t>
  </si>
  <si>
    <t>open up before one's eyes</t>
  </si>
  <si>
    <t>展望</t>
  </si>
  <si>
    <t>zhǎn wàng</t>
  </si>
  <si>
    <t>look into the distance</t>
  </si>
  <si>
    <t>展现</t>
  </si>
  <si>
    <t>zhǎn xiàn</t>
  </si>
  <si>
    <t>unfold before one's eyes; emerge</t>
  </si>
  <si>
    <t>崭新</t>
  </si>
  <si>
    <t>zhǎn xīn</t>
  </si>
  <si>
    <t>brand-new</t>
  </si>
  <si>
    <t>战斗</t>
  </si>
  <si>
    <t>zhàn dòu</t>
  </si>
  <si>
    <t>fight; battle; combat</t>
  </si>
  <si>
    <t>占据</t>
  </si>
  <si>
    <t>zhàn jù</t>
  </si>
  <si>
    <t>occupy; take over; colonise</t>
  </si>
  <si>
    <t>占领</t>
  </si>
  <si>
    <t>zhàn lǐng</t>
  </si>
  <si>
    <t>capture; occupy; seize</t>
  </si>
  <si>
    <t>战略</t>
  </si>
  <si>
    <t>zhàn luè</t>
  </si>
  <si>
    <t>strategy</t>
  </si>
  <si>
    <t>战术</t>
  </si>
  <si>
    <t>zhàn shù</t>
  </si>
  <si>
    <t>tactics</t>
  </si>
  <si>
    <t>战役</t>
  </si>
  <si>
    <t>zhàn yì</t>
  </si>
  <si>
    <t>campaign; battle</t>
  </si>
  <si>
    <t>章程</t>
  </si>
  <si>
    <t>zhāng chéng</t>
  </si>
  <si>
    <t>regulations; constitution; statutes</t>
  </si>
  <si>
    <t>障碍</t>
  </si>
  <si>
    <t>zhàng ài</t>
  </si>
  <si>
    <t>hinder; obstruct; bar</t>
  </si>
  <si>
    <t>帐篷</t>
  </si>
  <si>
    <t>zhàng peng</t>
  </si>
  <si>
    <t>tent</t>
  </si>
  <si>
    <t>招标</t>
  </si>
  <si>
    <t>zhāo biāo</t>
  </si>
  <si>
    <t>invite bids</t>
  </si>
  <si>
    <t>朝气蓬勃</t>
  </si>
  <si>
    <t>zhāo qì péng bó</t>
  </si>
  <si>
    <t>full of vigour and vitality</t>
  </si>
  <si>
    <t>招收</t>
  </si>
  <si>
    <t>zhāo shōu</t>
  </si>
  <si>
    <t>recruit; take in</t>
  </si>
  <si>
    <t>着迷</t>
  </si>
  <si>
    <t>zháo mí</t>
  </si>
  <si>
    <t>be fascinated; be captivated</t>
  </si>
  <si>
    <t>沼泽</t>
  </si>
  <si>
    <t>zhǎo zé</t>
  </si>
  <si>
    <t>marsh; swamp; bog</t>
  </si>
  <si>
    <t>照样</t>
  </si>
  <si>
    <t>zhào yàng</t>
  </si>
  <si>
    <t>after a pattern or model</t>
  </si>
  <si>
    <t>照耀</t>
  </si>
  <si>
    <t>zhào yào</t>
  </si>
  <si>
    <t>shine; illuminate; enlighten</t>
  </si>
  <si>
    <t>遮挡</t>
  </si>
  <si>
    <t>zhē dǎng</t>
  </si>
  <si>
    <t>shelter from; keep out</t>
  </si>
  <si>
    <t>折腾</t>
  </si>
  <si>
    <t>zhē teng</t>
  </si>
  <si>
    <t>turn from side to side; toss about</t>
  </si>
  <si>
    <t>折</t>
  </si>
  <si>
    <t>zhé</t>
  </si>
  <si>
    <t>break; snap; lose money in business</t>
  </si>
  <si>
    <t>折磨</t>
  </si>
  <si>
    <t>zhé mó</t>
  </si>
  <si>
    <t>cause suffering; torment; affliction</t>
  </si>
  <si>
    <t>珍贵</t>
  </si>
  <si>
    <t>zhēn guì</t>
  </si>
  <si>
    <t>valuable; precious; rare</t>
  </si>
  <si>
    <t>真理</t>
  </si>
  <si>
    <t>zhēn lǐ</t>
  </si>
  <si>
    <t>侦探</t>
  </si>
  <si>
    <t>zhēn tàn</t>
  </si>
  <si>
    <t>detective; spy</t>
  </si>
  <si>
    <t>珍稀</t>
  </si>
  <si>
    <t>precious; valuable and rare</t>
  </si>
  <si>
    <t>真相</t>
  </si>
  <si>
    <t>zhēn xiàng</t>
  </si>
  <si>
    <t>truth; the actual state of affairs</t>
  </si>
  <si>
    <t>真挚</t>
  </si>
  <si>
    <t>zhēn zhì</t>
  </si>
  <si>
    <t>sincere; genuine; cordial</t>
  </si>
  <si>
    <t>珍珠</t>
  </si>
  <si>
    <t>zhēn zhū</t>
  </si>
  <si>
    <t>pearl</t>
  </si>
  <si>
    <t>斟酌</t>
  </si>
  <si>
    <t>zhēn zhuó</t>
  </si>
  <si>
    <t>consider; deliberate; think over</t>
  </si>
  <si>
    <t>枕头</t>
  </si>
  <si>
    <t>zhěn tou</t>
  </si>
  <si>
    <t>pillow</t>
  </si>
  <si>
    <t>阵地</t>
  </si>
  <si>
    <t>zhèn dì</t>
  </si>
  <si>
    <t>battle field; front</t>
  </si>
  <si>
    <t>镇定</t>
  </si>
  <si>
    <t>zhèn dìng</t>
  </si>
  <si>
    <t>cool; composed; unperturbed</t>
  </si>
  <si>
    <t>振奋</t>
  </si>
  <si>
    <t>zhèn fèn</t>
  </si>
  <si>
    <t>rouse oneself; be inspired with enthusiasm</t>
  </si>
  <si>
    <t>震撼</t>
  </si>
  <si>
    <t>zhèn hàn</t>
  </si>
  <si>
    <t>to shock</t>
  </si>
  <si>
    <t>震惊</t>
  </si>
  <si>
    <t>zhèn jīng</t>
  </si>
  <si>
    <t>shock; amaze; astonish</t>
  </si>
  <si>
    <t>镇静</t>
  </si>
  <si>
    <t>zhèn jìng</t>
  </si>
  <si>
    <t>calm; composed; unruffled</t>
  </si>
  <si>
    <t>阵容</t>
  </si>
  <si>
    <t>zhèn róng</t>
  </si>
  <si>
    <t>battle array; battle formation</t>
  </si>
  <si>
    <t>振兴</t>
  </si>
  <si>
    <t>zhèn xīng</t>
  </si>
  <si>
    <t>cause to prosper; promote; re-energize</t>
  </si>
  <si>
    <t>争端</t>
  </si>
  <si>
    <t>zhēng duān</t>
  </si>
  <si>
    <t>dispute; bone of contention</t>
  </si>
  <si>
    <t>争夺</t>
  </si>
  <si>
    <t>zhēng duó</t>
  </si>
  <si>
    <t>fight for; vie with somebody for something</t>
  </si>
  <si>
    <t>蒸发</t>
  </si>
  <si>
    <t>zhēng fā</t>
  </si>
  <si>
    <t>evaporate</t>
  </si>
  <si>
    <t>征服</t>
  </si>
  <si>
    <t>zhēng fú</t>
  </si>
  <si>
    <t>conquer; subjugate</t>
  </si>
  <si>
    <t>争气</t>
  </si>
  <si>
    <t>zhēng qì</t>
  </si>
  <si>
    <t>try to make a good showing; try to win credit</t>
  </si>
  <si>
    <t>征收</t>
  </si>
  <si>
    <t>zhēng shōu</t>
  </si>
  <si>
    <t>levy; collect; impose</t>
  </si>
  <si>
    <t>争先恐后</t>
  </si>
  <si>
    <t>zhēng xiān kǒng hòu</t>
  </si>
  <si>
    <t>falling over each other; in a mad rush to be first</t>
  </si>
  <si>
    <t>争议</t>
  </si>
  <si>
    <t>zhēng yì</t>
  </si>
  <si>
    <t>controversy</t>
  </si>
  <si>
    <t>正月</t>
  </si>
  <si>
    <t>zhēng yuè</t>
  </si>
  <si>
    <t>the first month of the lunar year</t>
  </si>
  <si>
    <t>挣扎</t>
  </si>
  <si>
    <t>zhēng zhá</t>
  </si>
  <si>
    <t>struggle</t>
  </si>
  <si>
    <t>整顿</t>
  </si>
  <si>
    <t>zhěng dùn</t>
  </si>
  <si>
    <t>rectify; consolidate; reorganise</t>
  </si>
  <si>
    <t>政策</t>
  </si>
  <si>
    <t>zhèng cè</t>
  </si>
  <si>
    <t>policy</t>
  </si>
  <si>
    <t>正当</t>
  </si>
  <si>
    <t>zhèng dāng</t>
  </si>
  <si>
    <t>just when; timely</t>
  </si>
  <si>
    <t>正负</t>
  </si>
  <si>
    <t>zhèng fù</t>
  </si>
  <si>
    <t>plus and minus</t>
  </si>
  <si>
    <t>正规</t>
  </si>
  <si>
    <t>zhèng guī</t>
  </si>
  <si>
    <t>regular; standard; normal</t>
  </si>
  <si>
    <t>正经</t>
  </si>
  <si>
    <t>zhèng jing</t>
  </si>
  <si>
    <t>decent; respectable; honest</t>
  </si>
  <si>
    <t>正气</t>
  </si>
  <si>
    <t>zhèng qì</t>
  </si>
  <si>
    <t>healthy atmosphere</t>
  </si>
  <si>
    <t>政权</t>
  </si>
  <si>
    <t>zhèng quán</t>
  </si>
  <si>
    <t>political power; regime</t>
  </si>
  <si>
    <t>证实</t>
  </si>
  <si>
    <t>zhèng shí</t>
  </si>
  <si>
    <t>authenticate; corroborate; affirm</t>
  </si>
  <si>
    <t>证书</t>
  </si>
  <si>
    <t>zhèng shū</t>
  </si>
  <si>
    <t>certificate; credentials</t>
  </si>
  <si>
    <t>正义</t>
  </si>
  <si>
    <t>zhèng yì</t>
  </si>
  <si>
    <t>just; righteous; proper</t>
  </si>
  <si>
    <t>郑重</t>
  </si>
  <si>
    <t>zhèng zhòng</t>
  </si>
  <si>
    <t>症状</t>
  </si>
  <si>
    <t>zhèng zhuàng</t>
  </si>
  <si>
    <t>symptom</t>
  </si>
  <si>
    <t>正宗</t>
  </si>
  <si>
    <t>zhèng zōng</t>
  </si>
  <si>
    <t>orthodox school, genuine</t>
  </si>
  <si>
    <t>枝</t>
  </si>
  <si>
    <t>branch; twig</t>
  </si>
  <si>
    <t>支撑</t>
  </si>
  <si>
    <t>zhī chēng</t>
  </si>
  <si>
    <t>prop up; sustain; support</t>
  </si>
  <si>
    <t>支出</t>
  </si>
  <si>
    <t>zhī chū</t>
  </si>
  <si>
    <t>pay; disburse; expenses</t>
  </si>
  <si>
    <t>脂肪</t>
  </si>
  <si>
    <t>zhī fáng</t>
  </si>
  <si>
    <t>fat [biology]</t>
  </si>
  <si>
    <t>之际</t>
  </si>
  <si>
    <t>zhī jì</t>
  </si>
  <si>
    <t>during</t>
  </si>
  <si>
    <t>知觉</t>
  </si>
  <si>
    <t>zhī jué</t>
  </si>
  <si>
    <t>consciousness; perception</t>
  </si>
  <si>
    <t>支流</t>
  </si>
  <si>
    <t>zhī liú</t>
  </si>
  <si>
    <t>tributary; effluent</t>
  </si>
  <si>
    <t>支配</t>
  </si>
  <si>
    <t>zhī pèi</t>
  </si>
  <si>
    <t>allocate; budget</t>
  </si>
  <si>
    <t>支援</t>
  </si>
  <si>
    <t>zhī yuán</t>
  </si>
  <si>
    <t>support; assist; aid</t>
  </si>
  <si>
    <t>支柱</t>
  </si>
  <si>
    <t>zhī zhù</t>
  </si>
  <si>
    <t>pillar; support; prop</t>
  </si>
  <si>
    <t>知足常乐</t>
  </si>
  <si>
    <t>zhī zú cháng lè</t>
  </si>
  <si>
    <t>contentment is happiness</t>
  </si>
  <si>
    <t>值班</t>
  </si>
  <si>
    <t>zhí bān</t>
  </si>
  <si>
    <t>be on duty</t>
  </si>
  <si>
    <t>直播</t>
  </si>
  <si>
    <t>zhí bō</t>
  </si>
  <si>
    <t>direct broadcast; live telecast</t>
  </si>
  <si>
    <t>直径</t>
  </si>
  <si>
    <t>zhí jìng</t>
  </si>
  <si>
    <t>calibre</t>
  </si>
  <si>
    <t>殖民地</t>
  </si>
  <si>
    <t>zhí mín dì</t>
  </si>
  <si>
    <t>colony</t>
  </si>
  <si>
    <t>职能</t>
  </si>
  <si>
    <t>zhí néng</t>
  </si>
  <si>
    <t>职位</t>
  </si>
  <si>
    <t>zhí wèi</t>
  </si>
  <si>
    <t>position; post</t>
  </si>
  <si>
    <t>职务</t>
  </si>
  <si>
    <t>post; duties; job</t>
  </si>
  <si>
    <t>执行</t>
  </si>
  <si>
    <t>zhí xíng</t>
  </si>
  <si>
    <t>carry out; execute; implement</t>
  </si>
  <si>
    <t>执着</t>
  </si>
  <si>
    <t>zhí zhuó</t>
  </si>
  <si>
    <t>persistence</t>
  </si>
  <si>
    <t>侄子</t>
  </si>
  <si>
    <t>zhí zi</t>
  </si>
  <si>
    <t>nephew</t>
  </si>
  <si>
    <t>指标</t>
  </si>
  <si>
    <t>zhǐ biāo</t>
  </si>
  <si>
    <t>target; quota; norm</t>
  </si>
  <si>
    <t>指定</t>
  </si>
  <si>
    <t>zhǐ dìng</t>
  </si>
  <si>
    <t>appoint; assign; allocate</t>
  </si>
  <si>
    <t>指甲</t>
  </si>
  <si>
    <t>zhǐ jia</t>
  </si>
  <si>
    <t>fingernail</t>
  </si>
  <si>
    <t>指令</t>
  </si>
  <si>
    <t>zhǐ lìng</t>
  </si>
  <si>
    <t>instruct; order; direct</t>
  </si>
  <si>
    <t>指南针</t>
  </si>
  <si>
    <t>zhǐ nán zhēn</t>
  </si>
  <si>
    <t>compass</t>
  </si>
  <si>
    <t>指示</t>
  </si>
  <si>
    <t>zhǐ shì</t>
  </si>
  <si>
    <t>indicate; point out; directive</t>
  </si>
  <si>
    <t>指望</t>
  </si>
  <si>
    <t>zhǐ wàng</t>
  </si>
  <si>
    <t>look to; count on; look forward to</t>
  </si>
  <si>
    <t>指责</t>
  </si>
  <si>
    <t>zhǐ zé</t>
  </si>
  <si>
    <t>censure; criticise; find fault with</t>
  </si>
  <si>
    <t>治安</t>
  </si>
  <si>
    <t>zhì ān</t>
  </si>
  <si>
    <t>public order; public security</t>
  </si>
  <si>
    <t>制裁</t>
  </si>
  <si>
    <t>zhì cái</t>
  </si>
  <si>
    <t>sanction; punish</t>
  </si>
  <si>
    <t>致辞</t>
  </si>
  <si>
    <t>zhì cí</t>
  </si>
  <si>
    <t>make a speech; address</t>
  </si>
  <si>
    <t>制服</t>
  </si>
  <si>
    <t>zhì fú</t>
  </si>
  <si>
    <t>subdue / bring under control</t>
  </si>
  <si>
    <t>治理</t>
  </si>
  <si>
    <t>zhì lǐ</t>
  </si>
  <si>
    <t>administer; govern; run</t>
  </si>
  <si>
    <t>致力</t>
  </si>
  <si>
    <t>zhì lì</t>
  </si>
  <si>
    <t>to work for</t>
  </si>
  <si>
    <t>智力</t>
  </si>
  <si>
    <t>intelligence; mentality; intellect</t>
  </si>
  <si>
    <t>滞留</t>
  </si>
  <si>
    <t>zhì liú</t>
  </si>
  <si>
    <t>be detained; be held up</t>
  </si>
  <si>
    <t>智能</t>
  </si>
  <si>
    <t>zhì néng</t>
  </si>
  <si>
    <t>intellect; intelligence; brain power</t>
  </si>
  <si>
    <t>志气</t>
  </si>
  <si>
    <t>zhì qì</t>
  </si>
  <si>
    <t>aspiration; ambition</t>
  </si>
  <si>
    <t>智商</t>
  </si>
  <si>
    <t>zhì shāng</t>
  </si>
  <si>
    <t>IQ [Intelligence Quotient]</t>
  </si>
  <si>
    <t>致使</t>
  </si>
  <si>
    <t>zhì shǐ</t>
  </si>
  <si>
    <t>cause; result in; bring about</t>
  </si>
  <si>
    <t>制约</t>
  </si>
  <si>
    <t>zhì yuē</t>
  </si>
  <si>
    <t>restrict; constraint; restraint</t>
  </si>
  <si>
    <t>制止</t>
  </si>
  <si>
    <t>zhì zhǐ</t>
  </si>
  <si>
    <t>restrain; check; repress</t>
  </si>
  <si>
    <t>忠诚</t>
  </si>
  <si>
    <t>zhōng chéng</t>
  </si>
  <si>
    <t>loyal; faithful; staunch</t>
  </si>
  <si>
    <t>终点</t>
  </si>
  <si>
    <t>zhōng diǎn</t>
  </si>
  <si>
    <t>finishing point; destination</t>
  </si>
  <si>
    <t>中断</t>
  </si>
  <si>
    <t>zhōng duàn</t>
  </si>
  <si>
    <t>suspend; cut short; break off; discontinue</t>
  </si>
  <si>
    <t>终究</t>
  </si>
  <si>
    <t>zhōng jiū</t>
  </si>
  <si>
    <t>eventually; in the end; after all</t>
  </si>
  <si>
    <t>中立</t>
  </si>
  <si>
    <t>zhōng lì</t>
  </si>
  <si>
    <t>neutral</t>
  </si>
  <si>
    <t>终身</t>
  </si>
  <si>
    <t>zhōng shēn</t>
  </si>
  <si>
    <t>lifelong</t>
  </si>
  <si>
    <t>忠实</t>
  </si>
  <si>
    <t>zhōng shí</t>
  </si>
  <si>
    <t>true; faithful; loyal; reliable</t>
  </si>
  <si>
    <t>衷心</t>
  </si>
  <si>
    <t>heartfelt; wholehearted; sincere</t>
  </si>
  <si>
    <t>中央</t>
  </si>
  <si>
    <t>zhōng yāng</t>
  </si>
  <si>
    <t>central</t>
  </si>
  <si>
    <t>终止</t>
  </si>
  <si>
    <t>zhōng zhǐ</t>
  </si>
  <si>
    <t>stop; suspend; terminate</t>
  </si>
  <si>
    <t>肿瘤</t>
  </si>
  <si>
    <t>zhǒng liú</t>
  </si>
  <si>
    <t>tumour</t>
  </si>
  <si>
    <t>种子</t>
  </si>
  <si>
    <t>zhǒng zi</t>
  </si>
  <si>
    <t>seed; germ</t>
  </si>
  <si>
    <t>种族</t>
  </si>
  <si>
    <t>zhǒng zú</t>
  </si>
  <si>
    <t>race</t>
  </si>
  <si>
    <t>众所周知</t>
  </si>
  <si>
    <t>zhòng suǒ zhōu zhī</t>
  </si>
  <si>
    <t>as everyone knows</t>
  </si>
  <si>
    <t>重心</t>
  </si>
  <si>
    <t>zhòng xīn</t>
  </si>
  <si>
    <t>heart; core; key point</t>
  </si>
  <si>
    <t>种植</t>
  </si>
  <si>
    <t>zhòng zhí</t>
  </si>
  <si>
    <t>to plant</t>
  </si>
  <si>
    <t>州</t>
  </si>
  <si>
    <t>zhōu</t>
  </si>
  <si>
    <t>[an ancient administrative division]; prefecture</t>
  </si>
  <si>
    <t>粥</t>
  </si>
  <si>
    <t>congee [rice porridge]</t>
  </si>
  <si>
    <t>舟</t>
  </si>
  <si>
    <t>boat</t>
  </si>
  <si>
    <t>周边</t>
  </si>
  <si>
    <t>zhōu biān</t>
  </si>
  <si>
    <t>perimeter; periphery</t>
  </si>
  <si>
    <t>周密</t>
  </si>
  <si>
    <t>zhōu mì</t>
  </si>
  <si>
    <t>careful; thorough</t>
  </si>
  <si>
    <t>周年</t>
  </si>
  <si>
    <t>zhōu nián</t>
  </si>
  <si>
    <t>anniversary</t>
  </si>
  <si>
    <t>周期</t>
  </si>
  <si>
    <t>zhōu qī</t>
  </si>
  <si>
    <t>period; cycle</t>
  </si>
  <si>
    <t>周折</t>
  </si>
  <si>
    <t>zhōu zhé</t>
  </si>
  <si>
    <t>twists and turns; setbacks</t>
  </si>
  <si>
    <t>周转</t>
  </si>
  <si>
    <t>zhōu zhuǎn</t>
  </si>
  <si>
    <t>turnover; have enough to meet the need</t>
  </si>
  <si>
    <t>皱纹</t>
  </si>
  <si>
    <t>zhòu wén</t>
  </si>
  <si>
    <t>wrinkle; crease; ruffle</t>
  </si>
  <si>
    <t>昼夜</t>
  </si>
  <si>
    <t>zhòu yè</t>
  </si>
  <si>
    <t>day and night; round the clock</t>
  </si>
  <si>
    <t>株</t>
  </si>
  <si>
    <t>root and stem of a tree; individual plant; plant</t>
  </si>
  <si>
    <t>诸位</t>
  </si>
  <si>
    <t>zhū wèi</t>
  </si>
  <si>
    <t>ladies and gentlemen; everybody</t>
  </si>
  <si>
    <t>逐年</t>
  </si>
  <si>
    <t>zhú nián</t>
  </si>
  <si>
    <t>year by year; year after year; with each passing year</t>
  </si>
  <si>
    <t>拄</t>
  </si>
  <si>
    <t>主办</t>
  </si>
  <si>
    <t>zhǔ bàn</t>
  </si>
  <si>
    <t>host; hold; organise (event)</t>
  </si>
  <si>
    <t>主导</t>
  </si>
  <si>
    <t>zhǔ dǎo</t>
  </si>
  <si>
    <t>lead; dominant</t>
  </si>
  <si>
    <t>嘱咐</t>
  </si>
  <si>
    <t>zhǔ fù</t>
  </si>
  <si>
    <t>enjoin; exhort; charge (with a task)</t>
  </si>
  <si>
    <t>主管</t>
  </si>
  <si>
    <t>zhǔ guǎn</t>
  </si>
  <si>
    <t>be responsible for; be in charge of</t>
  </si>
  <si>
    <t>主流</t>
  </si>
  <si>
    <t>zhǔ liú</t>
  </si>
  <si>
    <t>main stream</t>
  </si>
  <si>
    <t>主权</t>
  </si>
  <si>
    <t>zhǔ quán</t>
  </si>
  <si>
    <t>sovereign rights; sovereignty</t>
  </si>
  <si>
    <t>主义</t>
  </si>
  <si>
    <t>zhǔ yì</t>
  </si>
  <si>
    <t>militarism</t>
  </si>
  <si>
    <t>助理</t>
  </si>
  <si>
    <t>zhù lǐ</t>
  </si>
  <si>
    <t>assistant</t>
  </si>
  <si>
    <t>注射</t>
  </si>
  <si>
    <t>zhù shè</t>
  </si>
  <si>
    <t>injection</t>
  </si>
  <si>
    <t>注释</t>
  </si>
  <si>
    <t>zhù shì</t>
  </si>
  <si>
    <t>explanatory note</t>
  </si>
  <si>
    <t>注视</t>
  </si>
  <si>
    <t>gaze at; have one's eye on</t>
  </si>
  <si>
    <t>助手</t>
  </si>
  <si>
    <t>zhù shǒu</t>
  </si>
  <si>
    <t>helper; aide; assistant</t>
  </si>
  <si>
    <t>铸造</t>
  </si>
  <si>
    <t>zhù zào</t>
  </si>
  <si>
    <t>foundry; cast</t>
  </si>
  <si>
    <t>驻扎</t>
  </si>
  <si>
    <t>zhù zhā</t>
  </si>
  <si>
    <t>be stationed; be quartered</t>
  </si>
  <si>
    <t>住宅</t>
  </si>
  <si>
    <t>zhù zhái</t>
  </si>
  <si>
    <t>residence</t>
  </si>
  <si>
    <t>注重</t>
  </si>
  <si>
    <t>zhù zhòng</t>
  </si>
  <si>
    <t>lay stress on; emphasise</t>
  </si>
  <si>
    <t>著作</t>
  </si>
  <si>
    <t>zhù zuò</t>
  </si>
  <si>
    <t>work; writings; opus</t>
  </si>
  <si>
    <t>拽</t>
  </si>
  <si>
    <t>zhuài</t>
  </si>
  <si>
    <t>drag; haul; pull</t>
  </si>
  <si>
    <t>砖</t>
  </si>
  <si>
    <t>zhuān</t>
  </si>
  <si>
    <t>brick</t>
  </si>
  <si>
    <t>专长</t>
  </si>
  <si>
    <t>zhuān cháng</t>
  </si>
  <si>
    <t>speciality</t>
  </si>
  <si>
    <t>专程</t>
  </si>
  <si>
    <t>zhuān chéng</t>
  </si>
  <si>
    <t>special trip</t>
  </si>
  <si>
    <t>专利</t>
  </si>
  <si>
    <t>zhuān lì</t>
  </si>
  <si>
    <t>patent</t>
  </si>
  <si>
    <t>专题</t>
  </si>
  <si>
    <t>zhuān tí</t>
  </si>
  <si>
    <t>special topic</t>
  </si>
  <si>
    <t>转达</t>
  </si>
  <si>
    <t>zhuǎn dá</t>
  </si>
  <si>
    <t>pass on; convey; communicate</t>
  </si>
  <si>
    <t>转让</t>
  </si>
  <si>
    <t>zhuǎn ràng</t>
  </si>
  <si>
    <t>transfer the possession of; assign</t>
  </si>
  <si>
    <t>转移</t>
  </si>
  <si>
    <t>zhuǎn yí</t>
  </si>
  <si>
    <t>shift; transfer; divert</t>
  </si>
  <si>
    <t>转折</t>
  </si>
  <si>
    <t>zhuǎn zhé</t>
  </si>
  <si>
    <t>a turn in the course of events; transition</t>
  </si>
  <si>
    <t>传记</t>
  </si>
  <si>
    <t>zhuàn jì</t>
  </si>
  <si>
    <t>biography</t>
  </si>
  <si>
    <t>装备</t>
  </si>
  <si>
    <t>zhuāng bèi</t>
  </si>
  <si>
    <t>equip; fit out</t>
  </si>
  <si>
    <t>庄稼</t>
  </si>
  <si>
    <t>zhuāng jia</t>
  </si>
  <si>
    <t>farm crop</t>
  </si>
  <si>
    <t>装卸</t>
  </si>
  <si>
    <t>zhuāng xiè</t>
  </si>
  <si>
    <t>load and unload; assemble and disassemble</t>
  </si>
  <si>
    <t>庄严</t>
  </si>
  <si>
    <t>zhuāng yán</t>
  </si>
  <si>
    <t>solemn; dignified; stately</t>
  </si>
  <si>
    <t>庄重</t>
  </si>
  <si>
    <t>zhuāng zhòng</t>
  </si>
  <si>
    <t>serious; grave; solemn</t>
  </si>
  <si>
    <t>幢</t>
  </si>
  <si>
    <t>streamer [used in ancient China]; [measure word for buildings]</t>
  </si>
  <si>
    <t>壮观</t>
  </si>
  <si>
    <t>zhuàng guān</t>
  </si>
  <si>
    <t>magnificent sight</t>
  </si>
  <si>
    <t>壮丽</t>
  </si>
  <si>
    <t>zhuàng lì</t>
  </si>
  <si>
    <t>majestic; magnificent; glorious</t>
  </si>
  <si>
    <t>壮烈</t>
  </si>
  <si>
    <t>zhuàng liè</t>
  </si>
  <si>
    <t>heroic; brave</t>
  </si>
  <si>
    <t>追悼</t>
  </si>
  <si>
    <t>zhuī dào</t>
  </si>
  <si>
    <t>mourn over a person's death</t>
  </si>
  <si>
    <t>追究</t>
  </si>
  <si>
    <t>zhuī jiū</t>
  </si>
  <si>
    <t>look into; find out; investigate</t>
  </si>
  <si>
    <t>坠</t>
  </si>
  <si>
    <t>zhuì</t>
  </si>
  <si>
    <t>to fall</t>
  </si>
  <si>
    <t>准则</t>
  </si>
  <si>
    <t>zhǔn zé</t>
  </si>
  <si>
    <t>norm; standard; criterion</t>
  </si>
  <si>
    <t>琢磨</t>
  </si>
  <si>
    <t>zhuó mó</t>
  </si>
  <si>
    <t>carve and polish; improve; refine</t>
  </si>
  <si>
    <t>着手</t>
  </si>
  <si>
    <t>zhuó shǒu</t>
  </si>
  <si>
    <t>put one's hand to; set about</t>
  </si>
  <si>
    <t>着想</t>
  </si>
  <si>
    <t>zhuó xiǎng</t>
  </si>
  <si>
    <t>consider; take into consideration</t>
  </si>
  <si>
    <t>卓越</t>
  </si>
  <si>
    <t>zhuó yuè</t>
  </si>
  <si>
    <t>outstanding; brilliant; remarkable</t>
  </si>
  <si>
    <t>着重</t>
  </si>
  <si>
    <t>zhuó zhòng</t>
  </si>
  <si>
    <t>stress; emphasise</t>
  </si>
  <si>
    <t>资本</t>
  </si>
  <si>
    <t>zī běn</t>
  </si>
  <si>
    <t>capital [economics]</t>
  </si>
  <si>
    <t>资产</t>
  </si>
  <si>
    <t>zī chǎn</t>
  </si>
  <si>
    <t>property; means; capital</t>
  </si>
  <si>
    <t>滋润</t>
  </si>
  <si>
    <t>zī rùn</t>
  </si>
  <si>
    <t>资深</t>
  </si>
  <si>
    <t>zī shēn</t>
  </si>
  <si>
    <t>senior; veteran; experienced</t>
  </si>
  <si>
    <t>姿态</t>
  </si>
  <si>
    <t>zī tài</t>
  </si>
  <si>
    <t>gesture; posture; one's bearing or carriag</t>
  </si>
  <si>
    <t>滋味</t>
  </si>
  <si>
    <t>zī wèi</t>
  </si>
  <si>
    <t>taste; tang; flavour</t>
  </si>
  <si>
    <t>资助</t>
  </si>
  <si>
    <t>zī zhù</t>
  </si>
  <si>
    <t>aid financially; subsidise</t>
  </si>
  <si>
    <t>子弹</t>
  </si>
  <si>
    <t>zǐ dàn</t>
  </si>
  <si>
    <t>bullet; cartridge; ammunition</t>
  </si>
  <si>
    <t>自卑</t>
  </si>
  <si>
    <t>zì bēi</t>
  </si>
  <si>
    <t>feel oneself inferior</t>
  </si>
  <si>
    <t>自发</t>
  </si>
  <si>
    <t>zì fā</t>
  </si>
  <si>
    <t>spontaneous</t>
  </si>
  <si>
    <t>自力更生</t>
  </si>
  <si>
    <t>zì lì gēng shēng</t>
  </si>
  <si>
    <t>rely on one's own efforts</t>
  </si>
  <si>
    <t>自满</t>
  </si>
  <si>
    <t>zì mǎn</t>
  </si>
  <si>
    <t>complacent; self-satisfied</t>
  </si>
  <si>
    <t>自主</t>
  </si>
  <si>
    <t>zì zhǔ</t>
  </si>
  <si>
    <t>act on one's own; decide for oneself</t>
  </si>
  <si>
    <t>踪迹</t>
  </si>
  <si>
    <t>zōng jì</t>
  </si>
  <si>
    <t>trail; trace; track</t>
  </si>
  <si>
    <t>宗教</t>
  </si>
  <si>
    <t>zōng jiào</t>
  </si>
  <si>
    <t>religion</t>
  </si>
  <si>
    <t>棕色</t>
  </si>
  <si>
    <t>zōng sè</t>
  </si>
  <si>
    <t>brown</t>
  </si>
  <si>
    <t>宗旨</t>
  </si>
  <si>
    <t>zōng zhǐ</t>
  </si>
  <si>
    <t>aim; purpose</t>
  </si>
  <si>
    <t>总而言之</t>
  </si>
  <si>
    <t>zǒng ér yán zhī</t>
  </si>
  <si>
    <t>to make a long story short; all in all; generally speaking</t>
  </si>
  <si>
    <t>总和</t>
  </si>
  <si>
    <t>zǒng hé</t>
  </si>
  <si>
    <t>sum; total</t>
  </si>
  <si>
    <t>纵横</t>
  </si>
  <si>
    <t>zòng héng</t>
  </si>
  <si>
    <t>criss-cross; with great ease; freely</t>
  </si>
  <si>
    <t>走廊</t>
  </si>
  <si>
    <t>zǒu láng</t>
  </si>
  <si>
    <t>corridor</t>
  </si>
  <si>
    <t>走漏</t>
  </si>
  <si>
    <t>zǒu lòu</t>
  </si>
  <si>
    <t>leak out; divulge</t>
  </si>
  <si>
    <t>走私</t>
  </si>
  <si>
    <t>zǒu sī</t>
  </si>
  <si>
    <t>smuggle</t>
  </si>
  <si>
    <t>揍</t>
  </si>
  <si>
    <t>zòu</t>
  </si>
  <si>
    <t>beat; break; smash</t>
  </si>
  <si>
    <t>租赁</t>
  </si>
  <si>
    <t>zū lìn</t>
  </si>
  <si>
    <t>rent; lease; hire</t>
  </si>
  <si>
    <t>足以</t>
  </si>
  <si>
    <t>zú yǐ</t>
  </si>
  <si>
    <t>enough to; sufficient to</t>
  </si>
  <si>
    <t>阻碍</t>
  </si>
  <si>
    <t>zǔ ài</t>
  </si>
  <si>
    <t>hinder; block; impede</t>
  </si>
  <si>
    <t>祖父</t>
  </si>
  <si>
    <t>zǔ fù</t>
  </si>
  <si>
    <t>祖国</t>
  </si>
  <si>
    <t>zǔ guó</t>
  </si>
  <si>
    <t>homeland; native land</t>
  </si>
  <si>
    <t>阻拦</t>
  </si>
  <si>
    <t>zǔ lán</t>
  </si>
  <si>
    <t>stop; prevent; obstruct</t>
  </si>
  <si>
    <t>阻挠</t>
  </si>
  <si>
    <t>zǔ náo</t>
  </si>
  <si>
    <t>obstruct; thwart; stand in the way</t>
  </si>
  <si>
    <t>祖先</t>
  </si>
  <si>
    <t>zǔ xiān</t>
  </si>
  <si>
    <t>ancestors; forefathers</t>
  </si>
  <si>
    <t>钻研</t>
  </si>
  <si>
    <t>zuān yán</t>
  </si>
  <si>
    <t>study intensively; dig into</t>
  </si>
  <si>
    <t>钻石</t>
  </si>
  <si>
    <t>zuàn shí</t>
  </si>
  <si>
    <t>diamond; jewel</t>
  </si>
  <si>
    <t>嘴唇</t>
  </si>
  <si>
    <t>zuǐ chún</t>
  </si>
  <si>
    <t>lip</t>
  </si>
  <si>
    <t>罪犯</t>
  </si>
  <si>
    <t>zuì fàn</t>
  </si>
  <si>
    <t>criminal; offender; culprit</t>
  </si>
  <si>
    <t>遵循</t>
  </si>
  <si>
    <t>zūn xún</t>
  </si>
  <si>
    <t>follow; abide by; adhere to</t>
  </si>
  <si>
    <t>尊严</t>
  </si>
  <si>
    <t>zūn yán</t>
  </si>
  <si>
    <t>dignity; honour</t>
  </si>
  <si>
    <t>作弊</t>
  </si>
  <si>
    <t>zuò bì</t>
  </si>
  <si>
    <t>defraud; cheat</t>
  </si>
  <si>
    <t>作废</t>
  </si>
  <si>
    <t>zuò fèi</t>
  </si>
  <si>
    <t>cancel; delete; nullify</t>
  </si>
  <si>
    <t>作风</t>
  </si>
  <si>
    <t>zuò fēng</t>
  </si>
  <si>
    <t>style (of work)</t>
  </si>
  <si>
    <t>作息</t>
  </si>
  <si>
    <t>zuò xī</t>
  </si>
  <si>
    <t>work and rest</t>
  </si>
  <si>
    <t>座右铭</t>
  </si>
  <si>
    <t>zuò yòu míng</t>
  </si>
  <si>
    <t>motto; maxim</t>
  </si>
  <si>
    <t>做主</t>
  </si>
  <si>
    <t>zuò zhǔ</t>
  </si>
  <si>
    <t>take the responsibility for a decision</t>
  </si>
  <si>
    <t>挨家挨户</t>
  </si>
  <si>
    <t>āi jiā āi hù</t>
  </si>
  <si>
    <t>from house to house / visit every household</t>
  </si>
  <si>
    <t>哀求</t>
  </si>
  <si>
    <t>āi qiú</t>
  </si>
  <si>
    <t>Beg / plead</t>
  </si>
  <si>
    <t>癌</t>
  </si>
  <si>
    <t>Cancer</t>
  </si>
  <si>
    <t>爱慕</t>
  </si>
  <si>
    <t>ài mù</t>
  </si>
  <si>
    <t>Love</t>
  </si>
  <si>
    <t>碍事</t>
  </si>
  <si>
    <t>ài shì</t>
  </si>
  <si>
    <t>动、形</t>
  </si>
  <si>
    <t>cause trouble / impede / be in the way</t>
  </si>
  <si>
    <t>艾滋病</t>
  </si>
  <si>
    <t>ài zī bìng</t>
  </si>
  <si>
    <t>AIDS</t>
  </si>
  <si>
    <t>安定</t>
  </si>
  <si>
    <t>ān dìng</t>
  </si>
  <si>
    <t>形、动</t>
  </si>
  <si>
    <t>Stable / Stabilize</t>
  </si>
  <si>
    <t>安抚</t>
  </si>
  <si>
    <t>ān fǔ</t>
  </si>
  <si>
    <t>Pacify / Comfort</t>
  </si>
  <si>
    <t>安眠药</t>
  </si>
  <si>
    <t>ān mián yào</t>
  </si>
  <si>
    <t>Sleeping pill</t>
  </si>
  <si>
    <t>安稳</t>
  </si>
  <si>
    <t>ān wěn</t>
  </si>
  <si>
    <t>Safe and sound / Secure</t>
  </si>
  <si>
    <t>安心</t>
  </si>
  <si>
    <t>ān xīn</t>
  </si>
  <si>
    <t>Feel relieved / Feel at ease</t>
  </si>
  <si>
    <t>安逸</t>
  </si>
  <si>
    <t>ān yì</t>
  </si>
  <si>
    <t>Comfortable / Easy</t>
  </si>
  <si>
    <t>暗地里</t>
  </si>
  <si>
    <t>àn dì lǐ</t>
  </si>
  <si>
    <t>In secret / Behind the scenes</t>
  </si>
  <si>
    <t>按理</t>
  </si>
  <si>
    <t>àn lǐ</t>
  </si>
  <si>
    <t>Logically speaking</t>
  </si>
  <si>
    <t>按钮</t>
  </si>
  <si>
    <t>àn niǔ</t>
  </si>
  <si>
    <t>Button</t>
  </si>
  <si>
    <t>按说</t>
  </si>
  <si>
    <t>àn shuō</t>
  </si>
  <si>
    <t>Presumably / According to reason</t>
  </si>
  <si>
    <t>暗中</t>
  </si>
  <si>
    <t>àn zhōng</t>
  </si>
  <si>
    <t>In secret / in private</t>
  </si>
  <si>
    <t>凹</t>
  </si>
  <si>
    <t>āo</t>
  </si>
  <si>
    <t>Concave / Sunken</t>
  </si>
  <si>
    <t>傲</t>
  </si>
  <si>
    <t>ào</t>
  </si>
  <si>
    <t>Proud / Arrogant</t>
  </si>
  <si>
    <t>傲慢</t>
  </si>
  <si>
    <t>ào màn</t>
  </si>
  <si>
    <t>Arrogant</t>
  </si>
  <si>
    <t>八成</t>
  </si>
  <si>
    <t>bā chéng</t>
  </si>
  <si>
    <t>数量、副</t>
  </si>
  <si>
    <t>Eighty percent</t>
  </si>
  <si>
    <t>八卦</t>
  </si>
  <si>
    <t>bā guà</t>
  </si>
  <si>
    <t>Gossip</t>
  </si>
  <si>
    <t>芭蕾</t>
  </si>
  <si>
    <t>bā lěi</t>
  </si>
  <si>
    <t>Ballet</t>
  </si>
  <si>
    <t>巴掌</t>
  </si>
  <si>
    <t>bā zhǎng</t>
  </si>
  <si>
    <t>Slap</t>
  </si>
  <si>
    <t>拔</t>
  </si>
  <si>
    <t>pull</t>
  </si>
  <si>
    <t>把柄</t>
  </si>
  <si>
    <t>bǎ bǐng</t>
  </si>
  <si>
    <t>Handle / Grip</t>
  </si>
  <si>
    <t>靶子</t>
  </si>
  <si>
    <t>bǎ zi</t>
  </si>
  <si>
    <t>Target / Bullseye</t>
  </si>
  <si>
    <t>坝</t>
  </si>
  <si>
    <t>bà</t>
  </si>
  <si>
    <t>Dam / Embankment / Levee</t>
  </si>
  <si>
    <t>罢了</t>
  </si>
  <si>
    <t>bà le</t>
  </si>
  <si>
    <t>That's it.</t>
  </si>
  <si>
    <t>罢免</t>
  </si>
  <si>
    <t>bà miǎn</t>
  </si>
  <si>
    <t>Recall (from office)</t>
  </si>
  <si>
    <t>罢休</t>
  </si>
  <si>
    <t>bà xiū</t>
  </si>
  <si>
    <t>Give up</t>
  </si>
  <si>
    <t>霸占</t>
  </si>
  <si>
    <t>bà zhàn</t>
  </si>
  <si>
    <t>Annex / Usurp</t>
  </si>
  <si>
    <t>百般</t>
  </si>
  <si>
    <t>bǎi bān</t>
  </si>
  <si>
    <t>副、数量</t>
  </si>
  <si>
    <t>All kinds of things</t>
  </si>
  <si>
    <t>摆动</t>
  </si>
  <si>
    <t>bǎi dòng</t>
  </si>
  <si>
    <t>Swing</t>
  </si>
  <si>
    <t>百分比</t>
  </si>
  <si>
    <t>bǎi fēn bǐ</t>
  </si>
  <si>
    <t>Percentage</t>
  </si>
  <si>
    <t>百合</t>
  </si>
  <si>
    <t>bǎi hé</t>
  </si>
  <si>
    <t>lily</t>
  </si>
  <si>
    <t>百科全书</t>
  </si>
  <si>
    <t>bǎi kē quán shū</t>
  </si>
  <si>
    <t>Encyclopedia / Comprehensive book containing a wide range of knowledge</t>
  </si>
  <si>
    <t>摆平</t>
  </si>
  <si>
    <t>bǎi píng</t>
  </si>
  <si>
    <t>Smooth over / Make peace</t>
  </si>
  <si>
    <t>摆设</t>
  </si>
  <si>
    <t>bǎi shè</t>
  </si>
  <si>
    <t>Ornament / Decoration</t>
  </si>
  <si>
    <t>柏树</t>
  </si>
  <si>
    <t>bǎi shù</t>
  </si>
  <si>
    <t>Cypress tree</t>
  </si>
  <si>
    <t>拜会</t>
  </si>
  <si>
    <t>bài huì</t>
  </si>
  <si>
    <t>Pay a visit / Call on</t>
  </si>
  <si>
    <t>拜见</t>
  </si>
  <si>
    <t>bài jiàn</t>
  </si>
  <si>
    <t>扳</t>
  </si>
  <si>
    <t>Pull / Pull out</t>
  </si>
  <si>
    <t>斑点</t>
  </si>
  <si>
    <t>bān diǎn</t>
  </si>
  <si>
    <t>Speckle / spot</t>
  </si>
  <si>
    <t>颁奖</t>
  </si>
  <si>
    <t>bān jiǎng</t>
  </si>
  <si>
    <t>Award / Present a prize</t>
  </si>
  <si>
    <t>斑马线</t>
  </si>
  <si>
    <t>bān mǎ xiàn</t>
  </si>
  <si>
    <t>Zebra crossing</t>
  </si>
  <si>
    <t>搬迁</t>
  </si>
  <si>
    <t>bān qiān</t>
  </si>
  <si>
    <t>Relocate / Move</t>
  </si>
  <si>
    <t>板块</t>
  </si>
  <si>
    <t>bǎn kuài</t>
  </si>
  <si>
    <t>Plate / sector</t>
  </si>
  <si>
    <t>版权</t>
  </si>
  <si>
    <t>bǎn quán</t>
  </si>
  <si>
    <t>Copyright</t>
  </si>
  <si>
    <t>伴</t>
  </si>
  <si>
    <t>动、名</t>
  </si>
  <si>
    <t>Accompany / Companion</t>
  </si>
  <si>
    <t>扮</t>
  </si>
  <si>
    <t>Dress up / Disguise</t>
  </si>
  <si>
    <t>拌</t>
  </si>
  <si>
    <t>Mix / Stir</t>
  </si>
  <si>
    <t>绊</t>
  </si>
  <si>
    <t>stumble</t>
  </si>
  <si>
    <t>半边天</t>
  </si>
  <si>
    <t>bàn biān tiān</t>
  </si>
  <si>
    <t>Half the sky / Important role</t>
  </si>
  <si>
    <t>半岛</t>
  </si>
  <si>
    <t>bàn dǎo</t>
  </si>
  <si>
    <t>Peninsula</t>
  </si>
  <si>
    <t>半导体</t>
  </si>
  <si>
    <t>bàn dǎo tǐ</t>
  </si>
  <si>
    <t>Semiconductor</t>
  </si>
  <si>
    <t>绊脚石</t>
  </si>
  <si>
    <t>bàn jiǎo shí</t>
  </si>
  <si>
    <t>Stumbling block</t>
  </si>
  <si>
    <t>半径</t>
  </si>
  <si>
    <t>bàn jīng</t>
  </si>
  <si>
    <t>Radius</t>
  </si>
  <si>
    <t>办事处</t>
  </si>
  <si>
    <t>bàn shì chù</t>
  </si>
  <si>
    <t>Office</t>
  </si>
  <si>
    <t>半数</t>
  </si>
  <si>
    <t>bàn shù</t>
  </si>
  <si>
    <t>Half of a number / half the amount</t>
  </si>
  <si>
    <t>半信半疑</t>
  </si>
  <si>
    <t>bàn xìn bàn yí</t>
  </si>
  <si>
    <t>half-believing and half-doubting / skeptical</t>
  </si>
  <si>
    <t>办学</t>
  </si>
  <si>
    <t>bàn xué</t>
  </si>
  <si>
    <t>run a school</t>
  </si>
  <si>
    <t>伴奏</t>
  </si>
  <si>
    <t>bàn zòu</t>
  </si>
  <si>
    <t>Accompaniment</t>
  </si>
  <si>
    <t>帮手</t>
  </si>
  <si>
    <t>bāng shou</t>
  </si>
  <si>
    <t>Helper / Assistant</t>
  </si>
  <si>
    <t>绑</t>
  </si>
  <si>
    <t>bǎng</t>
  </si>
  <si>
    <t>To tie / To bind</t>
  </si>
  <si>
    <t>剥</t>
  </si>
  <si>
    <t>Peel / Strip / Shell</t>
  </si>
  <si>
    <t>煲</t>
  </si>
  <si>
    <t>名、动</t>
  </si>
  <si>
    <t>Pot / Casserole / To cook in a pot</t>
  </si>
  <si>
    <t>褒贬</t>
  </si>
  <si>
    <t>bāo biǎn</t>
  </si>
  <si>
    <t>Praise or criticism</t>
  </si>
  <si>
    <t>包罗万象</t>
  </si>
  <si>
    <t>bāo luó wàn xiàng</t>
  </si>
  <si>
    <t>All-encompassing</t>
  </si>
  <si>
    <t>包容</t>
  </si>
  <si>
    <t>bāo róng</t>
  </si>
  <si>
    <t>Tolerate / accommodate</t>
  </si>
  <si>
    <t>包扎</t>
  </si>
  <si>
    <t>bāo zā</t>
  </si>
  <si>
    <t>Bandage / dress a wound</t>
  </si>
  <si>
    <t>宝库</t>
  </si>
  <si>
    <t>bǎo kù</t>
  </si>
  <si>
    <t>Treasury / Treasure house</t>
  </si>
  <si>
    <t>堡垒</t>
  </si>
  <si>
    <t>bǎo lěi</t>
  </si>
  <si>
    <t>Fortress / stronghold</t>
  </si>
  <si>
    <t>饱满</t>
  </si>
  <si>
    <t>bǎo mǎn</t>
  </si>
  <si>
    <t>Full / Satisfied</t>
  </si>
  <si>
    <t>宝石</t>
  </si>
  <si>
    <t>bǎo shí</t>
  </si>
  <si>
    <t>Gemstone</t>
  </si>
  <si>
    <t>保鲜</t>
  </si>
  <si>
    <t>bǎo xiān</t>
  </si>
  <si>
    <t>Keep fresh</t>
  </si>
  <si>
    <t>保佑</t>
  </si>
  <si>
    <t>bǎo yòu</t>
  </si>
  <si>
    <t>Bless</t>
  </si>
  <si>
    <t>宝藏</t>
  </si>
  <si>
    <t>bǎo zàng</t>
  </si>
  <si>
    <t>Treasure trove</t>
  </si>
  <si>
    <t>豹</t>
  </si>
  <si>
    <t>Leopard / Panther</t>
  </si>
  <si>
    <t>报</t>
  </si>
  <si>
    <t>news / report</t>
  </si>
  <si>
    <t>报案</t>
  </si>
  <si>
    <t>bào àn</t>
  </si>
  <si>
    <t>Report the case</t>
  </si>
  <si>
    <t>报废</t>
  </si>
  <si>
    <t>bào fèi</t>
  </si>
  <si>
    <t>Declare as waste / Scrap</t>
  </si>
  <si>
    <t>暴风骤雨</t>
  </si>
  <si>
    <t>bào fēng zhòu yǔ</t>
  </si>
  <si>
    <t>a violent storm / torrential rain</t>
  </si>
  <si>
    <t>暴利</t>
  </si>
  <si>
    <t>Huge profits / windfall profits</t>
  </si>
  <si>
    <t>爆满</t>
  </si>
  <si>
    <t>bào mǎn</t>
  </si>
  <si>
    <t>packed / filled to capacity</t>
  </si>
  <si>
    <t>暴躁</t>
  </si>
  <si>
    <t>bào zào</t>
  </si>
  <si>
    <t>Hot-tempered / irritable</t>
  </si>
  <si>
    <t>爆竹</t>
  </si>
  <si>
    <t>bào zhú</t>
  </si>
  <si>
    <t>firecracker</t>
  </si>
  <si>
    <t>碑</t>
  </si>
  <si>
    <t>bēi</t>
  </si>
  <si>
    <t>Monument / Stele</t>
  </si>
  <si>
    <t>背负</t>
  </si>
  <si>
    <t>bēi fù</t>
  </si>
  <si>
    <t>Carry</t>
  </si>
  <si>
    <t>悲欢离合</t>
  </si>
  <si>
    <t>bēi huān lí hé</t>
  </si>
  <si>
    <t>the ups and downs of life / the joys and sorrows of life</t>
  </si>
  <si>
    <t>悲痛</t>
  </si>
  <si>
    <t>bēi tòng</t>
  </si>
  <si>
    <t>Grief / Sorrow</t>
  </si>
  <si>
    <t>卑微</t>
  </si>
  <si>
    <t>bēi wēi</t>
  </si>
  <si>
    <t>lowly</t>
  </si>
  <si>
    <t>备</t>
  </si>
  <si>
    <t>动、副</t>
  </si>
  <si>
    <t>prepare</t>
  </si>
  <si>
    <t>备课</t>
  </si>
  <si>
    <t>bèi kè</t>
  </si>
  <si>
    <t>Prepare a lesson / get ready for class</t>
  </si>
  <si>
    <t>背面</t>
  </si>
  <si>
    <t>bèi miàn</t>
  </si>
  <si>
    <t>Back side</t>
  </si>
  <si>
    <t>背影</t>
  </si>
  <si>
    <t>bèi yǐng</t>
  </si>
  <si>
    <t>Back view</t>
  </si>
  <si>
    <t>备战</t>
  </si>
  <si>
    <t>bèi zhàn</t>
  </si>
  <si>
    <t>Prepare for battle</t>
  </si>
  <si>
    <t>奔赴</t>
  </si>
  <si>
    <t>bēn fù</t>
  </si>
  <si>
    <t>Hurry off to / rush to</t>
  </si>
  <si>
    <t>本分</t>
  </si>
  <si>
    <t>běn fèn</t>
  </si>
  <si>
    <t>名、形</t>
  </si>
  <si>
    <t>Duty / responsibility</t>
  </si>
  <si>
    <t>本色</t>
  </si>
  <si>
    <t>běn sè</t>
  </si>
  <si>
    <t>True colors / true nature</t>
  </si>
  <si>
    <t>本性</t>
  </si>
  <si>
    <t>běn xìng</t>
  </si>
  <si>
    <t>Nature / inherent quality</t>
  </si>
  <si>
    <t>本意</t>
  </si>
  <si>
    <t>běn yì</t>
  </si>
  <si>
    <t>Original intention / original meaning</t>
  </si>
  <si>
    <t>本着</t>
  </si>
  <si>
    <t>běn zhe</t>
  </si>
  <si>
    <t>In accordance with / based on</t>
  </si>
  <si>
    <t>奔</t>
  </si>
  <si>
    <t>Run / Rush</t>
  </si>
  <si>
    <t>笨蛋</t>
  </si>
  <si>
    <t>bèn dàn</t>
  </si>
  <si>
    <t>idiot / fool</t>
  </si>
  <si>
    <t>笨重</t>
  </si>
  <si>
    <t>bèn zhòng</t>
  </si>
  <si>
    <t>bulky / heavy</t>
  </si>
  <si>
    <t>绷</t>
  </si>
  <si>
    <t>bēng</t>
  </si>
  <si>
    <t>To stretch / To pull tight</t>
  </si>
  <si>
    <t>绷带</t>
  </si>
  <si>
    <t>bēng dài</t>
  </si>
  <si>
    <t>Bandage</t>
  </si>
  <si>
    <t>逼近</t>
  </si>
  <si>
    <t>bī jìn</t>
  </si>
  <si>
    <t>Approach</t>
  </si>
  <si>
    <t>逼真</t>
  </si>
  <si>
    <t>bī zhēn</t>
  </si>
  <si>
    <t>Realistic</t>
  </si>
  <si>
    <t>比比皆是</t>
  </si>
  <si>
    <t>bǐ bǐ jiē shì</t>
  </si>
  <si>
    <t>everywhere / all over the place</t>
  </si>
  <si>
    <t>笔墨</t>
  </si>
  <si>
    <t>bǐ mò</t>
  </si>
  <si>
    <t>Brush and ink</t>
  </si>
  <si>
    <t>比试</t>
  </si>
  <si>
    <t>bǐ shi</t>
  </si>
  <si>
    <t>To compete / to have a contest</t>
  </si>
  <si>
    <t>必不可少</t>
  </si>
  <si>
    <t>bì bù kě shǎo</t>
  </si>
  <si>
    <t>absolutely necessary / indispensable</t>
  </si>
  <si>
    <t>必定</t>
  </si>
  <si>
    <t>bì dìng</t>
  </si>
  <si>
    <t>Surely / Certainly</t>
  </si>
  <si>
    <t>壁画</t>
  </si>
  <si>
    <t>bì huà</t>
  </si>
  <si>
    <t>Mural / wall painting</t>
  </si>
  <si>
    <t>必将</t>
  </si>
  <si>
    <t>bì jiāng</t>
  </si>
  <si>
    <t>Surely</t>
  </si>
  <si>
    <t>壁垒</t>
  </si>
  <si>
    <t>bì lěi</t>
  </si>
  <si>
    <t>Barrier</t>
  </si>
  <si>
    <t>碧绿</t>
  </si>
  <si>
    <t>bì lǜ</t>
  </si>
  <si>
    <t>emerald green</t>
  </si>
  <si>
    <t>避难</t>
  </si>
  <si>
    <t>bì nàn</t>
  </si>
  <si>
    <t>Take refuge</t>
  </si>
  <si>
    <t>避让</t>
  </si>
  <si>
    <t>bì ràng</t>
  </si>
  <si>
    <t>Make way</t>
  </si>
  <si>
    <t>毕生</t>
  </si>
  <si>
    <t>bì shēng</t>
  </si>
  <si>
    <t>All one's life</t>
  </si>
  <si>
    <t>避暑</t>
  </si>
  <si>
    <t>bì shǔ</t>
  </si>
  <si>
    <t>Avoid the summer heat</t>
  </si>
  <si>
    <t>编程</t>
  </si>
  <si>
    <t>biān chéng</t>
  </si>
  <si>
    <t>Programming</t>
  </si>
  <si>
    <t>编号</t>
  </si>
  <si>
    <t>biān hào</t>
  </si>
  <si>
    <t>Numbering</t>
  </si>
  <si>
    <t>编剧</t>
  </si>
  <si>
    <t>biān jù</t>
  </si>
  <si>
    <t>Screenwriter</t>
  </si>
  <si>
    <t>编排</t>
  </si>
  <si>
    <t>biān pái</t>
  </si>
  <si>
    <t>Arrange</t>
  </si>
  <si>
    <t>边远</t>
  </si>
  <si>
    <t>biān yuǎn</t>
  </si>
  <si>
    <t>Remote</t>
  </si>
  <si>
    <t>编造</t>
  </si>
  <si>
    <t>biān zào</t>
  </si>
  <si>
    <t>Fabricate</t>
  </si>
  <si>
    <t>编制</t>
  </si>
  <si>
    <t>biān zhì</t>
  </si>
  <si>
    <t>Compilation</t>
  </si>
  <si>
    <t>贬值</t>
  </si>
  <si>
    <t>biǎn zhí</t>
  </si>
  <si>
    <t>Depreciate</t>
  </si>
  <si>
    <t>辩</t>
  </si>
  <si>
    <t>To debate / To argue</t>
  </si>
  <si>
    <t>辨别</t>
  </si>
  <si>
    <t>biàn bié</t>
  </si>
  <si>
    <t>Distinguish</t>
  </si>
  <si>
    <t>便饭</t>
  </si>
  <si>
    <t>biàn fàn</t>
  </si>
  <si>
    <t>Simple meal</t>
  </si>
  <si>
    <t>变革</t>
  </si>
  <si>
    <t>biàn gé</t>
  </si>
  <si>
    <t>Reform / transformation</t>
  </si>
  <si>
    <t>变更</t>
  </si>
  <si>
    <t>biàn gēng</t>
  </si>
  <si>
    <t>Change</t>
  </si>
  <si>
    <t>变换</t>
  </si>
  <si>
    <t>biàn huàn</t>
  </si>
  <si>
    <t>Transformation</t>
  </si>
  <si>
    <t>变幻莫测</t>
  </si>
  <si>
    <t>biàn huàn mò cè</t>
  </si>
  <si>
    <t>unpredictable / ever-changing</t>
  </si>
  <si>
    <t>变通</t>
  </si>
  <si>
    <t>biàn tōng</t>
  </si>
  <si>
    <t>Flexibility</t>
  </si>
  <si>
    <t>便携式</t>
  </si>
  <si>
    <t>biàn xié shì</t>
  </si>
  <si>
    <t>Portable</t>
  </si>
  <si>
    <t>变形</t>
  </si>
  <si>
    <t>biàn xíng</t>
  </si>
  <si>
    <t>Deformation</t>
  </si>
  <si>
    <t>变异</t>
  </si>
  <si>
    <t>biàn yì</t>
  </si>
  <si>
    <t>Mutation / variation</t>
  </si>
  <si>
    <t>标</t>
  </si>
  <si>
    <t>biāo</t>
  </si>
  <si>
    <t>Mark / Sign / Standard</t>
  </si>
  <si>
    <t>标榜</t>
  </si>
  <si>
    <t>biāo bǎng</t>
  </si>
  <si>
    <t>To flaunt / to advertise</t>
  </si>
  <si>
    <t>标签</t>
  </si>
  <si>
    <t>biāo qiān</t>
  </si>
  <si>
    <t>Label / tag</t>
  </si>
  <si>
    <t>飙升</t>
  </si>
  <si>
    <t>biāo shēng</t>
  </si>
  <si>
    <t>Soar / Surge</t>
  </si>
  <si>
    <t>标识</t>
  </si>
  <si>
    <t>biāo shí</t>
  </si>
  <si>
    <t>Identification</t>
  </si>
  <si>
    <t>标示</t>
  </si>
  <si>
    <t>biāo shì</t>
  </si>
  <si>
    <t>To mark / to indicate</t>
  </si>
  <si>
    <t>标语</t>
  </si>
  <si>
    <t>biāo yǔ</t>
  </si>
  <si>
    <t>Slogan / motto</t>
  </si>
  <si>
    <t>标致</t>
  </si>
  <si>
    <t>Beautiful / handsome</t>
  </si>
  <si>
    <t>表白</t>
  </si>
  <si>
    <t>biǎo bái</t>
  </si>
  <si>
    <t>Confess</t>
  </si>
  <si>
    <t>表述</t>
  </si>
  <si>
    <t>biǎo shù</t>
  </si>
  <si>
    <t>Express</t>
  </si>
  <si>
    <t>表率</t>
  </si>
  <si>
    <t>biǎo shuài</t>
  </si>
  <si>
    <t>Exemplar</t>
  </si>
  <si>
    <t>别具匠心</t>
  </si>
  <si>
    <t>bié jù jiàng xīn</t>
  </si>
  <si>
    <t>unique ingenuity / with originality</t>
  </si>
  <si>
    <t>别看</t>
  </si>
  <si>
    <t>bié kàn</t>
  </si>
  <si>
    <t>Never mind / don't mind</t>
  </si>
  <si>
    <t>别说</t>
  </si>
  <si>
    <t>bié shuō</t>
  </si>
  <si>
    <t>Not to mention / let alone</t>
  </si>
  <si>
    <t>彬彬有礼</t>
  </si>
  <si>
    <t>bīn bīn yǒu lǐ</t>
  </si>
  <si>
    <t>polite and courteous / well-mannered</t>
  </si>
  <si>
    <t>缤纷</t>
  </si>
  <si>
    <t>bīn fēn</t>
  </si>
  <si>
    <t>Diverse</t>
  </si>
  <si>
    <t>濒危</t>
  </si>
  <si>
    <t>bīn wēi</t>
  </si>
  <si>
    <t>Endangered</t>
  </si>
  <si>
    <t>冰棍儿</t>
  </si>
  <si>
    <t>bīng gùnr</t>
  </si>
  <si>
    <t>Ice lolly / Popsicle</t>
  </si>
  <si>
    <t>冰山一角</t>
  </si>
  <si>
    <t>bīng shān yī jiǎo</t>
  </si>
  <si>
    <t>The tip of the iceberg</t>
  </si>
  <si>
    <t>冰天雪地</t>
  </si>
  <si>
    <t>bīng tiān xuě dì</t>
  </si>
  <si>
    <t>A world of ice and snow</t>
  </si>
  <si>
    <t>秉承</t>
  </si>
  <si>
    <t>bǐng chéng</t>
  </si>
  <si>
    <t>inherit / carry on / abide by</t>
  </si>
  <si>
    <t>秉持</t>
  </si>
  <si>
    <t>bǐng chí</t>
  </si>
  <si>
    <t>Uphold</t>
  </si>
  <si>
    <t>并发症</t>
  </si>
  <si>
    <t>bìng fā zhèng</t>
  </si>
  <si>
    <t>Complications</t>
  </si>
  <si>
    <t>并购</t>
  </si>
  <si>
    <t>bìng gòu</t>
  </si>
  <si>
    <t>Mergers and acquisitions</t>
  </si>
  <si>
    <t>并肩</t>
  </si>
  <si>
    <t>bìng jiān</t>
  </si>
  <si>
    <t>Side by side</t>
  </si>
  <si>
    <t>病历</t>
  </si>
  <si>
    <t>bìng lì</t>
  </si>
  <si>
    <t>Medical record</t>
  </si>
  <si>
    <t>并行</t>
  </si>
  <si>
    <t>bìng xíng</t>
  </si>
  <si>
    <t>Run in parallel / Concurrent</t>
  </si>
  <si>
    <t>病症</t>
  </si>
  <si>
    <t>bìng zhèng</t>
  </si>
  <si>
    <t>disease / ailment</t>
  </si>
  <si>
    <t>波动</t>
  </si>
  <si>
    <t>bō dòng</t>
  </si>
  <si>
    <t>Fluctuation</t>
  </si>
  <si>
    <t>剥夺</t>
  </si>
  <si>
    <t>bō duó</t>
  </si>
  <si>
    <t>Deprive / strip of</t>
  </si>
  <si>
    <t>波及</t>
  </si>
  <si>
    <t>bō jí</t>
  </si>
  <si>
    <t>affect / involve</t>
  </si>
  <si>
    <t>拨款</t>
  </si>
  <si>
    <t>bō kuǎn</t>
  </si>
  <si>
    <t>Allocation of funds / Appropriation</t>
  </si>
  <si>
    <t>波澜</t>
  </si>
  <si>
    <t>bō lán</t>
  </si>
  <si>
    <t>waves / billows</t>
  </si>
  <si>
    <t>波折</t>
  </si>
  <si>
    <t>bō zhé</t>
  </si>
  <si>
    <t>setback / obstacle</t>
  </si>
  <si>
    <t>伯伯</t>
  </si>
  <si>
    <t>bó bo</t>
  </si>
  <si>
    <t>Uncle (father's older brother)</t>
  </si>
  <si>
    <t>伯父</t>
  </si>
  <si>
    <t>bó fù</t>
  </si>
  <si>
    <t>驳回</t>
  </si>
  <si>
    <t>bó huí</t>
  </si>
  <si>
    <t>Reject / Overturn</t>
  </si>
  <si>
    <t>博学</t>
  </si>
  <si>
    <t>bó xué</t>
  </si>
  <si>
    <t>Erudite</t>
  </si>
  <si>
    <t>博弈</t>
  </si>
  <si>
    <t>bó yì</t>
  </si>
  <si>
    <t>Game</t>
  </si>
  <si>
    <t>不定</t>
  </si>
  <si>
    <t>bú dìng</t>
  </si>
  <si>
    <t>形、副</t>
  </si>
  <si>
    <t>Indefinite / uncertainly</t>
  </si>
  <si>
    <t>不力</t>
  </si>
  <si>
    <t>bú lì</t>
  </si>
  <si>
    <t>Ineffective</t>
  </si>
  <si>
    <t>不妙</t>
  </si>
  <si>
    <t>bú miào</t>
  </si>
  <si>
    <t>Not good</t>
  </si>
  <si>
    <t>不慎</t>
  </si>
  <si>
    <t>bú shèn</t>
  </si>
  <si>
    <t>Careless / inadvertent</t>
  </si>
  <si>
    <t>不算</t>
  </si>
  <si>
    <t>bú suàn</t>
  </si>
  <si>
    <t>Not count / not be considered</t>
  </si>
  <si>
    <t>不屑</t>
  </si>
  <si>
    <t>bú xiè</t>
  </si>
  <si>
    <t>Disdain / scorn</t>
  </si>
  <si>
    <t>不懈</t>
  </si>
  <si>
    <t>Unremitting / indefatigable</t>
  </si>
  <si>
    <t>不亚于</t>
  </si>
  <si>
    <t>bú yà yú</t>
  </si>
  <si>
    <t>No less than / Comparable to</t>
  </si>
  <si>
    <t>不翼而飞</t>
  </si>
  <si>
    <t>bú yì ér fēi</t>
  </si>
  <si>
    <t>Disappear mysteriously / Vanish without a trace</t>
  </si>
  <si>
    <t>不亦乐乎</t>
  </si>
  <si>
    <t>bú yì lè hū</t>
  </si>
  <si>
    <t>Isn't it joyful? / Isn't it delightful?</t>
  </si>
  <si>
    <t>不正之风</t>
  </si>
  <si>
    <t>bú zhèng zhī fēng</t>
  </si>
  <si>
    <t>Unhealthy tendencies / Unethical behavior</t>
  </si>
  <si>
    <t>捕获</t>
  </si>
  <si>
    <t>bǔ huò</t>
  </si>
  <si>
    <t>Capture</t>
  </si>
  <si>
    <t>补给</t>
  </si>
  <si>
    <t>bǔ jǐ</t>
  </si>
  <si>
    <t>Supply</t>
  </si>
  <si>
    <t>捕食</t>
  </si>
  <si>
    <t>bǔ shí</t>
  </si>
  <si>
    <t>Predation</t>
  </si>
  <si>
    <t>哺育</t>
  </si>
  <si>
    <t>bǔ yù</t>
  </si>
  <si>
    <t>Nurture / feed</t>
  </si>
  <si>
    <t>补助</t>
  </si>
  <si>
    <t>bǔ zhù</t>
  </si>
  <si>
    <t>Subsidy</t>
  </si>
  <si>
    <t>不耻下问</t>
  </si>
  <si>
    <t>bù chǐ xià wèn</t>
  </si>
  <si>
    <t>Not feel ashamed to ask and learn / Not hesitate to seek advice</t>
  </si>
  <si>
    <t>不辞而别</t>
  </si>
  <si>
    <t>bù cí ér bié</t>
  </si>
  <si>
    <t>Leave without saying goodbye / Depart abruptly without explanation</t>
  </si>
  <si>
    <t>不当</t>
  </si>
  <si>
    <t>bù dàng</t>
  </si>
  <si>
    <t>Improper</t>
  </si>
  <si>
    <t>不得而知</t>
  </si>
  <si>
    <t>bù dé ér zhī</t>
  </si>
  <si>
    <t>Cannot be known / Impossible to determine</t>
  </si>
  <si>
    <t>不动产</t>
  </si>
  <si>
    <t>bù dòng chǎn</t>
  </si>
  <si>
    <t>Real estate</t>
  </si>
  <si>
    <t>不乏</t>
  </si>
  <si>
    <t>No shortage</t>
  </si>
  <si>
    <t>不法</t>
  </si>
  <si>
    <t>bù fǎ</t>
  </si>
  <si>
    <t>Unlawful</t>
  </si>
  <si>
    <t>不服</t>
  </si>
  <si>
    <t>bù fú</t>
  </si>
  <si>
    <t>Not accept / not submit</t>
  </si>
  <si>
    <t>不及</t>
  </si>
  <si>
    <t>bù jí</t>
  </si>
  <si>
    <t>Less than</t>
  </si>
  <si>
    <t>不假思索</t>
  </si>
  <si>
    <t>bù jiǎ sī suǒ</t>
  </si>
  <si>
    <t>Without thinking / Without hesitation</t>
  </si>
  <si>
    <t>部件</t>
  </si>
  <si>
    <t>bù jiàn</t>
  </si>
  <si>
    <t>Component</t>
  </si>
  <si>
    <t>不解</t>
  </si>
  <si>
    <t>bù jiě</t>
  </si>
  <si>
    <t>Not understand / puzzled</t>
  </si>
  <si>
    <t>不经意</t>
  </si>
  <si>
    <t>bù jīng yì</t>
  </si>
  <si>
    <t>Unintentional / Inadvertent</t>
  </si>
  <si>
    <t>不景气</t>
  </si>
  <si>
    <t>bù jǐng qì</t>
  </si>
  <si>
    <t>Depression / Downturn</t>
  </si>
  <si>
    <t>不可或缺</t>
  </si>
  <si>
    <t>bù kě huò quē</t>
  </si>
  <si>
    <t>Indispensable</t>
  </si>
  <si>
    <t>不了了之</t>
  </si>
  <si>
    <t>bù liǎo liǎo zhī</t>
  </si>
  <si>
    <t>Come to nothing / End without a result</t>
  </si>
  <si>
    <t>不平</t>
  </si>
  <si>
    <t>bù píng</t>
  </si>
  <si>
    <t>形、名</t>
  </si>
  <si>
    <t>Unfair / injustice</t>
  </si>
  <si>
    <t>不容</t>
  </si>
  <si>
    <t>bù róng</t>
  </si>
  <si>
    <t>Not tolerate / not allow</t>
  </si>
  <si>
    <t>步入</t>
  </si>
  <si>
    <t>bù rù</t>
  </si>
  <si>
    <t>To step into / to enter</t>
  </si>
  <si>
    <t>部首</t>
  </si>
  <si>
    <t>bù shǒu</t>
  </si>
  <si>
    <t>Radical</t>
  </si>
  <si>
    <t>不下</t>
  </si>
  <si>
    <t>bù xià</t>
  </si>
  <si>
    <t>No more</t>
  </si>
  <si>
    <t>不肖</t>
  </si>
  <si>
    <t>bù xiào</t>
  </si>
  <si>
    <t>unworthy</t>
  </si>
  <si>
    <t>不厌其烦</t>
  </si>
  <si>
    <t>bù yàn qí fán</t>
  </si>
  <si>
    <t>Be patient and persistent</t>
  </si>
  <si>
    <t>不以为然</t>
  </si>
  <si>
    <t>bù yǐ wéi rán</t>
  </si>
  <si>
    <t>Disapprove / Not consider acceptable</t>
  </si>
  <si>
    <t>不由自主</t>
  </si>
  <si>
    <t>bù yóu zì zhǔ</t>
  </si>
  <si>
    <t>Involuntary / Unable to control oneself</t>
  </si>
  <si>
    <t>不予</t>
  </si>
  <si>
    <t>bù yǔ</t>
  </si>
  <si>
    <t>Not grant / deny</t>
  </si>
  <si>
    <t>不约而同</t>
  </si>
  <si>
    <t>bù yuē ér tóng</t>
  </si>
  <si>
    <t>Without prior arrangement / Simultaneously without planning</t>
  </si>
  <si>
    <t>不折不扣</t>
  </si>
  <si>
    <t>bù zhé bù kòu</t>
  </si>
  <si>
    <t>Without any compromise</t>
  </si>
  <si>
    <t>不知不觉</t>
  </si>
  <si>
    <t>bù zhī bù jué</t>
  </si>
  <si>
    <t>Unconsciously / Unaware</t>
  </si>
  <si>
    <t>不知所措</t>
  </si>
  <si>
    <t>bù zhī suǒ cuò</t>
  </si>
  <si>
    <t>At a loss</t>
  </si>
  <si>
    <t>不准</t>
  </si>
  <si>
    <t>bù zhǔn</t>
  </si>
  <si>
    <t>Not allow / forbid</t>
  </si>
  <si>
    <t>猜想</t>
  </si>
  <si>
    <t>cāi xiǎng</t>
  </si>
  <si>
    <t>speculate / guess</t>
  </si>
  <si>
    <t>裁</t>
  </si>
  <si>
    <t>cái</t>
  </si>
  <si>
    <t>To cut (cloth) / To tailor</t>
  </si>
  <si>
    <t>裁定</t>
  </si>
  <si>
    <t>cái dìng</t>
  </si>
  <si>
    <t>Determine</t>
  </si>
  <si>
    <t>财经</t>
  </si>
  <si>
    <t>cái jīng</t>
  </si>
  <si>
    <t>Finance and economics</t>
  </si>
  <si>
    <t>裁决</t>
  </si>
  <si>
    <t>cái jué</t>
  </si>
  <si>
    <t>Judgment</t>
  </si>
  <si>
    <t>财力</t>
  </si>
  <si>
    <t>cái lì</t>
  </si>
  <si>
    <t>Financial strength</t>
  </si>
  <si>
    <t>采</t>
  </si>
  <si>
    <t>To pick / To pluck / To gather</t>
  </si>
  <si>
    <t>采矿</t>
  </si>
  <si>
    <t>cǎi kuàng</t>
  </si>
  <si>
    <t>Mining</t>
  </si>
  <si>
    <t>采摘</t>
  </si>
  <si>
    <t>cǎi zhāi</t>
  </si>
  <si>
    <t>Picking</t>
  </si>
  <si>
    <t>菜肴</t>
  </si>
  <si>
    <t>cài yáo</t>
  </si>
  <si>
    <t>Conjecture</t>
  </si>
  <si>
    <t>参见</t>
  </si>
  <si>
    <t>cān jiàn</t>
  </si>
  <si>
    <t>Pay a visit / call on</t>
  </si>
  <si>
    <t>残</t>
  </si>
  <si>
    <t>cán</t>
  </si>
  <si>
    <t>Remain / Leftover / Incomplete</t>
  </si>
  <si>
    <t>残缺</t>
  </si>
  <si>
    <t>cán quē</t>
  </si>
  <si>
    <t>Incomplete / imperfect</t>
  </si>
  <si>
    <t>惨</t>
  </si>
  <si>
    <t>cǎn</t>
  </si>
  <si>
    <t>惨白</t>
  </si>
  <si>
    <t>cǎn bái</t>
  </si>
  <si>
    <t>Deathly pale / Ashen</t>
  </si>
  <si>
    <t>惨痛</t>
  </si>
  <si>
    <t>cǎn tòng</t>
  </si>
  <si>
    <t>Painful / Heartrending</t>
  </si>
  <si>
    <t>惨重</t>
  </si>
  <si>
    <t>cǎn zhòng</t>
  </si>
  <si>
    <t>Heavy / Severe</t>
  </si>
  <si>
    <t>沧桑</t>
  </si>
  <si>
    <t>cāng sāng</t>
  </si>
  <si>
    <t>vicissitudes / changes</t>
  </si>
  <si>
    <t>苍蝇</t>
  </si>
  <si>
    <t>cāng ying</t>
  </si>
  <si>
    <t>Fly (insect)</t>
  </si>
  <si>
    <t>藏匿</t>
  </si>
  <si>
    <t>cáng nì</t>
  </si>
  <si>
    <t>Conceal</t>
  </si>
  <si>
    <t>藏品</t>
  </si>
  <si>
    <t>cáng pǐn</t>
  </si>
  <si>
    <t>Collection</t>
  </si>
  <si>
    <t>藏身</t>
  </si>
  <si>
    <t>cáng shēn</t>
  </si>
  <si>
    <t>操控</t>
  </si>
  <si>
    <t>cāo kòng</t>
  </si>
  <si>
    <t>Manipulate / Control</t>
  </si>
  <si>
    <t>草丛</t>
  </si>
  <si>
    <t>cǎo cóng</t>
  </si>
  <si>
    <t>Grass</t>
  </si>
  <si>
    <t>草坪</t>
  </si>
  <si>
    <t>cǎo píng</t>
  </si>
  <si>
    <t>Lawn</t>
  </si>
  <si>
    <t>草药</t>
  </si>
  <si>
    <t>cǎo yào</t>
  </si>
  <si>
    <t>herb</t>
  </si>
  <si>
    <t>测定</t>
  </si>
  <si>
    <t>cè dìng</t>
  </si>
  <si>
    <t>Determination</t>
  </si>
  <si>
    <t>测算</t>
  </si>
  <si>
    <t>cè suàn</t>
  </si>
  <si>
    <t>calculate / estimate</t>
  </si>
  <si>
    <t>侧重</t>
  </si>
  <si>
    <t>cè zhòng</t>
  </si>
  <si>
    <t>Emphasize</t>
  </si>
  <si>
    <t>蹭</t>
  </si>
  <si>
    <t>cèng</t>
  </si>
  <si>
    <t>To rub against / To brush against</t>
  </si>
  <si>
    <t>差错</t>
  </si>
  <si>
    <t>chā cuò</t>
  </si>
  <si>
    <t>Error / Mistake</t>
  </si>
  <si>
    <t>差额</t>
  </si>
  <si>
    <t>chā é</t>
  </si>
  <si>
    <t>Difference / Discrepancy</t>
  </si>
  <si>
    <t>插曲</t>
  </si>
  <si>
    <t>chā qǔ</t>
  </si>
  <si>
    <t>Interlude</t>
  </si>
  <si>
    <t>插手</t>
  </si>
  <si>
    <t>chā shǒu</t>
  </si>
  <si>
    <t>Get involved in / Meddle in</t>
  </si>
  <si>
    <t>插图</t>
  </si>
  <si>
    <t>chā tú</t>
  </si>
  <si>
    <t>Illustration / Drawing</t>
  </si>
  <si>
    <t>插嘴</t>
  </si>
  <si>
    <t>chā zuǐ</t>
  </si>
  <si>
    <t>Interrupt / Butt in</t>
  </si>
  <si>
    <t>查处</t>
  </si>
  <si>
    <t>chá chǔ</t>
  </si>
  <si>
    <t>To investigate and deal with / to punish</t>
  </si>
  <si>
    <t>察觉</t>
  </si>
  <si>
    <t>chá jué</t>
  </si>
  <si>
    <t>Perceive / Notice</t>
  </si>
  <si>
    <t>察看</t>
  </si>
  <si>
    <t>chá kàn</t>
  </si>
  <si>
    <t>Inspect / Examine</t>
  </si>
  <si>
    <t>查明</t>
  </si>
  <si>
    <t>chá míng</t>
  </si>
  <si>
    <t>To find out / to ascertain</t>
  </si>
  <si>
    <t>拆迁</t>
  </si>
  <si>
    <t>chāi qiān</t>
  </si>
  <si>
    <t>Demolition</t>
  </si>
  <si>
    <t>掺</t>
  </si>
  <si>
    <t>Mix / Blend</t>
  </si>
  <si>
    <t>缠</t>
  </si>
  <si>
    <t>To wind / To wrap around</t>
  </si>
  <si>
    <t>铲</t>
  </si>
  <si>
    <t>chǎn</t>
  </si>
  <si>
    <t>To shovel / To spade</t>
  </si>
  <si>
    <t>产权</t>
  </si>
  <si>
    <t>chǎn quán</t>
  </si>
  <si>
    <t>Property rights</t>
  </si>
  <si>
    <t>阐释</t>
  </si>
  <si>
    <t>chǎn shì</t>
  </si>
  <si>
    <t>Explanation</t>
  </si>
  <si>
    <t>产物</t>
  </si>
  <si>
    <t>chǎn wù</t>
  </si>
  <si>
    <t>Product</t>
  </si>
  <si>
    <t>产业链</t>
  </si>
  <si>
    <t>chǎn yè liàn</t>
  </si>
  <si>
    <t>Industrial chain</t>
  </si>
  <si>
    <t>产值</t>
  </si>
  <si>
    <t>chǎn zhí</t>
  </si>
  <si>
    <t>Output value</t>
  </si>
  <si>
    <t>猖狂</t>
  </si>
  <si>
    <t>chāng kuáng</t>
  </si>
  <si>
    <t>wild / unrestrained</t>
  </si>
  <si>
    <t>常理</t>
  </si>
  <si>
    <t>cháng lǐ</t>
  </si>
  <si>
    <t>Common sense / Reason</t>
  </si>
  <si>
    <t>长期以来</t>
  </si>
  <si>
    <t>cháng qī yǐ lái</t>
  </si>
  <si>
    <t>Over the long term / Long-standing</t>
  </si>
  <si>
    <t>常人</t>
  </si>
  <si>
    <t>cháng rén</t>
  </si>
  <si>
    <t>Ordinary person / Common man</t>
  </si>
  <si>
    <t>常态</t>
  </si>
  <si>
    <t>cháng tài</t>
  </si>
  <si>
    <t>Normal condition / Normalcy</t>
  </si>
  <si>
    <t>长效</t>
  </si>
  <si>
    <t>cháng xiào</t>
  </si>
  <si>
    <t>Long-term effect</t>
  </si>
  <si>
    <t>长征</t>
  </si>
  <si>
    <t>cháng zhēng</t>
  </si>
  <si>
    <t>Long March</t>
  </si>
  <si>
    <t>长足</t>
  </si>
  <si>
    <t>cháng zú</t>
  </si>
  <si>
    <t>Rapid progress / Great strides</t>
  </si>
  <si>
    <t>唱片</t>
  </si>
  <si>
    <t>chàng piàn</t>
  </si>
  <si>
    <t>Record</t>
  </si>
  <si>
    <t>畅谈</t>
  </si>
  <si>
    <t>chàng tán</t>
  </si>
  <si>
    <t>talk freely / discuss at length</t>
  </si>
  <si>
    <t>超标</t>
  </si>
  <si>
    <t>chāo biāo</t>
  </si>
  <si>
    <t>Exceed the standard</t>
  </si>
  <si>
    <t>超前</t>
  </si>
  <si>
    <t>chāo qián</t>
  </si>
  <si>
    <t>Advanced</t>
  </si>
  <si>
    <t>抄袭</t>
  </si>
  <si>
    <t>chāo xí</t>
  </si>
  <si>
    <t>Plagiarize / Copy</t>
  </si>
  <si>
    <t>潮</t>
  </si>
  <si>
    <t>tide</t>
  </si>
  <si>
    <t>嘲弄</t>
  </si>
  <si>
    <t>cháo nòng</t>
  </si>
  <si>
    <t>Mock / ridicule</t>
  </si>
  <si>
    <t>潮水</t>
  </si>
  <si>
    <t>cháo shuǐ</t>
  </si>
  <si>
    <t>Tide</t>
  </si>
  <si>
    <t>炒作</t>
  </si>
  <si>
    <t>chǎo zuò</t>
  </si>
  <si>
    <t>to hype</t>
  </si>
  <si>
    <t>车间</t>
  </si>
  <si>
    <t>chē jiān</t>
  </si>
  <si>
    <t>Workshop</t>
  </si>
  <si>
    <t>扯</t>
  </si>
  <si>
    <t>chě</t>
  </si>
  <si>
    <t>Pull / Tear / Chat</t>
  </si>
  <si>
    <t>撤</t>
  </si>
  <si>
    <t>chè</t>
  </si>
  <si>
    <t>Withdraw / Remove</t>
  </si>
  <si>
    <t>撤离</t>
  </si>
  <si>
    <t>chè lí</t>
  </si>
  <si>
    <t>Evacuation</t>
  </si>
  <si>
    <t>彻夜</t>
  </si>
  <si>
    <t>chè yè</t>
  </si>
  <si>
    <t>All night / Throughout the night</t>
  </si>
  <si>
    <t>沉甸甸</t>
  </si>
  <si>
    <t>chén diàn diàn</t>
  </si>
  <si>
    <t>Heavy</t>
  </si>
  <si>
    <t>沉浸</t>
  </si>
  <si>
    <t>chén jìn</t>
  </si>
  <si>
    <t>immerse / engross</t>
  </si>
  <si>
    <t>沉迷</t>
  </si>
  <si>
    <t>chén mí</t>
  </si>
  <si>
    <t>indulge / obsessed</t>
  </si>
  <si>
    <t>沉睡</t>
  </si>
  <si>
    <t>chén shuì</t>
  </si>
  <si>
    <t>Sleep</t>
  </si>
  <si>
    <t>沉稳</t>
  </si>
  <si>
    <t>chén wěn</t>
  </si>
  <si>
    <t>steady / stable</t>
  </si>
  <si>
    <t>趁机</t>
  </si>
  <si>
    <t>chèn jī</t>
  </si>
  <si>
    <t>Take advantage of an opportunity</t>
  </si>
  <si>
    <t>趁早</t>
  </si>
  <si>
    <t>chèn zǎo</t>
  </si>
  <si>
    <t>While there is time</t>
  </si>
  <si>
    <t>呈</t>
  </si>
  <si>
    <t>present</t>
  </si>
  <si>
    <t>成才</t>
  </si>
  <si>
    <t>chéng cái</t>
  </si>
  <si>
    <t>Become successful / Excel</t>
  </si>
  <si>
    <t>成家</t>
  </si>
  <si>
    <t>chéng jiā</t>
  </si>
  <si>
    <t>Settle down / Start a family</t>
  </si>
  <si>
    <t>成家立业</t>
  </si>
  <si>
    <t>chéng jiā lì yè</t>
  </si>
  <si>
    <t>Get married and establish a career</t>
  </si>
  <si>
    <t>承接</t>
  </si>
  <si>
    <t>chéng jiē</t>
  </si>
  <si>
    <t>Undertake</t>
  </si>
  <si>
    <t>成年</t>
  </si>
  <si>
    <t>chéng nián</t>
  </si>
  <si>
    <t>Adult / Grown-up</t>
  </si>
  <si>
    <t>成品</t>
  </si>
  <si>
    <t>chéng pǐn</t>
  </si>
  <si>
    <t>Finished product</t>
  </si>
  <si>
    <t>城墙</t>
  </si>
  <si>
    <t>chéng qiáng</t>
  </si>
  <si>
    <t>City wall / fortress wall</t>
  </si>
  <si>
    <t>成全</t>
  </si>
  <si>
    <t>chéng quán</t>
  </si>
  <si>
    <t>help</t>
  </si>
  <si>
    <t>成群结队</t>
  </si>
  <si>
    <t>chéng qún jié duì</t>
  </si>
  <si>
    <t>in groups / in crowds</t>
  </si>
  <si>
    <t>成型</t>
  </si>
  <si>
    <t>chéng xíng</t>
  </si>
  <si>
    <t>Take shape / Form</t>
  </si>
  <si>
    <t>诚意</t>
  </si>
  <si>
    <t>chéng yì</t>
  </si>
  <si>
    <t>Sincerity</t>
  </si>
  <si>
    <t>承载</t>
  </si>
  <si>
    <t>chéng zài</t>
  </si>
  <si>
    <t>Bear the weight of / Carry</t>
  </si>
  <si>
    <t>逞强</t>
  </si>
  <si>
    <t>chěng qiáng</t>
  </si>
  <si>
    <t>Show off one's strength</t>
  </si>
  <si>
    <t>痴呆</t>
  </si>
  <si>
    <t>chī dāi</t>
  </si>
  <si>
    <t>foolish / idiotic / dementia</t>
  </si>
  <si>
    <t>吃喝玩乐</t>
  </si>
  <si>
    <t>chī hē wán lè</t>
  </si>
  <si>
    <t>eating / drinking / and having fun / enjoying life</t>
  </si>
  <si>
    <t>痴迷</t>
  </si>
  <si>
    <t>chī mí</t>
  </si>
  <si>
    <t>obsessed / infatuated</t>
  </si>
  <si>
    <t>痴心</t>
  </si>
  <si>
    <t>chī xīn</t>
  </si>
  <si>
    <t>infatuation / folly</t>
  </si>
  <si>
    <t>持</t>
  </si>
  <si>
    <t>chí</t>
  </si>
  <si>
    <t>Hold / Grasp / Keep</t>
  </si>
  <si>
    <t>迟迟</t>
  </si>
  <si>
    <t>chí chí</t>
  </si>
  <si>
    <t>Deliberately</t>
  </si>
  <si>
    <t>驰名</t>
  </si>
  <si>
    <t>chí míng</t>
  </si>
  <si>
    <t>Renowned / Famous</t>
  </si>
  <si>
    <t>持平</t>
  </si>
  <si>
    <t>chí píng</t>
  </si>
  <si>
    <t>Flat</t>
  </si>
  <si>
    <t>持之以恒</t>
  </si>
  <si>
    <t>chí zhī yǐ héng</t>
  </si>
  <si>
    <t>persevere / persist</t>
  </si>
  <si>
    <t>尺度</t>
  </si>
  <si>
    <t>chǐ dù</t>
  </si>
  <si>
    <t>Standard / Criterion</t>
  </si>
  <si>
    <t>耻辱</t>
  </si>
  <si>
    <t>chǐ rǔ</t>
  </si>
  <si>
    <t>Shame</t>
  </si>
  <si>
    <t>耻笑</t>
  </si>
  <si>
    <t>chǐ xiào</t>
  </si>
  <si>
    <t>Ridicule</t>
  </si>
  <si>
    <t>充</t>
  </si>
  <si>
    <t>Fill / Fulfill / Recharge</t>
  </si>
  <si>
    <t>充斥</t>
  </si>
  <si>
    <t>chōng chì</t>
  </si>
  <si>
    <t>Fill up</t>
  </si>
  <si>
    <t>冲刺</t>
  </si>
  <si>
    <t>chōng cì</t>
  </si>
  <si>
    <t>Dash</t>
  </si>
  <si>
    <t>憧憬</t>
  </si>
  <si>
    <t>chōng jǐng</t>
  </si>
  <si>
    <t>Look forward to</t>
  </si>
  <si>
    <t>冲浪</t>
  </si>
  <si>
    <t>chōng làng</t>
  </si>
  <si>
    <t>Surf</t>
  </si>
  <si>
    <t>冲洗</t>
  </si>
  <si>
    <t>chōng xǐ</t>
  </si>
  <si>
    <t>Rinse</t>
  </si>
  <si>
    <t>充裕</t>
  </si>
  <si>
    <t>chōng yù</t>
  </si>
  <si>
    <t>Abundant</t>
  </si>
  <si>
    <t>冲撞</t>
  </si>
  <si>
    <t>chōng zhuàng</t>
  </si>
  <si>
    <t>Collide</t>
  </si>
  <si>
    <t>重重</t>
  </si>
  <si>
    <t>chóng chóng</t>
  </si>
  <si>
    <t>重返</t>
  </si>
  <si>
    <t>chóng fǎn</t>
  </si>
  <si>
    <t>Return to</t>
  </si>
  <si>
    <t>重合</t>
  </si>
  <si>
    <t>chóng hé</t>
  </si>
  <si>
    <t>Coincide</t>
  </si>
  <si>
    <t>崇尚</t>
  </si>
  <si>
    <t>chóng shàng</t>
  </si>
  <si>
    <t>Advocate / Admire</t>
  </si>
  <si>
    <t>重申</t>
  </si>
  <si>
    <t>chóng shēn</t>
  </si>
  <si>
    <t>Reiterate / Restate</t>
  </si>
  <si>
    <t>重现</t>
  </si>
  <si>
    <t>chóng xiàn</t>
  </si>
  <si>
    <t>Reappear / Re-emerge</t>
  </si>
  <si>
    <t>重组</t>
  </si>
  <si>
    <t>chóng zǔ</t>
  </si>
  <si>
    <t>Reorganization</t>
  </si>
  <si>
    <t>宠</t>
  </si>
  <si>
    <t>chǒng</t>
  </si>
  <si>
    <t>Spoil / Dote on / Favorite</t>
  </si>
  <si>
    <t>宠爱</t>
  </si>
  <si>
    <t>chǒng ài</t>
  </si>
  <si>
    <t>Spoil / Dote on</t>
  </si>
  <si>
    <t>抽签</t>
  </si>
  <si>
    <t>chōu qiān</t>
  </si>
  <si>
    <t>Draw lots / Draw straws</t>
  </si>
  <si>
    <t>抽样</t>
  </si>
  <si>
    <t>chōu yàng</t>
  </si>
  <si>
    <t>Sampling</t>
  </si>
  <si>
    <t>抽查</t>
  </si>
  <si>
    <t>chōu zhā</t>
  </si>
  <si>
    <t>Spot check</t>
  </si>
  <si>
    <t>仇</t>
  </si>
  <si>
    <t>chóu</t>
  </si>
  <si>
    <t>Hatred / Enemy</t>
  </si>
  <si>
    <t>稠</t>
  </si>
  <si>
    <t>Thick / Dense</t>
  </si>
  <si>
    <t>筹</t>
  </si>
  <si>
    <t>To raise / To collect / To plan</t>
  </si>
  <si>
    <t>筹办</t>
  </si>
  <si>
    <t>chóu bàn</t>
  </si>
  <si>
    <t>prepare / make arrangements</t>
  </si>
  <si>
    <t>筹措</t>
  </si>
  <si>
    <t>chóu cuò</t>
  </si>
  <si>
    <t>raise funds / collect money</t>
  </si>
  <si>
    <t>仇恨</t>
  </si>
  <si>
    <t>chóu hèn</t>
  </si>
  <si>
    <t>Hatred</t>
  </si>
  <si>
    <t>筹划</t>
  </si>
  <si>
    <t>chóu huà</t>
  </si>
  <si>
    <t>plan / scheme</t>
  </si>
  <si>
    <t>筹集</t>
  </si>
  <si>
    <t>chóu jí</t>
  </si>
  <si>
    <t>raise / collect</t>
  </si>
  <si>
    <t>筹码</t>
  </si>
  <si>
    <t>chóu mǎ</t>
  </si>
  <si>
    <t>chip / counter</t>
  </si>
  <si>
    <t>愁眉苦脸</t>
  </si>
  <si>
    <t>chóu méi kǔ liǎn</t>
  </si>
  <si>
    <t>with a worried or distressed look / frown in worry</t>
  </si>
  <si>
    <t>仇人</t>
  </si>
  <si>
    <t>chóu rén</t>
  </si>
  <si>
    <t>Enemy</t>
  </si>
  <si>
    <t>瞅</t>
  </si>
  <si>
    <t>To take a look / To peek</t>
  </si>
  <si>
    <t>丑陋</t>
  </si>
  <si>
    <t>chǒu lòu</t>
  </si>
  <si>
    <t>Ugly / unsightly</t>
  </si>
  <si>
    <t>丑闻</t>
  </si>
  <si>
    <t>chǒu wén</t>
  </si>
  <si>
    <t>Scandal</t>
  </si>
  <si>
    <t>出厂</t>
  </si>
  <si>
    <t>chū chǎng</t>
  </si>
  <si>
    <t>Leave the factory</t>
  </si>
  <si>
    <t>出丑</t>
  </si>
  <si>
    <t>chū chǒu</t>
  </si>
  <si>
    <t>Embarrass oneself</t>
  </si>
  <si>
    <t>出动</t>
  </si>
  <si>
    <t>chū dòng</t>
  </si>
  <si>
    <t>Dispatch</t>
  </si>
  <si>
    <t>出发点</t>
  </si>
  <si>
    <t>chū fā diǎn</t>
  </si>
  <si>
    <t>Starting point / Point of departure</t>
  </si>
  <si>
    <t>出访</t>
  </si>
  <si>
    <t>chū fǎng</t>
  </si>
  <si>
    <t>Visit abroad</t>
  </si>
  <si>
    <t>出局</t>
  </si>
  <si>
    <t>chū jú</t>
  </si>
  <si>
    <t>Be eliminated</t>
  </si>
  <si>
    <t>出具</t>
  </si>
  <si>
    <t>chū jù</t>
  </si>
  <si>
    <t>Issue</t>
  </si>
  <si>
    <t>出口成章</t>
  </si>
  <si>
    <t>chū kǒu chéng zhāng</t>
  </si>
  <si>
    <t>speak fluently and coherently / talk fluently and eloquently</t>
  </si>
  <si>
    <t>出面</t>
  </si>
  <si>
    <t>chū miàn</t>
  </si>
  <si>
    <t>Come forward</t>
  </si>
  <si>
    <t>出人意料</t>
  </si>
  <si>
    <t>chū rén yì liào</t>
  </si>
  <si>
    <t>beyond one's expectation / unexpected</t>
  </si>
  <si>
    <t>出任</t>
  </si>
  <si>
    <t>chū rèn</t>
  </si>
  <si>
    <t>Take office</t>
  </si>
  <si>
    <t>出手</t>
  </si>
  <si>
    <t>chū shǒu</t>
  </si>
  <si>
    <t>Make a move</t>
  </si>
  <si>
    <t>出台</t>
  </si>
  <si>
    <t>chū tái</t>
  </si>
  <si>
    <t>Introduce</t>
  </si>
  <si>
    <t>出头</t>
  </si>
  <si>
    <t>chū tóu</t>
  </si>
  <si>
    <t>Emerge</t>
  </si>
  <si>
    <t>出土</t>
  </si>
  <si>
    <t>chū tǔ</t>
  </si>
  <si>
    <t>Excavate</t>
  </si>
  <si>
    <t>出征</t>
  </si>
  <si>
    <t>chū zhēng</t>
  </si>
  <si>
    <t>Set out for battle</t>
  </si>
  <si>
    <t>初衷</t>
  </si>
  <si>
    <t>chū zhōng</t>
  </si>
  <si>
    <t>Original intention / initial aspiration</t>
  </si>
  <si>
    <t>出众</t>
  </si>
  <si>
    <t>chū zhòng</t>
  </si>
  <si>
    <t>Outstanding</t>
  </si>
  <si>
    <t>出资</t>
  </si>
  <si>
    <t>chū zī</t>
  </si>
  <si>
    <t>Invest</t>
  </si>
  <si>
    <t>出走</t>
  </si>
  <si>
    <t>chū zǒu</t>
  </si>
  <si>
    <t>Run away</t>
  </si>
  <si>
    <t>锄</t>
  </si>
  <si>
    <t>hoe</t>
  </si>
  <si>
    <t>橱窗</t>
  </si>
  <si>
    <t>chú chuāng</t>
  </si>
  <si>
    <t>Window display</t>
  </si>
  <si>
    <t>除去</t>
  </si>
  <si>
    <t>chú qù</t>
  </si>
  <si>
    <t>动、介</t>
  </si>
  <si>
    <t>Remove / Exclude</t>
  </si>
  <si>
    <t>除外</t>
  </si>
  <si>
    <t>chú wài</t>
  </si>
  <si>
    <t>Except / Exclude</t>
  </si>
  <si>
    <t>处方</t>
  </si>
  <si>
    <t>chǔ fāng</t>
  </si>
  <si>
    <t>Prescription / recipe</t>
  </si>
  <si>
    <t>储量</t>
  </si>
  <si>
    <t>chǔ liàng</t>
  </si>
  <si>
    <t>Reserves</t>
  </si>
  <si>
    <t>处事</t>
  </si>
  <si>
    <t>chǔ shì</t>
  </si>
  <si>
    <t>Dealing with affairs</t>
  </si>
  <si>
    <t>触动</t>
  </si>
  <si>
    <t>chù dòng</t>
  </si>
  <si>
    <t>Touch</t>
  </si>
  <si>
    <t>触觉</t>
  </si>
  <si>
    <t>chù jué</t>
  </si>
  <si>
    <t>矗立</t>
  </si>
  <si>
    <t>chù lì</t>
  </si>
  <si>
    <t>stand erect</t>
  </si>
  <si>
    <t>触摸</t>
  </si>
  <si>
    <t>chù mō</t>
  </si>
  <si>
    <t>触目惊心</t>
  </si>
  <si>
    <t>chù mù jīng xīn</t>
  </si>
  <si>
    <t>Shocking to the eye / Horrifying</t>
  </si>
  <si>
    <t>揣</t>
  </si>
  <si>
    <t>chuāi</t>
  </si>
  <si>
    <t>Estimate / Guess</t>
  </si>
  <si>
    <t>揣测</t>
  </si>
  <si>
    <t>chuǎi cè</t>
  </si>
  <si>
    <t>Guess / Speculate</t>
  </si>
  <si>
    <t>揣摩</t>
  </si>
  <si>
    <t>chuǎi mó</t>
  </si>
  <si>
    <t>踹</t>
  </si>
  <si>
    <t>chuài</t>
  </si>
  <si>
    <t>To kick</t>
  </si>
  <si>
    <t>穿梭</t>
  </si>
  <si>
    <t>chuān suō</t>
  </si>
  <si>
    <t>Shuttle</t>
  </si>
  <si>
    <t>穿着</t>
  </si>
  <si>
    <t>chuān zhuó</t>
  </si>
  <si>
    <t>dress / clothing</t>
  </si>
  <si>
    <t>传媒</t>
  </si>
  <si>
    <t>chuán méi</t>
  </si>
  <si>
    <t>Media</t>
  </si>
  <si>
    <t>传奇</t>
  </si>
  <si>
    <t>chuán qí</t>
  </si>
  <si>
    <t>Legend</t>
  </si>
  <si>
    <t>传人</t>
  </si>
  <si>
    <t>chuán rén</t>
  </si>
  <si>
    <t>Descendant</t>
  </si>
  <si>
    <t>传闻</t>
  </si>
  <si>
    <t>chuán wén</t>
  </si>
  <si>
    <t>Rumor</t>
  </si>
  <si>
    <t>传言</t>
  </si>
  <si>
    <t>chuán yán</t>
  </si>
  <si>
    <t>喘</t>
  </si>
  <si>
    <t>chuǎn</t>
  </si>
  <si>
    <t>Pant / Gasp</t>
  </si>
  <si>
    <t>喘息</t>
  </si>
  <si>
    <t>chuǎn xī</t>
  </si>
  <si>
    <t>Pant / gasp</t>
  </si>
  <si>
    <t>串门</t>
  </si>
  <si>
    <t>chuàn mén</t>
  </si>
  <si>
    <t>Visit casually</t>
  </si>
  <si>
    <t>创伤</t>
  </si>
  <si>
    <t>chuāng shāng</t>
  </si>
  <si>
    <t>Injury / trauma</t>
  </si>
  <si>
    <t>床位</t>
  </si>
  <si>
    <t>chuáng wèi</t>
  </si>
  <si>
    <t>Bed space / Berth</t>
  </si>
  <si>
    <t>创</t>
  </si>
  <si>
    <t>chuàng</t>
  </si>
  <si>
    <t>Create / Innovate / Start</t>
  </si>
  <si>
    <t>创始人</t>
  </si>
  <si>
    <t>chuàng shǐ rén</t>
  </si>
  <si>
    <t>Founder / Originator</t>
  </si>
  <si>
    <t>垂</t>
  </si>
  <si>
    <t>Hang down / Dangle / Suspend</t>
  </si>
  <si>
    <t>捶</t>
  </si>
  <si>
    <t>Beat with a stick / Hammer</t>
  </si>
  <si>
    <t>垂头丧气</t>
  </si>
  <si>
    <t>chuí tóu sàng qì</t>
  </si>
  <si>
    <t>crestfallen / dispirited</t>
  </si>
  <si>
    <t>醇厚</t>
  </si>
  <si>
    <t>chún hòu</t>
  </si>
  <si>
    <t>Mellow</t>
  </si>
  <si>
    <t>纯朴</t>
  </si>
  <si>
    <t>chún pǔ</t>
  </si>
  <si>
    <t>simple / unadorned</t>
  </si>
  <si>
    <t>淳朴</t>
  </si>
  <si>
    <t>Simple and honest</t>
  </si>
  <si>
    <t>蠢</t>
  </si>
  <si>
    <t>chǔn</t>
  </si>
  <si>
    <t>Foolish / Stupid</t>
  </si>
  <si>
    <t>戳</t>
  </si>
  <si>
    <t>chuō</t>
  </si>
  <si>
    <t>Poke / Stamp / Seal</t>
  </si>
  <si>
    <t>绰号</t>
  </si>
  <si>
    <t>chuò hào</t>
  </si>
  <si>
    <t>Nickname</t>
  </si>
  <si>
    <t>辞</t>
  </si>
  <si>
    <t>cí</t>
  </si>
  <si>
    <t>To resign / To bid farewell</t>
  </si>
  <si>
    <t>辞呈</t>
  </si>
  <si>
    <t>cí chéng</t>
  </si>
  <si>
    <t>Resignation letter</t>
  </si>
  <si>
    <t>辞典</t>
  </si>
  <si>
    <t>Dictionary</t>
  </si>
  <si>
    <t>磁铁</t>
  </si>
  <si>
    <t>cí tiě</t>
  </si>
  <si>
    <t>Magnet</t>
  </si>
  <si>
    <t>辞退</t>
  </si>
  <si>
    <t>cí tuì</t>
  </si>
  <si>
    <t>Dismiss</t>
  </si>
  <si>
    <t>雌性</t>
  </si>
  <si>
    <t>cí xìng</t>
  </si>
  <si>
    <t>Female</t>
  </si>
  <si>
    <t>此起彼伏</t>
  </si>
  <si>
    <t>cǐ qǐ bǐ fú</t>
  </si>
  <si>
    <t>one after another / alternately</t>
  </si>
  <si>
    <t>此致</t>
  </si>
  <si>
    <t>cǐ zhì</t>
  </si>
  <si>
    <t>Best regards</t>
  </si>
  <si>
    <t>赐</t>
  </si>
  <si>
    <t>To grant / To bestow</t>
  </si>
  <si>
    <t>刺耳</t>
  </si>
  <si>
    <t>cì ěr</t>
  </si>
  <si>
    <t>Grating to the ear / harsh sounding</t>
  </si>
  <si>
    <t>刺骨</t>
  </si>
  <si>
    <t>cì gǔ</t>
  </si>
  <si>
    <t>Piercing to the bone / bone-chilling</t>
  </si>
  <si>
    <t>赐教</t>
  </si>
  <si>
    <t>cì jiào</t>
  </si>
  <si>
    <t>Give instruction</t>
  </si>
  <si>
    <t>次日</t>
  </si>
  <si>
    <t>cì rì</t>
  </si>
  <si>
    <t>Next day</t>
  </si>
  <si>
    <t>刺绣</t>
  </si>
  <si>
    <t>cì xiù</t>
  </si>
  <si>
    <t>Embroidery</t>
  </si>
  <si>
    <t>刺眼</t>
  </si>
  <si>
    <t>cì yǎn</t>
  </si>
  <si>
    <t>Dazzling</t>
  </si>
  <si>
    <t>葱</t>
  </si>
  <si>
    <t>cōng</t>
  </si>
  <si>
    <t>Green onion</t>
  </si>
  <si>
    <t>丛林</t>
  </si>
  <si>
    <t>cóng lín</t>
  </si>
  <si>
    <t>Jungle</t>
  </si>
  <si>
    <t>从容不迫</t>
  </si>
  <si>
    <t>cóng róng bú pò</t>
  </si>
  <si>
    <t>unhurriedly / leisurely</t>
  </si>
  <si>
    <t>从头</t>
  </si>
  <si>
    <t>cóng tóu</t>
  </si>
  <si>
    <t>From the beginning</t>
  </si>
  <si>
    <t>凑</t>
  </si>
  <si>
    <t>còu</t>
  </si>
  <si>
    <t>Put together / Make up (a sum)</t>
  </si>
  <si>
    <t>凑巧</t>
  </si>
  <si>
    <t>còu qiǎo</t>
  </si>
  <si>
    <t>Fortuitous</t>
  </si>
  <si>
    <t>粗暴</t>
  </si>
  <si>
    <t>cū bào</t>
  </si>
  <si>
    <t>rough / brutal</t>
  </si>
  <si>
    <t>粗略</t>
  </si>
  <si>
    <t>cū lüè</t>
  </si>
  <si>
    <t>rough / approximate</t>
  </si>
  <si>
    <t>粗心大意</t>
  </si>
  <si>
    <t>cū xīn dà yì</t>
  </si>
  <si>
    <t>Careless / Negligent</t>
  </si>
  <si>
    <t>促成</t>
  </si>
  <si>
    <t>cù chéng</t>
  </si>
  <si>
    <t>Facilitate</t>
  </si>
  <si>
    <t>簇拥</t>
  </si>
  <si>
    <t>cù yōng</t>
  </si>
  <si>
    <t>crowd around / throng</t>
  </si>
  <si>
    <t>催促</t>
  </si>
  <si>
    <t>cuī cù</t>
  </si>
  <si>
    <t>Urge</t>
  </si>
  <si>
    <t>摧毁</t>
  </si>
  <si>
    <t>cuī huǐ</t>
  </si>
  <si>
    <t>Destroy / Wreck</t>
  </si>
  <si>
    <t>催眠</t>
  </si>
  <si>
    <t>cuī mián</t>
  </si>
  <si>
    <t>Hypnotize</t>
  </si>
  <si>
    <t>璀璨</t>
  </si>
  <si>
    <t>cuǐ càn</t>
  </si>
  <si>
    <t>Brilliant</t>
  </si>
  <si>
    <t>翠绿</t>
  </si>
  <si>
    <t>cuì lǜ</t>
  </si>
  <si>
    <t>Emerald green</t>
  </si>
  <si>
    <t>存活</t>
  </si>
  <si>
    <t>cún huó</t>
  </si>
  <si>
    <t>Survive</t>
  </si>
  <si>
    <t>存货</t>
  </si>
  <si>
    <t>cún huò</t>
  </si>
  <si>
    <t>Inventory</t>
  </si>
  <si>
    <t>存心</t>
  </si>
  <si>
    <t>cún xīn</t>
  </si>
  <si>
    <t>Intentionally / Deliberately</t>
  </si>
  <si>
    <t>存折</t>
  </si>
  <si>
    <t>cún zhé</t>
  </si>
  <si>
    <t>Bankbook</t>
  </si>
  <si>
    <t>挫败</t>
  </si>
  <si>
    <t>cuò bài</t>
  </si>
  <si>
    <t>Frustration</t>
  </si>
  <si>
    <t>错别字</t>
  </si>
  <si>
    <t>cuò bié zì</t>
  </si>
  <si>
    <t>Typo / Misspelling</t>
  </si>
  <si>
    <t>错觉</t>
  </si>
  <si>
    <t>cuò jué</t>
  </si>
  <si>
    <t>Illusion / Delusion</t>
  </si>
  <si>
    <t>措手不及</t>
  </si>
  <si>
    <t>cuò shǒu bù jí</t>
  </si>
  <si>
    <t>be caught off guard / be taken by surprise</t>
  </si>
  <si>
    <t>错位</t>
  </si>
  <si>
    <t>cuò wèi</t>
  </si>
  <si>
    <t>Displacement / Misalignment</t>
  </si>
  <si>
    <t>错综复杂</t>
  </si>
  <si>
    <t>cuò zōng fù zá</t>
  </si>
  <si>
    <t>Complicated / Complex</t>
  </si>
  <si>
    <t>搭乘</t>
  </si>
  <si>
    <t>dā chéng</t>
  </si>
  <si>
    <t>Take a ride / Board (a vehicle)</t>
  </si>
  <si>
    <t>搭建</t>
  </si>
  <si>
    <t>dā jiàn</t>
  </si>
  <si>
    <t>Build / Construct</t>
  </si>
  <si>
    <t>达标</t>
  </si>
  <si>
    <t>dá biāo</t>
  </si>
  <si>
    <t>Meet the standard</t>
  </si>
  <si>
    <t>打</t>
  </si>
  <si>
    <t>dǎ</t>
  </si>
  <si>
    <t>打岔</t>
  </si>
  <si>
    <t>dǎ chà</t>
  </si>
  <si>
    <t>Change the subject / Digress</t>
  </si>
  <si>
    <t>打倒</t>
  </si>
  <si>
    <t>dǎ dǎo</t>
  </si>
  <si>
    <t>Overthrow / Knock down</t>
  </si>
  <si>
    <t>打赌</t>
  </si>
  <si>
    <t>dǎ dǔ</t>
  </si>
  <si>
    <t>Bet</t>
  </si>
  <si>
    <t>打盹儿</t>
  </si>
  <si>
    <t>dǎ dǔnr</t>
  </si>
  <si>
    <t>Take a nap / Doze off</t>
  </si>
  <si>
    <t>打发</t>
  </si>
  <si>
    <t>dǎ fā</t>
  </si>
  <si>
    <t>Send</t>
  </si>
  <si>
    <t>打搅</t>
  </si>
  <si>
    <t>dǎ jiǎo</t>
  </si>
  <si>
    <t>Disturb / Interrupt</t>
  </si>
  <si>
    <t>打捞</t>
  </si>
  <si>
    <t>dǎ lāo</t>
  </si>
  <si>
    <t>Salvage / Fish out</t>
  </si>
  <si>
    <t>打磨</t>
  </si>
  <si>
    <t>dǎ mó</t>
  </si>
  <si>
    <t>Polish / Grind</t>
  </si>
  <si>
    <t>打下手</t>
  </si>
  <si>
    <t>dǎ xià shǒu</t>
  </si>
  <si>
    <t>act as assistant</t>
  </si>
  <si>
    <t>打消</t>
  </si>
  <si>
    <t>dǎ xiāo</t>
  </si>
  <si>
    <t>大大咧咧</t>
  </si>
  <si>
    <t>dà da liē liē</t>
  </si>
  <si>
    <t>careless and casual in manner / brash</t>
  </si>
  <si>
    <t>大纲</t>
  </si>
  <si>
    <t>dà gāng</t>
  </si>
  <si>
    <t>Outline</t>
  </si>
  <si>
    <t>大公无私</t>
  </si>
  <si>
    <t>dà gōng wú sī</t>
  </si>
  <si>
    <t>fair and impartial / selfless</t>
  </si>
  <si>
    <t>大街小巷</t>
  </si>
  <si>
    <t>dà jiē xiǎo xiàng</t>
  </si>
  <si>
    <t>streets and lanes / everywhere</t>
  </si>
  <si>
    <t>大惊小怪</t>
  </si>
  <si>
    <t>dà jīng xiǎo guài</t>
  </si>
  <si>
    <t>make a fuss about nothing / be overly alarmed</t>
  </si>
  <si>
    <t>大局</t>
  </si>
  <si>
    <t>dà jú</t>
  </si>
  <si>
    <t>Overall situation / general trend</t>
  </si>
  <si>
    <t>大陆</t>
  </si>
  <si>
    <t>dà lù</t>
  </si>
  <si>
    <t>The mainland</t>
  </si>
  <si>
    <t>大名鼎鼎</t>
  </si>
  <si>
    <t>dà míng dǐng dǐng</t>
  </si>
  <si>
    <t>famous / renowned</t>
  </si>
  <si>
    <t>大片</t>
  </si>
  <si>
    <t>dà piàn</t>
  </si>
  <si>
    <t>Large area / vast expanse</t>
  </si>
  <si>
    <t>大气</t>
  </si>
  <si>
    <t>dà qì</t>
  </si>
  <si>
    <t>Atmosphere / demeanor</t>
  </si>
  <si>
    <t>大数据</t>
  </si>
  <si>
    <t>dà shù jù</t>
  </si>
  <si>
    <t>Big data</t>
  </si>
  <si>
    <t>大同小异</t>
  </si>
  <si>
    <t>dà tóng xiǎo yì</t>
  </si>
  <si>
    <t>basically the same with minor differences</t>
  </si>
  <si>
    <t>大为</t>
  </si>
  <si>
    <t>dà wéi</t>
  </si>
  <si>
    <t>greatly</t>
  </si>
  <si>
    <t>大雁</t>
  </si>
  <si>
    <t>dà yàn</t>
  </si>
  <si>
    <t>Wild goose</t>
  </si>
  <si>
    <t>大有可为</t>
  </si>
  <si>
    <t>dà yǒu kě wéi</t>
  </si>
  <si>
    <t>have great prospects / be very promising</t>
  </si>
  <si>
    <t>大宗</t>
  </si>
  <si>
    <t>dà zōng</t>
  </si>
  <si>
    <t>Large quantity / bulk</t>
  </si>
  <si>
    <t>逮</t>
  </si>
  <si>
    <t>dǎi</t>
  </si>
  <si>
    <t>To catch / To arrest</t>
  </si>
  <si>
    <t>带队</t>
  </si>
  <si>
    <t>dài duì</t>
  </si>
  <si>
    <t>Lead a team / Captain a team</t>
  </si>
  <si>
    <t>怠工</t>
  </si>
  <si>
    <t>dài gōng</t>
  </si>
  <si>
    <t>Slack off from work / Shirk one's duty</t>
  </si>
  <si>
    <t>代号</t>
  </si>
  <si>
    <t>dài hào</t>
  </si>
  <si>
    <t>Code name</t>
  </si>
  <si>
    <t>代理人</t>
  </si>
  <si>
    <t>dài lǐ rén</t>
  </si>
  <si>
    <t>Agent / Representative</t>
  </si>
  <si>
    <t>带路</t>
  </si>
  <si>
    <t>dài lù</t>
  </si>
  <si>
    <t>Show the way / Lead the way</t>
  </si>
  <si>
    <t>带头</t>
  </si>
  <si>
    <t>dài tóu</t>
  </si>
  <si>
    <t>Take the lead / Lead the way</t>
  </si>
  <si>
    <t>代言</t>
  </si>
  <si>
    <t>dài yán</t>
  </si>
  <si>
    <t>Endorsement</t>
  </si>
  <si>
    <t>担</t>
  </si>
  <si>
    <t>dān</t>
  </si>
  <si>
    <t>Bear / Undertake / Shoulder</t>
  </si>
  <si>
    <t>单边</t>
  </si>
  <si>
    <t>dān biān</t>
  </si>
  <si>
    <t>Unilateral / one-sided</t>
  </si>
  <si>
    <t>单薄</t>
  </si>
  <si>
    <t>dān bó</t>
  </si>
  <si>
    <t>Thin / weak</t>
  </si>
  <si>
    <t>担当</t>
  </si>
  <si>
    <t>dān dāng</t>
  </si>
  <si>
    <t>Take on / Assume responsibility</t>
  </si>
  <si>
    <t>单方面</t>
  </si>
  <si>
    <t>dān fāng miàn</t>
  </si>
  <si>
    <t>Unilateral / One-sided</t>
  </si>
  <si>
    <t>担负</t>
  </si>
  <si>
    <t>dān fù</t>
  </si>
  <si>
    <t>Undertake / Take on (responsibility)</t>
  </si>
  <si>
    <t>耽搁</t>
  </si>
  <si>
    <t>dān ge</t>
  </si>
  <si>
    <t>Delay</t>
  </si>
  <si>
    <t>单价</t>
  </si>
  <si>
    <t>dān jià</t>
  </si>
  <si>
    <t>Unit price</t>
  </si>
  <si>
    <t>单身</t>
  </si>
  <si>
    <t>dān shēn</t>
  </si>
  <si>
    <t>Single / unmarried</t>
  </si>
  <si>
    <t>胆量</t>
  </si>
  <si>
    <t>dǎn liàng</t>
  </si>
  <si>
    <t>Courage</t>
  </si>
  <si>
    <t>淡化</t>
  </si>
  <si>
    <t>dàn huà</t>
  </si>
  <si>
    <t>weaken / fade</t>
  </si>
  <si>
    <t>但愿</t>
  </si>
  <si>
    <t>dàn yuàn</t>
  </si>
  <si>
    <t>Hopefully</t>
  </si>
  <si>
    <t>担子</t>
  </si>
  <si>
    <t>dàn zi</t>
  </si>
  <si>
    <t>Burden / Responsibility</t>
  </si>
  <si>
    <t>当即</t>
  </si>
  <si>
    <t>dāng jí</t>
  </si>
  <si>
    <t>Immediately / At once</t>
  </si>
  <si>
    <t>当日</t>
  </si>
  <si>
    <t>dāng rì</t>
  </si>
  <si>
    <t>That day / On that day</t>
  </si>
  <si>
    <t>当之无愧</t>
  </si>
  <si>
    <t>dāng zhī wú kuì</t>
  </si>
  <si>
    <t>worthy of the name / deserve the title</t>
  </si>
  <si>
    <t>当众</t>
  </si>
  <si>
    <t>dāng zhòng</t>
  </si>
  <si>
    <t>In public / Before everyone</t>
  </si>
  <si>
    <t>当机立断</t>
  </si>
  <si>
    <t>dàng jī lì duàn</t>
  </si>
  <si>
    <t>Make a prompt decision</t>
  </si>
  <si>
    <t>当晚</t>
  </si>
  <si>
    <t>dàng wǎn</t>
  </si>
  <si>
    <t>That night / On that night</t>
  </si>
  <si>
    <t>荡漾</t>
  </si>
  <si>
    <t>dàng yàng</t>
  </si>
  <si>
    <t>Ripple</t>
  </si>
  <si>
    <t>当真</t>
  </si>
  <si>
    <t>dàng zhēn</t>
  </si>
  <si>
    <t>Take seriously / Seriously</t>
  </si>
  <si>
    <t>导火索</t>
  </si>
  <si>
    <t>dǎo huǒ suǒ</t>
  </si>
  <si>
    <t>Fuse / Spark</t>
  </si>
  <si>
    <t>倒塌</t>
  </si>
  <si>
    <t>dǎo tā</t>
  </si>
  <si>
    <t>Collapse</t>
  </si>
  <si>
    <t>盗</t>
  </si>
  <si>
    <t>To steal / Thief</t>
  </si>
  <si>
    <t>盗版</t>
  </si>
  <si>
    <t>dào bǎn</t>
  </si>
  <si>
    <t>Piracy</t>
  </si>
  <si>
    <t>道别</t>
  </si>
  <si>
    <t>dào bié</t>
  </si>
  <si>
    <t>Goodbye</t>
  </si>
  <si>
    <t>稻草</t>
  </si>
  <si>
    <t>dào cǎo</t>
  </si>
  <si>
    <t>straw</t>
  </si>
  <si>
    <t>倒计时</t>
  </si>
  <si>
    <t>dào jì shí</t>
  </si>
  <si>
    <t>Countdown</t>
  </si>
  <si>
    <t>道具</t>
  </si>
  <si>
    <t>dào jù</t>
  </si>
  <si>
    <t>Props</t>
  </si>
  <si>
    <t>悼念</t>
  </si>
  <si>
    <t>dào niàn</t>
  </si>
  <si>
    <t>Mourn / Lament</t>
  </si>
  <si>
    <t>倒数</t>
  </si>
  <si>
    <t>dào shǔ</t>
  </si>
  <si>
    <t>到头来</t>
  </si>
  <si>
    <t>dào tóu lái</t>
  </si>
  <si>
    <t>In the end / Ultimately</t>
  </si>
  <si>
    <t>倒退</t>
  </si>
  <si>
    <t>dào tuì</t>
  </si>
  <si>
    <t>Regression</t>
  </si>
  <si>
    <t>到位</t>
  </si>
  <si>
    <t>dào wèi</t>
  </si>
  <si>
    <t>In place / in position</t>
  </si>
  <si>
    <t>德才兼备</t>
  </si>
  <si>
    <t>dé cái jiān bèi</t>
  </si>
  <si>
    <t>Both virtuous and talented</t>
  </si>
  <si>
    <t>得当</t>
  </si>
  <si>
    <t>dé dàng</t>
  </si>
  <si>
    <t>Appropriate / Proper</t>
  </si>
  <si>
    <t>得失</t>
  </si>
  <si>
    <t>dé shī</t>
  </si>
  <si>
    <t>Gains and losses / Pros and cons</t>
  </si>
  <si>
    <t>得手</t>
  </si>
  <si>
    <t>dé shǒu</t>
  </si>
  <si>
    <t>Succeed / Accomplish</t>
  </si>
  <si>
    <t>得体</t>
  </si>
  <si>
    <t>dé tǐ</t>
  </si>
  <si>
    <t>Appropriate / Decent</t>
  </si>
  <si>
    <t>得心应手</t>
  </si>
  <si>
    <t>dé xīn yìng shǒu</t>
  </si>
  <si>
    <t>Handle it with ease</t>
  </si>
  <si>
    <t>得益</t>
  </si>
  <si>
    <t>Benefit</t>
  </si>
  <si>
    <t>得意扬扬</t>
  </si>
  <si>
    <t>dé yì yáng yáng</t>
  </si>
  <si>
    <t>be elated / be in high spirits</t>
  </si>
  <si>
    <t>登场</t>
  </si>
  <si>
    <t>dēng chǎng</t>
  </si>
  <si>
    <t>Make an appearance</t>
  </si>
  <si>
    <t>登顶</t>
  </si>
  <si>
    <t>dēng dǐng</t>
  </si>
  <si>
    <t>Reach the summit</t>
  </si>
  <si>
    <t>灯泡</t>
  </si>
  <si>
    <t>dēng pào</t>
  </si>
  <si>
    <t>light bulb</t>
  </si>
  <si>
    <t>凳子</t>
  </si>
  <si>
    <t>dèng zi</t>
  </si>
  <si>
    <t>Stool</t>
  </si>
  <si>
    <t>堤</t>
  </si>
  <si>
    <t>Embankment / Dyke</t>
  </si>
  <si>
    <t>低调</t>
  </si>
  <si>
    <t>dī diào</t>
  </si>
  <si>
    <t>Low-key</t>
  </si>
  <si>
    <t>提防</t>
  </si>
  <si>
    <t>dī fang</t>
  </si>
  <si>
    <t>Beware of / Guard against</t>
  </si>
  <si>
    <t>低估</t>
  </si>
  <si>
    <t>dī gū</t>
  </si>
  <si>
    <t>Underestimate</t>
  </si>
  <si>
    <t>低谷</t>
  </si>
  <si>
    <t>dī gǔ</t>
  </si>
  <si>
    <t>Low Point</t>
  </si>
  <si>
    <t>低落</t>
  </si>
  <si>
    <t>dī luò</t>
  </si>
  <si>
    <t>Depressed</t>
  </si>
  <si>
    <t>低迷</t>
  </si>
  <si>
    <t>dī mí</t>
  </si>
  <si>
    <t>Low Ebb</t>
  </si>
  <si>
    <t>低下</t>
  </si>
  <si>
    <t>dī xià</t>
  </si>
  <si>
    <t>Low</t>
  </si>
  <si>
    <t>嘀咕</t>
  </si>
  <si>
    <t>dí gū</t>
  </si>
  <si>
    <t>Muttering</t>
  </si>
  <si>
    <t>笛子</t>
  </si>
  <si>
    <t>dí zi</t>
  </si>
  <si>
    <t>flute / whistle</t>
  </si>
  <si>
    <t>抵</t>
  </si>
  <si>
    <t>Arrived</t>
  </si>
  <si>
    <t>底层</t>
  </si>
  <si>
    <t>dǐ céng</t>
  </si>
  <si>
    <t>Bottom layer / Underclass</t>
  </si>
  <si>
    <t>抵触</t>
  </si>
  <si>
    <t>dǐ chù</t>
  </si>
  <si>
    <t>Conflict with / Contradict</t>
  </si>
  <si>
    <t>抵挡</t>
  </si>
  <si>
    <t>dǐ dǎng</t>
  </si>
  <si>
    <t>Resist / Ward off</t>
  </si>
  <si>
    <t>底线</t>
  </si>
  <si>
    <t>dǐ xiàn</t>
  </si>
  <si>
    <t>Bottom line / Baseline</t>
  </si>
  <si>
    <t>抵消</t>
  </si>
  <si>
    <t>dǐ xiāo</t>
  </si>
  <si>
    <t>Offset / Counteract</t>
  </si>
  <si>
    <t>抵押</t>
  </si>
  <si>
    <t>dǐ yā</t>
  </si>
  <si>
    <t>Mortgage / Pledge</t>
  </si>
  <si>
    <t>抵御</t>
  </si>
  <si>
    <t>dǐ yù</t>
  </si>
  <si>
    <t>Defend against / Resist</t>
  </si>
  <si>
    <t>底蕴</t>
  </si>
  <si>
    <t>dǐ yùn</t>
  </si>
  <si>
    <t>Bottom line / Essence</t>
  </si>
  <si>
    <t>底子</t>
  </si>
  <si>
    <t>dǐ zi</t>
  </si>
  <si>
    <t>Foundation / Basis</t>
  </si>
  <si>
    <t>地板</t>
  </si>
  <si>
    <t>dì bǎn</t>
  </si>
  <si>
    <t>Floor</t>
  </si>
  <si>
    <t>地带</t>
  </si>
  <si>
    <t>dì dài</t>
  </si>
  <si>
    <t>Zone</t>
  </si>
  <si>
    <t>地段</t>
  </si>
  <si>
    <t>dì duàn</t>
  </si>
  <si>
    <t>Location / site</t>
  </si>
  <si>
    <t>帝国</t>
  </si>
  <si>
    <t>dì guó</t>
  </si>
  <si>
    <t>Empire</t>
  </si>
  <si>
    <t>递交</t>
  </si>
  <si>
    <t>dì jiāo</t>
  </si>
  <si>
    <t>Submit</t>
  </si>
  <si>
    <t>地下水</t>
  </si>
  <si>
    <t>dì xià shuǐ</t>
  </si>
  <si>
    <t>Groundwater</t>
  </si>
  <si>
    <t>第一手</t>
  </si>
  <si>
    <t>dì yī shǒu</t>
  </si>
  <si>
    <t>First-hand / Primary</t>
  </si>
  <si>
    <t>地狱</t>
  </si>
  <si>
    <t>dì yù</t>
  </si>
  <si>
    <t>Hell</t>
  </si>
  <si>
    <t>弟子</t>
  </si>
  <si>
    <t>dì zǐ</t>
  </si>
  <si>
    <t>Disciple / Follower</t>
  </si>
  <si>
    <t>颠倒黑白</t>
  </si>
  <si>
    <t>diān dǎo hēi bái</t>
  </si>
  <si>
    <t>call white black</t>
  </si>
  <si>
    <t>巅峰</t>
  </si>
  <si>
    <t>diān fēng</t>
  </si>
  <si>
    <t>Summit / Peak</t>
  </si>
  <si>
    <t>颠覆</t>
  </si>
  <si>
    <t>diān fù</t>
  </si>
  <si>
    <t>Subvert / Overthrow</t>
  </si>
  <si>
    <t>典范</t>
  </si>
  <si>
    <t>diǎn fàn</t>
  </si>
  <si>
    <t>Model</t>
  </si>
  <si>
    <t>点火</t>
  </si>
  <si>
    <t>diǎn huǒ</t>
  </si>
  <si>
    <t>ignite / light a fire</t>
  </si>
  <si>
    <t>点评</t>
  </si>
  <si>
    <t>diǎn píng</t>
  </si>
  <si>
    <t>comment on / critique</t>
  </si>
  <si>
    <t>点子</t>
  </si>
  <si>
    <t>diǎn zi</t>
  </si>
  <si>
    <t>垫底</t>
  </si>
  <si>
    <t>diàn dǐ</t>
  </si>
  <si>
    <t>Bottom / lowest level</t>
  </si>
  <si>
    <t>淀粉</t>
  </si>
  <si>
    <t>diàn fěn</t>
  </si>
  <si>
    <t>starch</t>
  </si>
  <si>
    <t>殿堂</t>
  </si>
  <si>
    <t>diàn táng</t>
  </si>
  <si>
    <t>Hall / palace</t>
  </si>
  <si>
    <t>电网</t>
  </si>
  <si>
    <t>diàn wǎng</t>
  </si>
  <si>
    <t>power grid / electrical network</t>
  </si>
  <si>
    <t>电线</t>
  </si>
  <si>
    <t>diàn xiàn</t>
  </si>
  <si>
    <t>electric wire</t>
  </si>
  <si>
    <t>电信</t>
  </si>
  <si>
    <t>diàn xìn</t>
  </si>
  <si>
    <t>telecommunications</t>
  </si>
  <si>
    <t>电讯</t>
  </si>
  <si>
    <t>diàn xùn</t>
  </si>
  <si>
    <t>telecommunication</t>
  </si>
  <si>
    <t>垫子</t>
  </si>
  <si>
    <t>diàn zi</t>
  </si>
  <si>
    <t>Cushion / pad</t>
  </si>
  <si>
    <t>雕</t>
  </si>
  <si>
    <t>To carve / To sculpt</t>
  </si>
  <si>
    <t>刁难</t>
  </si>
  <si>
    <t>diāo nàn</t>
  </si>
  <si>
    <t>Give a hard time</t>
  </si>
  <si>
    <t>雕像</t>
  </si>
  <si>
    <t>diāo xiàng</t>
  </si>
  <si>
    <t>Statue</t>
  </si>
  <si>
    <t>凋谢</t>
  </si>
  <si>
    <t>diāo xiè</t>
  </si>
  <si>
    <t>Wither</t>
  </si>
  <si>
    <t>调</t>
  </si>
  <si>
    <t>adjustable</t>
  </si>
  <si>
    <t>调度</t>
  </si>
  <si>
    <t>diào dù</t>
  </si>
  <si>
    <t>掉队</t>
  </si>
  <si>
    <t>diào duì</t>
  </si>
  <si>
    <t>Fall behind / Drop out</t>
  </si>
  <si>
    <t>掉头</t>
  </si>
  <si>
    <t>diào tóu</t>
  </si>
  <si>
    <t>Turn around / Do an about-face</t>
  </si>
  <si>
    <t>吊销</t>
  </si>
  <si>
    <t>diào xiāo</t>
  </si>
  <si>
    <t>Revoke / cancel</t>
  </si>
  <si>
    <t>爹</t>
  </si>
  <si>
    <t>Father / Dad</t>
  </si>
  <si>
    <t>跌幅</t>
  </si>
  <si>
    <t>diē fú</t>
  </si>
  <si>
    <t>Decline</t>
  </si>
  <si>
    <t>叠</t>
  </si>
  <si>
    <t>dié</t>
  </si>
  <si>
    <t>Pile up / Layer</t>
  </si>
  <si>
    <t>碟</t>
  </si>
  <si>
    <t>plate</t>
  </si>
  <si>
    <t>迭起</t>
  </si>
  <si>
    <t>dié qǐ</t>
  </si>
  <si>
    <t>One after another</t>
  </si>
  <si>
    <t>钉子</t>
  </si>
  <si>
    <t>dīng zi</t>
  </si>
  <si>
    <t>Nail</t>
  </si>
  <si>
    <t>顶多</t>
  </si>
  <si>
    <t>dǐng duō</t>
  </si>
  <si>
    <t>At most / Maximum</t>
  </si>
  <si>
    <t>顶级</t>
  </si>
  <si>
    <t>dǐng jí</t>
  </si>
  <si>
    <t>Top-level / Highest quality</t>
  </si>
  <si>
    <t>顶尖</t>
  </si>
  <si>
    <t>dǐng jiān</t>
  </si>
  <si>
    <t>Top-notch / First-rate</t>
  </si>
  <si>
    <t>钉</t>
  </si>
  <si>
    <t>dìng</t>
  </si>
  <si>
    <t>To nail / To tack</t>
  </si>
  <si>
    <t>订购</t>
  </si>
  <si>
    <t>dìng gòu</t>
  </si>
  <si>
    <t>Order</t>
  </si>
  <si>
    <t>定金</t>
  </si>
  <si>
    <t>dìng jīn</t>
  </si>
  <si>
    <t>Deposit</t>
  </si>
  <si>
    <t>定居</t>
  </si>
  <si>
    <t>dìng jū</t>
  </si>
  <si>
    <t>Settle down / Reside</t>
  </si>
  <si>
    <t>订立</t>
  </si>
  <si>
    <t>dìng lì</t>
  </si>
  <si>
    <t>Conclude</t>
  </si>
  <si>
    <t>定论</t>
  </si>
  <si>
    <t>dìng lùn</t>
  </si>
  <si>
    <t>Conclusion / Final judgment</t>
  </si>
  <si>
    <t>定律</t>
  </si>
  <si>
    <t>dìng lǜ</t>
  </si>
  <si>
    <t>Law</t>
  </si>
  <si>
    <t>定向</t>
  </si>
  <si>
    <t>dìng xiàng</t>
  </si>
  <si>
    <t>Oriented towards</t>
  </si>
  <si>
    <t>定心丸</t>
  </si>
  <si>
    <t>dìng xīn wán</t>
  </si>
  <si>
    <t>Sedative / Calming pill</t>
  </si>
  <si>
    <t>订阅</t>
  </si>
  <si>
    <t>dìng yuè</t>
  </si>
  <si>
    <t>Subscribe</t>
  </si>
  <si>
    <t>定做</t>
  </si>
  <si>
    <t>dìng zuò</t>
  </si>
  <si>
    <t>Custom-made / Tailor</t>
  </si>
  <si>
    <t>丢脸</t>
  </si>
  <si>
    <t>diū liǎn</t>
  </si>
  <si>
    <t>Lose face</t>
  </si>
  <si>
    <t>丢弃</t>
  </si>
  <si>
    <t>diū qì</t>
  </si>
  <si>
    <t>Discard</t>
  </si>
  <si>
    <t>东奔西走</t>
  </si>
  <si>
    <t>dōng bēn xī zǒu</t>
  </si>
  <si>
    <t>rush about / run around</t>
  </si>
  <si>
    <t>懂事</t>
  </si>
  <si>
    <t>dǒng shì</t>
  </si>
  <si>
    <t>Understanding / Sensible</t>
  </si>
  <si>
    <t>董事</t>
  </si>
  <si>
    <t>Director</t>
  </si>
  <si>
    <t>董事会</t>
  </si>
  <si>
    <t>dǒng shì huì</t>
  </si>
  <si>
    <t>Board of directors</t>
  </si>
  <si>
    <t>动不动</t>
  </si>
  <si>
    <t>dòng bu dòng</t>
  </si>
  <si>
    <t>Easily / Frequently</t>
  </si>
  <si>
    <t>动感</t>
  </si>
  <si>
    <t>dòng gǎn</t>
  </si>
  <si>
    <t>Dynamic / energetic</t>
  </si>
  <si>
    <t>动工</t>
  </si>
  <si>
    <t>dòng gōng</t>
  </si>
  <si>
    <t>Start construction / break ground</t>
  </si>
  <si>
    <t>栋梁</t>
  </si>
  <si>
    <t>dòng liáng</t>
  </si>
  <si>
    <t>Pillar / backbone</t>
  </si>
  <si>
    <t>动弹</t>
  </si>
  <si>
    <t>dòng tan</t>
  </si>
  <si>
    <t>Move / make a move</t>
  </si>
  <si>
    <t>动向</t>
  </si>
  <si>
    <t>dòng xiàng</t>
  </si>
  <si>
    <t>Trend / tendency</t>
  </si>
  <si>
    <t>洞穴</t>
  </si>
  <si>
    <t>dòng xué</t>
  </si>
  <si>
    <t>Cave</t>
  </si>
  <si>
    <t>动摇</t>
  </si>
  <si>
    <t>dòng yáo</t>
  </si>
  <si>
    <t>Waver</t>
  </si>
  <si>
    <t>动用</t>
  </si>
  <si>
    <t>dòng yòng</t>
  </si>
  <si>
    <t>Utilize / employ</t>
  </si>
  <si>
    <t>兜售</t>
  </si>
  <si>
    <t>dōu shòu</t>
  </si>
  <si>
    <t>Peddle</t>
  </si>
  <si>
    <t>抖</t>
  </si>
  <si>
    <t>dǒu</t>
  </si>
  <si>
    <t>Shake / Tremble</t>
  </si>
  <si>
    <t>陡</t>
  </si>
  <si>
    <t>Steep / Abrupt</t>
  </si>
  <si>
    <t>斗</t>
  </si>
  <si>
    <t>Fight / To fight / Measure word for volume (10 liters)</t>
  </si>
  <si>
    <t>逗留</t>
  </si>
  <si>
    <t>dòu liú</t>
  </si>
  <si>
    <t>Stay</t>
  </si>
  <si>
    <t>斗志</t>
  </si>
  <si>
    <t>dòu zhì</t>
  </si>
  <si>
    <t>Fighting spirit / morale</t>
  </si>
  <si>
    <t>豆子</t>
  </si>
  <si>
    <t>dòu zi</t>
  </si>
  <si>
    <t>Bean</t>
  </si>
  <si>
    <t>独</t>
  </si>
  <si>
    <t>Alone / Only / Unique</t>
  </si>
  <si>
    <t>独家</t>
  </si>
  <si>
    <t>dú jiā</t>
  </si>
  <si>
    <t>exclusive / sole</t>
  </si>
  <si>
    <t>独身</t>
  </si>
  <si>
    <t>dú shēn</t>
  </si>
  <si>
    <t>single / unmarried</t>
  </si>
  <si>
    <t>读物</t>
  </si>
  <si>
    <t>dú wù</t>
  </si>
  <si>
    <t>Reading materials</t>
  </si>
  <si>
    <t>独一无二</t>
  </si>
  <si>
    <t>dú yī wú èr</t>
  </si>
  <si>
    <t>Unique / One of a kind</t>
  </si>
  <si>
    <t>赌</t>
  </si>
  <si>
    <t>dǔ</t>
  </si>
  <si>
    <t>bet</t>
  </si>
  <si>
    <t>短暂</t>
  </si>
  <si>
    <t>duǎn zàn</t>
  </si>
  <si>
    <t>brief / short-lived</t>
  </si>
  <si>
    <t>断断续续</t>
  </si>
  <si>
    <t>duàn duàn xù xù</t>
  </si>
  <si>
    <t>intermittently / off and on</t>
  </si>
  <si>
    <t>断裂</t>
  </si>
  <si>
    <t>duàn liè</t>
  </si>
  <si>
    <t>To break / to fracture / to crack</t>
  </si>
  <si>
    <t>段落</t>
  </si>
  <si>
    <t>duàn luò</t>
  </si>
  <si>
    <t>Paragraph / section</t>
  </si>
  <si>
    <t>断然</t>
  </si>
  <si>
    <t>duàn rán</t>
  </si>
  <si>
    <t>Decidedly</t>
  </si>
  <si>
    <t>断章取义</t>
  </si>
  <si>
    <t>duàn zhāng qǔ yì</t>
  </si>
  <si>
    <t>Taking things out of context</t>
  </si>
  <si>
    <t>都会</t>
  </si>
  <si>
    <t>dūh uì</t>
  </si>
  <si>
    <t>Metropolis / Urban area</t>
  </si>
  <si>
    <t>堆砌</t>
  </si>
  <si>
    <t>duī qì</t>
  </si>
  <si>
    <t>Pile up / stack</t>
  </si>
  <si>
    <t>兑</t>
  </si>
  <si>
    <t>exchange</t>
  </si>
  <si>
    <t>对岸</t>
  </si>
  <si>
    <t>duì àn</t>
  </si>
  <si>
    <t>On the opposite bank</t>
  </si>
  <si>
    <t>对白</t>
  </si>
  <si>
    <t>duì bái</t>
  </si>
  <si>
    <t>Dialogue</t>
  </si>
  <si>
    <t>对得起</t>
  </si>
  <si>
    <t>duì de qǐ</t>
  </si>
  <si>
    <t>Worthy of / Deserve</t>
  </si>
  <si>
    <t>对流</t>
  </si>
  <si>
    <t>duì liú</t>
  </si>
  <si>
    <t>Convection</t>
  </si>
  <si>
    <t>对牛弹琴</t>
  </si>
  <si>
    <t>duì niú tán qín</t>
  </si>
  <si>
    <t>Playing the lute to a cow</t>
  </si>
  <si>
    <t>队形</t>
  </si>
  <si>
    <t>duì xíng</t>
  </si>
  <si>
    <t>Formation / Arrangement</t>
  </si>
  <si>
    <t>对弈</t>
  </si>
  <si>
    <t>duì yì</t>
  </si>
  <si>
    <t>Play chess / Game</t>
  </si>
  <si>
    <t>对症下药</t>
  </si>
  <si>
    <t>duì zhèng xià yào</t>
  </si>
  <si>
    <t>Treat the symptoms accordingly</t>
  </si>
  <si>
    <t>对峙</t>
  </si>
  <si>
    <t>duì zhì</t>
  </si>
  <si>
    <t>Standoff / Confrontation</t>
  </si>
  <si>
    <t>敦促</t>
  </si>
  <si>
    <t>dūn cù</t>
  </si>
  <si>
    <t>To urge / to press / to prompt</t>
  </si>
  <si>
    <t>敦厚</t>
  </si>
  <si>
    <t>dūn hòu</t>
  </si>
  <si>
    <t>Honest and kind-hearted / sincere</t>
  </si>
  <si>
    <t>炖</t>
  </si>
  <si>
    <t>Stew / Simmer</t>
  </si>
  <si>
    <t>多半</t>
  </si>
  <si>
    <t>duō bàn</t>
  </si>
  <si>
    <t>数、副</t>
  </si>
  <si>
    <t>Most</t>
  </si>
  <si>
    <t>多边</t>
  </si>
  <si>
    <t>duō biān</t>
  </si>
  <si>
    <t>Multilateral / involving many sides</t>
  </si>
  <si>
    <t>多年来</t>
  </si>
  <si>
    <t>duō nián lái</t>
  </si>
  <si>
    <t>Over the years / For many years</t>
  </si>
  <si>
    <t>多心</t>
  </si>
  <si>
    <t>duō xīn</t>
  </si>
  <si>
    <t>Overly suspicious / oversensitive</t>
  </si>
  <si>
    <t>夺冠</t>
  </si>
  <si>
    <t>duó guàn</t>
  </si>
  <si>
    <t>Win the championship</t>
  </si>
  <si>
    <t>夺魁</t>
  </si>
  <si>
    <t>duó kuí</t>
  </si>
  <si>
    <t>Win the first place</t>
  </si>
  <si>
    <t>鹅</t>
  </si>
  <si>
    <t>é</t>
  </si>
  <si>
    <t>Goose</t>
  </si>
  <si>
    <t>额度</t>
  </si>
  <si>
    <t>é dù</t>
  </si>
  <si>
    <t>Credit limit</t>
  </si>
  <si>
    <t>讹诈</t>
  </si>
  <si>
    <t>é zhà</t>
  </si>
  <si>
    <t>Extort</t>
  </si>
  <si>
    <t>恶</t>
  </si>
  <si>
    <t>Evil / Bad / Disgusting</t>
  </si>
  <si>
    <t>噩耗</t>
  </si>
  <si>
    <t>è hào</t>
  </si>
  <si>
    <t>Bad news</t>
  </si>
  <si>
    <t>恶性</t>
  </si>
  <si>
    <t>è xìng</t>
  </si>
  <si>
    <t>Malignant / Vicious</t>
  </si>
  <si>
    <t>恶意</t>
  </si>
  <si>
    <t>è yì</t>
  </si>
  <si>
    <t>Malice / Ill will</t>
  </si>
  <si>
    <t>鳄鱼</t>
  </si>
  <si>
    <t>è yú</t>
  </si>
  <si>
    <t>Crocodile</t>
  </si>
  <si>
    <t>厄运</t>
  </si>
  <si>
    <t>è yùn</t>
  </si>
  <si>
    <t>Misfortune / adversity</t>
  </si>
  <si>
    <t>恶作剧</t>
  </si>
  <si>
    <t>è zuò jù</t>
  </si>
  <si>
    <t>Prank</t>
  </si>
  <si>
    <t>恩爱</t>
  </si>
  <si>
    <t>ēn ài</t>
  </si>
  <si>
    <t>Love and affection</t>
  </si>
  <si>
    <t>恩情</t>
  </si>
  <si>
    <t>ēn qíng</t>
  </si>
  <si>
    <t>Kindness / Favor</t>
  </si>
  <si>
    <t>恩人</t>
  </si>
  <si>
    <t>ēn rén</t>
  </si>
  <si>
    <t>Benefactor</t>
  </si>
  <si>
    <t>耳光</t>
  </si>
  <si>
    <t>ěr guāng</t>
  </si>
  <si>
    <t>耳目一新</t>
  </si>
  <si>
    <t>ěr mù yì xīn</t>
  </si>
  <si>
    <t>A completely new look / Refreshing</t>
  </si>
  <si>
    <t>耳熟能详</t>
  </si>
  <si>
    <t>ěr shú néng xiáng</t>
  </si>
  <si>
    <t>Familiar to the ear / Familiar</t>
  </si>
  <si>
    <t>发火</t>
  </si>
  <si>
    <t>fā huǒ</t>
  </si>
  <si>
    <t>Get angry / flare up</t>
  </si>
  <si>
    <t>发酵</t>
  </si>
  <si>
    <t>fā jiào</t>
  </si>
  <si>
    <t>Ferment / fermentate</t>
  </si>
  <si>
    <t>发掘</t>
  </si>
  <si>
    <t>Excavate / discover</t>
  </si>
  <si>
    <t>发愣</t>
  </si>
  <si>
    <t>fā lèng</t>
  </si>
  <si>
    <t>Stare blankly / be dumbfounded</t>
  </si>
  <si>
    <t>发怒</t>
  </si>
  <si>
    <t>fā nù</t>
  </si>
  <si>
    <t>Get angry</t>
  </si>
  <si>
    <t>发热</t>
  </si>
  <si>
    <t>fā rè</t>
  </si>
  <si>
    <t>Feverish / have a fever</t>
  </si>
  <si>
    <t>发泄</t>
  </si>
  <si>
    <t>fā xiè</t>
  </si>
  <si>
    <t>Vent / let out</t>
  </si>
  <si>
    <t>发芽</t>
  </si>
  <si>
    <t>fā yá</t>
  </si>
  <si>
    <t>Sprout</t>
  </si>
  <si>
    <t>发言人</t>
  </si>
  <si>
    <t>fā yán rén</t>
  </si>
  <si>
    <t>Spokesperson</t>
  </si>
  <si>
    <t>发扬光大</t>
  </si>
  <si>
    <t>fā yáng guāng dà</t>
  </si>
  <si>
    <t>carry forward and promote / develop and enhance</t>
  </si>
  <si>
    <t>发源</t>
  </si>
  <si>
    <t>fā yuán</t>
  </si>
  <si>
    <t>Origin</t>
  </si>
  <si>
    <t>发源地</t>
  </si>
  <si>
    <t>fā yuán dì</t>
  </si>
  <si>
    <t>Place of origin</t>
  </si>
  <si>
    <t>发作</t>
  </si>
  <si>
    <t>fā zuò</t>
  </si>
  <si>
    <t>Have an attack / break out</t>
  </si>
  <si>
    <t>乏力</t>
  </si>
  <si>
    <t>fá lì</t>
  </si>
  <si>
    <t>fatigue</t>
  </si>
  <si>
    <t>阀门</t>
  </si>
  <si>
    <t>fá mén</t>
  </si>
  <si>
    <t>Valve</t>
  </si>
  <si>
    <t>法庭</t>
  </si>
  <si>
    <t>fǎ tíng</t>
  </si>
  <si>
    <t>Court</t>
  </si>
  <si>
    <t>法则</t>
  </si>
  <si>
    <t>fǎ zé</t>
  </si>
  <si>
    <t>法制</t>
  </si>
  <si>
    <t>fǎ zhì</t>
  </si>
  <si>
    <t>Legal system</t>
  </si>
  <si>
    <t>法治</t>
  </si>
  <si>
    <t>Rule of law</t>
  </si>
  <si>
    <t>发型</t>
  </si>
  <si>
    <t>fà xíng</t>
  </si>
  <si>
    <t>Hairstyle</t>
  </si>
  <si>
    <t>帆</t>
  </si>
  <si>
    <t>Sail</t>
  </si>
  <si>
    <t>帆船</t>
  </si>
  <si>
    <t>fān chuán</t>
  </si>
  <si>
    <t>Sailing boat / Sailboat</t>
  </si>
  <si>
    <t>翻番</t>
  </si>
  <si>
    <t>fān fān</t>
  </si>
  <si>
    <t>Double / Increase</t>
  </si>
  <si>
    <t>翻来覆去</t>
  </si>
  <si>
    <t>fān lái fù qù</t>
  </si>
  <si>
    <t>Over and over again / Repeatedly</t>
  </si>
  <si>
    <t>翻身</t>
  </si>
  <si>
    <t>fān shēn</t>
  </si>
  <si>
    <t>Turn over</t>
  </si>
  <si>
    <t>翻天覆地</t>
  </si>
  <si>
    <t>fān tiān fù dì</t>
  </si>
  <si>
    <t>Earth-shaking changes / Dramatic changes</t>
  </si>
  <si>
    <t>翻新</t>
  </si>
  <si>
    <t>fān xīn</t>
  </si>
  <si>
    <t>Renovation</t>
  </si>
  <si>
    <t>繁多</t>
  </si>
  <si>
    <t>fán duō</t>
  </si>
  <si>
    <t>Numerous</t>
  </si>
  <si>
    <t>烦闷</t>
  </si>
  <si>
    <t>fán mèn</t>
  </si>
  <si>
    <t>bored / dull</t>
  </si>
  <si>
    <t>繁衍</t>
  </si>
  <si>
    <t>fán yǎn</t>
  </si>
  <si>
    <t>Reproduction</t>
  </si>
  <si>
    <t>繁杂</t>
  </si>
  <si>
    <t>fán zá</t>
  </si>
  <si>
    <t>Complicated</t>
  </si>
  <si>
    <t>烦躁</t>
  </si>
  <si>
    <t>fán zào</t>
  </si>
  <si>
    <t>irritable / fretful</t>
  </si>
  <si>
    <t>繁重</t>
  </si>
  <si>
    <t>fán zhòng</t>
  </si>
  <si>
    <t>heavy / arduous</t>
  </si>
  <si>
    <t>反差</t>
  </si>
  <si>
    <t>fǎn chā</t>
  </si>
  <si>
    <t>Contrast / disparity</t>
  </si>
  <si>
    <t>反倒</t>
  </si>
  <si>
    <t>fǎn dào</t>
  </si>
  <si>
    <t>On the contrary / instead</t>
  </si>
  <si>
    <t>返还</t>
  </si>
  <si>
    <t>fǎn huá</t>
  </si>
  <si>
    <t>Return</t>
  </si>
  <si>
    <t>反击</t>
  </si>
  <si>
    <t>fǎn jī</t>
  </si>
  <si>
    <t>Counterattack / strike back</t>
  </si>
  <si>
    <t>反弹</t>
  </si>
  <si>
    <t>fǎn tán</t>
  </si>
  <si>
    <t>Rebound / backlash</t>
  </si>
  <si>
    <t>反响</t>
  </si>
  <si>
    <t>fǎn xiǎng</t>
  </si>
  <si>
    <t>Response</t>
  </si>
  <si>
    <t>反省</t>
  </si>
  <si>
    <t>fǎn xǐng</t>
  </si>
  <si>
    <t>Self-examination / introspection</t>
  </si>
  <si>
    <t>犯愁</t>
  </si>
  <si>
    <t>worry / be anxious about</t>
  </si>
  <si>
    <t>犯规</t>
  </si>
  <si>
    <t>fàn guī</t>
  </si>
  <si>
    <t>Foul</t>
  </si>
  <si>
    <t>饭碗</t>
  </si>
  <si>
    <t>fàn wǎn</t>
  </si>
  <si>
    <t>Rice bowl / Livelihood</t>
  </si>
  <si>
    <t>犯罪</t>
  </si>
  <si>
    <t>fàn zuì</t>
  </si>
  <si>
    <t>Crime</t>
  </si>
  <si>
    <t>方向盘</t>
  </si>
  <si>
    <t>fāng xiàng pán</t>
  </si>
  <si>
    <t>Steering wheel</t>
  </si>
  <si>
    <t>防盗</t>
  </si>
  <si>
    <t>fáng dào</t>
  </si>
  <si>
    <t>Anti-theft</t>
  </si>
  <si>
    <t>房地产</t>
  </si>
  <si>
    <t>fáng dì chǎn</t>
  </si>
  <si>
    <t>防范</t>
  </si>
  <si>
    <t>fáng fàn</t>
  </si>
  <si>
    <t>prevent</t>
  </si>
  <si>
    <t>防护</t>
  </si>
  <si>
    <t>fáng hù</t>
  </si>
  <si>
    <t>Protection / Safeguarding</t>
  </si>
  <si>
    <t>防火墙</t>
  </si>
  <si>
    <t>fáng huǒ qiáng</t>
  </si>
  <si>
    <t>Firewall</t>
  </si>
  <si>
    <t>防卫</t>
  </si>
  <si>
    <t>fáng wèi</t>
  </si>
  <si>
    <t>Defend / Guard</t>
  </si>
  <si>
    <t>防汛</t>
  </si>
  <si>
    <t>fáng xùn</t>
  </si>
  <si>
    <t>Flood prevention / Flood control</t>
  </si>
  <si>
    <t>防疫</t>
  </si>
  <si>
    <t>fáng yì</t>
  </si>
  <si>
    <t>Epidemic prevention</t>
  </si>
  <si>
    <t>仿</t>
  </si>
  <si>
    <t>fǎng</t>
  </si>
  <si>
    <t>Imitate / Copy</t>
  </si>
  <si>
    <t>仿真</t>
  </si>
  <si>
    <t>fǎng zhēn</t>
  </si>
  <si>
    <t>Simulation</t>
  </si>
  <si>
    <t>仿制</t>
  </si>
  <si>
    <t>fǎng zhì</t>
  </si>
  <si>
    <t>Imitation</t>
  </si>
  <si>
    <t>放过</t>
  </si>
  <si>
    <t>fàng guò</t>
  </si>
  <si>
    <t>To let sb off / to forgive / to overlook</t>
  </si>
  <si>
    <t>放宽</t>
  </si>
  <si>
    <t>fàng kuān</t>
  </si>
  <si>
    <t>Relax</t>
  </si>
  <si>
    <t>放水</t>
  </si>
  <si>
    <t>fàng shuǐ</t>
  </si>
  <si>
    <t>To drain water / to release water / to pour out / to leak</t>
  </si>
  <si>
    <t>放肆</t>
  </si>
  <si>
    <t>fàng sì</t>
  </si>
  <si>
    <t>Unrestrained / wanton</t>
  </si>
  <si>
    <t>放映</t>
  </si>
  <si>
    <t>fàng yìng</t>
  </si>
  <si>
    <t>To show (a film) / to screen</t>
  </si>
  <si>
    <t>放置</t>
  </si>
  <si>
    <t>fàng zhì</t>
  </si>
  <si>
    <t>To put / to place</t>
  </si>
  <si>
    <t>放纵</t>
  </si>
  <si>
    <t>fàng zòng</t>
  </si>
  <si>
    <t>Unrestrained / unbridled</t>
  </si>
  <si>
    <t>飞船</t>
  </si>
  <si>
    <t>fēi chuán</t>
  </si>
  <si>
    <t>Spaceship</t>
  </si>
  <si>
    <t>非但</t>
  </si>
  <si>
    <t>fēi dàn</t>
  </si>
  <si>
    <t>Not only</t>
  </si>
  <si>
    <t>非得</t>
  </si>
  <si>
    <t>fēi dě</t>
  </si>
  <si>
    <t>Have to / Must</t>
  </si>
  <si>
    <t>飞碟</t>
  </si>
  <si>
    <t>fēi dié</t>
  </si>
  <si>
    <t>UFO</t>
  </si>
  <si>
    <t>非凡</t>
  </si>
  <si>
    <t>fēi fán</t>
  </si>
  <si>
    <t>Extraordinary / Remarkable</t>
  </si>
  <si>
    <t>绯闻</t>
  </si>
  <si>
    <t>fēi wén</t>
  </si>
  <si>
    <t>肥料</t>
  </si>
  <si>
    <t>féi liào</t>
  </si>
  <si>
    <t>Fertilizer</t>
  </si>
  <si>
    <t>废</t>
  </si>
  <si>
    <t>Waste / Abolish / Abandoned</t>
  </si>
  <si>
    <t>沸沸扬扬</t>
  </si>
  <si>
    <t>fèi fèi yáng yáng</t>
  </si>
  <si>
    <t>Boiling and stirring / A situation where rumors are flying around</t>
  </si>
  <si>
    <t>费劲</t>
  </si>
  <si>
    <t>fèi jìn</t>
  </si>
  <si>
    <t>Strenuous</t>
  </si>
  <si>
    <t>费力</t>
  </si>
  <si>
    <t>fèi lì</t>
  </si>
  <si>
    <t>废品</t>
  </si>
  <si>
    <t>fèi pǐn</t>
  </si>
  <si>
    <t>Waste product / Scrap</t>
  </si>
  <si>
    <t>废弃</t>
  </si>
  <si>
    <t>fèi qì</t>
  </si>
  <si>
    <t>Abandoned</t>
  </si>
  <si>
    <t>废物</t>
  </si>
  <si>
    <t>fèi wù</t>
  </si>
  <si>
    <t>Waste material / Garbage</t>
  </si>
  <si>
    <t>分成</t>
  </si>
  <si>
    <t>fēn chéng</t>
  </si>
  <si>
    <t>Divide</t>
  </si>
  <si>
    <t>分担</t>
  </si>
  <si>
    <t>fēn dān</t>
  </si>
  <si>
    <t>Share</t>
  </si>
  <si>
    <t>分发</t>
  </si>
  <si>
    <t>fēn fā</t>
  </si>
  <si>
    <t>Distribution</t>
  </si>
  <si>
    <t>芬芳</t>
  </si>
  <si>
    <t>fēn fāng</t>
  </si>
  <si>
    <t>Fragrant</t>
  </si>
  <si>
    <t>分割</t>
  </si>
  <si>
    <t>fēn gē</t>
  </si>
  <si>
    <t>分化</t>
  </si>
  <si>
    <t>fēn huà</t>
  </si>
  <si>
    <t>Differentiate</t>
  </si>
  <si>
    <t>分支</t>
  </si>
  <si>
    <t>fēn zhī</t>
  </si>
  <si>
    <t>Branch</t>
  </si>
  <si>
    <t>坟</t>
  </si>
  <si>
    <t>fén</t>
  </si>
  <si>
    <t>Grave / Tomb</t>
  </si>
  <si>
    <t>焚烧</t>
  </si>
  <si>
    <t>fén shāo</t>
  </si>
  <si>
    <t>burn / incinerate</t>
  </si>
  <si>
    <t>粉丝</t>
  </si>
  <si>
    <t>fěn sī</t>
  </si>
  <si>
    <t>fan / enthusiast</t>
  </si>
  <si>
    <t>粪</t>
  </si>
  <si>
    <t>Feces / Manure</t>
  </si>
  <si>
    <t>粪便</t>
  </si>
  <si>
    <t>fèn biàn</t>
  </si>
  <si>
    <t>feces / excrement</t>
  </si>
  <si>
    <t>份额</t>
  </si>
  <si>
    <t>fèn é</t>
  </si>
  <si>
    <t>奋力</t>
  </si>
  <si>
    <t>fèn lì</t>
  </si>
  <si>
    <t>Exert all one's strength / spare no effort</t>
  </si>
  <si>
    <t>分外</t>
  </si>
  <si>
    <t>fèn wài</t>
  </si>
  <si>
    <t>Particularly</t>
  </si>
  <si>
    <t>奋勇</t>
  </si>
  <si>
    <t>fèn yǒng</t>
  </si>
  <si>
    <t>Brave and resolute</t>
  </si>
  <si>
    <t>疯</t>
  </si>
  <si>
    <t>fēng</t>
  </si>
  <si>
    <t>crazy</t>
  </si>
  <si>
    <t>风波</t>
  </si>
  <si>
    <t>fēng bō</t>
  </si>
  <si>
    <t>Storm / Turbulence</t>
  </si>
  <si>
    <t>风采</t>
  </si>
  <si>
    <t>fēng cǎi</t>
  </si>
  <si>
    <t>Demeanor / Bearing</t>
  </si>
  <si>
    <t>风餐露宿</t>
  </si>
  <si>
    <t>fēng cān lù sù</t>
  </si>
  <si>
    <t>Live rough / Endure exposure to the elements</t>
  </si>
  <si>
    <t>风吹雨打</t>
  </si>
  <si>
    <t>fēng chuī yǔ dǎ</t>
  </si>
  <si>
    <t>Wind and rain</t>
  </si>
  <si>
    <t>封顶</t>
  </si>
  <si>
    <t>fēng dǐng</t>
  </si>
  <si>
    <t>Cap / Maximum</t>
  </si>
  <si>
    <t>风范</t>
  </si>
  <si>
    <t>fēng fàn</t>
  </si>
  <si>
    <t>Style / Demeanor</t>
  </si>
  <si>
    <t>风和日丽</t>
  </si>
  <si>
    <t>fēng hé rì lì</t>
  </si>
  <si>
    <t>Fine and mild / The weather is fine and sunny</t>
  </si>
  <si>
    <t>丰厚</t>
  </si>
  <si>
    <t>fēng hòu</t>
  </si>
  <si>
    <t>Generous</t>
  </si>
  <si>
    <t>峰回路转</t>
  </si>
  <si>
    <t>fēng huí lù zhuǎn</t>
  </si>
  <si>
    <t>changes in fortune / a reversal of circumstances</t>
  </si>
  <si>
    <t>峰会</t>
  </si>
  <si>
    <t>fēng huì</t>
  </si>
  <si>
    <t>Summit</t>
  </si>
  <si>
    <t>风景线</t>
  </si>
  <si>
    <t>fēng jǐng xiàn</t>
  </si>
  <si>
    <t>Scenic line</t>
  </si>
  <si>
    <t>风浪</t>
  </si>
  <si>
    <t>fēng làng</t>
  </si>
  <si>
    <t>Waves / Stormy seas</t>
  </si>
  <si>
    <t>风流</t>
  </si>
  <si>
    <t>fēng liú</t>
  </si>
  <si>
    <t>Elegant and refined / Romantic</t>
  </si>
  <si>
    <t>风貌</t>
  </si>
  <si>
    <t>fēng mào</t>
  </si>
  <si>
    <t>Style / Features</t>
  </si>
  <si>
    <t>蜂蜜</t>
  </si>
  <si>
    <t>fēng mì</t>
  </si>
  <si>
    <t>Honey</t>
  </si>
  <si>
    <t>封面</t>
  </si>
  <si>
    <t>fēng miàn</t>
  </si>
  <si>
    <t>Front cover / Cover page</t>
  </si>
  <si>
    <t>风情</t>
  </si>
  <si>
    <t>fēng qíng</t>
  </si>
  <si>
    <t>Sentiment / Romantic feelings</t>
  </si>
  <si>
    <t>风沙</t>
  </si>
  <si>
    <t>fēng shā</t>
  </si>
  <si>
    <t>Sandstorm / Drifting sand</t>
  </si>
  <si>
    <t>风尚</t>
  </si>
  <si>
    <t>fēng shàng</t>
  </si>
  <si>
    <t>Fashion / Trend</t>
  </si>
  <si>
    <t>风水</t>
  </si>
  <si>
    <t>fēng shuǐ</t>
  </si>
  <si>
    <t>Feng shui</t>
  </si>
  <si>
    <t>丰硕</t>
  </si>
  <si>
    <t>fēng shuò</t>
  </si>
  <si>
    <t>Fruitful</t>
  </si>
  <si>
    <t>风雨无阻</t>
  </si>
  <si>
    <t>fēng yǔ wú zǔ</t>
  </si>
  <si>
    <t>Regardless of wind or rain</t>
  </si>
  <si>
    <t>风云</t>
  </si>
  <si>
    <t>fēng yún</t>
  </si>
  <si>
    <t>Wind and cloud / Unpredictable situation</t>
  </si>
  <si>
    <t>风筝</t>
  </si>
  <si>
    <t>fēng zheng</t>
  </si>
  <si>
    <t>Kite</t>
  </si>
  <si>
    <t>疯子</t>
  </si>
  <si>
    <t>fēng zi</t>
  </si>
  <si>
    <t>lunatic / madman</t>
  </si>
  <si>
    <t>缝</t>
  </si>
  <si>
    <t>To sew / To stitch</t>
  </si>
  <si>
    <t>缝合</t>
  </si>
  <si>
    <t>féng hé</t>
  </si>
  <si>
    <t>Suture</t>
  </si>
  <si>
    <t>凤凰</t>
  </si>
  <si>
    <t>fèng huáng</t>
  </si>
  <si>
    <t>Phoenix</t>
  </si>
  <si>
    <t>凤毛麟角</t>
  </si>
  <si>
    <t>fèng máo lín jiǎo</t>
  </si>
  <si>
    <t>As rare as phoenix feathers and unicorn horns</t>
  </si>
  <si>
    <t>佛</t>
  </si>
  <si>
    <t>fó</t>
  </si>
  <si>
    <t>The Buddha</t>
  </si>
  <si>
    <t>敷</t>
  </si>
  <si>
    <t>fū</t>
  </si>
  <si>
    <t>Apply (medicine) / Spread</t>
  </si>
  <si>
    <t>孵化</t>
  </si>
  <si>
    <t>fū huà</t>
  </si>
  <si>
    <t>Hatch</t>
  </si>
  <si>
    <t>肤浅</t>
  </si>
  <si>
    <t>fū qiǎn</t>
  </si>
  <si>
    <t>Superficial</t>
  </si>
  <si>
    <t>扶持</t>
  </si>
  <si>
    <t>fú chí</t>
  </si>
  <si>
    <t>Support / Sustain</t>
  </si>
  <si>
    <t>浮动</t>
  </si>
  <si>
    <t>fú dòng</t>
  </si>
  <si>
    <t>Float</t>
  </si>
  <si>
    <t>俘获</t>
  </si>
  <si>
    <t>fú huò</t>
  </si>
  <si>
    <t>浮力</t>
  </si>
  <si>
    <t>buoyancy / buoyant force</t>
  </si>
  <si>
    <t>服饰</t>
  </si>
  <si>
    <t>fú shì</t>
  </si>
  <si>
    <t>Clothing / apparel</t>
  </si>
  <si>
    <t>服务器</t>
  </si>
  <si>
    <t>fú wù qì</t>
  </si>
  <si>
    <t>Server</t>
  </si>
  <si>
    <t>浮现</t>
  </si>
  <si>
    <t>fú xiàn</t>
  </si>
  <si>
    <t>emerge / surface</t>
  </si>
  <si>
    <t>浮躁</t>
  </si>
  <si>
    <t>fú zào</t>
  </si>
  <si>
    <t>impetuous / restless</t>
  </si>
  <si>
    <t>俯首</t>
  </si>
  <si>
    <t>fǔ shǒu</t>
  </si>
  <si>
    <t>Bow</t>
  </si>
  <si>
    <t>抚恤</t>
  </si>
  <si>
    <t>fǔ xù</t>
  </si>
  <si>
    <t>Console / Show sympathy for</t>
  </si>
  <si>
    <t>斧子</t>
  </si>
  <si>
    <t>fǔ zi</t>
  </si>
  <si>
    <t>Axe</t>
  </si>
  <si>
    <t>赴</t>
  </si>
  <si>
    <t>To go to / To proceed to</t>
  </si>
  <si>
    <t>附</t>
  </si>
  <si>
    <t>To attach / To append</t>
  </si>
  <si>
    <t>负</t>
  </si>
  <si>
    <t>burden；negative</t>
  </si>
  <si>
    <t>腹</t>
  </si>
  <si>
    <t>abdominal</t>
  </si>
  <si>
    <t>副本</t>
  </si>
  <si>
    <t>fù běn</t>
  </si>
  <si>
    <t>Copy</t>
  </si>
  <si>
    <t>复查</t>
  </si>
  <si>
    <t>fù chá</t>
  </si>
  <si>
    <t>Recheck / review</t>
  </si>
  <si>
    <t>附带</t>
  </si>
  <si>
    <t>fù dài</t>
  </si>
  <si>
    <t>Incidental / Supplementary</t>
  </si>
  <si>
    <t>复发</t>
  </si>
  <si>
    <t>fù fā</t>
  </si>
  <si>
    <t>Relapse / recur</t>
  </si>
  <si>
    <t>富含</t>
  </si>
  <si>
    <t>fù hán</t>
  </si>
  <si>
    <t>Rich in / Abound in</t>
  </si>
  <si>
    <t>富豪</t>
  </si>
  <si>
    <t>fù háo</t>
  </si>
  <si>
    <t>Magnate / Tycoon</t>
  </si>
  <si>
    <t>复合</t>
  </si>
  <si>
    <t>fù hé</t>
  </si>
  <si>
    <t>Compound / composite</t>
  </si>
  <si>
    <t>附加</t>
  </si>
  <si>
    <t>fù jiā</t>
  </si>
  <si>
    <t>Additional / Supplementary</t>
  </si>
  <si>
    <t>富强</t>
  </si>
  <si>
    <t>fù qiáng</t>
  </si>
  <si>
    <t>Prosperous and strong</t>
  </si>
  <si>
    <t>复苏</t>
  </si>
  <si>
    <t>fù sū</t>
  </si>
  <si>
    <t>Recovery</t>
  </si>
  <si>
    <t>富翁</t>
  </si>
  <si>
    <t>fù wēng</t>
  </si>
  <si>
    <t>Wealthy person / Millionaire</t>
  </si>
  <si>
    <t>复原</t>
  </si>
  <si>
    <t>fù yuán</t>
  </si>
  <si>
    <t>Restore to original state / recover</t>
  </si>
  <si>
    <t>负重</t>
  </si>
  <si>
    <t>fù zhòng</t>
  </si>
  <si>
    <t>Bear weight</t>
  </si>
  <si>
    <t>富足</t>
  </si>
  <si>
    <t>fù zú</t>
  </si>
  <si>
    <t>Well-off / Wealthy</t>
  </si>
  <si>
    <t>副作用</t>
  </si>
  <si>
    <t>fù zuò yòng</t>
  </si>
  <si>
    <t>Side effect</t>
  </si>
  <si>
    <t>改版</t>
  </si>
  <si>
    <t>gǎi bǎn</t>
  </si>
  <si>
    <t>To revise edition</t>
  </si>
  <si>
    <t>改动</t>
  </si>
  <si>
    <t>gǎi dòng</t>
  </si>
  <si>
    <t>To alter / to modify</t>
  </si>
  <si>
    <t>改观</t>
  </si>
  <si>
    <t>gǎi guān</t>
  </si>
  <si>
    <t>Change the situation</t>
  </si>
  <si>
    <t>改日</t>
  </si>
  <si>
    <t>gǎi rì</t>
  </si>
  <si>
    <t>To change the date / at a later date</t>
  </si>
  <si>
    <t>改邪归正</t>
  </si>
  <si>
    <t>gǎi xié guī zhèng</t>
  </si>
  <si>
    <t>repent and mend one's ways / turn over a new leaf</t>
  </si>
  <si>
    <t>改装</t>
  </si>
  <si>
    <t>gǎi zhuāng</t>
  </si>
  <si>
    <t>Modification</t>
  </si>
  <si>
    <t>概</t>
  </si>
  <si>
    <t>probable</t>
  </si>
  <si>
    <t>概况</t>
  </si>
  <si>
    <t>gài kuàng</t>
  </si>
  <si>
    <t>General situation / overview</t>
  </si>
  <si>
    <t>概论</t>
  </si>
  <si>
    <t>gài lùn</t>
  </si>
  <si>
    <t>General introduction / overview</t>
  </si>
  <si>
    <t>杆</t>
  </si>
  <si>
    <t>gān</t>
  </si>
  <si>
    <t>名、量</t>
  </si>
  <si>
    <t>rod</t>
  </si>
  <si>
    <t>干戈</t>
  </si>
  <si>
    <t>gān gē</t>
  </si>
  <si>
    <t>Warfare / Armed conflict</t>
  </si>
  <si>
    <t>干枯</t>
  </si>
  <si>
    <t>gān kū</t>
  </si>
  <si>
    <t>Dry up</t>
  </si>
  <si>
    <t>甘心</t>
  </si>
  <si>
    <t>gān xīn</t>
  </si>
  <si>
    <t>be willing / be content</t>
  </si>
  <si>
    <t>感触</t>
  </si>
  <si>
    <t>gǎn chù</t>
  </si>
  <si>
    <t>Feeling / Impression</t>
  </si>
  <si>
    <t>感恩</t>
  </si>
  <si>
    <t>gǎn ēn</t>
  </si>
  <si>
    <t>Feel grateful / Be thankful</t>
  </si>
  <si>
    <t>赶赴</t>
  </si>
  <si>
    <t>gǎn fù</t>
  </si>
  <si>
    <t>Hurry to</t>
  </si>
  <si>
    <t>感叹</t>
  </si>
  <si>
    <t>gǎn tàn</t>
  </si>
  <si>
    <t>Sigh / Exclaim</t>
  </si>
  <si>
    <t>感悟</t>
  </si>
  <si>
    <t>gǎn wù</t>
  </si>
  <si>
    <t>Insight</t>
  </si>
  <si>
    <t>感性</t>
  </si>
  <si>
    <t>gǎn xìng</t>
  </si>
  <si>
    <t>Emotional / Sensible</t>
  </si>
  <si>
    <t>干部</t>
  </si>
  <si>
    <t>gàn bù</t>
  </si>
  <si>
    <t>Cadre / Personnel</t>
  </si>
  <si>
    <t>干事</t>
  </si>
  <si>
    <t>gàn shi</t>
  </si>
  <si>
    <t>Clerk / Administrative staff</t>
  </si>
  <si>
    <t>缸</t>
  </si>
  <si>
    <t>Jar / Crock</t>
  </si>
  <si>
    <t>纲要</t>
  </si>
  <si>
    <t>gāng yào</t>
  </si>
  <si>
    <t>main points / outline</t>
  </si>
  <si>
    <t>港</t>
  </si>
  <si>
    <t>gǎng</t>
  </si>
  <si>
    <t>Harbor / Port</t>
  </si>
  <si>
    <t>高昂</t>
  </si>
  <si>
    <t>gāo áng</t>
  </si>
  <si>
    <t>High-spirited / High</t>
  </si>
  <si>
    <t>高傲</t>
  </si>
  <si>
    <t>gāo ào</t>
  </si>
  <si>
    <t>Arrogant / Haughty</t>
  </si>
  <si>
    <t>高调</t>
  </si>
  <si>
    <t>gāo diào</t>
  </si>
  <si>
    <t>High-profile / High-key</t>
  </si>
  <si>
    <t>高额</t>
  </si>
  <si>
    <t>gāo é</t>
  </si>
  <si>
    <t>High amount / High figure</t>
  </si>
  <si>
    <t>高贵</t>
  </si>
  <si>
    <t>gāo guì</t>
  </si>
  <si>
    <t>Noble / Aristocratic</t>
  </si>
  <si>
    <t>高见</t>
  </si>
  <si>
    <t>gāo jiàn</t>
  </si>
  <si>
    <t>高空</t>
  </si>
  <si>
    <t>gāo kōng</t>
  </si>
  <si>
    <t>High altitude / Sky</t>
  </si>
  <si>
    <t>高龄</t>
  </si>
  <si>
    <t>gāo líng</t>
  </si>
  <si>
    <t>Advanced age / High age</t>
  </si>
  <si>
    <t>高血压</t>
  </si>
  <si>
    <t>gāo xuè yā</t>
  </si>
  <si>
    <t>Hypertension</t>
  </si>
  <si>
    <t>高压</t>
  </si>
  <si>
    <t>gāo yā</t>
  </si>
  <si>
    <t>High pressure</t>
  </si>
  <si>
    <t>高雅</t>
  </si>
  <si>
    <t>gāo yǎ</t>
  </si>
  <si>
    <t>Elegant / Graceful</t>
  </si>
  <si>
    <t>搞鬼</t>
  </si>
  <si>
    <t>gǎo guǐ</t>
  </si>
  <si>
    <t>Play tricks / Do mischief</t>
  </si>
  <si>
    <t>搞笑</t>
  </si>
  <si>
    <t>gǎo xiào</t>
  </si>
  <si>
    <t>Be funny / Comedy</t>
  </si>
  <si>
    <t>告</t>
  </si>
  <si>
    <t>gào</t>
  </si>
  <si>
    <t>Tell / Inform / Accuse</t>
  </si>
  <si>
    <t>告示</t>
  </si>
  <si>
    <t>gào shi</t>
  </si>
  <si>
    <t>Notice / announcement</t>
  </si>
  <si>
    <t>告知</t>
  </si>
  <si>
    <t>gào zhī</t>
  </si>
  <si>
    <t>Inform / notify</t>
  </si>
  <si>
    <t>告状</t>
  </si>
  <si>
    <t>gào zhuàng</t>
  </si>
  <si>
    <t>Sue / bring a lawsuit against</t>
  </si>
  <si>
    <t>戈壁</t>
  </si>
  <si>
    <t>gē bì</t>
  </si>
  <si>
    <t>Gobi (desert)</t>
  </si>
  <si>
    <t>歌剧</t>
  </si>
  <si>
    <t>gē jù</t>
  </si>
  <si>
    <t>Opera</t>
  </si>
  <si>
    <t>搁浅</t>
  </si>
  <si>
    <t>gē qiǎn</t>
  </si>
  <si>
    <t>Strand / Be stranded</t>
  </si>
  <si>
    <t>歌舞</t>
  </si>
  <si>
    <t>gē wǔ</t>
  </si>
  <si>
    <t>Song and dance</t>
  </si>
  <si>
    <t>歌谣</t>
  </si>
  <si>
    <t>gē yáo</t>
  </si>
  <si>
    <t>Ballad</t>
  </si>
  <si>
    <t>搁置</t>
  </si>
  <si>
    <t>gē zhì</t>
  </si>
  <si>
    <t>Put on hold / Shelve</t>
  </si>
  <si>
    <t>格格不入</t>
  </si>
  <si>
    <t>gé gé bú rù</t>
  </si>
  <si>
    <t>incompatible / not getting along</t>
  </si>
  <si>
    <t>阁楼</t>
  </si>
  <si>
    <t>gé lóu</t>
  </si>
  <si>
    <t>Loft</t>
  </si>
  <si>
    <t>革新</t>
  </si>
  <si>
    <t>gé xīn</t>
  </si>
  <si>
    <t>Innovation</t>
  </si>
  <si>
    <t>格子</t>
  </si>
  <si>
    <t>gé zi</t>
  </si>
  <si>
    <t>Grid</t>
  </si>
  <si>
    <t>个案</t>
  </si>
  <si>
    <t>gè àn</t>
  </si>
  <si>
    <t>Case</t>
  </si>
  <si>
    <t>个头儿</t>
  </si>
  <si>
    <t>gè tóur</t>
  </si>
  <si>
    <t>Size / Height</t>
  </si>
  <si>
    <t>根基</t>
  </si>
  <si>
    <t>gēn jī</t>
  </si>
  <si>
    <t>Foundation / basis</t>
  </si>
  <si>
    <t>跟进</t>
  </si>
  <si>
    <t>gēn jìn</t>
  </si>
  <si>
    <t>Follow up</t>
  </si>
  <si>
    <t>根治</t>
  </si>
  <si>
    <t>gēn zhì</t>
  </si>
  <si>
    <t>To cure completely / to eradicate</t>
  </si>
  <si>
    <t>耕</t>
  </si>
  <si>
    <t>gēng</t>
  </si>
  <si>
    <t>tillage</t>
  </si>
  <si>
    <t>更改</t>
  </si>
  <si>
    <t>gēng gǎi</t>
  </si>
  <si>
    <t>To change / to alter</t>
  </si>
  <si>
    <t>更衣室</t>
  </si>
  <si>
    <t>gēng yī shì</t>
  </si>
  <si>
    <t>Changing room / Locker room</t>
  </si>
  <si>
    <t>耕耘</t>
  </si>
  <si>
    <t>gēng yún</t>
  </si>
  <si>
    <t>Cultivate</t>
  </si>
  <si>
    <t>哽咽</t>
  </si>
  <si>
    <t>gěng yè</t>
  </si>
  <si>
    <t>Choke up</t>
  </si>
  <si>
    <t>耿直</t>
  </si>
  <si>
    <t>gěng zhí</t>
  </si>
  <si>
    <t>Upright</t>
  </si>
  <si>
    <t>供</t>
  </si>
  <si>
    <t>gōng</t>
  </si>
  <si>
    <t>Supply / Offer / Serve</t>
  </si>
  <si>
    <t>功</t>
  </si>
  <si>
    <t>Merit / Achievement</t>
  </si>
  <si>
    <t>弓</t>
  </si>
  <si>
    <t>Bow (for archery)</t>
  </si>
  <si>
    <t>攻</t>
  </si>
  <si>
    <t>Attack / Assault</t>
  </si>
  <si>
    <t>公办</t>
  </si>
  <si>
    <t>gōng bàn</t>
  </si>
  <si>
    <t>Public</t>
  </si>
  <si>
    <t>功臣</t>
  </si>
  <si>
    <t>gōng chén</t>
  </si>
  <si>
    <t>Meritorious official / hero</t>
  </si>
  <si>
    <t>功底</t>
  </si>
  <si>
    <t>gōng dǐ</t>
  </si>
  <si>
    <t>Foundation / skills</t>
  </si>
  <si>
    <t>攻读</t>
  </si>
  <si>
    <t>gōng dú</t>
  </si>
  <si>
    <t>To study / to pursue a course of study</t>
  </si>
  <si>
    <t>公费</t>
  </si>
  <si>
    <t>gōng fèi</t>
  </si>
  <si>
    <t>At public expense</t>
  </si>
  <si>
    <t>攻关</t>
  </si>
  <si>
    <t>To tackle tough problems / to tackle key problems</t>
  </si>
  <si>
    <t>工会</t>
  </si>
  <si>
    <t>gōng huì</t>
  </si>
  <si>
    <t>Labor union / Trade union</t>
  </si>
  <si>
    <t>工匠</t>
  </si>
  <si>
    <t>gōng jiàng</t>
  </si>
  <si>
    <t>Craftsman</t>
  </si>
  <si>
    <t>工科</t>
  </si>
  <si>
    <t>gōng kē</t>
  </si>
  <si>
    <t>Engineering / Engineering discipline</t>
  </si>
  <si>
    <t>公款</t>
  </si>
  <si>
    <t>gōng kuǎn</t>
  </si>
  <si>
    <t>Public funds</t>
  </si>
  <si>
    <t>公立</t>
  </si>
  <si>
    <t>gōng lì</t>
  </si>
  <si>
    <t>功力</t>
  </si>
  <si>
    <t>Power / strength</t>
  </si>
  <si>
    <t>功利</t>
  </si>
  <si>
    <t>Utilitarian</t>
  </si>
  <si>
    <t>功率</t>
  </si>
  <si>
    <t>gōng lǜ</t>
  </si>
  <si>
    <t>Power / potency</t>
  </si>
  <si>
    <t>公墓</t>
  </si>
  <si>
    <t>gōng mù</t>
  </si>
  <si>
    <t>Public cemetery</t>
  </si>
  <si>
    <t>供暖</t>
  </si>
  <si>
    <t>gōng nuǎn</t>
  </si>
  <si>
    <t>Heating</t>
  </si>
  <si>
    <t>公仆</t>
  </si>
  <si>
    <t>gōng pú</t>
  </si>
  <si>
    <t>Public servant</t>
  </si>
  <si>
    <t>公顷</t>
  </si>
  <si>
    <t>gōng qǐng</t>
  </si>
  <si>
    <t>Hectare</t>
  </si>
  <si>
    <t>供求</t>
  </si>
  <si>
    <t>gōng qiú</t>
  </si>
  <si>
    <t>Supply and demand</t>
  </si>
  <si>
    <t>公事</t>
  </si>
  <si>
    <t>Official business</t>
  </si>
  <si>
    <t>公示</t>
  </si>
  <si>
    <t>Public announcement</t>
  </si>
  <si>
    <t>攻势</t>
  </si>
  <si>
    <t>Offensive</t>
  </si>
  <si>
    <t>宫廷</t>
  </si>
  <si>
    <t>gōng tíng</t>
  </si>
  <si>
    <t>Court / Palace</t>
  </si>
  <si>
    <t>恭维</t>
  </si>
  <si>
    <t>gōng wéi</t>
  </si>
  <si>
    <t>Flatter / Praise</t>
  </si>
  <si>
    <t>供需</t>
  </si>
  <si>
    <t>gōng xū</t>
  </si>
  <si>
    <t>供养</t>
  </si>
  <si>
    <t>gōng yǎng</t>
  </si>
  <si>
    <t>Support</t>
  </si>
  <si>
    <t>供应链</t>
  </si>
  <si>
    <t>gōng yìng liàn</t>
  </si>
  <si>
    <t>Supply chain</t>
  </si>
  <si>
    <t>公用</t>
  </si>
  <si>
    <t>gōng yòng</t>
  </si>
  <si>
    <t>Public use</t>
  </si>
  <si>
    <t>公约</t>
  </si>
  <si>
    <t>gōng yuē</t>
  </si>
  <si>
    <t>Convention</t>
  </si>
  <si>
    <t>工整</t>
  </si>
  <si>
    <t>gōng zhěng</t>
  </si>
  <si>
    <t>Neat / Orderly</t>
  </si>
  <si>
    <t>公职</t>
  </si>
  <si>
    <t>gōng zhí</t>
  </si>
  <si>
    <t>Public office</t>
  </si>
  <si>
    <t>拱</t>
  </si>
  <si>
    <t>gǒng</t>
  </si>
  <si>
    <t>Arch / Arch over / Encourage</t>
  </si>
  <si>
    <t>供奉</t>
  </si>
  <si>
    <t>gòng fèng</t>
  </si>
  <si>
    <t>Offer sacrifices to</t>
  </si>
  <si>
    <t>共识</t>
  </si>
  <si>
    <t>gòng shí</t>
  </si>
  <si>
    <t>Consensus</t>
  </si>
  <si>
    <t>共同体</t>
  </si>
  <si>
    <t>gòng tóng tǐ</t>
  </si>
  <si>
    <t>Community / Union</t>
  </si>
  <si>
    <t>共性</t>
  </si>
  <si>
    <t>gòng xìng</t>
  </si>
  <si>
    <t>Commonality</t>
  </si>
  <si>
    <t>勾</t>
  </si>
  <si>
    <t>gōu</t>
  </si>
  <si>
    <t>Hook / Entice / Induce</t>
  </si>
  <si>
    <t>钩</t>
  </si>
  <si>
    <t>To hook / Hook</t>
  </si>
  <si>
    <t>勾勒</t>
  </si>
  <si>
    <t>gōu lè</t>
  </si>
  <si>
    <t>draw the outline of</t>
  </si>
  <si>
    <t>构建</t>
  </si>
  <si>
    <t>gòu jiàn</t>
  </si>
  <si>
    <t>Build</t>
  </si>
  <si>
    <t>够呛</t>
  </si>
  <si>
    <t>gòu qiàng</t>
  </si>
  <si>
    <t>Quite enough / quite a lot</t>
  </si>
  <si>
    <t>构想</t>
  </si>
  <si>
    <t>gòu xiǎng</t>
  </si>
  <si>
    <t>Idea / concept</t>
  </si>
  <si>
    <t>孤单</t>
  </si>
  <si>
    <t>gū dān</t>
  </si>
  <si>
    <t>Lonely</t>
  </si>
  <si>
    <t>孤儿</t>
  </si>
  <si>
    <t>gū ér</t>
  </si>
  <si>
    <t>Orphan</t>
  </si>
  <si>
    <t>孤零零</t>
  </si>
  <si>
    <t>gū líng líng</t>
  </si>
  <si>
    <t>Alone / Lonely</t>
  </si>
  <si>
    <t>孤陋寡闻</t>
  </si>
  <si>
    <t>gū lòu guǎ wén</t>
  </si>
  <si>
    <t>ignorant and narrow-minded / poorly informed</t>
  </si>
  <si>
    <t>估算</t>
  </si>
  <si>
    <t>gū suàn</t>
  </si>
  <si>
    <t>Estimate</t>
  </si>
  <si>
    <t>股</t>
  </si>
  <si>
    <t>gǔ</t>
  </si>
  <si>
    <t>stock</t>
  </si>
  <si>
    <t>骨骼</t>
  </si>
  <si>
    <t>gǔ gé</t>
  </si>
  <si>
    <t>Bone</t>
  </si>
  <si>
    <t>古籍</t>
  </si>
  <si>
    <t>gǔ jí</t>
  </si>
  <si>
    <t>Ancient books</t>
  </si>
  <si>
    <t>骨架</t>
  </si>
  <si>
    <t>gǔ jià</t>
  </si>
  <si>
    <t>Skeleton</t>
  </si>
  <si>
    <t>古今中外</t>
  </si>
  <si>
    <t>gǔ jīn zhōng wài</t>
  </si>
  <si>
    <t>ancient and modern / domestic and foreign / through the ages and across the world</t>
  </si>
  <si>
    <t>股民</t>
  </si>
  <si>
    <t>gǔ mín</t>
  </si>
  <si>
    <t>Stockholder</t>
  </si>
  <si>
    <t>古朴</t>
  </si>
  <si>
    <t>gǔ pǔ</t>
  </si>
  <si>
    <t>Simple and unsophisticated / rustic</t>
  </si>
  <si>
    <t>骨气</t>
  </si>
  <si>
    <t>gǔ qì</t>
  </si>
  <si>
    <t>Backbone / Integrity</t>
  </si>
  <si>
    <t>谷物</t>
  </si>
  <si>
    <t>gǔ wù</t>
  </si>
  <si>
    <t>Grain</t>
  </si>
  <si>
    <t>骨折</t>
  </si>
  <si>
    <t>gǔ zhé</t>
  </si>
  <si>
    <t>Fracture / Broken bone</t>
  </si>
  <si>
    <t>故</t>
  </si>
  <si>
    <t>gù</t>
  </si>
  <si>
    <t>副、连</t>
  </si>
  <si>
    <t>Thus / Reason / Therefore</t>
  </si>
  <si>
    <t>雇</t>
  </si>
  <si>
    <t>To employ / To hire</t>
  </si>
  <si>
    <t>固化</t>
  </si>
  <si>
    <t>gù huà</t>
  </si>
  <si>
    <t>顾及</t>
  </si>
  <si>
    <t>gù jí</t>
  </si>
  <si>
    <t>Take into account / Consider</t>
  </si>
  <si>
    <t>顾名思义</t>
  </si>
  <si>
    <t>gù míng sī yì</t>
  </si>
  <si>
    <t>As the name suggests</t>
  </si>
  <si>
    <t>顾全大局</t>
  </si>
  <si>
    <t>gù quán dà jú</t>
  </si>
  <si>
    <t>Take into account the overall situation / Consider the bigger picture</t>
  </si>
  <si>
    <t>雇员</t>
  </si>
  <si>
    <t>gù yuán</t>
  </si>
  <si>
    <t>Employee / Worker</t>
  </si>
  <si>
    <t>雇主</t>
  </si>
  <si>
    <t>gù zhǔ</t>
  </si>
  <si>
    <t>Employer</t>
  </si>
  <si>
    <t>瓜分</t>
  </si>
  <si>
    <t>guā fēn</t>
  </si>
  <si>
    <t>divide up / partition</t>
  </si>
  <si>
    <t>刮目相看</t>
  </si>
  <si>
    <t>guā mù xiāng kàn</t>
  </si>
  <si>
    <t>Look at me with new eyes</t>
  </si>
  <si>
    <t>瓜子</t>
  </si>
  <si>
    <t>guā zǐ</t>
  </si>
  <si>
    <t>melon seeds</t>
  </si>
  <si>
    <t>寡妇</t>
  </si>
  <si>
    <t>guǎ fu</t>
  </si>
  <si>
    <t>Widow</t>
  </si>
  <si>
    <t>挂钩</t>
  </si>
  <si>
    <t>guà gōu</t>
  </si>
  <si>
    <t>Hook / Link</t>
  </si>
  <si>
    <t>挂念</t>
  </si>
  <si>
    <t>guà niàn</t>
  </si>
  <si>
    <t>Be concerned about / Worry about</t>
  </si>
  <si>
    <t>挂失</t>
  </si>
  <si>
    <t>guà shī</t>
  </si>
  <si>
    <t>Report loss / Report missing</t>
  </si>
  <si>
    <t>乖巧</t>
  </si>
  <si>
    <t>guāi qiǎo</t>
  </si>
  <si>
    <t>Obedient</t>
  </si>
  <si>
    <t>怪物</t>
  </si>
  <si>
    <t>guài wu</t>
  </si>
  <si>
    <t>Monster / Freak</t>
  </si>
  <si>
    <t>怪异</t>
  </si>
  <si>
    <t>guài yì</t>
  </si>
  <si>
    <t>Strange / Weird</t>
  </si>
  <si>
    <t>官兵</t>
  </si>
  <si>
    <t>guān bīng</t>
  </si>
  <si>
    <t>Officers and soldiers</t>
  </si>
  <si>
    <t>棺材</t>
  </si>
  <si>
    <t>guān cai</t>
  </si>
  <si>
    <t>Coffin</t>
  </si>
  <si>
    <t>观测</t>
  </si>
  <si>
    <t>guān cè</t>
  </si>
  <si>
    <t>Observe</t>
  </si>
  <si>
    <t>观感</t>
  </si>
  <si>
    <t>guān gǎn</t>
  </si>
  <si>
    <t>Impression</t>
  </si>
  <si>
    <t>关节</t>
  </si>
  <si>
    <t>guān jié</t>
  </si>
  <si>
    <t>Joint</t>
  </si>
  <si>
    <t>官吏</t>
  </si>
  <si>
    <t>guān lì</t>
  </si>
  <si>
    <t>Official / Bureaucrat</t>
  </si>
  <si>
    <t>官僚</t>
  </si>
  <si>
    <t>guān liáo</t>
  </si>
  <si>
    <t>Bureaucrat / Official</t>
  </si>
  <si>
    <t>观摩</t>
  </si>
  <si>
    <t>guān mó</t>
  </si>
  <si>
    <t>关切</t>
  </si>
  <si>
    <t>guān qiè</t>
  </si>
  <si>
    <t>Concern</t>
  </si>
  <si>
    <t>关税</t>
  </si>
  <si>
    <t>guān shuì</t>
  </si>
  <si>
    <t>Customs duty</t>
  </si>
  <si>
    <t>官司</t>
  </si>
  <si>
    <t>guān si</t>
  </si>
  <si>
    <t>Lawsuit</t>
  </si>
  <si>
    <t>关头</t>
  </si>
  <si>
    <t>guān tóu</t>
  </si>
  <si>
    <t>Critical moment</t>
  </si>
  <si>
    <t>观望</t>
  </si>
  <si>
    <t>guān wàng</t>
  </si>
  <si>
    <t>Look on</t>
  </si>
  <si>
    <t>管家</t>
  </si>
  <si>
    <t>guǎn jiā</t>
  </si>
  <si>
    <t>steward / housekeeper</t>
  </si>
  <si>
    <t>管教</t>
  </si>
  <si>
    <t>guǎn jiào</t>
  </si>
  <si>
    <t>discipline / teach / discipline</t>
  </si>
  <si>
    <t>管用</t>
  </si>
  <si>
    <t>guǎn yòng</t>
  </si>
  <si>
    <t>effective / useful</t>
  </si>
  <si>
    <t>惯</t>
  </si>
  <si>
    <t>Be accustomed to / Habitual</t>
  </si>
  <si>
    <t>灌</t>
  </si>
  <si>
    <t>Irrigate / Pour / Stuff (into)</t>
  </si>
  <si>
    <t>贯穿</t>
  </si>
  <si>
    <t>guàn chuān</t>
  </si>
  <si>
    <t>Run through</t>
  </si>
  <si>
    <t>灌输</t>
  </si>
  <si>
    <t>guàn shū</t>
  </si>
  <si>
    <t>instill / inculcate</t>
  </si>
  <si>
    <t>贯通</t>
  </si>
  <si>
    <t>guàn tōng</t>
  </si>
  <si>
    <t>Unobstructed</t>
  </si>
  <si>
    <t>罐头</t>
  </si>
  <si>
    <t>guàn tou</t>
  </si>
  <si>
    <t>Canned food</t>
  </si>
  <si>
    <t>惯性</t>
  </si>
  <si>
    <t>guàn xìng</t>
  </si>
  <si>
    <t>Inertia / Habitual nature</t>
  </si>
  <si>
    <t>光顾</t>
  </si>
  <si>
    <t>guāng gù</t>
  </si>
  <si>
    <t>Patronize</t>
  </si>
  <si>
    <t>光环</t>
  </si>
  <si>
    <t>guāng huán</t>
  </si>
  <si>
    <t>Halo</t>
  </si>
  <si>
    <t>光缆</t>
  </si>
  <si>
    <t>guāng lǎn</t>
  </si>
  <si>
    <t>Optical cable</t>
  </si>
  <si>
    <t>光明磊落</t>
  </si>
  <si>
    <t>guāng míng lěi luò</t>
  </si>
  <si>
    <t>upright and honest / aboveboard</t>
  </si>
  <si>
    <t>光泽</t>
  </si>
  <si>
    <t>guāng zé</t>
  </si>
  <si>
    <t>Luster</t>
  </si>
  <si>
    <t>广义</t>
  </si>
  <si>
    <t>guǎng yì</t>
  </si>
  <si>
    <t>Broad sense / General sense</t>
  </si>
  <si>
    <t>龟</t>
  </si>
  <si>
    <t>guī</t>
  </si>
  <si>
    <t>Turtle / Tortoise</t>
  </si>
  <si>
    <t>瑰宝</t>
  </si>
  <si>
    <t>guī bǎo</t>
  </si>
  <si>
    <t>treasure / gem</t>
  </si>
  <si>
    <t>归结</t>
  </si>
  <si>
    <t>guī jié</t>
  </si>
  <si>
    <t>Conclude / Resolve</t>
  </si>
  <si>
    <t>归来</t>
  </si>
  <si>
    <t>guī lái</t>
  </si>
  <si>
    <t>Return / Come back</t>
  </si>
  <si>
    <t>闺女</t>
  </si>
  <si>
    <t>guī nü</t>
  </si>
  <si>
    <t>Daughter</t>
  </si>
  <si>
    <t>归属</t>
  </si>
  <si>
    <t>guī shǔ</t>
  </si>
  <si>
    <t>Belong to / Ascribe to</t>
  </si>
  <si>
    <t>归宿</t>
  </si>
  <si>
    <t>guī sù</t>
  </si>
  <si>
    <t>Destination / Final resting place</t>
  </si>
  <si>
    <t>归于</t>
  </si>
  <si>
    <t>guī yú</t>
  </si>
  <si>
    <t>be attributed to</t>
  </si>
  <si>
    <t>鬼</t>
  </si>
  <si>
    <t>guǐ</t>
  </si>
  <si>
    <t>ghost</t>
  </si>
  <si>
    <t>轨迹</t>
  </si>
  <si>
    <t>guǐ jì</t>
  </si>
  <si>
    <t>Trajectory</t>
  </si>
  <si>
    <t>诡计</t>
  </si>
  <si>
    <t>Trick</t>
  </si>
  <si>
    <t>贵宾</t>
  </si>
  <si>
    <t>guì bīn</t>
  </si>
  <si>
    <t>VIP</t>
  </si>
  <si>
    <t>桂花</t>
  </si>
  <si>
    <t>guì huā</t>
  </si>
  <si>
    <t>Osmanthus / sweet osmanthus</t>
  </si>
  <si>
    <t>滚动</t>
  </si>
  <si>
    <t>gǔn dòng</t>
  </si>
  <si>
    <t>roll / scroll</t>
  </si>
  <si>
    <t>国徽</t>
  </si>
  <si>
    <t>guó huī</t>
  </si>
  <si>
    <t>National emblem / coat of arms</t>
  </si>
  <si>
    <t>国民</t>
  </si>
  <si>
    <t>guó mín</t>
  </si>
  <si>
    <t>Citizen</t>
  </si>
  <si>
    <t>国土</t>
  </si>
  <si>
    <t>guó tǔ</t>
  </si>
  <si>
    <t>Territory / homeland</t>
  </si>
  <si>
    <t>国学</t>
  </si>
  <si>
    <t>guó xué</t>
  </si>
  <si>
    <t>National studies / traditional Chinese learning</t>
  </si>
  <si>
    <t>国有</t>
  </si>
  <si>
    <t>guó yǒu</t>
  </si>
  <si>
    <t>State-owned / nationalized</t>
  </si>
  <si>
    <t>裹</t>
  </si>
  <si>
    <t>guǒ</t>
  </si>
  <si>
    <t>To wrap</t>
  </si>
  <si>
    <t>果真</t>
  </si>
  <si>
    <t>guǒ zhēn</t>
  </si>
  <si>
    <t>Indeed / really</t>
  </si>
  <si>
    <t>过半</t>
  </si>
  <si>
    <t>guò bàn</t>
  </si>
  <si>
    <t>Over half</t>
  </si>
  <si>
    <t>过不去</t>
  </si>
  <si>
    <t>guò bu qù</t>
  </si>
  <si>
    <t>Can't get through / Can't endure</t>
  </si>
  <si>
    <t>过错</t>
  </si>
  <si>
    <t>guò cuò</t>
  </si>
  <si>
    <t>Fault</t>
  </si>
  <si>
    <t>过道</t>
  </si>
  <si>
    <t>guò dào</t>
  </si>
  <si>
    <t>Aisle</t>
  </si>
  <si>
    <t>过关</t>
  </si>
  <si>
    <t>guò guān</t>
  </si>
  <si>
    <t>Pass</t>
  </si>
  <si>
    <t>过境</t>
  </si>
  <si>
    <t>guò jìng</t>
  </si>
  <si>
    <t>Transit</t>
  </si>
  <si>
    <t>过量</t>
  </si>
  <si>
    <t>guò liàng</t>
  </si>
  <si>
    <t>Excessive</t>
  </si>
  <si>
    <t>过剩</t>
  </si>
  <si>
    <t>guò shèng</t>
  </si>
  <si>
    <t>Surplus</t>
  </si>
  <si>
    <t>过头</t>
  </si>
  <si>
    <t>guò tóu</t>
  </si>
  <si>
    <t>过往</t>
  </si>
  <si>
    <t>guò wǎng</t>
  </si>
  <si>
    <t>Past</t>
  </si>
  <si>
    <t>过意不去</t>
  </si>
  <si>
    <t>guò yì bú qù</t>
  </si>
  <si>
    <t>Feel guilty / Regret</t>
  </si>
  <si>
    <t>过硬</t>
  </si>
  <si>
    <t>guò yìng</t>
  </si>
  <si>
    <t>Excellent</t>
  </si>
  <si>
    <t>海报</t>
  </si>
  <si>
    <t>hǎi bào</t>
  </si>
  <si>
    <t>Poster</t>
  </si>
  <si>
    <t>海盗</t>
  </si>
  <si>
    <t>hǎi dào</t>
  </si>
  <si>
    <t>pirate / buccaneer</t>
  </si>
  <si>
    <t>海军</t>
  </si>
  <si>
    <t>hǎi jūn</t>
  </si>
  <si>
    <t>Navy</t>
  </si>
  <si>
    <t>海量</t>
  </si>
  <si>
    <t>hǎi liàng</t>
  </si>
  <si>
    <t>enormous amount</t>
  </si>
  <si>
    <t>海绵</t>
  </si>
  <si>
    <t>hǎi mián</t>
  </si>
  <si>
    <t>sponge</t>
  </si>
  <si>
    <t>海滩</t>
  </si>
  <si>
    <t>hǎi tān</t>
  </si>
  <si>
    <t>beach / seashore</t>
  </si>
  <si>
    <t>海豚</t>
  </si>
  <si>
    <t>hǎi tún</t>
  </si>
  <si>
    <t>Dolphin</t>
  </si>
  <si>
    <t>海湾</t>
  </si>
  <si>
    <t>hǎi wān</t>
  </si>
  <si>
    <t>Bay</t>
  </si>
  <si>
    <t>海峡</t>
  </si>
  <si>
    <t>hǎi xiá</t>
  </si>
  <si>
    <t>strait / channel</t>
  </si>
  <si>
    <t>海啸</t>
  </si>
  <si>
    <t>hǎi xiào</t>
  </si>
  <si>
    <t>tsunami / tidal wave</t>
  </si>
  <si>
    <t>海运</t>
  </si>
  <si>
    <t>hǎi yùn</t>
  </si>
  <si>
    <t>maritime shipping</t>
  </si>
  <si>
    <t>海藻</t>
  </si>
  <si>
    <t>hǎi zǎo</t>
  </si>
  <si>
    <t>seaweed / algae</t>
  </si>
  <si>
    <t>害虫</t>
  </si>
  <si>
    <t>hài chóng</t>
  </si>
  <si>
    <t>Pest / Harmful insect</t>
  </si>
  <si>
    <t>骇人听闻</t>
  </si>
  <si>
    <t>hài rén tīng wén</t>
  </si>
  <si>
    <t>Shocking to hear / Horrifying</t>
  </si>
  <si>
    <t>酣畅</t>
  </si>
  <si>
    <t>hān chàng</t>
  </si>
  <si>
    <t>Happy and carefree</t>
  </si>
  <si>
    <t>憨厚</t>
  </si>
  <si>
    <t>hān hòu</t>
  </si>
  <si>
    <t>Honest and simple</t>
  </si>
  <si>
    <t>酣睡</t>
  </si>
  <si>
    <t>hān shuì</t>
  </si>
  <si>
    <t>Sound asleep</t>
  </si>
  <si>
    <t>函</t>
  </si>
  <si>
    <t>hán</t>
  </si>
  <si>
    <t>letter</t>
  </si>
  <si>
    <t>寒带</t>
  </si>
  <si>
    <t>hán dài</t>
  </si>
  <si>
    <t>frigid zone</t>
  </si>
  <si>
    <t>涵盖</t>
  </si>
  <si>
    <t>hán gài</t>
  </si>
  <si>
    <t>cover / encompass</t>
  </si>
  <si>
    <t>含蓄</t>
  </si>
  <si>
    <t>hán xù</t>
  </si>
  <si>
    <t>Implicit / reserved</t>
  </si>
  <si>
    <t>汉服</t>
  </si>
  <si>
    <t>hàn fú</t>
  </si>
  <si>
    <t>Han-style clothing</t>
  </si>
  <si>
    <t>汗马功劳</t>
  </si>
  <si>
    <t>hàn mǎ gōng láo</t>
  </si>
  <si>
    <t>Make great contributions</t>
  </si>
  <si>
    <t>夯实</t>
  </si>
  <si>
    <t>hāng shí</t>
  </si>
  <si>
    <t>Solidify</t>
  </si>
  <si>
    <t>航海</t>
  </si>
  <si>
    <t>háng hǎi</t>
  </si>
  <si>
    <t>Navigation</t>
  </si>
  <si>
    <t>行家</t>
  </si>
  <si>
    <t>háng jia</t>
  </si>
  <si>
    <t>Expert</t>
  </si>
  <si>
    <t>行情</t>
  </si>
  <si>
    <t>háng qíng</t>
  </si>
  <si>
    <t>Market situation</t>
  </si>
  <si>
    <t>航天员</t>
  </si>
  <si>
    <t>háng tiān yuán</t>
  </si>
  <si>
    <t>Astronaut</t>
  </si>
  <si>
    <t>航运</t>
  </si>
  <si>
    <t>háng yùn</t>
  </si>
  <si>
    <t>Shipping</t>
  </si>
  <si>
    <t>好比</t>
  </si>
  <si>
    <t>hǎo bǐ</t>
  </si>
  <si>
    <t>Just like / be similar to</t>
  </si>
  <si>
    <t>好歹</t>
  </si>
  <si>
    <t>hǎo dǎi</t>
  </si>
  <si>
    <t>名、副</t>
  </si>
  <si>
    <t>After all / in the end</t>
  </si>
  <si>
    <t>好受</t>
  </si>
  <si>
    <t>hǎo shòu</t>
  </si>
  <si>
    <t>Good feeling</t>
  </si>
  <si>
    <t>好说</t>
  </si>
  <si>
    <t>hǎo shuō</t>
  </si>
  <si>
    <t>Easy to say / easy to talk</t>
  </si>
  <si>
    <t>好似</t>
  </si>
  <si>
    <t>hǎo sì</t>
  </si>
  <si>
    <t>like</t>
  </si>
  <si>
    <t>好心</t>
  </si>
  <si>
    <t>hǎo xīn</t>
  </si>
  <si>
    <t>Kind-hearted / good intentions</t>
  </si>
  <si>
    <t>好意</t>
  </si>
  <si>
    <t>hǎo yì</t>
  </si>
  <si>
    <t>Good intentions / goodwill</t>
  </si>
  <si>
    <t>好在</t>
  </si>
  <si>
    <t>hǎo zài</t>
  </si>
  <si>
    <t>Fortunately / luckily</t>
  </si>
  <si>
    <t>耗</t>
  </si>
  <si>
    <t>To consume / To use up</t>
  </si>
  <si>
    <t>号称</t>
  </si>
  <si>
    <t>hào chēng</t>
  </si>
  <si>
    <t>Claim to be / known as</t>
  </si>
  <si>
    <t>浩瀚</t>
  </si>
  <si>
    <t>hào hàn</t>
  </si>
  <si>
    <t>Vast</t>
  </si>
  <si>
    <t>浩劫</t>
  </si>
  <si>
    <t>hào jié</t>
  </si>
  <si>
    <t>catastrophe / disaster</t>
  </si>
  <si>
    <t>好胜</t>
  </si>
  <si>
    <t>hào shèng</t>
  </si>
  <si>
    <t>Competitive</t>
  </si>
  <si>
    <t>耗时</t>
  </si>
  <si>
    <t>hào shí</t>
  </si>
  <si>
    <t>Time-consuming</t>
  </si>
  <si>
    <t>呵护</t>
  </si>
  <si>
    <t>hē hù</t>
  </si>
  <si>
    <t>Cherish / take good care of</t>
  </si>
  <si>
    <t>核</t>
  </si>
  <si>
    <t>Core / Nucleus</t>
  </si>
  <si>
    <t>何</t>
  </si>
  <si>
    <t>合唱</t>
  </si>
  <si>
    <t>hé chàng</t>
  </si>
  <si>
    <t>Chorus / sing in chorus</t>
  </si>
  <si>
    <t>何等</t>
  </si>
  <si>
    <t>hé děng</t>
  </si>
  <si>
    <t>代、副</t>
  </si>
  <si>
    <t>核电站</t>
  </si>
  <si>
    <t>hé diàn zhàn</t>
  </si>
  <si>
    <t>Nuclear power plant</t>
  </si>
  <si>
    <t>核对</t>
  </si>
  <si>
    <t>hé duì</t>
  </si>
  <si>
    <t>To check / to verify</t>
  </si>
  <si>
    <t>和好</t>
  </si>
  <si>
    <t>hé hǎo</t>
  </si>
  <si>
    <t>become reconciled</t>
  </si>
  <si>
    <t>合乎</t>
  </si>
  <si>
    <t>hé hū</t>
  </si>
  <si>
    <t>Accord with / be in accordance with</t>
  </si>
  <si>
    <t>荷花</t>
  </si>
  <si>
    <t>hé huā</t>
  </si>
  <si>
    <t>Lotus</t>
  </si>
  <si>
    <t>合计</t>
  </si>
  <si>
    <t>hé jì</t>
  </si>
  <si>
    <t>Total / sum up</t>
  </si>
  <si>
    <t>何苦</t>
  </si>
  <si>
    <t>hé kǔ</t>
  </si>
  <si>
    <t>Why bother</t>
  </si>
  <si>
    <t>禾苗</t>
  </si>
  <si>
    <t>hé miáo</t>
  </si>
  <si>
    <t>seedling / young crops</t>
  </si>
  <si>
    <t>核能</t>
  </si>
  <si>
    <t>hé néng</t>
  </si>
  <si>
    <t>Nuclear energy / nuclear power</t>
  </si>
  <si>
    <t>河畔</t>
  </si>
  <si>
    <t>hé pàn</t>
  </si>
  <si>
    <t>riverside / riverbank</t>
  </si>
  <si>
    <t>和平共处</t>
  </si>
  <si>
    <t>hé píng gòng chǔ</t>
  </si>
  <si>
    <t>peaceful coexistence / live in harmony</t>
  </si>
  <si>
    <t>和尚</t>
  </si>
  <si>
    <t>hé shang</t>
  </si>
  <si>
    <t>Monk</t>
  </si>
  <si>
    <t>核实</t>
  </si>
  <si>
    <t>hé shí</t>
  </si>
  <si>
    <t>To verify / to check</t>
  </si>
  <si>
    <t>核桃</t>
  </si>
  <si>
    <t>hé tao</t>
  </si>
  <si>
    <t>Walnut</t>
  </si>
  <si>
    <t>核武器</t>
  </si>
  <si>
    <t>hé wǔ qì</t>
  </si>
  <si>
    <t>Nuclear weapons</t>
  </si>
  <si>
    <t>合约</t>
  </si>
  <si>
    <t>hé yuē</t>
  </si>
  <si>
    <t>Contract</t>
  </si>
  <si>
    <t>核查</t>
  </si>
  <si>
    <t>hé zhā</t>
  </si>
  <si>
    <t>Verification</t>
  </si>
  <si>
    <t>何止</t>
  </si>
  <si>
    <t>hé zhǐ</t>
  </si>
  <si>
    <t>far more than</t>
  </si>
  <si>
    <t>合资</t>
  </si>
  <si>
    <t>hé zī</t>
  </si>
  <si>
    <t>Joint venture / joint investment</t>
  </si>
  <si>
    <t>喝彩</t>
  </si>
  <si>
    <t>hè cǎi</t>
  </si>
  <si>
    <t>Cheer / acclaim</t>
  </si>
  <si>
    <t>贺电</t>
  </si>
  <si>
    <t>hè diàn</t>
  </si>
  <si>
    <t>Congratulatory telegram</t>
  </si>
  <si>
    <t>鹤立鸡群</t>
  </si>
  <si>
    <t>hè lì jī qún</t>
  </si>
  <si>
    <t>Stand out above others / Outstanding</t>
  </si>
  <si>
    <t>赫然</t>
  </si>
  <si>
    <t>hè rán</t>
  </si>
  <si>
    <t>Strikingly</t>
  </si>
  <si>
    <t>贺信</t>
  </si>
  <si>
    <t>hè xìn</t>
  </si>
  <si>
    <t>Congratulatory letter</t>
  </si>
  <si>
    <t>黑客</t>
  </si>
  <si>
    <t>hēi kè</t>
  </si>
  <si>
    <t>Hacker</t>
  </si>
  <si>
    <t>黑马</t>
  </si>
  <si>
    <t>hēi mǎ</t>
  </si>
  <si>
    <t>Dark horse</t>
  </si>
  <si>
    <t>黑名单</t>
  </si>
  <si>
    <t>hēi míng dān</t>
  </si>
  <si>
    <t>Blacklist</t>
  </si>
  <si>
    <t>横向</t>
  </si>
  <si>
    <t>héng xiàng</t>
  </si>
  <si>
    <t>Horizontal / lateral</t>
  </si>
  <si>
    <t>恒星</t>
  </si>
  <si>
    <t>héng xīng</t>
  </si>
  <si>
    <t>Star</t>
  </si>
  <si>
    <t>轰</t>
  </si>
  <si>
    <t>动、拟声</t>
  </si>
  <si>
    <t>To explode / Bang / Boom</t>
  </si>
  <si>
    <t>烘焙</t>
  </si>
  <si>
    <t>hōng bèi</t>
  </si>
  <si>
    <t>Baking</t>
  </si>
  <si>
    <t>烘干</t>
  </si>
  <si>
    <t>hōng gān</t>
  </si>
  <si>
    <t>to dry (clothes / etc.)</t>
  </si>
  <si>
    <t>哄堂大笑</t>
  </si>
  <si>
    <t>hōng táng dà xiào</t>
  </si>
  <si>
    <t>burst into laughter / roar with laughter</t>
  </si>
  <si>
    <t>烘托</t>
  </si>
  <si>
    <t>hōng tuō</t>
  </si>
  <si>
    <t>set off / highlight</t>
  </si>
  <si>
    <t>轰炸</t>
  </si>
  <si>
    <t>hōng zhà</t>
  </si>
  <si>
    <t>Bomb</t>
  </si>
  <si>
    <t>红火</t>
  </si>
  <si>
    <t>hóng huo</t>
  </si>
  <si>
    <t>thriving / prosperous</t>
  </si>
  <si>
    <t>红利</t>
  </si>
  <si>
    <t>hóng lì</t>
  </si>
  <si>
    <t>Dividend</t>
  </si>
  <si>
    <t>洪亮</t>
  </si>
  <si>
    <t>hóng liàng</t>
  </si>
  <si>
    <t>sonorous / resonant</t>
  </si>
  <si>
    <t>红扑扑</t>
  </si>
  <si>
    <t>hóng pū pū</t>
  </si>
  <si>
    <t>Rosy / Red</t>
  </si>
  <si>
    <t>红润</t>
  </si>
  <si>
    <t>hóng rùn</t>
  </si>
  <si>
    <t>rosy / ruddy</t>
  </si>
  <si>
    <t>红薯</t>
  </si>
  <si>
    <t>hóng shǔ</t>
  </si>
  <si>
    <t>sweet potato</t>
  </si>
  <si>
    <t>弘扬</t>
  </si>
  <si>
    <t>hóng yáng</t>
  </si>
  <si>
    <t>Promote / Carry forward</t>
  </si>
  <si>
    <t>后备</t>
  </si>
  <si>
    <t>Reserve / backup</t>
  </si>
  <si>
    <t>后备箱</t>
  </si>
  <si>
    <t>hòu bèi xiāng</t>
  </si>
  <si>
    <t>Trunk (of a car)</t>
  </si>
  <si>
    <t>厚道</t>
  </si>
  <si>
    <t>hòu dào</t>
  </si>
  <si>
    <t>Honest / kind-hearted</t>
  </si>
  <si>
    <t>后盾</t>
  </si>
  <si>
    <t>hòu dùn</t>
  </si>
  <si>
    <t>Backing / support</t>
  </si>
  <si>
    <t>后世</t>
  </si>
  <si>
    <t>hòu shì</t>
  </si>
  <si>
    <t>Later generations</t>
  </si>
  <si>
    <t>后台</t>
  </si>
  <si>
    <t>hòu tái</t>
  </si>
  <si>
    <t>Background / backstage</t>
  </si>
  <si>
    <t>后续</t>
  </si>
  <si>
    <t>hòu xù</t>
  </si>
  <si>
    <t>Subsequent / follow-up</t>
  </si>
  <si>
    <t>候选人</t>
  </si>
  <si>
    <t>hòu xuǎn rén</t>
  </si>
  <si>
    <t>Candidate</t>
  </si>
  <si>
    <t>后遗症</t>
  </si>
  <si>
    <t>hòu yí zhèng</t>
  </si>
  <si>
    <t>Sequela / Aftermath</t>
  </si>
  <si>
    <t>后裔</t>
  </si>
  <si>
    <t>hòu yì</t>
  </si>
  <si>
    <t>Descendants / offspring</t>
  </si>
  <si>
    <t>呼</t>
  </si>
  <si>
    <t>hū</t>
  </si>
  <si>
    <t>call</t>
  </si>
  <si>
    <t>呼救</t>
  </si>
  <si>
    <t>hū jiù</t>
  </si>
  <si>
    <t>Call for help / cry for help</t>
  </si>
  <si>
    <t>忽冷忽热</t>
  </si>
  <si>
    <t>hū lěng hū rè</t>
  </si>
  <si>
    <t>It's fluctuating between cold and hot</t>
  </si>
  <si>
    <t>呼声</t>
  </si>
  <si>
    <t>hū shēng</t>
  </si>
  <si>
    <t>Call for / clamor for</t>
  </si>
  <si>
    <t>呼应</t>
  </si>
  <si>
    <t>hū yìng</t>
  </si>
  <si>
    <t>Respond / echo</t>
  </si>
  <si>
    <t>忽悠</t>
  </si>
  <si>
    <t>hū you</t>
  </si>
  <si>
    <t>Deceive / Hoodwink</t>
  </si>
  <si>
    <t>糊</t>
  </si>
  <si>
    <t>To paste / To smear</t>
  </si>
  <si>
    <t>狐狸</t>
  </si>
  <si>
    <t>hú li</t>
  </si>
  <si>
    <t>fox</t>
  </si>
  <si>
    <t>胡闹</t>
  </si>
  <si>
    <t>hú nào</t>
  </si>
  <si>
    <t>Act crazy</t>
  </si>
  <si>
    <t>胡思乱想</t>
  </si>
  <si>
    <t>hú sī luàn xiǎng</t>
  </si>
  <si>
    <t>Absent-minded / Muddled thinking</t>
  </si>
  <si>
    <t>护</t>
  </si>
  <si>
    <t>hù</t>
  </si>
  <si>
    <t>guard</t>
  </si>
  <si>
    <t>互补</t>
  </si>
  <si>
    <t>hù bǔ</t>
  </si>
  <si>
    <t>Complementarity</t>
  </si>
  <si>
    <t>护理</t>
  </si>
  <si>
    <t>hù lǐ</t>
  </si>
  <si>
    <t>Nursing / Care</t>
  </si>
  <si>
    <t>花卉</t>
  </si>
  <si>
    <t>huā huì</t>
  </si>
  <si>
    <t>Flowers</t>
  </si>
  <si>
    <t>花纹</t>
  </si>
  <si>
    <t>huā wén</t>
  </si>
  <si>
    <t>Floral pattern</t>
  </si>
  <si>
    <t>花样</t>
  </si>
  <si>
    <t>huā yàng</t>
  </si>
  <si>
    <t>Pattern</t>
  </si>
  <si>
    <t>划不来</t>
  </si>
  <si>
    <t>huá bù lái</t>
  </si>
  <si>
    <t>Not worth it</t>
  </si>
  <si>
    <t>划得来</t>
  </si>
  <si>
    <t>huá de lái</t>
  </si>
  <si>
    <t>It's worth it.</t>
  </si>
  <si>
    <t>滑稽</t>
  </si>
  <si>
    <t>huá jī</t>
  </si>
  <si>
    <t>funny / ludicrous</t>
  </si>
  <si>
    <t>哗然</t>
  </si>
  <si>
    <t>huá rán</t>
  </si>
  <si>
    <t>Noisy / clamorous</t>
  </si>
  <si>
    <t>华人</t>
  </si>
  <si>
    <t>huá rén</t>
  </si>
  <si>
    <t>Chinese people</t>
  </si>
  <si>
    <t>划算</t>
  </si>
  <si>
    <t>huá suàn</t>
  </si>
  <si>
    <t>Profitable / to be worth it</t>
  </si>
  <si>
    <t>滑梯</t>
  </si>
  <si>
    <t>huá tī</t>
  </si>
  <si>
    <t>slide / chute</t>
  </si>
  <si>
    <t>画册</t>
  </si>
  <si>
    <t>huà cè</t>
  </si>
  <si>
    <t>picture album / brochure</t>
  </si>
  <si>
    <t>化解</t>
  </si>
  <si>
    <t>huà jiě</t>
  </si>
  <si>
    <t>Resolve</t>
  </si>
  <si>
    <t>画龙点睛</t>
  </si>
  <si>
    <t>huà lóng diǎn jīng</t>
  </si>
  <si>
    <t>To dot the dragon's eyes / To add the finishing touch</t>
  </si>
  <si>
    <t>化身</t>
  </si>
  <si>
    <t>huà shēn</t>
  </si>
  <si>
    <t>Incarnation / embodiment</t>
  </si>
  <si>
    <t>划时代</t>
  </si>
  <si>
    <t>huà shí dài</t>
  </si>
  <si>
    <t>Mark an era / Epoch-making</t>
  </si>
  <si>
    <t>化险为夷</t>
  </si>
  <si>
    <t>huà xiǎn wéi yí</t>
  </si>
  <si>
    <t>turn danger into safety / turn peril into safety</t>
  </si>
  <si>
    <t>话语</t>
  </si>
  <si>
    <t>huà yǔ</t>
  </si>
  <si>
    <t>Words</t>
  </si>
  <si>
    <t>怀抱</t>
  </si>
  <si>
    <t>huái bào</t>
  </si>
  <si>
    <t>Embrace / Bosom</t>
  </si>
  <si>
    <t>怀旧</t>
  </si>
  <si>
    <t>huái jiù</t>
  </si>
  <si>
    <t>Feel nostalgic / Yearn for the past</t>
  </si>
  <si>
    <t>槐树</t>
  </si>
  <si>
    <t>huái shù</t>
  </si>
  <si>
    <t>Locust tree / pagoda tree</t>
  </si>
  <si>
    <t>欢呼</t>
  </si>
  <si>
    <t>huān hū</t>
  </si>
  <si>
    <t>To cheer / to shout with joy</t>
  </si>
  <si>
    <t>欢聚</t>
  </si>
  <si>
    <t>huān jù</t>
  </si>
  <si>
    <t>To gather joyfully / to assemble merrily</t>
  </si>
  <si>
    <t>欢快</t>
  </si>
  <si>
    <t>huān kuài</t>
  </si>
  <si>
    <t>Cheerful / happy</t>
  </si>
  <si>
    <t>欢声笑语</t>
  </si>
  <si>
    <t>huān shēng xiào yǔ</t>
  </si>
  <si>
    <t>laughter and conversation / joviality</t>
  </si>
  <si>
    <t>环比</t>
  </si>
  <si>
    <t>huán bǐ</t>
  </si>
  <si>
    <t>Month-on-month</t>
  </si>
  <si>
    <t>环球</t>
  </si>
  <si>
    <t>huán qiú</t>
  </si>
  <si>
    <t>global / worldwide</t>
  </si>
  <si>
    <t>环绕</t>
  </si>
  <si>
    <t>huán rào</t>
  </si>
  <si>
    <t>surround / encircle</t>
  </si>
  <si>
    <t>缓</t>
  </si>
  <si>
    <t>huǎn</t>
  </si>
  <si>
    <t>To slow down / Slowly</t>
  </si>
  <si>
    <t>焕发</t>
  </si>
  <si>
    <t>huàn fā</t>
  </si>
  <si>
    <t>rejuvenate / to flourish</t>
  </si>
  <si>
    <t>幻觉</t>
  </si>
  <si>
    <t>huàn jué</t>
  </si>
  <si>
    <t>Hallucination / Illusion</t>
  </si>
  <si>
    <t>唤起</t>
  </si>
  <si>
    <t>huàn qǐ</t>
  </si>
  <si>
    <t>Evoke / arouse</t>
  </si>
  <si>
    <t>换取</t>
  </si>
  <si>
    <t>huàn qǔ</t>
  </si>
  <si>
    <t>Exchange for / Obtain in exchange</t>
  </si>
  <si>
    <t>焕然一新</t>
  </si>
  <si>
    <t>huàn rán yī xīn</t>
  </si>
  <si>
    <t>Look brand new</t>
  </si>
  <si>
    <t>唤醒</t>
  </si>
  <si>
    <t>huàn xǐng</t>
  </si>
  <si>
    <t>Wake up</t>
  </si>
  <si>
    <t>幻影</t>
  </si>
  <si>
    <t>huàn yǐng</t>
  </si>
  <si>
    <t>Phantom / Illusion</t>
  </si>
  <si>
    <t>慌</t>
  </si>
  <si>
    <t>huāng</t>
  </si>
  <si>
    <t>panic</t>
  </si>
  <si>
    <t>荒</t>
  </si>
  <si>
    <t>To waste / barren</t>
  </si>
  <si>
    <t>荒诞</t>
  </si>
  <si>
    <t>huāng dàn</t>
  </si>
  <si>
    <t>Absurd</t>
  </si>
  <si>
    <t>慌乱</t>
  </si>
  <si>
    <t>huāng luàn</t>
  </si>
  <si>
    <t>Panic-stricken / Confused</t>
  </si>
  <si>
    <t>慌忙</t>
  </si>
  <si>
    <t>huāng máng</t>
  </si>
  <si>
    <t>In a hurry</t>
  </si>
  <si>
    <t>皇宫</t>
  </si>
  <si>
    <t>huáng gōng</t>
  </si>
  <si>
    <t>皇上</t>
  </si>
  <si>
    <t>huáng shang</t>
  </si>
  <si>
    <t>皇室</t>
  </si>
  <si>
    <t>huáng shì</t>
  </si>
  <si>
    <t>royal family / monarchy</t>
  </si>
  <si>
    <t>谎话</t>
  </si>
  <si>
    <t>huǎng huà</t>
  </si>
  <si>
    <t>Lie</t>
  </si>
  <si>
    <t>谎言</t>
  </si>
  <si>
    <t>huǎng yán</t>
  </si>
  <si>
    <t>晃荡</t>
  </si>
  <si>
    <t>huàng dang</t>
  </si>
  <si>
    <t>To sway / to wobble</t>
  </si>
  <si>
    <t>挥舞</t>
  </si>
  <si>
    <t>huī wǔ</t>
  </si>
  <si>
    <t>Wave</t>
  </si>
  <si>
    <t>回归</t>
  </si>
  <si>
    <t>huí guī</t>
  </si>
  <si>
    <t>Return / revert</t>
  </si>
  <si>
    <t>回合</t>
  </si>
  <si>
    <t>huí hé</t>
  </si>
  <si>
    <t>Round</t>
  </si>
  <si>
    <t>回馈</t>
  </si>
  <si>
    <t>huí kuì</t>
  </si>
  <si>
    <t>Feedback / reciprocate</t>
  </si>
  <si>
    <t>回落</t>
  </si>
  <si>
    <t>huí luò</t>
  </si>
  <si>
    <t>Fall back / decline</t>
  </si>
  <si>
    <t>回升</t>
  </si>
  <si>
    <t>huí shēng</t>
  </si>
  <si>
    <t>Rise again / rebound</t>
  </si>
  <si>
    <t>回首</t>
  </si>
  <si>
    <t>huí shǒu</t>
  </si>
  <si>
    <t>Look back / turn back</t>
  </si>
  <si>
    <t>回味</t>
  </si>
  <si>
    <t>huí wèi</t>
  </si>
  <si>
    <t>Recollection / reminisce</t>
  </si>
  <si>
    <t>回想</t>
  </si>
  <si>
    <t>huí xiǎng</t>
  </si>
  <si>
    <t>Recall / recollect</t>
  </si>
  <si>
    <t>回忆录</t>
  </si>
  <si>
    <t>huí yì lù</t>
  </si>
  <si>
    <t>Memoir / Recollection</t>
  </si>
  <si>
    <t>回应</t>
  </si>
  <si>
    <t>huí yìng</t>
  </si>
  <si>
    <t>毁</t>
  </si>
  <si>
    <t>huǐ</t>
  </si>
  <si>
    <t>destroyed</t>
  </si>
  <si>
    <t>毁坏</t>
  </si>
  <si>
    <t>huǐ huài</t>
  </si>
  <si>
    <t>To destroy / to ruin</t>
  </si>
  <si>
    <t>会场</t>
  </si>
  <si>
    <t>huì chǎng</t>
  </si>
  <si>
    <t>Venue</t>
  </si>
  <si>
    <t>汇合</t>
  </si>
  <si>
    <t>huì hé</t>
  </si>
  <si>
    <t>To converge / to meet</t>
  </si>
  <si>
    <t>汇集</t>
  </si>
  <si>
    <t>huì jí</t>
  </si>
  <si>
    <t>To collect / to assemble</t>
  </si>
  <si>
    <t>汇聚</t>
  </si>
  <si>
    <t>huì jù</t>
  </si>
  <si>
    <t>To converge / to gather</t>
  </si>
  <si>
    <t>会面</t>
  </si>
  <si>
    <t>huì miàn</t>
  </si>
  <si>
    <t>Meeting</t>
  </si>
  <si>
    <t>绘声绘色</t>
  </si>
  <si>
    <t>huì shēng huì sè</t>
  </si>
  <si>
    <t>Vividly / With vivid colors and lively narration</t>
  </si>
  <si>
    <t>会谈</t>
  </si>
  <si>
    <t>huì tán</t>
  </si>
  <si>
    <t>Talks</t>
  </si>
  <si>
    <t>会意</t>
  </si>
  <si>
    <t>Ideogram</t>
  </si>
  <si>
    <t>会诊</t>
  </si>
  <si>
    <t>huì zhěn</t>
  </si>
  <si>
    <t>Consultation</t>
  </si>
  <si>
    <t>绘制</t>
  </si>
  <si>
    <t>huì zhì</t>
  </si>
  <si>
    <t>Drawing</t>
  </si>
  <si>
    <t>昏</t>
  </si>
  <si>
    <t>faint</t>
  </si>
  <si>
    <t>婚纱</t>
  </si>
  <si>
    <t>hūn shā</t>
  </si>
  <si>
    <t>Wedding dress</t>
  </si>
  <si>
    <t>豁</t>
  </si>
  <si>
    <t>huō</t>
  </si>
  <si>
    <t>To widen / To open up / To sacrifice</t>
  </si>
  <si>
    <t>豁出去</t>
  </si>
  <si>
    <t>huō chū qù</t>
  </si>
  <si>
    <t>Risk everything / Brave it out</t>
  </si>
  <si>
    <t>活期</t>
  </si>
  <si>
    <t>huó qī</t>
  </si>
  <si>
    <t>current / demand</t>
  </si>
  <si>
    <t>火爆</t>
  </si>
  <si>
    <t>huǒ bào</t>
  </si>
  <si>
    <t>Hot and popular</t>
  </si>
  <si>
    <t>火候</t>
  </si>
  <si>
    <t>huǒ hou</t>
  </si>
  <si>
    <t>degree of doneness</t>
  </si>
  <si>
    <t>火花</t>
  </si>
  <si>
    <t>huǒ huā</t>
  </si>
  <si>
    <t>spark</t>
  </si>
  <si>
    <t>火炬</t>
  </si>
  <si>
    <t>huǒ jù</t>
  </si>
  <si>
    <t>torch</t>
  </si>
  <si>
    <t>火辣辣</t>
  </si>
  <si>
    <t>huǒ là là</t>
  </si>
  <si>
    <t>Spicy / Hot</t>
  </si>
  <si>
    <t>火热</t>
  </si>
  <si>
    <t>huǒ rè</t>
  </si>
  <si>
    <t>fiery / fervent</t>
  </si>
  <si>
    <t>火山</t>
  </si>
  <si>
    <t>huǒ shān</t>
  </si>
  <si>
    <t>volcano</t>
  </si>
  <si>
    <t>伙食</t>
  </si>
  <si>
    <t>huǒ shí</t>
  </si>
  <si>
    <t>Food</t>
  </si>
  <si>
    <t>火速</t>
  </si>
  <si>
    <t>huǒ sù</t>
  </si>
  <si>
    <t>at top speed / swiftly</t>
  </si>
  <si>
    <t>火腿</t>
  </si>
  <si>
    <t>huǒ tuǐ</t>
  </si>
  <si>
    <t>Ham</t>
  </si>
  <si>
    <t>豁达</t>
  </si>
  <si>
    <t>huò dá</t>
  </si>
  <si>
    <t>Open-minded</t>
  </si>
  <si>
    <t>或多或少</t>
  </si>
  <si>
    <t>huò duō huò shǎo</t>
  </si>
  <si>
    <t>more or less / some or more</t>
  </si>
  <si>
    <t>祸害</t>
  </si>
  <si>
    <t>huò hai</t>
  </si>
  <si>
    <t>harm / disaster</t>
  </si>
  <si>
    <t>获悉</t>
  </si>
  <si>
    <t>huò xī</t>
  </si>
  <si>
    <t>Get to know</t>
  </si>
  <si>
    <t>货运</t>
  </si>
  <si>
    <t>huò yùn</t>
  </si>
  <si>
    <t>Freight</t>
  </si>
  <si>
    <t>积</t>
  </si>
  <si>
    <t>jī</t>
  </si>
  <si>
    <t>To accumulate / To amass</t>
  </si>
  <si>
    <t>基本功</t>
  </si>
  <si>
    <t>jī běn gōng</t>
  </si>
  <si>
    <t>Basic skills / Fundamentals</t>
  </si>
  <si>
    <t>机舱</t>
  </si>
  <si>
    <t>jī cāng</t>
  </si>
  <si>
    <t>Cabin / cockpit</t>
  </si>
  <si>
    <t>基层</t>
  </si>
  <si>
    <t>jī céng</t>
  </si>
  <si>
    <t>Grassroots / basic level</t>
  </si>
  <si>
    <t>激荡</t>
  </si>
  <si>
    <t>jī dàng</t>
  </si>
  <si>
    <t>agitate</t>
  </si>
  <si>
    <t>积淀</t>
  </si>
  <si>
    <t>jī diàn</t>
  </si>
  <si>
    <t>accumulation / sedimentation</t>
  </si>
  <si>
    <t>肌肤</t>
  </si>
  <si>
    <t>jī fū</t>
  </si>
  <si>
    <t>Skin</t>
  </si>
  <si>
    <t>机关</t>
  </si>
  <si>
    <t>jī guān</t>
  </si>
  <si>
    <t>mechanism /organ ; strategic</t>
  </si>
  <si>
    <t>激光</t>
  </si>
  <si>
    <t>jī guāng</t>
  </si>
  <si>
    <t>laser</t>
  </si>
  <si>
    <t>激化</t>
  </si>
  <si>
    <t>jī huà</t>
  </si>
  <si>
    <t>intensify / radicalize</t>
  </si>
  <si>
    <t>激活</t>
  </si>
  <si>
    <t>jī huó</t>
  </si>
  <si>
    <t>activate / activation</t>
  </si>
  <si>
    <t>基建</t>
  </si>
  <si>
    <t>jī jiàn</t>
  </si>
  <si>
    <t>infrastructure</t>
  </si>
  <si>
    <t>基金会</t>
  </si>
  <si>
    <t>jī jīn huì</t>
  </si>
  <si>
    <t>foundation</t>
  </si>
  <si>
    <t>激起</t>
  </si>
  <si>
    <t>jī qǐ</t>
  </si>
  <si>
    <t>arouse / provoke</t>
  </si>
  <si>
    <t>激素</t>
  </si>
  <si>
    <t>jī sù</t>
  </si>
  <si>
    <t>hormone</t>
  </si>
  <si>
    <t>畸形</t>
  </si>
  <si>
    <t>jī xíng</t>
  </si>
  <si>
    <t>deformed / abnormal</t>
  </si>
  <si>
    <t>积蓄</t>
  </si>
  <si>
    <t>jī xù</t>
  </si>
  <si>
    <t>savings / accumulate savings</t>
  </si>
  <si>
    <t>基于</t>
  </si>
  <si>
    <t>jī yú</t>
  </si>
  <si>
    <t>Based on / built upon</t>
  </si>
  <si>
    <t>积攒</t>
  </si>
  <si>
    <t>jī zǎn</t>
  </si>
  <si>
    <t>accumulate</t>
  </si>
  <si>
    <t>激增</t>
  </si>
  <si>
    <t>jī zēng</t>
  </si>
  <si>
    <t>surge</t>
  </si>
  <si>
    <t>基准</t>
  </si>
  <si>
    <t>jī zhǔn</t>
  </si>
  <si>
    <t>Benchmark / standard</t>
  </si>
  <si>
    <t>即</t>
  </si>
  <si>
    <t>Immediately / Right away / Then</t>
  </si>
  <si>
    <t>急促</t>
  </si>
  <si>
    <t>jí cù</t>
  </si>
  <si>
    <t>hurried</t>
  </si>
  <si>
    <t>极度</t>
  </si>
  <si>
    <t>Extremely / intensely</t>
  </si>
  <si>
    <t>集会</t>
  </si>
  <si>
    <t>jí huì</t>
  </si>
  <si>
    <t>Assembly / Gathering</t>
  </si>
  <si>
    <t>即可</t>
  </si>
  <si>
    <t>jí kě</t>
  </si>
  <si>
    <t>As soon as / upon</t>
  </si>
  <si>
    <t>吉利</t>
  </si>
  <si>
    <t>jí lì</t>
  </si>
  <si>
    <t>auspicious</t>
  </si>
  <si>
    <t>极力</t>
  </si>
  <si>
    <t>To the utmost / with all one's might</t>
  </si>
  <si>
    <t>急迫</t>
  </si>
  <si>
    <t>jí pò</t>
  </si>
  <si>
    <t>Urgent / Pressing</t>
  </si>
  <si>
    <t>汲取</t>
  </si>
  <si>
    <t>jí qǔ</t>
  </si>
  <si>
    <t>draw</t>
  </si>
  <si>
    <t>即日</t>
  </si>
  <si>
    <t>jí rì</t>
  </si>
  <si>
    <t>the same day</t>
  </si>
  <si>
    <t>即时</t>
  </si>
  <si>
    <t>集市</t>
  </si>
  <si>
    <t>jí shì</t>
  </si>
  <si>
    <t>棘手</t>
  </si>
  <si>
    <t>jí shǒu</t>
  </si>
  <si>
    <t>Difficult / tricky</t>
  </si>
  <si>
    <t>集思广益</t>
  </si>
  <si>
    <t>jí sī guǎng yì</t>
  </si>
  <si>
    <t>pool wisdom and ideas</t>
  </si>
  <si>
    <t>吉他</t>
  </si>
  <si>
    <t>jí tā</t>
  </si>
  <si>
    <t>Guitar</t>
  </si>
  <si>
    <t>吉祥物</t>
  </si>
  <si>
    <t>jí xiáng wù</t>
  </si>
  <si>
    <t>Mascot</t>
  </si>
  <si>
    <t>急性</t>
  </si>
  <si>
    <t>jí xìng</t>
  </si>
  <si>
    <t>Acute / Sudden onset</t>
  </si>
  <si>
    <t>急于</t>
  </si>
  <si>
    <t>jí yú</t>
  </si>
  <si>
    <t>Be anxious to / Be eager to</t>
  </si>
  <si>
    <t>急中生智</t>
  </si>
  <si>
    <t>jí zhōng shēng zhì</t>
  </si>
  <si>
    <t>show resourcefulness in an emergency</t>
  </si>
  <si>
    <t>集装箱</t>
  </si>
  <si>
    <t>jí zhuāng xiāng</t>
  </si>
  <si>
    <t>Container</t>
  </si>
  <si>
    <t>集资</t>
  </si>
  <si>
    <t>jí zī</t>
  </si>
  <si>
    <t>Fundraising</t>
  </si>
  <si>
    <t>脊梁</t>
  </si>
  <si>
    <t>jǐ liáng</t>
  </si>
  <si>
    <t>Backbone</t>
  </si>
  <si>
    <t>挤压</t>
  </si>
  <si>
    <t>jǐ yā</t>
  </si>
  <si>
    <t>Squeeze / Press</t>
  </si>
  <si>
    <t>暨</t>
  </si>
  <si>
    <t>剂</t>
  </si>
  <si>
    <t>Dose / Potion / Pharmaceutical preparation</t>
  </si>
  <si>
    <t>忌</t>
  </si>
  <si>
    <t>Avoid / Taboo / Be jealous of</t>
  </si>
  <si>
    <t>祭</t>
  </si>
  <si>
    <t>To sacrifice / Offering</t>
  </si>
  <si>
    <t>继</t>
  </si>
  <si>
    <t>To continue / To carry on</t>
  </si>
  <si>
    <t>计</t>
  </si>
  <si>
    <t>Calculation / To plan</t>
  </si>
  <si>
    <t>计策</t>
  </si>
  <si>
    <t>jì cè</t>
  </si>
  <si>
    <t>Tactics</t>
  </si>
  <si>
    <t>祭奠</t>
  </si>
  <si>
    <t>jì diàn</t>
  </si>
  <si>
    <t>offer sacrifices to / mourning</t>
  </si>
  <si>
    <t>忌妒</t>
  </si>
  <si>
    <t>envy</t>
  </si>
  <si>
    <t>继而</t>
  </si>
  <si>
    <t>jì ér</t>
  </si>
  <si>
    <t>And then</t>
  </si>
  <si>
    <t>继父</t>
  </si>
  <si>
    <t>jì fù</t>
  </si>
  <si>
    <t>Stepfather</t>
  </si>
  <si>
    <t>记号</t>
  </si>
  <si>
    <t>jì hao</t>
  </si>
  <si>
    <t>Symbol</t>
  </si>
  <si>
    <t>忌口</t>
  </si>
  <si>
    <t>jì kǒu</t>
  </si>
  <si>
    <t>Dietary restrictions / Avoidance of certain foods</t>
  </si>
  <si>
    <t>剂量</t>
  </si>
  <si>
    <t>jì liàng</t>
  </si>
  <si>
    <t>dosage</t>
  </si>
  <si>
    <t>继母</t>
  </si>
  <si>
    <t>jì mǔ</t>
  </si>
  <si>
    <t>Stepmother</t>
  </si>
  <si>
    <t>纪念碑</t>
  </si>
  <si>
    <t>jì niàn bēi</t>
  </si>
  <si>
    <t>Monument / Memorial</t>
  </si>
  <si>
    <t>纪实</t>
  </si>
  <si>
    <t>jì shí</t>
  </si>
  <si>
    <t>record / documentary / record</t>
  </si>
  <si>
    <t>祭祀</t>
  </si>
  <si>
    <t>jì sì</t>
  </si>
  <si>
    <t>worship / sacrifice</t>
  </si>
  <si>
    <t>绩效</t>
  </si>
  <si>
    <t>jì xiào</t>
  </si>
  <si>
    <t>记忆犹新</t>
  </si>
  <si>
    <t>jì yì yóu xīn</t>
  </si>
  <si>
    <t>Still fresh in memory / Still vividly remembered</t>
  </si>
  <si>
    <t>家教</t>
  </si>
  <si>
    <t>jiā jiào</t>
  </si>
  <si>
    <t>Family education / Tutoring</t>
  </si>
  <si>
    <t>佳节</t>
  </si>
  <si>
    <t>jiā jié</t>
  </si>
  <si>
    <t>Festival</t>
  </si>
  <si>
    <t>加紧</t>
  </si>
  <si>
    <t>jiā jǐn</t>
  </si>
  <si>
    <t>Hasten / accelerate</t>
  </si>
  <si>
    <t>家境</t>
  </si>
  <si>
    <t>jiā jìng</t>
  </si>
  <si>
    <t>Family background / Family circumstances</t>
  </si>
  <si>
    <t>加盟</t>
  </si>
  <si>
    <t>jiā méng</t>
  </si>
  <si>
    <t>Join</t>
  </si>
  <si>
    <t>嘉年华</t>
  </si>
  <si>
    <t>jiā nián huá</t>
  </si>
  <si>
    <t>Carnival</t>
  </si>
  <si>
    <t>家禽</t>
  </si>
  <si>
    <t>jiā qín</t>
  </si>
  <si>
    <t>Domestic fowl</t>
  </si>
  <si>
    <t>家世</t>
  </si>
  <si>
    <t>jiā shì</t>
  </si>
  <si>
    <t>家用</t>
  </si>
  <si>
    <t>jiā yòng</t>
  </si>
  <si>
    <t>Household / Domestic use</t>
  </si>
  <si>
    <t>家政</t>
  </si>
  <si>
    <t>jiā zhèng</t>
  </si>
  <si>
    <t>Household management / Housekeeping</t>
  </si>
  <si>
    <t>加之</t>
  </si>
  <si>
    <t>jiā zhī</t>
  </si>
  <si>
    <t>besides</t>
  </si>
  <si>
    <t>家族</t>
  </si>
  <si>
    <t>jiā zú</t>
  </si>
  <si>
    <t>Family / Clan</t>
  </si>
  <si>
    <t>假定</t>
  </si>
  <si>
    <t>jiǎ dìng</t>
  </si>
  <si>
    <t>Assume</t>
  </si>
  <si>
    <t>假冒</t>
  </si>
  <si>
    <t>jiǎ mào</t>
  </si>
  <si>
    <t>Fake</t>
  </si>
  <si>
    <t>假使</t>
  </si>
  <si>
    <t>jiǎ shǐ</t>
  </si>
  <si>
    <t>If</t>
  </si>
  <si>
    <t>驾</t>
  </si>
  <si>
    <t>To drive / To pilot</t>
  </si>
  <si>
    <t>架势</t>
  </si>
  <si>
    <t>jià shi</t>
  </si>
  <si>
    <t>Posture / manner</t>
  </si>
  <si>
    <t>价位</t>
  </si>
  <si>
    <t>jià wèi</t>
  </si>
  <si>
    <t>Price range</t>
  </si>
  <si>
    <t>驾驭</t>
  </si>
  <si>
    <t>jià yù</t>
  </si>
  <si>
    <t>Control / Handle</t>
  </si>
  <si>
    <t>价值观</t>
  </si>
  <si>
    <t>jià zhí guān</t>
  </si>
  <si>
    <t>Values / Principles</t>
  </si>
  <si>
    <t>嫁妆</t>
  </si>
  <si>
    <t>jià zhuang</t>
  </si>
  <si>
    <t>Dowry</t>
  </si>
  <si>
    <t>架子</t>
  </si>
  <si>
    <t>jià zi</t>
  </si>
  <si>
    <t>Shelf / frame</t>
  </si>
  <si>
    <t>兼</t>
  </si>
  <si>
    <t>Simultaneously hold / Concurrently</t>
  </si>
  <si>
    <t>煎熬</t>
  </si>
  <si>
    <t>jiān áo</t>
  </si>
  <si>
    <t>Torment</t>
  </si>
  <si>
    <t>监察</t>
  </si>
  <si>
    <t>jiān chá</t>
  </si>
  <si>
    <t>supervise / inspect</t>
  </si>
  <si>
    <t>肩负</t>
  </si>
  <si>
    <t>jiān fù</t>
  </si>
  <si>
    <t>兼顾</t>
  </si>
  <si>
    <t>Take care of both</t>
  </si>
  <si>
    <t>监管</t>
  </si>
  <si>
    <t>jiān guǎn</t>
  </si>
  <si>
    <t>supervise / manage</t>
  </si>
  <si>
    <t>坚果</t>
  </si>
  <si>
    <t>jiān guǒ</t>
  </si>
  <si>
    <t>nuts</t>
  </si>
  <si>
    <t>监护</t>
  </si>
  <si>
    <t>jiān hù</t>
  </si>
  <si>
    <t>custody / guardianship</t>
  </si>
  <si>
    <t>监控</t>
  </si>
  <si>
    <t>jiān kòng</t>
  </si>
  <si>
    <t>monitor / surveillance</t>
  </si>
  <si>
    <t>歼灭</t>
  </si>
  <si>
    <t>jiān miè</t>
  </si>
  <si>
    <t>To annihilate / to exterminate</t>
  </si>
  <si>
    <t>兼任</t>
  </si>
  <si>
    <t>Concurrently hold</t>
  </si>
  <si>
    <t>兼容</t>
  </si>
  <si>
    <t>jiān róng</t>
  </si>
  <si>
    <t>Compatible</t>
  </si>
  <si>
    <t>坚守</t>
  </si>
  <si>
    <t>jiān shǒu</t>
  </si>
  <si>
    <t>Hold fast / stick to</t>
  </si>
  <si>
    <t>艰险</t>
  </si>
  <si>
    <t>jiān xiǎn</t>
  </si>
  <si>
    <t>Treacherous</t>
  </si>
  <si>
    <t>坚信</t>
  </si>
  <si>
    <t>jiān xìn</t>
  </si>
  <si>
    <t>Firmly believe / be convinced</t>
  </si>
  <si>
    <t>奸诈</t>
  </si>
  <si>
    <t>jiān zhà</t>
  </si>
  <si>
    <t>Crafty / cunning</t>
  </si>
  <si>
    <t>检察</t>
  </si>
  <si>
    <t>To inspect / to examine</t>
  </si>
  <si>
    <t>简称</t>
  </si>
  <si>
    <t>jiǎn chēng</t>
  </si>
  <si>
    <t>abbreviation / short name</t>
  </si>
  <si>
    <t>简短</t>
  </si>
  <si>
    <t>jiǎn duǎn</t>
  </si>
  <si>
    <t>short / brief</t>
  </si>
  <si>
    <t>减负</t>
  </si>
  <si>
    <t>jiǎn fù</t>
  </si>
  <si>
    <t>Reduce the burden</t>
  </si>
  <si>
    <t>剪辑</t>
  </si>
  <si>
    <t>jiǎn jí</t>
  </si>
  <si>
    <t>editing</t>
  </si>
  <si>
    <t>简洁</t>
  </si>
  <si>
    <t>jiǎn jié</t>
  </si>
  <si>
    <t>concise / brief</t>
  </si>
  <si>
    <t>简练</t>
  </si>
  <si>
    <t>jiǎn liàn</t>
  </si>
  <si>
    <t>concise</t>
  </si>
  <si>
    <t>减免</t>
  </si>
  <si>
    <t>jiǎn miǎn</t>
  </si>
  <si>
    <t>Reduce or exempt</t>
  </si>
  <si>
    <t>减退</t>
  </si>
  <si>
    <t>jiǎn tuì</t>
  </si>
  <si>
    <t>简易</t>
  </si>
  <si>
    <t>jiǎn yì</t>
  </si>
  <si>
    <t>simple / easy</t>
  </si>
  <si>
    <t>贱</t>
  </si>
  <si>
    <t>Cheap / Despicable</t>
  </si>
  <si>
    <t>间断</t>
  </si>
  <si>
    <t>jiàn duàn</t>
  </si>
  <si>
    <t>Interruption / Discontinuity</t>
  </si>
  <si>
    <t>见利忘义</t>
  </si>
  <si>
    <t>jiàn lì wàng yì</t>
  </si>
  <si>
    <t>Forget righteousness when seeing profit.</t>
  </si>
  <si>
    <t>健美</t>
  </si>
  <si>
    <t>jiàn měi</t>
  </si>
  <si>
    <t>Fitness</t>
  </si>
  <si>
    <t>见仁见智</t>
  </si>
  <si>
    <t>jiàn rén jiàn zhì</t>
  </si>
  <si>
    <t>Different people have different opinions / Different strokes for different folks</t>
  </si>
  <si>
    <t>鉴赏</t>
  </si>
  <si>
    <t>jiàn shǎng</t>
  </si>
  <si>
    <t>Appreciate / Enjoy</t>
  </si>
  <si>
    <t>见识</t>
  </si>
  <si>
    <t>jiàn shi</t>
  </si>
  <si>
    <t>Experience</t>
  </si>
  <si>
    <t>建树</t>
  </si>
  <si>
    <t>jiàn shù</t>
  </si>
  <si>
    <t>Achievements / Contribution</t>
  </si>
  <si>
    <t>见外</t>
  </si>
  <si>
    <t>jiàn wài</t>
  </si>
  <si>
    <t>Stand on ceremony</t>
  </si>
  <si>
    <t>间隙</t>
  </si>
  <si>
    <t>jiàn xì</t>
  </si>
  <si>
    <t>Gap / Interval</t>
  </si>
  <si>
    <t>见效</t>
  </si>
  <si>
    <t>jiàn xiào</t>
  </si>
  <si>
    <t>Take effect</t>
  </si>
  <si>
    <t>间歇</t>
  </si>
  <si>
    <t>jiàn xiē</t>
  </si>
  <si>
    <t>intermittent</t>
  </si>
  <si>
    <t>见证</t>
  </si>
  <si>
    <t>jiàn zhèng</t>
  </si>
  <si>
    <t>Witness</t>
  </si>
  <si>
    <t>健壮</t>
  </si>
  <si>
    <t>jiàn zhuàng</t>
  </si>
  <si>
    <t>Strong</t>
  </si>
  <si>
    <t>僵</t>
  </si>
  <si>
    <t>jiāng</t>
  </si>
  <si>
    <t>Stiff / Rigid / Inflexible</t>
  </si>
  <si>
    <t>姜</t>
  </si>
  <si>
    <t>Ginger</t>
  </si>
  <si>
    <t>僵化</t>
  </si>
  <si>
    <t>jiāng huà</t>
  </si>
  <si>
    <t>Rigidify</t>
  </si>
  <si>
    <t>僵局</t>
  </si>
  <si>
    <t>jiāng jú</t>
  </si>
  <si>
    <t>Deadlock</t>
  </si>
  <si>
    <t>江山</t>
  </si>
  <si>
    <t>jiāng shān</t>
  </si>
  <si>
    <t>rivers and mountains;state power</t>
  </si>
  <si>
    <t>奖杯</t>
  </si>
  <si>
    <t>jiǎng bēi</t>
  </si>
  <si>
    <t>Trophy / cup</t>
  </si>
  <si>
    <t>讲理</t>
  </si>
  <si>
    <t>jiǎng lǐ</t>
  </si>
  <si>
    <t>Be reasonable</t>
  </si>
  <si>
    <t>奖项</t>
  </si>
  <si>
    <t>jiǎng xiàng</t>
  </si>
  <si>
    <t>Award category</t>
  </si>
  <si>
    <t>焦</t>
  </si>
  <si>
    <t>Charred / Burnt / Anxious</t>
  </si>
  <si>
    <t>交锋</t>
  </si>
  <si>
    <t>jiāo fēng</t>
  </si>
  <si>
    <t>Confrontation</t>
  </si>
  <si>
    <t>交付</t>
  </si>
  <si>
    <t>jiāo fù</t>
  </si>
  <si>
    <t>Hand over</t>
  </si>
  <si>
    <t>娇惯</t>
  </si>
  <si>
    <t>jiāo guàn</t>
  </si>
  <si>
    <t>Spoiled</t>
  </si>
  <si>
    <t>交互</t>
  </si>
  <si>
    <t>jiāo hù</t>
  </si>
  <si>
    <t>副、动</t>
  </si>
  <si>
    <t>mutually ; interact</t>
  </si>
  <si>
    <t>交集</t>
  </si>
  <si>
    <t>Intersection</t>
  </si>
  <si>
    <t>交接</t>
  </si>
  <si>
    <t>jiāo jiē</t>
  </si>
  <si>
    <t>Handover</t>
  </si>
  <si>
    <t>交界</t>
  </si>
  <si>
    <t>jiāo jiè</t>
  </si>
  <si>
    <t>Boundary</t>
  </si>
  <si>
    <t>交纳</t>
  </si>
  <si>
    <t>jiāo nà</t>
  </si>
  <si>
    <t>Pay</t>
  </si>
  <si>
    <t>胶囊</t>
  </si>
  <si>
    <t>jiāo náng</t>
  </si>
  <si>
    <t>Capsule</t>
  </si>
  <si>
    <t>交情</t>
  </si>
  <si>
    <t>jiāo qing</t>
  </si>
  <si>
    <t>Friendship</t>
  </si>
  <si>
    <t>礁石</t>
  </si>
  <si>
    <t>jiāo shí</t>
  </si>
  <si>
    <t>reef / rock</t>
  </si>
  <si>
    <t>交替</t>
  </si>
  <si>
    <t>jiāo tì</t>
  </si>
  <si>
    <t>Alternately</t>
  </si>
  <si>
    <t>交头接耳</t>
  </si>
  <si>
    <t>jiāo tóu jiē ěr</t>
  </si>
  <si>
    <t>whisper together / exchange whispers</t>
  </si>
  <si>
    <t>交响乐</t>
  </si>
  <si>
    <t>jiāo xiǎng yuè</t>
  </si>
  <si>
    <t>Symphony</t>
  </si>
  <si>
    <t>郊游</t>
  </si>
  <si>
    <t>jiāo yóu</t>
  </si>
  <si>
    <t>Outing</t>
  </si>
  <si>
    <t>焦躁</t>
  </si>
  <si>
    <t>jiāo zào</t>
  </si>
  <si>
    <t>交织</t>
  </si>
  <si>
    <t>jiāo zhī</t>
  </si>
  <si>
    <t>intertwine</t>
  </si>
  <si>
    <t>嚼</t>
  </si>
  <si>
    <t>jiáo</t>
  </si>
  <si>
    <t>Chew / Masticate</t>
  </si>
  <si>
    <t>搅</t>
  </si>
  <si>
    <t>Stir / Mix</t>
  </si>
  <si>
    <t>绞</t>
  </si>
  <si>
    <t>To twist / To turn</t>
  </si>
  <si>
    <t>缴</t>
  </si>
  <si>
    <t>To hand over / To turn in</t>
  </si>
  <si>
    <t>脚踏实地</t>
  </si>
  <si>
    <t>jiǎo tā shi dì</t>
  </si>
  <si>
    <t>be down-to-earth</t>
  </si>
  <si>
    <t>矫正</t>
  </si>
  <si>
    <t>jiǎo zhèng</t>
  </si>
  <si>
    <t>correct / rectify / orthodontics</t>
  </si>
  <si>
    <t>叫板</t>
  </si>
  <si>
    <t>jiào bǎn</t>
  </si>
  <si>
    <t>Challenge / defy</t>
  </si>
  <si>
    <t>轿车</t>
  </si>
  <si>
    <t>jiào chē</t>
  </si>
  <si>
    <t>Sedan</t>
  </si>
  <si>
    <t>叫好</t>
  </si>
  <si>
    <t>jiào hǎo</t>
  </si>
  <si>
    <t>Applaud / cheer</t>
  </si>
  <si>
    <t>较劲</t>
  </si>
  <si>
    <t>jiào jìn</t>
  </si>
  <si>
    <t>Compete</t>
  </si>
  <si>
    <t>教科书</t>
  </si>
  <si>
    <t>jiào kē shū</t>
  </si>
  <si>
    <t>Textbook</t>
  </si>
  <si>
    <t>教条</t>
  </si>
  <si>
    <t>jiào tiáo</t>
  </si>
  <si>
    <t>Dogma / doctrinairism</t>
  </si>
  <si>
    <t>揭</t>
  </si>
  <si>
    <t>uncover</t>
  </si>
  <si>
    <t>接班</t>
  </si>
  <si>
    <t>jiē bān</t>
  </si>
  <si>
    <t>Take over (duty) / Succeed to the post</t>
  </si>
  <si>
    <t>接班人</t>
  </si>
  <si>
    <t>jiē bān rén</t>
  </si>
  <si>
    <t>Successor / Heir</t>
  </si>
  <si>
    <t>皆大欢喜</t>
  </si>
  <si>
    <t>jiē dà huān xǐ</t>
  </si>
  <si>
    <t>to everyone's satisfaction</t>
  </si>
  <si>
    <t>接二连三</t>
  </si>
  <si>
    <t>jiē èr lián sān</t>
  </si>
  <si>
    <t>one after another / in quick succession</t>
  </si>
  <si>
    <t>揭发</t>
  </si>
  <si>
    <t>jiē fā</t>
  </si>
  <si>
    <t>Expose / Uncover</t>
  </si>
  <si>
    <t>街坊</t>
  </si>
  <si>
    <t>jiē fāng</t>
  </si>
  <si>
    <t>neighbor</t>
  </si>
  <si>
    <t>接轨</t>
  </si>
  <si>
    <t>jiē guǐ</t>
  </si>
  <si>
    <t>Get on track / Align with</t>
  </si>
  <si>
    <t>阶级</t>
  </si>
  <si>
    <t>jiē jí</t>
  </si>
  <si>
    <t>Class / Social class</t>
  </si>
  <si>
    <t>接济</t>
  </si>
  <si>
    <t>jiē jì</t>
  </si>
  <si>
    <t>Provide relief / Aid</t>
  </si>
  <si>
    <t>接见</t>
  </si>
  <si>
    <t>jiē jiàn</t>
  </si>
  <si>
    <t>Receive (a visitor) / Meet</t>
  </si>
  <si>
    <t>接力</t>
  </si>
  <si>
    <t>jiē lì</t>
  </si>
  <si>
    <t>Relay / Relay race</t>
  </si>
  <si>
    <t>接纳</t>
  </si>
  <si>
    <t>jiē nà</t>
  </si>
  <si>
    <t>Admit / Accept</t>
  </si>
  <si>
    <t>揭示</t>
  </si>
  <si>
    <t>jiē shì</t>
  </si>
  <si>
    <t>Reveal / Unveil</t>
  </si>
  <si>
    <t>接手</t>
  </si>
  <si>
    <t>jiē shǒu</t>
  </si>
  <si>
    <t>Take over / Take charge of</t>
  </si>
  <si>
    <t>阶梯</t>
  </si>
  <si>
    <t>jiē tī</t>
  </si>
  <si>
    <t>Staircase / Steps</t>
  </si>
  <si>
    <t>接替</t>
  </si>
  <si>
    <t>jiē tì</t>
  </si>
  <si>
    <t>Take over from / Succeed</t>
  </si>
  <si>
    <t>揭晓</t>
  </si>
  <si>
    <t>jiē xiǎo</t>
  </si>
  <si>
    <t>Announce / Make public</t>
  </si>
  <si>
    <t>劫</t>
  </si>
  <si>
    <t>Rob / Plunder / Calamity</t>
  </si>
  <si>
    <t>截</t>
  </si>
  <si>
    <t>动、量</t>
  </si>
  <si>
    <t>Intercept / Cut off / Section</t>
  </si>
  <si>
    <t>洁白</t>
  </si>
  <si>
    <t>jié bái</t>
  </si>
  <si>
    <t>劫持</t>
  </si>
  <si>
    <t>jié chí</t>
  </si>
  <si>
    <t>Kidnap / abduct</t>
  </si>
  <si>
    <t>节俭</t>
  </si>
  <si>
    <t>jié jiǎn</t>
  </si>
  <si>
    <t>Frugal</t>
  </si>
  <si>
    <t>洁净</t>
  </si>
  <si>
    <t>jié jìng</t>
  </si>
  <si>
    <t>clean / pure</t>
  </si>
  <si>
    <t>捷径</t>
  </si>
  <si>
    <t>shortcut</t>
  </si>
  <si>
    <t>竭力</t>
  </si>
  <si>
    <t>jié lì</t>
  </si>
  <si>
    <t>spare no effort / do one's utmost</t>
  </si>
  <si>
    <t>节气</t>
  </si>
  <si>
    <t>jié qì</t>
  </si>
  <si>
    <t>Solar terms</t>
  </si>
  <si>
    <t>截然不同</t>
  </si>
  <si>
    <t>jié rán bù tóng</t>
  </si>
  <si>
    <t>completely different / entirely distinct</t>
  </si>
  <si>
    <t>结识</t>
  </si>
  <si>
    <t>jié shí</t>
  </si>
  <si>
    <t>get to know / make acquaintance</t>
  </si>
  <si>
    <t>节衣缩食</t>
  </si>
  <si>
    <t>jié yī suō shí</t>
  </si>
  <si>
    <t>Tighten one's belt / Cut down on expenses</t>
  </si>
  <si>
    <t>解救</t>
  </si>
  <si>
    <t>jiě jiù</t>
  </si>
  <si>
    <t>Rescue</t>
  </si>
  <si>
    <t>解渴</t>
  </si>
  <si>
    <t>jiě kě</t>
  </si>
  <si>
    <t>quench thirst</t>
  </si>
  <si>
    <t>解脱</t>
  </si>
  <si>
    <t>jiě tuō</t>
  </si>
  <si>
    <t>Free oneself</t>
  </si>
  <si>
    <t>解围</t>
  </si>
  <si>
    <t>jiě wéi</t>
  </si>
  <si>
    <t>Break through the encirclement</t>
  </si>
  <si>
    <t>解析</t>
  </si>
  <si>
    <t>jiě xī</t>
  </si>
  <si>
    <t>Analyze</t>
  </si>
  <si>
    <t>解约</t>
  </si>
  <si>
    <t>jiě yuē</t>
  </si>
  <si>
    <t>terminate a contract</t>
  </si>
  <si>
    <t>界</t>
  </si>
  <si>
    <t>名、后缀</t>
  </si>
  <si>
    <t>circle</t>
  </si>
  <si>
    <t>界定</t>
  </si>
  <si>
    <t>jiè dìng</t>
  </si>
  <si>
    <t>define / delimit</t>
  </si>
  <si>
    <t>介入</t>
  </si>
  <si>
    <t>jiè rù</t>
  </si>
  <si>
    <t>Intervene</t>
  </si>
  <si>
    <t>届时</t>
  </si>
  <si>
    <t>jiè shí</t>
  </si>
  <si>
    <t>By that time / At the time</t>
  </si>
  <si>
    <t>借条</t>
  </si>
  <si>
    <t>jiè tiáo</t>
  </si>
  <si>
    <t>IOU</t>
  </si>
  <si>
    <t>界线</t>
  </si>
  <si>
    <t>boundary / border</t>
  </si>
  <si>
    <t>介意</t>
  </si>
  <si>
    <t>jiè yì</t>
  </si>
  <si>
    <t>Mind</t>
  </si>
  <si>
    <t>借用</t>
  </si>
  <si>
    <t>jiè yòng</t>
  </si>
  <si>
    <t>Borrow</t>
  </si>
  <si>
    <t>介于</t>
  </si>
  <si>
    <t>jiè yú</t>
  </si>
  <si>
    <t>Between</t>
  </si>
  <si>
    <t>筋</t>
  </si>
  <si>
    <t>jīn</t>
  </si>
  <si>
    <t>Muscle / Tendon</t>
  </si>
  <si>
    <t>禁不住</t>
  </si>
  <si>
    <t>jīn bu zhù</t>
  </si>
  <si>
    <t>Can't help / Unable to resist</t>
  </si>
  <si>
    <t>紧凑</t>
  </si>
  <si>
    <t>jǐn còu</t>
  </si>
  <si>
    <t>compact / tight</t>
  </si>
  <si>
    <t>锦旗</t>
  </si>
  <si>
    <t>jǐn qí</t>
  </si>
  <si>
    <t>Pennant / Banner</t>
  </si>
  <si>
    <t>紧缺</t>
  </si>
  <si>
    <t>jǐn quē</t>
  </si>
  <si>
    <t>scarce / in short supply</t>
  </si>
  <si>
    <t>紧缩</t>
  </si>
  <si>
    <t>jǐn suō</t>
  </si>
  <si>
    <t>shrink / reduce</t>
  </si>
  <si>
    <t>尽早</t>
  </si>
  <si>
    <t>jǐn zǎo</t>
  </si>
  <si>
    <t>As soon as possible / At the earliest opportunity</t>
  </si>
  <si>
    <t>劲</t>
  </si>
  <si>
    <t>尽</t>
  </si>
  <si>
    <t>Exhaust / Use up / Fully</t>
  </si>
  <si>
    <t>进程</t>
  </si>
  <si>
    <t>jìn chéng</t>
  </si>
  <si>
    <t>Process</t>
  </si>
  <si>
    <t>晋级</t>
  </si>
  <si>
    <t>jìn jí</t>
  </si>
  <si>
    <t>advance</t>
  </si>
  <si>
    <t>禁忌</t>
  </si>
  <si>
    <t>jìn jì</t>
  </si>
  <si>
    <t>taboo / prohibition</t>
  </si>
  <si>
    <t>进军</t>
  </si>
  <si>
    <t>jìn jūn</t>
  </si>
  <si>
    <t>march into</t>
  </si>
  <si>
    <t>尽情</t>
  </si>
  <si>
    <t>jìn qíng</t>
  </si>
  <si>
    <t>To one's heart's content / Freely</t>
  </si>
  <si>
    <t>禁区</t>
  </si>
  <si>
    <t>jìn qū</t>
  </si>
  <si>
    <t>forbidden zone / restricted area</t>
  </si>
  <si>
    <t>进取</t>
  </si>
  <si>
    <t>jìn qǔ</t>
  </si>
  <si>
    <t>forge ahead</t>
  </si>
  <si>
    <t>劲头</t>
  </si>
  <si>
    <t>jìn tóu</t>
  </si>
  <si>
    <t>Momentum / vigour</t>
  </si>
  <si>
    <t>尽头</t>
  </si>
  <si>
    <t>End / Limit</t>
  </si>
  <si>
    <t>进修</t>
  </si>
  <si>
    <t>jìn xiū</t>
  </si>
  <si>
    <t>Further study</t>
  </si>
  <si>
    <t>精</t>
  </si>
  <si>
    <t>refined</t>
  </si>
  <si>
    <t>鲸</t>
  </si>
  <si>
    <t>whale</t>
  </si>
  <si>
    <t>经</t>
  </si>
  <si>
    <t>To pass through / Scripture</t>
  </si>
  <si>
    <t>精彩纷呈</t>
  </si>
  <si>
    <t>jīng cǎi fēn chéng</t>
  </si>
  <si>
    <t>wonderful and exciting</t>
  </si>
  <si>
    <t>精度</t>
  </si>
  <si>
    <t>jīng dù</t>
  </si>
  <si>
    <t>precision</t>
  </si>
  <si>
    <t>经度</t>
  </si>
  <si>
    <t>longitude</t>
  </si>
  <si>
    <t>惊慌</t>
  </si>
  <si>
    <t>jīng huāng</t>
  </si>
  <si>
    <t>Panic / Alarm</t>
  </si>
  <si>
    <t>惊慌失措</t>
  </si>
  <si>
    <t>jīng huāng shī cuò</t>
  </si>
  <si>
    <t>panic / be flustered</t>
  </si>
  <si>
    <t>荆棘</t>
  </si>
  <si>
    <t>jīng jí</t>
  </si>
  <si>
    <t>Thorn</t>
  </si>
  <si>
    <t>经久不息</t>
  </si>
  <si>
    <t>jīng jiǔ bù xī</t>
  </si>
  <si>
    <t>Lasting and never-ending / Continuously</t>
  </si>
  <si>
    <t>精练</t>
  </si>
  <si>
    <t>jīng liàn</t>
  </si>
  <si>
    <t>refine / elaborate</t>
  </si>
  <si>
    <t>经贸</t>
  </si>
  <si>
    <t>jīng mào</t>
  </si>
  <si>
    <t>economic and trade</t>
  </si>
  <si>
    <t>精妙</t>
  </si>
  <si>
    <t>jīng miào</t>
  </si>
  <si>
    <t>exquisite / ingenious</t>
  </si>
  <si>
    <t>精明</t>
  </si>
  <si>
    <t>jīng míng</t>
  </si>
  <si>
    <t>astute / shrewd</t>
  </si>
  <si>
    <t>精疲力竭</t>
  </si>
  <si>
    <t>jīng pí lì jié</t>
  </si>
  <si>
    <t>Exhausted physically and mentally / Completely worn out</t>
  </si>
  <si>
    <t>精品</t>
  </si>
  <si>
    <t>jīng pǐn</t>
  </si>
  <si>
    <t>boutique</t>
  </si>
  <si>
    <t>精巧</t>
  </si>
  <si>
    <t>jīng qiǎo</t>
  </si>
  <si>
    <t>ingenious</t>
  </si>
  <si>
    <t>精神病</t>
  </si>
  <si>
    <t>jīng shén bìng</t>
  </si>
  <si>
    <t>Mental illness / Psychosis</t>
  </si>
  <si>
    <t>经受</t>
  </si>
  <si>
    <t>jīng shòu</t>
  </si>
  <si>
    <t>undergo / experience</t>
  </si>
  <si>
    <t>精髓</t>
  </si>
  <si>
    <t>jīng suǐ</t>
  </si>
  <si>
    <t>essence / marrow</t>
  </si>
  <si>
    <t>惊叹</t>
  </si>
  <si>
    <t>jīng tàn</t>
  </si>
  <si>
    <t>Exclaim in surprise / Marvel</t>
  </si>
  <si>
    <t>惊天动地</t>
  </si>
  <si>
    <t>jīng tiān dòng dì</t>
  </si>
  <si>
    <t>earth-shattering / momentous</t>
  </si>
  <si>
    <t>精细</t>
  </si>
  <si>
    <t>jīng xì</t>
  </si>
  <si>
    <t>fine / meticulous</t>
  </si>
  <si>
    <t>惊吓</t>
  </si>
  <si>
    <t>jīng xià</t>
  </si>
  <si>
    <t>frighten</t>
  </si>
  <si>
    <t>惊险</t>
  </si>
  <si>
    <t>jīng xiǎn</t>
  </si>
  <si>
    <t>Exciting / Thrilling</t>
  </si>
  <si>
    <t>惊心动魄</t>
  </si>
  <si>
    <t>jīng xīn dòng pò</t>
  </si>
  <si>
    <t>thrilling and exciting / heart-stirring</t>
  </si>
  <si>
    <t>精英</t>
  </si>
  <si>
    <t>jīng yīng</t>
  </si>
  <si>
    <t>elite / best</t>
  </si>
  <si>
    <t>晶莹</t>
  </si>
  <si>
    <t>Crystal-clear / sparkling</t>
  </si>
  <si>
    <t>精湛</t>
  </si>
  <si>
    <t>jīng zhàn</t>
  </si>
  <si>
    <t>exquisite</t>
  </si>
  <si>
    <t>警报</t>
  </si>
  <si>
    <t>jǐng bào</t>
  </si>
  <si>
    <t>alarm</t>
  </si>
  <si>
    <t>井底之蛙</t>
  </si>
  <si>
    <t>jǐng dǐ zhī wā</t>
  </si>
  <si>
    <t>a frog in a well</t>
  </si>
  <si>
    <t>警戒</t>
  </si>
  <si>
    <t>jǐng jiè</t>
  </si>
  <si>
    <t>warn</t>
  </si>
  <si>
    <t>警犬</t>
  </si>
  <si>
    <t>jǐng quǎn</t>
  </si>
  <si>
    <t>police dog</t>
  </si>
  <si>
    <t>警示</t>
  </si>
  <si>
    <t>jǐng shì</t>
  </si>
  <si>
    <t>警钟</t>
  </si>
  <si>
    <t>jǐng zhōng</t>
  </si>
  <si>
    <t>Alarm bell</t>
  </si>
  <si>
    <t>敬</t>
  </si>
  <si>
    <t>jìng</t>
  </si>
  <si>
    <t>Respect / Honor</t>
  </si>
  <si>
    <t>竟</t>
  </si>
  <si>
    <t>Unexpectedly / Actually</t>
  </si>
  <si>
    <t>敬爱</t>
  </si>
  <si>
    <t>jìng ài</t>
  </si>
  <si>
    <t>To revere and love / to respect and love</t>
  </si>
  <si>
    <t>境地</t>
  </si>
  <si>
    <t>jìng dì</t>
  </si>
  <si>
    <t>Situation / state of affairs</t>
  </si>
  <si>
    <t>敬而远之</t>
  </si>
  <si>
    <t>jìng ér yuǎn zhī</t>
  </si>
  <si>
    <t>respect from a distance / keep at a respectful distance</t>
  </si>
  <si>
    <t>净化</t>
  </si>
  <si>
    <t>jìng huà</t>
  </si>
  <si>
    <t>Purify</t>
  </si>
  <si>
    <t>竞技</t>
  </si>
  <si>
    <t>jìng jì</t>
  </si>
  <si>
    <t>competitive sports / athletics</t>
  </si>
  <si>
    <t>境内</t>
  </si>
  <si>
    <t>jìng nèi</t>
  </si>
  <si>
    <t>Within the borders / domestic</t>
  </si>
  <si>
    <t>敬佩</t>
  </si>
  <si>
    <t>jìng pèi</t>
  </si>
  <si>
    <t>To admire / to respect</t>
  </si>
  <si>
    <t>敬请</t>
  </si>
  <si>
    <t>jìng qǐng</t>
  </si>
  <si>
    <t>To respectfully invite</t>
  </si>
  <si>
    <t>境外</t>
  </si>
  <si>
    <t>jìng wài</t>
  </si>
  <si>
    <t>Overseas / abroad</t>
  </si>
  <si>
    <t>敬畏</t>
  </si>
  <si>
    <t>jìng wèi</t>
  </si>
  <si>
    <t>revere</t>
  </si>
  <si>
    <t>竞相</t>
  </si>
  <si>
    <t>jìng xiāng</t>
  </si>
  <si>
    <t>vie with each other</t>
  </si>
  <si>
    <t>敬意</t>
  </si>
  <si>
    <t>jìng yì</t>
  </si>
  <si>
    <t>Respect / reverence</t>
  </si>
  <si>
    <t>境遇</t>
  </si>
  <si>
    <t>jìng yù</t>
  </si>
  <si>
    <t>Circumstances / situation</t>
  </si>
  <si>
    <t>径直</t>
  </si>
  <si>
    <t>jìng zhí</t>
  </si>
  <si>
    <t>directly</t>
  </si>
  <si>
    <t>静止</t>
  </si>
  <si>
    <t>jìng zhǐ</t>
  </si>
  <si>
    <t>Still / Motionless</t>
  </si>
  <si>
    <t>敬重</t>
  </si>
  <si>
    <t>jìng zhòng</t>
  </si>
  <si>
    <t>To respect / to esteem</t>
  </si>
  <si>
    <t>窘迫</t>
  </si>
  <si>
    <t>jiǒng pò</t>
  </si>
  <si>
    <t>awkward / embarrassing / be in straitened circumstances</t>
  </si>
  <si>
    <t>揪</t>
  </si>
  <si>
    <t>jiū</t>
  </si>
  <si>
    <t>Grab / Seize</t>
  </si>
  <si>
    <t>纠缠</t>
  </si>
  <si>
    <t>jiū chán</t>
  </si>
  <si>
    <t>entangle / get caught up in</t>
  </si>
  <si>
    <t>酒楼</t>
  </si>
  <si>
    <t>jiǔ lóu</t>
  </si>
  <si>
    <t>Tavern / Pub</t>
  </si>
  <si>
    <t>久违</t>
  </si>
  <si>
    <t>jiǔ wéi</t>
  </si>
  <si>
    <t>Long time no see</t>
  </si>
  <si>
    <t>久仰</t>
  </si>
  <si>
    <t>jiǔ yǎng</t>
  </si>
  <si>
    <t>Long admire</t>
  </si>
  <si>
    <t>就餐</t>
  </si>
  <si>
    <t>jiù cān</t>
  </si>
  <si>
    <t>Have a meal / Dine</t>
  </si>
  <si>
    <t>就此</t>
  </si>
  <si>
    <t>jiù cǐ</t>
  </si>
  <si>
    <t>thus</t>
  </si>
  <si>
    <t>就地</t>
  </si>
  <si>
    <t>jiù dì</t>
  </si>
  <si>
    <t>On the spot / In place</t>
  </si>
  <si>
    <t>就任</t>
  </si>
  <si>
    <t>jiù rèn</t>
  </si>
  <si>
    <t>Assume office / Take up a post</t>
  </si>
  <si>
    <t>救死扶伤</t>
  </si>
  <si>
    <t>jiù sǐ fú shāng</t>
  </si>
  <si>
    <t>heal the wounded and rescue the dying</t>
  </si>
  <si>
    <t>就绪</t>
  </si>
  <si>
    <t>jiù xù</t>
  </si>
  <si>
    <t>be ready</t>
  </si>
  <si>
    <t>就医</t>
  </si>
  <si>
    <t>jiù yī</t>
  </si>
  <si>
    <t>Seek medical treatment / Go to see a doctor</t>
  </si>
  <si>
    <t>就诊</t>
  </si>
  <si>
    <t>jiù zhěn</t>
  </si>
  <si>
    <t>Go to see a doctor / Seek medical treatment</t>
  </si>
  <si>
    <t>救治</t>
  </si>
  <si>
    <t>jiù zhì</t>
  </si>
  <si>
    <t>To cure / to treat</t>
  </si>
  <si>
    <t>就座</t>
  </si>
  <si>
    <t>jiù zuò</t>
  </si>
  <si>
    <t>Take a seat</t>
  </si>
  <si>
    <t>居安思危</t>
  </si>
  <si>
    <t>jū ān sī wēi</t>
  </si>
  <si>
    <t>be prepared for danger in times of peace</t>
  </si>
  <si>
    <t>居高不下</t>
  </si>
  <si>
    <t>jū gāo bù xià</t>
  </si>
  <si>
    <t>remain high</t>
  </si>
  <si>
    <t>居于</t>
  </si>
  <si>
    <t>jū yú</t>
  </si>
  <si>
    <t>be located in</t>
  </si>
  <si>
    <t>举报</t>
  </si>
  <si>
    <t>jǔ bào</t>
  </si>
  <si>
    <t>Report</t>
  </si>
  <si>
    <t>举措</t>
  </si>
  <si>
    <t>jǔ cuò</t>
  </si>
  <si>
    <t>Measure</t>
  </si>
  <si>
    <t>举棋不定</t>
  </si>
  <si>
    <t>jǔ qí bù dìng</t>
  </si>
  <si>
    <t>举一反三</t>
  </si>
  <si>
    <t>jǔ yī fǎn sān</t>
  </si>
  <si>
    <t>draw inferences about other cases from one instance</t>
  </si>
  <si>
    <t>举止</t>
  </si>
  <si>
    <t>jǔ zhǐ</t>
  </si>
  <si>
    <t>Behavior</t>
  </si>
  <si>
    <t>举重</t>
  </si>
  <si>
    <t>jǔ zhòng</t>
  </si>
  <si>
    <t>Weightlifting</t>
  </si>
  <si>
    <t>剧变</t>
  </si>
  <si>
    <t>jù biàn</t>
  </si>
  <si>
    <t>drastically change</t>
  </si>
  <si>
    <t>巨额</t>
  </si>
  <si>
    <t>jù é</t>
  </si>
  <si>
    <t>Huge amount / Large sum</t>
  </si>
  <si>
    <t>聚焦</t>
  </si>
  <si>
    <t>jù jiāo</t>
  </si>
  <si>
    <t>focus on</t>
  </si>
  <si>
    <t>剧目</t>
  </si>
  <si>
    <t>jù mù</t>
  </si>
  <si>
    <t>Repertoire / theatrical piece</t>
  </si>
  <si>
    <t>剧情</t>
  </si>
  <si>
    <t>jù qíng</t>
  </si>
  <si>
    <t>Plot / storyline</t>
  </si>
  <si>
    <t>巨人</t>
  </si>
  <si>
    <t>jù rén</t>
  </si>
  <si>
    <t>Giant / Titan</t>
  </si>
  <si>
    <t>巨头</t>
  </si>
  <si>
    <t>jù tóu</t>
  </si>
  <si>
    <t>Tycoon / Magnate</t>
  </si>
  <si>
    <t>捐献</t>
  </si>
  <si>
    <t>juān xiàn</t>
  </si>
  <si>
    <t>Donate / Contribute</t>
  </si>
  <si>
    <t>卷入</t>
  </si>
  <si>
    <t>juǎn rù</t>
  </si>
  <si>
    <t>Involve / get involved in</t>
  </si>
  <si>
    <t>绝</t>
  </si>
  <si>
    <t>jué</t>
  </si>
  <si>
    <t>动、形、副</t>
  </si>
  <si>
    <t>cut off ; absolute ; utterly</t>
  </si>
  <si>
    <t>绝迹</t>
  </si>
  <si>
    <t>jué jì</t>
  </si>
  <si>
    <t>disappear</t>
  </si>
  <si>
    <t>绝技</t>
  </si>
  <si>
    <t>Unique skill</t>
  </si>
  <si>
    <t>崛起</t>
  </si>
  <si>
    <t>jué qǐ</t>
  </si>
  <si>
    <t>Rise / Ascend</t>
  </si>
  <si>
    <t>诀窍</t>
  </si>
  <si>
    <t>jué qiào</t>
  </si>
  <si>
    <t>决议</t>
  </si>
  <si>
    <t>jué yì</t>
  </si>
  <si>
    <t>Resolution</t>
  </si>
  <si>
    <t>绝缘</t>
  </si>
  <si>
    <t>jué yuán</t>
  </si>
  <si>
    <t>Insulate</t>
  </si>
  <si>
    <t>抉择</t>
  </si>
  <si>
    <t>jué zé</t>
  </si>
  <si>
    <t>choose</t>
  </si>
  <si>
    <t>角逐</t>
  </si>
  <si>
    <t>jué zhú</t>
  </si>
  <si>
    <t>倔</t>
  </si>
  <si>
    <t>juè</t>
  </si>
  <si>
    <t>Stubborn / Obstinate</t>
  </si>
  <si>
    <t>均</t>
  </si>
  <si>
    <t>jūn</t>
  </si>
  <si>
    <t>形、动、副</t>
  </si>
  <si>
    <t>average ; equalize ; equally</t>
  </si>
  <si>
    <t>军官</t>
  </si>
  <si>
    <t>jūn guān</t>
  </si>
  <si>
    <t>Officer</t>
  </si>
  <si>
    <t>均衡</t>
  </si>
  <si>
    <t>jūn héng</t>
  </si>
  <si>
    <t>Balanced / equilibrium</t>
  </si>
  <si>
    <t>军舰</t>
  </si>
  <si>
    <t>jūn jiàn</t>
  </si>
  <si>
    <t>warship</t>
  </si>
  <si>
    <t>俊</t>
  </si>
  <si>
    <t>jùn</t>
  </si>
  <si>
    <t>Handsome / Talented</t>
  </si>
  <si>
    <t>竣工</t>
  </si>
  <si>
    <t>jùn gōng</t>
  </si>
  <si>
    <t>complete a project / finish construction</t>
  </si>
  <si>
    <t>骏马</t>
  </si>
  <si>
    <t>jùn mǎ</t>
  </si>
  <si>
    <t>Steed / Fine horse</t>
  </si>
  <si>
    <t>俊俏</t>
  </si>
  <si>
    <t>jùn qiào</t>
  </si>
  <si>
    <t>Handsome and pretty</t>
  </si>
  <si>
    <t>开办</t>
  </si>
  <si>
    <t>kāi bàn</t>
  </si>
  <si>
    <t>Start / Establish (business / etc.)</t>
  </si>
  <si>
    <t>开场</t>
  </si>
  <si>
    <t>kāi chǎng</t>
  </si>
  <si>
    <t>Start / Beginning</t>
  </si>
  <si>
    <t>开场白</t>
  </si>
  <si>
    <t>kāi chǎng bái</t>
  </si>
  <si>
    <t>Opening remarks / Introduction</t>
  </si>
  <si>
    <t>开动</t>
  </si>
  <si>
    <t>kāi dòng</t>
  </si>
  <si>
    <t>Start / Set in motion</t>
  </si>
  <si>
    <t>开发区</t>
  </si>
  <si>
    <t>kāi fā qū</t>
  </si>
  <si>
    <t>Development zone / Economic development zone</t>
  </si>
  <si>
    <t>开发商</t>
  </si>
  <si>
    <t>kāi fā shāng</t>
  </si>
  <si>
    <t>Developer / Real estate developer</t>
  </si>
  <si>
    <t>开工</t>
  </si>
  <si>
    <t>kāi gōng</t>
  </si>
  <si>
    <t>Start work / Begin construction</t>
  </si>
  <si>
    <t>开垦</t>
  </si>
  <si>
    <t>kāi kěn</t>
  </si>
  <si>
    <t>Reclaim (land) / Cultivate</t>
  </si>
  <si>
    <t>开天辟地</t>
  </si>
  <si>
    <t>kāi tiān pì dì</t>
  </si>
  <si>
    <t>open up the heavens and cleave the earth / create a new world</t>
  </si>
  <si>
    <t>开庭</t>
  </si>
  <si>
    <t>kāi tíng</t>
  </si>
  <si>
    <t>hold a court session</t>
  </si>
  <si>
    <t>开销</t>
  </si>
  <si>
    <t>kāi xiāo</t>
  </si>
  <si>
    <t>Expenditure / Expense</t>
  </si>
  <si>
    <t>开张</t>
  </si>
  <si>
    <t>kāi zhāng</t>
  </si>
  <si>
    <t>Open for business / Start business</t>
  </si>
  <si>
    <t>楷模</t>
  </si>
  <si>
    <t>kǎi mó</t>
  </si>
  <si>
    <t>Model / exemplary figure</t>
  </si>
  <si>
    <t>凯旋</t>
  </si>
  <si>
    <t>kǎi xuán</t>
  </si>
  <si>
    <t>triumphantly return</t>
  </si>
  <si>
    <t>堪称</t>
  </si>
  <si>
    <t>kān chēng</t>
  </si>
  <si>
    <t>Be worthy of the name / be considered as</t>
  </si>
  <si>
    <t>看管</t>
  </si>
  <si>
    <t>kān guǎn</t>
  </si>
  <si>
    <t>watch over</t>
  </si>
  <si>
    <t>看护</t>
  </si>
  <si>
    <t>kān hù</t>
  </si>
  <si>
    <t>care for / nursing</t>
  </si>
  <si>
    <t>看守</t>
  </si>
  <si>
    <t>kān shǒu</t>
  </si>
  <si>
    <t>坎坷</t>
  </si>
  <si>
    <t>kǎn kě</t>
  </si>
  <si>
    <t>rough</t>
  </si>
  <si>
    <t>看台</t>
  </si>
  <si>
    <t>kàn tái</t>
  </si>
  <si>
    <t>stand / grandstand</t>
  </si>
  <si>
    <t>抗衡</t>
  </si>
  <si>
    <t>kàng héng</t>
  </si>
  <si>
    <t>Counterbalance / Resist</t>
  </si>
  <si>
    <t>抗拒</t>
  </si>
  <si>
    <t>kàng jù</t>
  </si>
  <si>
    <t>Resist / Refuse</t>
  </si>
  <si>
    <t>抗生素</t>
  </si>
  <si>
    <t>kàng shēng sù</t>
  </si>
  <si>
    <t>Antibiotic</t>
  </si>
  <si>
    <t>抗争</t>
  </si>
  <si>
    <t>kàng zhēng</t>
  </si>
  <si>
    <t>Struggle / Resist</t>
  </si>
  <si>
    <t>考查</t>
  </si>
  <si>
    <t>examine</t>
  </si>
  <si>
    <t>考量</t>
  </si>
  <si>
    <t>kǎo liáng</t>
  </si>
  <si>
    <t>Consideration</t>
  </si>
  <si>
    <t>苛刻</t>
  </si>
  <si>
    <t>kē kè</t>
  </si>
  <si>
    <t>Harsh</t>
  </si>
  <si>
    <t>颗粒</t>
  </si>
  <si>
    <t>kē lì</t>
  </si>
  <si>
    <t>grain</t>
  </si>
  <si>
    <t>壳</t>
  </si>
  <si>
    <t>ké</t>
  </si>
  <si>
    <t>Shell / Shellfish</t>
  </si>
  <si>
    <t>可悲</t>
  </si>
  <si>
    <t>kě bēi</t>
  </si>
  <si>
    <t>Pitiful / lamentable</t>
  </si>
  <si>
    <t>可不是</t>
  </si>
  <si>
    <t>kě bú shi</t>
  </si>
  <si>
    <t>Indeed / Absolutely not</t>
  </si>
  <si>
    <t>可乘之机</t>
  </si>
  <si>
    <t>kě chéng zhī jī</t>
  </si>
  <si>
    <t>opportunity to be seized / favorable chance</t>
  </si>
  <si>
    <t>可耻</t>
  </si>
  <si>
    <t>kě chǐ</t>
  </si>
  <si>
    <t>Shameful / disgraceful</t>
  </si>
  <si>
    <t>可贵</t>
  </si>
  <si>
    <t>kě guì</t>
  </si>
  <si>
    <t>Valuable / precious</t>
  </si>
  <si>
    <t>可谓</t>
  </si>
  <si>
    <t>kě wèi</t>
  </si>
  <si>
    <t>Can be called / may be called</t>
  </si>
  <si>
    <t>可想而知</t>
  </si>
  <si>
    <t>kě xiǎng ér zhī</t>
  </si>
  <si>
    <t>it's not hard to imagine / one can well imagine</t>
  </si>
  <si>
    <t>可笑</t>
  </si>
  <si>
    <t>kě xiào</t>
  </si>
  <si>
    <t>Ridiculous / laughable</t>
  </si>
  <si>
    <t>可疑</t>
  </si>
  <si>
    <t>kě yí</t>
  </si>
  <si>
    <t>Suspicious / dubious</t>
  </si>
  <si>
    <t>客房</t>
  </si>
  <si>
    <t>kè fáng</t>
  </si>
  <si>
    <t>Guest room</t>
  </si>
  <si>
    <t>刻画</t>
  </si>
  <si>
    <t>kè huà</t>
  </si>
  <si>
    <t>depict</t>
  </si>
  <si>
    <t>客机</t>
  </si>
  <si>
    <t>kè jī</t>
  </si>
  <si>
    <t>Passenger aircraft</t>
  </si>
  <si>
    <t>客流</t>
  </si>
  <si>
    <t>kè liú</t>
  </si>
  <si>
    <t>Passenger flow</t>
  </si>
  <si>
    <t>克隆</t>
  </si>
  <si>
    <t>kè lóng</t>
  </si>
  <si>
    <t>Clone</t>
  </si>
  <si>
    <t>刻意</t>
  </si>
  <si>
    <t>kè yì</t>
  </si>
  <si>
    <t>Deliberate / intentional</t>
  </si>
  <si>
    <t>客运</t>
  </si>
  <si>
    <t>kè yùn</t>
  </si>
  <si>
    <t>Passenger transportation</t>
  </si>
  <si>
    <t>刻舟求剑</t>
  </si>
  <si>
    <t>kè zhōu qiú jiàn</t>
  </si>
  <si>
    <t>carve a boat to seek a sword / act out an irrelevant solution to a problem</t>
  </si>
  <si>
    <t>恳求</t>
  </si>
  <si>
    <t>kěn qiú</t>
  </si>
  <si>
    <t>Plead / Beg</t>
  </si>
  <si>
    <t>空荡荡</t>
  </si>
  <si>
    <t>kōng dàng dàng</t>
  </si>
  <si>
    <t>Empty / Vacant</t>
  </si>
  <si>
    <t>空间站</t>
  </si>
  <si>
    <t>kōng jiān zhàn</t>
  </si>
  <si>
    <t>space station</t>
  </si>
  <si>
    <t>空军</t>
  </si>
  <si>
    <t>kōng jūn</t>
  </si>
  <si>
    <t>air force</t>
  </si>
  <si>
    <t>空难</t>
  </si>
  <si>
    <t>kōng nàn</t>
  </si>
  <si>
    <t>air disaster / aviation accident</t>
  </si>
  <si>
    <t>空前</t>
  </si>
  <si>
    <t>kōng qián</t>
  </si>
  <si>
    <t>unprecedented / unparalleled</t>
  </si>
  <si>
    <t>恐慌</t>
  </si>
  <si>
    <t>kǒng huāng</t>
  </si>
  <si>
    <t>恐龙</t>
  </si>
  <si>
    <t>kǒng lóng</t>
  </si>
  <si>
    <t>Dinosaur</t>
  </si>
  <si>
    <t>控告</t>
  </si>
  <si>
    <t>kòng gào</t>
  </si>
  <si>
    <t>Accuse / Charge</t>
  </si>
  <si>
    <t>抠</t>
  </si>
  <si>
    <t>kōu</t>
  </si>
  <si>
    <t>Dig / Scoop out / Picky</t>
  </si>
  <si>
    <t>口岸</t>
  </si>
  <si>
    <t>kǒu àn</t>
  </si>
  <si>
    <t>port</t>
  </si>
  <si>
    <t>口碑</t>
  </si>
  <si>
    <t>kǒu bēi</t>
  </si>
  <si>
    <t>Reputation / word of mouth</t>
  </si>
  <si>
    <t>口才</t>
  </si>
  <si>
    <t>kǒu cái</t>
  </si>
  <si>
    <t>Eloquence / speaking ability</t>
  </si>
  <si>
    <t>口吃</t>
  </si>
  <si>
    <t>kǒu chī</t>
  </si>
  <si>
    <t>Stammer / stutter</t>
  </si>
  <si>
    <t>口径</t>
  </si>
  <si>
    <t>kǒu jìng</t>
  </si>
  <si>
    <t>Caliber / bore</t>
  </si>
  <si>
    <t>口令</t>
  </si>
  <si>
    <t>kǒu lìng</t>
  </si>
  <si>
    <t>Password / watchword</t>
  </si>
  <si>
    <t>口哨儿</t>
  </si>
  <si>
    <t>kǒu shào er</t>
  </si>
  <si>
    <t>whistle</t>
  </si>
  <si>
    <t>口水</t>
  </si>
  <si>
    <t>kǒu shuǐ</t>
  </si>
  <si>
    <t>Saliva / spit</t>
  </si>
  <si>
    <t>口头禅</t>
  </si>
  <si>
    <t>kǒu tóu chán</t>
  </si>
  <si>
    <t>pet phrase</t>
  </si>
  <si>
    <t>口香糖</t>
  </si>
  <si>
    <t>kǒu xiāng táng</t>
  </si>
  <si>
    <t>Chewing gum</t>
  </si>
  <si>
    <t>口罩</t>
  </si>
  <si>
    <t>kǒu zhào</t>
  </si>
  <si>
    <t>Face mask</t>
  </si>
  <si>
    <t>口子</t>
  </si>
  <si>
    <t>kǒu zi</t>
  </si>
  <si>
    <t>Hole / opening</t>
  </si>
  <si>
    <t>扣除</t>
  </si>
  <si>
    <t>kòu chú</t>
  </si>
  <si>
    <t>Deduct / Subtract</t>
  </si>
  <si>
    <t>扣留</t>
  </si>
  <si>
    <t>kòu liú</t>
  </si>
  <si>
    <t>Detain / Keep back</t>
  </si>
  <si>
    <t>扣人心弦</t>
  </si>
  <si>
    <t>kòu rén xīn xián</t>
  </si>
  <si>
    <t>gripping / heart-stirring</t>
  </si>
  <si>
    <t>扣押</t>
  </si>
  <si>
    <t>kòu yā</t>
  </si>
  <si>
    <t>Detain / Seize</t>
  </si>
  <si>
    <t>枯竭</t>
  </si>
  <si>
    <t>kū jié</t>
  </si>
  <si>
    <t>exhausted</t>
  </si>
  <si>
    <t>窟窿</t>
  </si>
  <si>
    <t>kū long</t>
  </si>
  <si>
    <t>hole / cavity</t>
  </si>
  <si>
    <t>哭笑不得</t>
  </si>
  <si>
    <t>kū xiào bù dé</t>
  </si>
  <si>
    <t>not knowing whether to laugh or cry / in a dilemma</t>
  </si>
  <si>
    <t>苦难</t>
  </si>
  <si>
    <t>kǔ nàn</t>
  </si>
  <si>
    <t>Hardship</t>
  </si>
  <si>
    <t>苦恼</t>
  </si>
  <si>
    <t>kǔ nǎo</t>
  </si>
  <si>
    <t>Distressed</t>
  </si>
  <si>
    <t>苦笑</t>
  </si>
  <si>
    <t>kǔ xiào</t>
  </si>
  <si>
    <t>Wry smile</t>
  </si>
  <si>
    <t>苦心</t>
  </si>
  <si>
    <t>kǔ xīn</t>
  </si>
  <si>
    <t>Hard work / Painstakingly</t>
  </si>
  <si>
    <t>库存</t>
  </si>
  <si>
    <t>kù cún</t>
  </si>
  <si>
    <t>inventory</t>
  </si>
  <si>
    <t>酷似</t>
  </si>
  <si>
    <t>kù sì</t>
  </si>
  <si>
    <t>Strikingly similar</t>
  </si>
  <si>
    <t>夸大</t>
  </si>
  <si>
    <t>kuā dà</t>
  </si>
  <si>
    <t>Exaggerate</t>
  </si>
  <si>
    <t>夸夸其谈</t>
  </si>
  <si>
    <t>kuā kuā qí tán</t>
  </si>
  <si>
    <t>talk big / boast</t>
  </si>
  <si>
    <t>夸耀</t>
  </si>
  <si>
    <t>kuā yào</t>
  </si>
  <si>
    <t>Flaunt / boast</t>
  </si>
  <si>
    <t>垮</t>
  </si>
  <si>
    <t>kuǎ</t>
  </si>
  <si>
    <t>Collapse / Fall down</t>
  </si>
  <si>
    <t>跨度</t>
  </si>
  <si>
    <t>kuà dù</t>
  </si>
  <si>
    <t>span</t>
  </si>
  <si>
    <t>跨国</t>
  </si>
  <si>
    <t>kuà guó</t>
  </si>
  <si>
    <t>Transnational</t>
  </si>
  <si>
    <t>跨越</t>
  </si>
  <si>
    <t>kuà yuè</t>
  </si>
  <si>
    <t>Span</t>
  </si>
  <si>
    <t>宽泛</t>
  </si>
  <si>
    <t>kuān fàn</t>
  </si>
  <si>
    <t>Broad / General</t>
  </si>
  <si>
    <t>宽广</t>
  </si>
  <si>
    <t>kuān guǎng</t>
  </si>
  <si>
    <t>broad</t>
  </si>
  <si>
    <t>宽厚</t>
  </si>
  <si>
    <t>kuān hòu</t>
  </si>
  <si>
    <t>Generous / Broad-minded</t>
  </si>
  <si>
    <t>宽阔</t>
  </si>
  <si>
    <t>kuān kuò</t>
  </si>
  <si>
    <t>宽恕</t>
  </si>
  <si>
    <t>kuān shù</t>
  </si>
  <si>
    <t>Forgive / Pardon</t>
  </si>
  <si>
    <t>宽松</t>
  </si>
  <si>
    <t>kuān sōng</t>
  </si>
  <si>
    <t>Loose / Relaxed</t>
  </si>
  <si>
    <t>款项</t>
  </si>
  <si>
    <t>kuǎn xiàng</t>
  </si>
  <si>
    <t>Payment / sum of money</t>
  </si>
  <si>
    <t>狂</t>
  </si>
  <si>
    <t>kuáng</t>
  </si>
  <si>
    <t>狂欢</t>
  </si>
  <si>
    <t>kuáng huān</t>
  </si>
  <si>
    <t>revelry / wild celebration</t>
  </si>
  <si>
    <t>狂热</t>
  </si>
  <si>
    <t>kuáng rè</t>
  </si>
  <si>
    <t>fervent / passionate</t>
  </si>
  <si>
    <t>矿</t>
  </si>
  <si>
    <t>kuàng</t>
  </si>
  <si>
    <t>mine</t>
  </si>
  <si>
    <t>框</t>
  </si>
  <si>
    <t>Frame / Framework</t>
  </si>
  <si>
    <t>矿藏</t>
  </si>
  <si>
    <t>kuàng cáng</t>
  </si>
  <si>
    <t>mineral resources / mineral deposits</t>
  </si>
  <si>
    <t>亏本</t>
  </si>
  <si>
    <t>kuī běn</t>
  </si>
  <si>
    <t>Lose money</t>
  </si>
  <si>
    <t>捆</t>
  </si>
  <si>
    <t>kǔn</t>
  </si>
  <si>
    <t>Tie up / Bundle</t>
  </si>
  <si>
    <t>困惑</t>
  </si>
  <si>
    <t>kùn huò</t>
  </si>
  <si>
    <t>Confused / puzzled</t>
  </si>
  <si>
    <t>困境</t>
  </si>
  <si>
    <t>kùn jìng</t>
  </si>
  <si>
    <t>Predicament / dilemma</t>
  </si>
  <si>
    <t>扩</t>
  </si>
  <si>
    <t>kuò</t>
  </si>
  <si>
    <t>Expand / Enlarge / Spread</t>
  </si>
  <si>
    <t>阔绰</t>
  </si>
  <si>
    <t>kuò chuò</t>
  </si>
  <si>
    <t>Lavish / Extravagant</t>
  </si>
  <si>
    <t>括号</t>
  </si>
  <si>
    <t>kuò hào</t>
  </si>
  <si>
    <t>bracket</t>
  </si>
  <si>
    <t>扩建</t>
  </si>
  <si>
    <t>kuò jiàn</t>
  </si>
  <si>
    <t>Expand / Extend (construction)</t>
  </si>
  <si>
    <t>拉动</t>
  </si>
  <si>
    <t>lā dòng</t>
  </si>
  <si>
    <t>Pull / Drive</t>
  </si>
  <si>
    <t>啦啦队</t>
  </si>
  <si>
    <t>lā lā duì</t>
  </si>
  <si>
    <t>Cheerleading squad</t>
  </si>
  <si>
    <t>拉链</t>
  </si>
  <si>
    <t>lā liàn</t>
  </si>
  <si>
    <t>zipper</t>
  </si>
  <si>
    <t>拉拢</t>
  </si>
  <si>
    <t>lā lǒng</t>
  </si>
  <si>
    <t>Bring together / Win over</t>
  </si>
  <si>
    <t>蜡</t>
  </si>
  <si>
    <t>Wax</t>
  </si>
  <si>
    <t>腊月</t>
  </si>
  <si>
    <t>là yuè</t>
  </si>
  <si>
    <t>December (lunar calendar)</t>
  </si>
  <si>
    <t>来宾</t>
  </si>
  <si>
    <t>lái bīn</t>
  </si>
  <si>
    <t>Guest / visitor</t>
  </si>
  <si>
    <t>来电</t>
  </si>
  <si>
    <t>lái diàn</t>
  </si>
  <si>
    <t>Incoming call / to phone in</t>
  </si>
  <si>
    <t>来访</t>
  </si>
  <si>
    <t>lái fǎng</t>
  </si>
  <si>
    <t>To visit / to call on</t>
  </si>
  <si>
    <t>来回</t>
  </si>
  <si>
    <t>lái huí</t>
  </si>
  <si>
    <t>副、名</t>
  </si>
  <si>
    <t>Back and forth / round trip</t>
  </si>
  <si>
    <t>来龙去脉</t>
  </si>
  <si>
    <t>lái lóng qù mài</t>
  </si>
  <si>
    <t>ins and outs / the details</t>
  </si>
  <si>
    <t>来年</t>
  </si>
  <si>
    <t>lái nián</t>
  </si>
  <si>
    <t>Next year</t>
  </si>
  <si>
    <t>来之不易</t>
  </si>
  <si>
    <t>lái zhī bù yì</t>
  </si>
  <si>
    <t>hard-won</t>
  </si>
  <si>
    <t>栏杆</t>
  </si>
  <si>
    <t>lán gān</t>
  </si>
  <si>
    <t>Railing / balustrade</t>
  </si>
  <si>
    <t>蓝图</t>
  </si>
  <si>
    <t>lán tú</t>
  </si>
  <si>
    <t>Blueprint</t>
  </si>
  <si>
    <t>揽</t>
  </si>
  <si>
    <t>Embrace / Take on</t>
  </si>
  <si>
    <t>缆车</t>
  </si>
  <si>
    <t>lǎn chē</t>
  </si>
  <si>
    <t>Cable car</t>
  </si>
  <si>
    <t>懒得</t>
  </si>
  <si>
    <t>lǎn de</t>
  </si>
  <si>
    <t>Can't be bothered to / Lazy</t>
  </si>
  <si>
    <t>滥用</t>
  </si>
  <si>
    <t>làn yòng</t>
  </si>
  <si>
    <t>abuse / misuse</t>
  </si>
  <si>
    <t>朗诵</t>
  </si>
  <si>
    <t>lǎng sòng</t>
  </si>
  <si>
    <t>Recitation / to recite aloud</t>
  </si>
  <si>
    <t>牢记</t>
  </si>
  <si>
    <t>láo jì</t>
  </si>
  <si>
    <t>bear in mind / remember</t>
  </si>
  <si>
    <t>牢牢</t>
  </si>
  <si>
    <t>láo láo</t>
  </si>
  <si>
    <t>firmly / securely</t>
  </si>
  <si>
    <t>劳累</t>
  </si>
  <si>
    <t>láo lèi</t>
  </si>
  <si>
    <t>Tired / exhausted</t>
  </si>
  <si>
    <t>劳务</t>
  </si>
  <si>
    <t>láo wù</t>
  </si>
  <si>
    <t>Labor service / manpower service</t>
  </si>
  <si>
    <t>老伴儿</t>
  </si>
  <si>
    <t>lǎo bànr</t>
  </si>
  <si>
    <t>Spouse / Old companion</t>
  </si>
  <si>
    <t>老大</t>
  </si>
  <si>
    <t>lǎo dà</t>
  </si>
  <si>
    <t>Leader / Big boss</t>
  </si>
  <si>
    <t>老化</t>
  </si>
  <si>
    <t>lǎo huà</t>
  </si>
  <si>
    <t>Aging</t>
  </si>
  <si>
    <t>老人家</t>
  </si>
  <si>
    <t>lǎo rén jiā</t>
  </si>
  <si>
    <t>Elderly person / Old folk</t>
  </si>
  <si>
    <t>老乡</t>
  </si>
  <si>
    <t>lǎo xiāng</t>
  </si>
  <si>
    <t>fellow villager</t>
  </si>
  <si>
    <t>老字号</t>
  </si>
  <si>
    <t>lǎo zì hào</t>
  </si>
  <si>
    <t>Time-honored brand / Old brand</t>
  </si>
  <si>
    <t>涝</t>
  </si>
  <si>
    <t>lào</t>
  </si>
  <si>
    <t>Flooded / Waterlogged</t>
  </si>
  <si>
    <t>乐此不疲</t>
  </si>
  <si>
    <t>lè cǐ bù pí</t>
  </si>
  <si>
    <t>never tire of</t>
  </si>
  <si>
    <t>乐园</t>
  </si>
  <si>
    <t>lè yuán</t>
  </si>
  <si>
    <t>Paradise</t>
  </si>
  <si>
    <t>勒</t>
  </si>
  <si>
    <t>lēi</t>
  </si>
  <si>
    <t>Strangle / Noose / Constrain</t>
  </si>
  <si>
    <t>雷同</t>
  </si>
  <si>
    <t>léi tóng</t>
  </si>
  <si>
    <t>Identical / Exactly alike</t>
  </si>
  <si>
    <t>累赘</t>
  </si>
  <si>
    <t>léi zhuì</t>
  </si>
  <si>
    <t>形、动、名</t>
  </si>
  <si>
    <t>burdensome ; burden</t>
  </si>
  <si>
    <t>累积</t>
  </si>
  <si>
    <t>lěi jī</t>
  </si>
  <si>
    <t>accumulate / amass</t>
  </si>
  <si>
    <t>累计</t>
  </si>
  <si>
    <t>lěi jì</t>
  </si>
  <si>
    <t>cumulative / total</t>
  </si>
  <si>
    <t>棱角</t>
  </si>
  <si>
    <t>léng jiǎo</t>
  </si>
  <si>
    <t>Sharp corners / edges</t>
  </si>
  <si>
    <t>冷冻</t>
  </si>
  <si>
    <t>lěng dòng</t>
  </si>
  <si>
    <t>Freeze</t>
  </si>
  <si>
    <t>冷门</t>
  </si>
  <si>
    <t>lěng mén</t>
  </si>
  <si>
    <t>Niche</t>
  </si>
  <si>
    <t>冷漠</t>
  </si>
  <si>
    <t>lěng mò</t>
  </si>
  <si>
    <t>Indifferent</t>
  </si>
  <si>
    <t>冷气</t>
  </si>
  <si>
    <t>lěng qì</t>
  </si>
  <si>
    <t>air conditioning</t>
  </si>
  <si>
    <t>冷战</t>
  </si>
  <si>
    <t>lěng zhàn</t>
  </si>
  <si>
    <t>Cold War</t>
  </si>
  <si>
    <t>离谱儿</t>
  </si>
  <si>
    <t>lí pǔr</t>
  </si>
  <si>
    <t>Out of line / Unreasonable</t>
  </si>
  <si>
    <t>离奇</t>
  </si>
  <si>
    <t>lí qí</t>
  </si>
  <si>
    <t>bizarre / odd</t>
  </si>
  <si>
    <t>礼服</t>
  </si>
  <si>
    <t>lǐ fú</t>
  </si>
  <si>
    <t>formal dress / evening dress</t>
  </si>
  <si>
    <t>理会</t>
  </si>
  <si>
    <t>lǐ huì</t>
  </si>
  <si>
    <t>pay attention / attend to</t>
  </si>
  <si>
    <t>礼品</t>
  </si>
  <si>
    <t>lǐ pǐn</t>
  </si>
  <si>
    <t>gift / present</t>
  </si>
  <si>
    <t>理事</t>
  </si>
  <si>
    <t>lǐ shì</t>
  </si>
  <si>
    <t>council member / to manage</t>
  </si>
  <si>
    <t>礼堂</t>
  </si>
  <si>
    <t>lǐ táng</t>
  </si>
  <si>
    <t>auditorium</t>
  </si>
  <si>
    <t>礼仪</t>
  </si>
  <si>
    <t>lǐ yí</t>
  </si>
  <si>
    <t>etiquette / manners</t>
  </si>
  <si>
    <t>鲤鱼</t>
  </si>
  <si>
    <t>lǐ yú</t>
  </si>
  <si>
    <t>carp</t>
  </si>
  <si>
    <t>立案</t>
  </si>
  <si>
    <t>lì àn</t>
  </si>
  <si>
    <t>file a case</t>
  </si>
  <si>
    <t>利弊</t>
  </si>
  <si>
    <t>lì bì</t>
  </si>
  <si>
    <t>advantages and disadvantages</t>
  </si>
  <si>
    <t>力不从心</t>
  </si>
  <si>
    <t>lì bù cóng xīn</t>
  </si>
  <si>
    <t>the spirit is willing / but the flesh is weak / lack the ability to execute</t>
  </si>
  <si>
    <t>历程</t>
  </si>
  <si>
    <t>lì chéng</t>
  </si>
  <si>
    <t>Course / process</t>
  </si>
  <si>
    <t>立法</t>
  </si>
  <si>
    <t>lì fǎ</t>
  </si>
  <si>
    <t>legislate</t>
  </si>
  <si>
    <t>立方米</t>
  </si>
  <si>
    <t>lì fāng mǐ</t>
  </si>
  <si>
    <t>Cubic meter</t>
  </si>
  <si>
    <t>立功</t>
  </si>
  <si>
    <t>lì gōng</t>
  </si>
  <si>
    <t>merit / achievement</t>
  </si>
  <si>
    <t>历届</t>
  </si>
  <si>
    <t>lì jiè</t>
  </si>
  <si>
    <t>Successive sessions / past sessions</t>
  </si>
  <si>
    <t>莅临</t>
  </si>
  <si>
    <t>lì lín</t>
  </si>
  <si>
    <t>arrive</t>
  </si>
  <si>
    <t>利率</t>
  </si>
  <si>
    <t>lì lǜ</t>
  </si>
  <si>
    <t>Interest rate</t>
  </si>
  <si>
    <t>历时</t>
  </si>
  <si>
    <t>lì shí</t>
  </si>
  <si>
    <t>Lasted for / took (a period of) time</t>
  </si>
  <si>
    <t>利索</t>
  </si>
  <si>
    <t>lì suo</t>
  </si>
  <si>
    <t>Agile / nimble</t>
  </si>
  <si>
    <t>励志</t>
  </si>
  <si>
    <t>lì zhì</t>
  </si>
  <si>
    <t>Be ambitious / strive to achieve</t>
  </si>
  <si>
    <t>连贯</t>
  </si>
  <si>
    <t>lián guàn</t>
  </si>
  <si>
    <t>廉价</t>
  </si>
  <si>
    <t>lián jià</t>
  </si>
  <si>
    <t>Cheap / Inexpensive</t>
  </si>
  <si>
    <t>连连</t>
  </si>
  <si>
    <t>lián lián</t>
  </si>
  <si>
    <t>repeatedly</t>
  </si>
  <si>
    <t>连绵</t>
  </si>
  <si>
    <t>lián mián</t>
  </si>
  <si>
    <t>Continuous</t>
  </si>
  <si>
    <t>连任</t>
  </si>
  <si>
    <t>lián rèn</t>
  </si>
  <si>
    <t>Re-elected</t>
  </si>
  <si>
    <t>联赛</t>
  </si>
  <si>
    <t>lián sài</t>
  </si>
  <si>
    <t>league</t>
  </si>
  <si>
    <t>联手</t>
  </si>
  <si>
    <t>lián shǒu</t>
  </si>
  <si>
    <t>join hands</t>
  </si>
  <si>
    <t>怜惜</t>
  </si>
  <si>
    <t>lián xī</t>
  </si>
  <si>
    <t>Pity / Feel sorry for</t>
  </si>
  <si>
    <t>连夜</t>
  </si>
  <si>
    <t>lián yè</t>
  </si>
  <si>
    <t>Overnight</t>
  </si>
  <si>
    <t>廉正</t>
  </si>
  <si>
    <t>lián zhèng</t>
  </si>
  <si>
    <t>Honest / Upright</t>
  </si>
  <si>
    <t>莲子</t>
  </si>
  <si>
    <t>lián zǐ</t>
  </si>
  <si>
    <t>Lotus seed</t>
  </si>
  <si>
    <t>帘子</t>
  </si>
  <si>
    <t>lián zi</t>
  </si>
  <si>
    <t>Curtain</t>
  </si>
  <si>
    <t>脸颊</t>
  </si>
  <si>
    <t>liǎn jiá</t>
  </si>
  <si>
    <t>Cheek</t>
  </si>
  <si>
    <t>炼</t>
  </si>
  <si>
    <t>liàn</t>
  </si>
  <si>
    <t>Refine / Smelt / Practice</t>
  </si>
  <si>
    <t>恋恋不舍</t>
  </si>
  <si>
    <t>liàn liàn bù shě</t>
  </si>
  <si>
    <t>reluctantly parting / reluctant to leave</t>
  </si>
  <si>
    <t>良</t>
  </si>
  <si>
    <t>liáng</t>
  </si>
  <si>
    <t>Good / Fine / Virtuous</t>
  </si>
  <si>
    <t>凉爽</t>
  </si>
  <si>
    <t>liáng shuǎng</t>
  </si>
  <si>
    <t>Cool</t>
  </si>
  <si>
    <t>良性</t>
  </si>
  <si>
    <t>liáng xìng</t>
  </si>
  <si>
    <t>Benign</t>
  </si>
  <si>
    <t>两口子</t>
  </si>
  <si>
    <t>liǎng kǒu zi</t>
  </si>
  <si>
    <t>Couple / Husband and wife</t>
  </si>
  <si>
    <t>两栖</t>
  </si>
  <si>
    <t>liǎng qī</t>
  </si>
  <si>
    <t>Amphibious</t>
  </si>
  <si>
    <t>两手</t>
  </si>
  <si>
    <t>liǎng shǒu</t>
  </si>
  <si>
    <t>two hands</t>
  </si>
  <si>
    <t>两下子</t>
  </si>
  <si>
    <t>liǎng xià zi</t>
  </si>
  <si>
    <t>数量、名</t>
  </si>
  <si>
    <t>a few tricks of the trade</t>
  </si>
  <si>
    <t>两翼</t>
  </si>
  <si>
    <t>liǎng yì</t>
  </si>
  <si>
    <t>two wings</t>
  </si>
  <si>
    <t>亮点</t>
  </si>
  <si>
    <t>liàng diǎn</t>
  </si>
  <si>
    <t>Bright spot</t>
  </si>
  <si>
    <t>量化</t>
  </si>
  <si>
    <t>liàng huà</t>
  </si>
  <si>
    <t>quantify</t>
  </si>
  <si>
    <t>亮丽</t>
  </si>
  <si>
    <t>liàng lì</t>
  </si>
  <si>
    <t>Beautiful</t>
  </si>
  <si>
    <t>亮相</t>
  </si>
  <si>
    <t>liàng xiàng</t>
  </si>
  <si>
    <t>Appear</t>
  </si>
  <si>
    <t>潦草</t>
  </si>
  <si>
    <t>liáo cǎo</t>
  </si>
  <si>
    <t>careless / sloppy</t>
  </si>
  <si>
    <t>疗法</t>
  </si>
  <si>
    <t>liáo fǎ</t>
  </si>
  <si>
    <t>therapy / treatment</t>
  </si>
  <si>
    <t>寥寥无几</t>
  </si>
  <si>
    <t>liáo liáo wú jǐ</t>
  </si>
  <si>
    <t>very few / scarce</t>
  </si>
  <si>
    <t>疗效</t>
  </si>
  <si>
    <t>liáo xiào</t>
  </si>
  <si>
    <t>therapeutic effect</t>
  </si>
  <si>
    <t>疗养</t>
  </si>
  <si>
    <t>liáo yǎng</t>
  </si>
  <si>
    <t>recuperate</t>
  </si>
  <si>
    <t>了结</t>
  </si>
  <si>
    <t>liǎo jié</t>
  </si>
  <si>
    <t>料理</t>
  </si>
  <si>
    <t>liào lǐ</t>
  </si>
  <si>
    <t>To handle / to manage / to deal with / to process</t>
  </si>
  <si>
    <t>咧嘴</t>
  </si>
  <si>
    <t>liě zuǐ</t>
  </si>
  <si>
    <t>Grin / smile broadly</t>
  </si>
  <si>
    <t>裂</t>
  </si>
  <si>
    <t>liè</t>
  </si>
  <si>
    <t>crack</t>
  </si>
  <si>
    <t>裂缝</t>
  </si>
  <si>
    <t>liè fèng</t>
  </si>
  <si>
    <t>Crevice</t>
  </si>
  <si>
    <t>裂痕</t>
  </si>
  <si>
    <t>liè hén</t>
  </si>
  <si>
    <t>Crack</t>
  </si>
  <si>
    <t>猎人</t>
  </si>
  <si>
    <t>liè rén</t>
  </si>
  <si>
    <t>hunter</t>
  </si>
  <si>
    <t>烈日</t>
  </si>
  <si>
    <t>liè rì</t>
  </si>
  <si>
    <t>scorching sun</t>
  </si>
  <si>
    <t>劣势</t>
  </si>
  <si>
    <t>liè shì</t>
  </si>
  <si>
    <t>Disadvantage / inferiority</t>
  </si>
  <si>
    <t>烈士</t>
  </si>
  <si>
    <t>martyr / hero</t>
  </si>
  <si>
    <t>猎物</t>
  </si>
  <si>
    <t>liè wù</t>
  </si>
  <si>
    <t>prey</t>
  </si>
  <si>
    <t>劣质</t>
  </si>
  <si>
    <t>liè zhì</t>
  </si>
  <si>
    <t>Poor quality / inferior</t>
  </si>
  <si>
    <t>拎</t>
  </si>
  <si>
    <t>līn</t>
  </si>
  <si>
    <t>Lift / Carry (by hand)</t>
  </si>
  <si>
    <t>临</t>
  </si>
  <si>
    <t>Approach / Be on the brink of</t>
  </si>
  <si>
    <t>临街</t>
  </si>
  <si>
    <t>lín jiē</t>
  </si>
  <si>
    <t>Face the street</t>
  </si>
  <si>
    <t>临近</t>
  </si>
  <si>
    <t>lín jìn</t>
  </si>
  <si>
    <t>Near</t>
  </si>
  <si>
    <t>灵</t>
  </si>
  <si>
    <t>Spiritual / Quick-witted / Effective</t>
  </si>
  <si>
    <t>灵机一动</t>
  </si>
  <si>
    <t>líng jī yí dòng</t>
  </si>
  <si>
    <t>With a sudden inspiration / With a brilliant idea</t>
  </si>
  <si>
    <t>灵巧</t>
  </si>
  <si>
    <t>líng qiǎo</t>
  </si>
  <si>
    <t>clever / nimble</t>
  </si>
  <si>
    <t>零售</t>
  </si>
  <si>
    <t>líng shòu</t>
  </si>
  <si>
    <t>Retail</t>
  </si>
  <si>
    <t>零碎</t>
  </si>
  <si>
    <t>líng suì</t>
  </si>
  <si>
    <t>fragmented ; odds and ends</t>
  </si>
  <si>
    <t>聆听</t>
  </si>
  <si>
    <t>líng tīng</t>
  </si>
  <si>
    <t>listen</t>
  </si>
  <si>
    <t>灵通</t>
  </si>
  <si>
    <t>líng tōng</t>
  </si>
  <si>
    <t>well-informed / knowledgeable</t>
  </si>
  <si>
    <t>领队</t>
  </si>
  <si>
    <t>lǐng duì</t>
  </si>
  <si>
    <t>Lead a group / Team leader</t>
  </si>
  <si>
    <t>领军</t>
  </si>
  <si>
    <t>lǐng jūn</t>
  </si>
  <si>
    <t>Lead the troops</t>
  </si>
  <si>
    <t>领略</t>
  </si>
  <si>
    <t>lǐng lüè</t>
  </si>
  <si>
    <t>Appreciate / Understand</t>
  </si>
  <si>
    <t>领事</t>
  </si>
  <si>
    <t>lǐng shì</t>
  </si>
  <si>
    <t>Consul</t>
  </si>
  <si>
    <t>领养</t>
  </si>
  <si>
    <t>lǐng yǎng</t>
  </si>
  <si>
    <t>Adopt / Foster</t>
  </si>
  <si>
    <t>溜达</t>
  </si>
  <si>
    <t>liū da</t>
  </si>
  <si>
    <t>stroll / saunter</t>
  </si>
  <si>
    <t>流畅</t>
  </si>
  <si>
    <t>liú chàng</t>
  </si>
  <si>
    <t>smooth / fluent</t>
  </si>
  <si>
    <t>流派</t>
  </si>
  <si>
    <t>liú pài</t>
  </si>
  <si>
    <t>school / genre</t>
  </si>
  <si>
    <t>流失</t>
  </si>
  <si>
    <t>liú shī</t>
  </si>
  <si>
    <t>loss / erosion</t>
  </si>
  <si>
    <t>流逝</t>
  </si>
  <si>
    <t>liú shì</t>
  </si>
  <si>
    <t>pass</t>
  </si>
  <si>
    <t>流水</t>
  </si>
  <si>
    <t>liú shuǐ</t>
  </si>
  <si>
    <t>running water</t>
  </si>
  <si>
    <t>流淌</t>
  </si>
  <si>
    <t>liú tǎng</t>
  </si>
  <si>
    <t>flow / trickle</t>
  </si>
  <si>
    <t>流向</t>
  </si>
  <si>
    <t>liú xiàng</t>
  </si>
  <si>
    <t>flow direction</t>
  </si>
  <si>
    <t>留心</t>
  </si>
  <si>
    <t>liú xīn</t>
  </si>
  <si>
    <t>pay attention / take care</t>
  </si>
  <si>
    <t>流血</t>
  </si>
  <si>
    <t>liú xuè</t>
  </si>
  <si>
    <t>shed blood</t>
  </si>
  <si>
    <t>留意</t>
  </si>
  <si>
    <t>liú yì</t>
  </si>
  <si>
    <t>take note / be mindful</t>
  </si>
  <si>
    <t>流域</t>
  </si>
  <si>
    <t>liú yù</t>
  </si>
  <si>
    <t>drainage area</t>
  </si>
  <si>
    <t>流转</t>
  </si>
  <si>
    <t>liú zhuǎn</t>
  </si>
  <si>
    <t>circulate / flow</t>
  </si>
  <si>
    <t>柳树</t>
  </si>
  <si>
    <t>liǔ shù</t>
  </si>
  <si>
    <t>Willow tree</t>
  </si>
  <si>
    <t>遛</t>
  </si>
  <si>
    <t>To stroll / To walk / To amuse oneself</t>
  </si>
  <si>
    <t>露面</t>
  </si>
  <si>
    <t>lò umià</t>
  </si>
  <si>
    <t>Appear in public / Show one's face</t>
  </si>
  <si>
    <t>聋</t>
  </si>
  <si>
    <t>Deaf</t>
  </si>
  <si>
    <t>龙头</t>
  </si>
  <si>
    <t>lóng tóu</t>
  </si>
  <si>
    <t>leading position /faucet</t>
  </si>
  <si>
    <t>笼子</t>
  </si>
  <si>
    <t>lóng zi</t>
  </si>
  <si>
    <t>cage / coop</t>
  </si>
  <si>
    <t>笼统</t>
  </si>
  <si>
    <t>lǒng tǒng</t>
  </si>
  <si>
    <t>rough / general / generalization</t>
  </si>
  <si>
    <t>炉子</t>
  </si>
  <si>
    <t>lú zi</t>
  </si>
  <si>
    <t>stove / furnace</t>
  </si>
  <si>
    <t>鲁莽</t>
  </si>
  <si>
    <t>lǔ mǎng</t>
  </si>
  <si>
    <t>Reckless / Rash</t>
  </si>
  <si>
    <t>卤味</t>
  </si>
  <si>
    <t>lǔ wèi</t>
  </si>
  <si>
    <t>Salted food / preserved food</t>
  </si>
  <si>
    <t>鹿</t>
  </si>
  <si>
    <t>Deer</t>
  </si>
  <si>
    <t>露</t>
  </si>
  <si>
    <t>dew</t>
  </si>
  <si>
    <t>路段</t>
  </si>
  <si>
    <t>lù duàn</t>
  </si>
  <si>
    <t>Section of road</t>
  </si>
  <si>
    <t>路径</t>
  </si>
  <si>
    <t>lù jìng</t>
  </si>
  <si>
    <t>path</t>
  </si>
  <si>
    <t>陆军</t>
  </si>
  <si>
    <t>lù jūn</t>
  </si>
  <si>
    <t>army</t>
  </si>
  <si>
    <t>露天</t>
  </si>
  <si>
    <t>lù tiān</t>
  </si>
  <si>
    <t>Open-air / Outdoors</t>
  </si>
  <si>
    <t>路途</t>
  </si>
  <si>
    <t>lù tú</t>
  </si>
  <si>
    <t>Journey</t>
  </si>
  <si>
    <t>露营</t>
  </si>
  <si>
    <t>lù yíng</t>
  </si>
  <si>
    <t>camp</t>
  </si>
  <si>
    <t>路子</t>
  </si>
  <si>
    <t>lù zi</t>
  </si>
  <si>
    <t>Way</t>
  </si>
  <si>
    <t>孪生</t>
  </si>
  <si>
    <t>luán shēng</t>
  </si>
  <si>
    <t>Twins</t>
  </si>
  <si>
    <t>卵</t>
  </si>
  <si>
    <t>luǎn</t>
  </si>
  <si>
    <t>Egg</t>
  </si>
  <si>
    <t>乱七八糟</t>
  </si>
  <si>
    <t>luàn qī bā zāo</t>
  </si>
  <si>
    <t>in a mess / chaotic</t>
  </si>
  <si>
    <t>抡</t>
  </si>
  <si>
    <t>lūn</t>
  </si>
  <si>
    <t>Swing / Brandish / Fling</t>
  </si>
  <si>
    <t>轮换</t>
  </si>
  <si>
    <t>lún huàn</t>
  </si>
  <si>
    <t>Rotation</t>
  </si>
  <si>
    <t>伦理</t>
  </si>
  <si>
    <t>lún lǐ</t>
  </si>
  <si>
    <t>Ethics</t>
  </si>
  <si>
    <t>论述</t>
  </si>
  <si>
    <t>lùn shù</t>
  </si>
  <si>
    <t>Elaborate</t>
  </si>
  <si>
    <t>萝卜</t>
  </si>
  <si>
    <t>luó bo</t>
  </si>
  <si>
    <t>Radish</t>
  </si>
  <si>
    <t>螺丝</t>
  </si>
  <si>
    <t>luó sī</t>
  </si>
  <si>
    <t>Screw</t>
  </si>
  <si>
    <t>裸</t>
  </si>
  <si>
    <t>luǒ</t>
  </si>
  <si>
    <t>To strip / Naked</t>
  </si>
  <si>
    <t>裸露</t>
  </si>
  <si>
    <t>luǒ lù</t>
  </si>
  <si>
    <t>Exposed</t>
  </si>
  <si>
    <t>裸体</t>
  </si>
  <si>
    <t>luǒ tǐ</t>
  </si>
  <si>
    <t>be naked ; nudity</t>
  </si>
  <si>
    <t>落差</t>
  </si>
  <si>
    <t>luò chā</t>
  </si>
  <si>
    <t>Discrepancy</t>
  </si>
  <si>
    <t>落户</t>
  </si>
  <si>
    <t>luò hù</t>
  </si>
  <si>
    <t>Settle down</t>
  </si>
  <si>
    <t>屡</t>
  </si>
  <si>
    <t>lǚ</t>
  </si>
  <si>
    <t>Repeatedly / Again and again</t>
  </si>
  <si>
    <t>缕</t>
  </si>
  <si>
    <t>Strand / Thread</t>
  </si>
  <si>
    <t>屡屡</t>
  </si>
  <si>
    <t>lǚ lǚ</t>
  </si>
  <si>
    <t>率</t>
  </si>
  <si>
    <t>后缀</t>
  </si>
  <si>
    <t>Rate / Ratio</t>
  </si>
  <si>
    <t>绿地</t>
  </si>
  <si>
    <t>lǜ dì</t>
  </si>
  <si>
    <t>Green space</t>
  </si>
  <si>
    <t>绿洲</t>
  </si>
  <si>
    <t>lǜ zhōu</t>
  </si>
  <si>
    <t>oasis</t>
  </si>
  <si>
    <t>略</t>
  </si>
  <si>
    <t>lüè</t>
  </si>
  <si>
    <t>To omit / Roughly</t>
  </si>
  <si>
    <t>略微</t>
  </si>
  <si>
    <t>lüè wēi</t>
  </si>
  <si>
    <t>slightly / a bit</t>
  </si>
  <si>
    <t>麻</t>
  </si>
  <si>
    <t>má</t>
  </si>
  <si>
    <t>Hemp / Numb</t>
  </si>
  <si>
    <t>麻将</t>
  </si>
  <si>
    <t>má jiàng</t>
  </si>
  <si>
    <t>Mahjong</t>
  </si>
  <si>
    <t>麻辣</t>
  </si>
  <si>
    <t>má là</t>
  </si>
  <si>
    <t>Numbingly spicy / Numbingly hot</t>
  </si>
  <si>
    <t>码</t>
  </si>
  <si>
    <t>To code / Measure word for ships / aircraft / etc.</t>
  </si>
  <si>
    <t>马后炮</t>
  </si>
  <si>
    <t>mǎ hòu pào</t>
  </si>
  <si>
    <t>Monday morning quarterbacking / Hindsight</t>
  </si>
  <si>
    <t>马力</t>
  </si>
  <si>
    <t>mǎ lì</t>
  </si>
  <si>
    <t>Horsepower</t>
  </si>
  <si>
    <t>马桶</t>
  </si>
  <si>
    <t>mǎ tǒng</t>
  </si>
  <si>
    <t>Toilet</t>
  </si>
  <si>
    <t>埋藏</t>
  </si>
  <si>
    <t>mái cáng</t>
  </si>
  <si>
    <t>Bury / conceal</t>
  </si>
  <si>
    <t>埋头苦干</t>
  </si>
  <si>
    <t>mái tóu kǔ gàn</t>
  </si>
  <si>
    <t>work hard without pause</t>
  </si>
  <si>
    <t>脉络</t>
  </si>
  <si>
    <t>mài luò</t>
  </si>
  <si>
    <t>Vein</t>
  </si>
  <si>
    <t>瞒</t>
  </si>
  <si>
    <t>mán</t>
  </si>
  <si>
    <t>To deceive / To hide the truth</t>
  </si>
  <si>
    <t>满怀</t>
  </si>
  <si>
    <t>mǎn huái</t>
  </si>
  <si>
    <t>full of / brimming with</t>
  </si>
  <si>
    <t>漫</t>
  </si>
  <si>
    <t>Overflow / Flood / Spill</t>
  </si>
  <si>
    <t>漫游</t>
  </si>
  <si>
    <t>màn yóu</t>
  </si>
  <si>
    <t>roam / wander</t>
  </si>
  <si>
    <t>忙活</t>
  </si>
  <si>
    <t>máng huo</t>
  </si>
  <si>
    <t>Keep busy / Be occupied with work</t>
  </si>
  <si>
    <t>忙乱</t>
  </si>
  <si>
    <t>máng luàn</t>
  </si>
  <si>
    <t>Chaotic / Bustling</t>
  </si>
  <si>
    <t>矛头</t>
  </si>
  <si>
    <t>máo tóu</t>
  </si>
  <si>
    <t>spearhead / point of attack</t>
  </si>
  <si>
    <t>冒昧</t>
  </si>
  <si>
    <t>mào mèi</t>
  </si>
  <si>
    <t>Bold</t>
  </si>
  <si>
    <t>茂密</t>
  </si>
  <si>
    <t>mào mì</t>
  </si>
  <si>
    <t>Dense</t>
  </si>
  <si>
    <t>没劲</t>
  </si>
  <si>
    <t>méi jìn</t>
  </si>
  <si>
    <t>dull / uninspiring</t>
  </si>
  <si>
    <t>眉开眼笑</t>
  </si>
  <si>
    <t>méi kāi yǎn xiào</t>
  </si>
  <si>
    <t>Beaming with joy / With a smiling face</t>
  </si>
  <si>
    <t>煤气</t>
  </si>
  <si>
    <t>méi qì</t>
  </si>
  <si>
    <t>gas</t>
  </si>
  <si>
    <t>没完没了</t>
  </si>
  <si>
    <t>méi wán méi liǎo</t>
  </si>
  <si>
    <t>Never-ending / Endlessly</t>
  </si>
  <si>
    <t>没辙</t>
  </si>
  <si>
    <t>méi zhé</t>
  </si>
  <si>
    <t>at a loss / no way out</t>
  </si>
  <si>
    <t>没准儿</t>
  </si>
  <si>
    <t>méi zhǔnr</t>
  </si>
  <si>
    <t>Maybe / Perhaps</t>
  </si>
  <si>
    <t>美德</t>
  </si>
  <si>
    <t>měi dé</t>
  </si>
  <si>
    <t>Virtue</t>
  </si>
  <si>
    <t>美化</t>
  </si>
  <si>
    <t>měi huà</t>
  </si>
  <si>
    <t>Beautify</t>
  </si>
  <si>
    <t>美容</t>
  </si>
  <si>
    <t>měi róng</t>
  </si>
  <si>
    <t>beautify</t>
  </si>
  <si>
    <t>美学</t>
  </si>
  <si>
    <t>měi xué</t>
  </si>
  <si>
    <t>aesthetics</t>
  </si>
  <si>
    <t>美誉</t>
  </si>
  <si>
    <t>měi yù</t>
  </si>
  <si>
    <t>good reputation</t>
  </si>
  <si>
    <t>美中不足</t>
  </si>
  <si>
    <t>měi zhōng bù zú</t>
  </si>
  <si>
    <t>The only flaw / The only downside</t>
  </si>
  <si>
    <t>美滋滋</t>
  </si>
  <si>
    <t>měi zī zī</t>
  </si>
  <si>
    <t>Overjoyed / Very happy</t>
  </si>
  <si>
    <t>闷</t>
  </si>
  <si>
    <t>mēn</t>
  </si>
  <si>
    <t>Stuffy / Bored</t>
  </si>
  <si>
    <t>闷热</t>
  </si>
  <si>
    <t>mēn rè</t>
  </si>
  <si>
    <t>muggy</t>
  </si>
  <si>
    <t>门槛</t>
  </si>
  <si>
    <t>mén kǎn</t>
  </si>
  <si>
    <t>Threshold / Doorstep</t>
  </si>
  <si>
    <t>门路</t>
  </si>
  <si>
    <t>mén lu</t>
  </si>
  <si>
    <t>Channel / Approach</t>
  </si>
  <si>
    <t>蒙</t>
  </si>
  <si>
    <t>méng</t>
  </si>
  <si>
    <t>cover</t>
  </si>
  <si>
    <t>萌发</t>
  </si>
  <si>
    <t>méng fā</t>
  </si>
  <si>
    <t>朦胧</t>
  </si>
  <si>
    <t>méng lóng</t>
  </si>
  <si>
    <t>Dim / hazy</t>
  </si>
  <si>
    <t>盟友</t>
  </si>
  <si>
    <t>méng yǒu</t>
  </si>
  <si>
    <t>ally / comrade</t>
  </si>
  <si>
    <t>猛</t>
  </si>
  <si>
    <t>měng</t>
  </si>
  <si>
    <t>fierce</t>
  </si>
  <si>
    <t>猛然</t>
  </si>
  <si>
    <t>měng rán</t>
  </si>
  <si>
    <t>suddenly / abruptly</t>
  </si>
  <si>
    <t>梦幻</t>
  </si>
  <si>
    <t>mèng huàn</t>
  </si>
  <si>
    <t>Dreamlike / fantastical</t>
  </si>
  <si>
    <t>梦寐以求</t>
  </si>
  <si>
    <t>mèng mèi yǐ qiú</t>
  </si>
  <si>
    <t>dream of</t>
  </si>
  <si>
    <t>谜</t>
  </si>
  <si>
    <t>mí</t>
  </si>
  <si>
    <t>Riddle / Puzzle</t>
  </si>
  <si>
    <t>谜底</t>
  </si>
  <si>
    <t>mí dǐ</t>
  </si>
  <si>
    <t>Answer to a riddle</t>
  </si>
  <si>
    <t>迷恋</t>
  </si>
  <si>
    <t>mí liàn</t>
  </si>
  <si>
    <t>Infatuated</t>
  </si>
  <si>
    <t>迷失</t>
  </si>
  <si>
    <t>mí shī</t>
  </si>
  <si>
    <t>Lost</t>
  </si>
  <si>
    <t>谜团</t>
  </si>
  <si>
    <t>mí tuán</t>
  </si>
  <si>
    <t>Puzzle</t>
  </si>
  <si>
    <t>密布</t>
  </si>
  <si>
    <t>mì bù</t>
  </si>
  <si>
    <t>秘方</t>
  </si>
  <si>
    <t>mì fāng</t>
  </si>
  <si>
    <t>secret recipe / secret method</t>
  </si>
  <si>
    <t>秘诀</t>
  </si>
  <si>
    <t>mì jué</t>
  </si>
  <si>
    <t>secret / key to success</t>
  </si>
  <si>
    <t>蜜月</t>
  </si>
  <si>
    <t>mì yuè</t>
  </si>
  <si>
    <t>Honeymoon</t>
  </si>
  <si>
    <t>免不了</t>
  </si>
  <si>
    <t>miǎn bu li</t>
  </si>
  <si>
    <t>Inevitable / Can't escape</t>
  </si>
  <si>
    <t>免除</t>
  </si>
  <si>
    <t>miǎn chú</t>
  </si>
  <si>
    <t>Exempt</t>
  </si>
  <si>
    <t>缅怀</t>
  </si>
  <si>
    <t>miǎn huái</t>
  </si>
  <si>
    <t>Recollect</t>
  </si>
  <si>
    <t>腼腆</t>
  </si>
  <si>
    <t>miǎn tiǎn</t>
  </si>
  <si>
    <t>免职</t>
  </si>
  <si>
    <t>miǎn zhí</t>
  </si>
  <si>
    <t>Dismiss from office</t>
  </si>
  <si>
    <t>面红耳赤</t>
  </si>
  <si>
    <t>miàn hóng ěr chì</t>
  </si>
  <si>
    <t>Blush / Turn red with embarrassment</t>
  </si>
  <si>
    <t>面孔</t>
  </si>
  <si>
    <t>miàn kǒng</t>
  </si>
  <si>
    <t>面面俱到</t>
  </si>
  <si>
    <t>miàn miàn jù dào</t>
  </si>
  <si>
    <t>Covering all aspects / Comprehensive</t>
  </si>
  <si>
    <t>面目全非</t>
  </si>
  <si>
    <t>miàn mù quán fēi</t>
  </si>
  <si>
    <t>Completely changed / Totally different</t>
  </si>
  <si>
    <t>苗</t>
  </si>
  <si>
    <t>miáo</t>
  </si>
  <si>
    <t>Seedling</t>
  </si>
  <si>
    <t>苗头</t>
  </si>
  <si>
    <t>miáo tou</t>
  </si>
  <si>
    <t>Sign</t>
  </si>
  <si>
    <t>庙</t>
  </si>
  <si>
    <t>miào</t>
  </si>
  <si>
    <t>Temple / Shrine</t>
  </si>
  <si>
    <t>庙会</t>
  </si>
  <si>
    <t>miào huì</t>
  </si>
  <si>
    <t>Temple fair / Temple festival</t>
  </si>
  <si>
    <t>灭绝</t>
  </si>
  <si>
    <t>miè jué</t>
  </si>
  <si>
    <t>extinction / die out</t>
  </si>
  <si>
    <t>民办</t>
  </si>
  <si>
    <t>mín bàn</t>
  </si>
  <si>
    <t>Run by the people / non-governmental</t>
  </si>
  <si>
    <t>民居</t>
  </si>
  <si>
    <t>mín jū</t>
  </si>
  <si>
    <t>民生</t>
  </si>
  <si>
    <t>mín shēng</t>
  </si>
  <si>
    <t>livelihood</t>
  </si>
  <si>
    <t>民事</t>
  </si>
  <si>
    <t>mín shì</t>
  </si>
  <si>
    <t>civil</t>
  </si>
  <si>
    <t>民意</t>
  </si>
  <si>
    <t>mín yì</t>
  </si>
  <si>
    <t>民营</t>
  </si>
  <si>
    <t>mín yíng</t>
  </si>
  <si>
    <t>private</t>
  </si>
  <si>
    <t>民用</t>
  </si>
  <si>
    <t>mín yòng</t>
  </si>
  <si>
    <t>Civilian use / for civilian use</t>
  </si>
  <si>
    <t>鸣</t>
  </si>
  <si>
    <t>míng</t>
  </si>
  <si>
    <t>sing /chirp</t>
  </si>
  <si>
    <t>名贵</t>
  </si>
  <si>
    <t>míng guì</t>
  </si>
  <si>
    <t>铭记</t>
  </si>
  <si>
    <t>míng jì</t>
  </si>
  <si>
    <t>Bear in mind / Remember</t>
  </si>
  <si>
    <t>明朗</t>
  </si>
  <si>
    <t>míng lǎng</t>
  </si>
  <si>
    <t>Bright / clear</t>
  </si>
  <si>
    <t>名利</t>
  </si>
  <si>
    <t>míng lì</t>
  </si>
  <si>
    <t>Fame and fortune / reputation and wealth</t>
  </si>
  <si>
    <t>明媚</t>
  </si>
  <si>
    <t>míng mèi</t>
  </si>
  <si>
    <t>Bright and beautiful / charming</t>
  </si>
  <si>
    <t>名声</t>
  </si>
  <si>
    <t>míng shēng</t>
  </si>
  <si>
    <t>Reputation / fame</t>
  </si>
  <si>
    <t>名言</t>
  </si>
  <si>
    <t>míng yán</t>
  </si>
  <si>
    <t>Famous saying / proverb</t>
  </si>
  <si>
    <t>名义</t>
  </si>
  <si>
    <t>míng yì</t>
  </si>
  <si>
    <t>name</t>
  </si>
  <si>
    <t>名著</t>
  </si>
  <si>
    <t>míng zhù</t>
  </si>
  <si>
    <t>Famous work / classic</t>
  </si>
  <si>
    <t>命</t>
  </si>
  <si>
    <t>mìng</t>
  </si>
  <si>
    <t>Life / Fate / Order</t>
  </si>
  <si>
    <t>磨</t>
  </si>
  <si>
    <t>grind</t>
  </si>
  <si>
    <t>魔法</t>
  </si>
  <si>
    <t>mó fǎ</t>
  </si>
  <si>
    <t>蘑菇</t>
  </si>
  <si>
    <t>mó gu</t>
  </si>
  <si>
    <t>Mushroom</t>
  </si>
  <si>
    <t>魔力</t>
  </si>
  <si>
    <t>mó lì</t>
  </si>
  <si>
    <t>charm</t>
  </si>
  <si>
    <t>磨炼</t>
  </si>
  <si>
    <t>mó liàn</t>
  </si>
  <si>
    <t>temper</t>
  </si>
  <si>
    <t>磨难</t>
  </si>
  <si>
    <t>mó nàn</t>
  </si>
  <si>
    <t>tribulation / hardship</t>
  </si>
  <si>
    <t>磨损</t>
  </si>
  <si>
    <t>mó sǔn</t>
  </si>
  <si>
    <t>wear / abrasion</t>
  </si>
  <si>
    <t>抹</t>
  </si>
  <si>
    <t>mǒ</t>
  </si>
  <si>
    <t>Wipe / Smear / Spread</t>
  </si>
  <si>
    <t>墨</t>
  </si>
  <si>
    <t>mò</t>
  </si>
  <si>
    <t>Ink / Chinese ink</t>
  </si>
  <si>
    <t>莫大</t>
  </si>
  <si>
    <t>mò dà</t>
  </si>
  <si>
    <t>greatest</t>
  </si>
  <si>
    <t>莫非</t>
  </si>
  <si>
    <t>mò fēi</t>
  </si>
  <si>
    <t>Could it be that</t>
  </si>
  <si>
    <t>茉莉</t>
  </si>
  <si>
    <t>mò lì</t>
  </si>
  <si>
    <t>jasmine</t>
  </si>
  <si>
    <t>没落</t>
  </si>
  <si>
    <t>mò luò</t>
  </si>
  <si>
    <t>decline / downfall</t>
  </si>
  <si>
    <t>默默无闻</t>
  </si>
  <si>
    <t>mò mò wú wén</t>
  </si>
  <si>
    <t>Obscure / Unknown</t>
  </si>
  <si>
    <t>默契</t>
  </si>
  <si>
    <t>mò qì</t>
  </si>
  <si>
    <t>Understanding / Tacit agreement</t>
  </si>
  <si>
    <t>漠然</t>
  </si>
  <si>
    <t>mò rán</t>
  </si>
  <si>
    <t>indifferent / apathetic</t>
  </si>
  <si>
    <t>末日</t>
  </si>
  <si>
    <t>mò rì</t>
  </si>
  <si>
    <t>Doomsday / the end of the world</t>
  </si>
  <si>
    <t>没收</t>
  </si>
  <si>
    <t>mò shōu</t>
  </si>
  <si>
    <t>confiscate</t>
  </si>
  <si>
    <t>墨水</t>
  </si>
  <si>
    <t>mò shuǐ</t>
  </si>
  <si>
    <t>谋害</t>
  </si>
  <si>
    <t>móu hài</t>
  </si>
  <si>
    <t>Plot to harm</t>
  </si>
  <si>
    <t>谋划</t>
  </si>
  <si>
    <t>móu huà</t>
  </si>
  <si>
    <t>谋取</t>
  </si>
  <si>
    <t>móu qǔ</t>
  </si>
  <si>
    <t>seek</t>
  </si>
  <si>
    <t>谋生</t>
  </si>
  <si>
    <t>móu shēng</t>
  </si>
  <si>
    <t>Make a living</t>
  </si>
  <si>
    <t>亩</t>
  </si>
  <si>
    <t>mǔ</t>
  </si>
  <si>
    <t>A unit of area equal to one-fifteenth of a hectare</t>
  </si>
  <si>
    <t>牡丹</t>
  </si>
  <si>
    <t>mǔ dan</t>
  </si>
  <si>
    <t>peony</t>
  </si>
  <si>
    <t>拇指</t>
  </si>
  <si>
    <t>mǔ zhǐ</t>
  </si>
  <si>
    <t>thumb</t>
  </si>
  <si>
    <t>幕</t>
  </si>
  <si>
    <t>mù</t>
  </si>
  <si>
    <t>Curtain / Screen / Tent</t>
  </si>
  <si>
    <t>墓</t>
  </si>
  <si>
    <t>tomb</t>
  </si>
  <si>
    <t>墓碑</t>
  </si>
  <si>
    <t>mù bēi</t>
  </si>
  <si>
    <t>Tombstone / gravestone</t>
  </si>
  <si>
    <t>目不转睛</t>
  </si>
  <si>
    <t>mù bù zhuǎn jīng</t>
  </si>
  <si>
    <t>Staring fixedly / With eyes fixed</t>
  </si>
  <si>
    <t>牧场</t>
  </si>
  <si>
    <t>mù chǎng</t>
  </si>
  <si>
    <t>pasture / ranch</t>
  </si>
  <si>
    <t>目瞪口呆</t>
  </si>
  <si>
    <t>mù dèng kǒu dāi</t>
  </si>
  <si>
    <t>Stunned and speechless / Gaping in astonishment</t>
  </si>
  <si>
    <t>墓地</t>
  </si>
  <si>
    <t>Cemetery / graveyard</t>
  </si>
  <si>
    <t>幕后</t>
  </si>
  <si>
    <t>mù hòu</t>
  </si>
  <si>
    <t>Behind the scenes</t>
  </si>
  <si>
    <t>木匠</t>
  </si>
  <si>
    <t>mù jiàng</t>
  </si>
  <si>
    <t>Carpenter / woodworker</t>
  </si>
  <si>
    <t>募捐</t>
  </si>
  <si>
    <t>mù juān</t>
  </si>
  <si>
    <t>Fundraising / solicit contributions</t>
  </si>
  <si>
    <t>牧民</t>
  </si>
  <si>
    <t>mù mín</t>
  </si>
  <si>
    <t>herdsmen / pastoralists</t>
  </si>
  <si>
    <t>木偶</t>
  </si>
  <si>
    <t>mù ǒu</t>
  </si>
  <si>
    <t>Puppet</t>
  </si>
  <si>
    <t>目中无人</t>
  </si>
  <si>
    <t>mù zhōng wú rén</t>
  </si>
  <si>
    <t>Disdainful / Regarding others as beneath one's notice</t>
  </si>
  <si>
    <t>呐喊</t>
  </si>
  <si>
    <t>nà hǎn</t>
  </si>
  <si>
    <t>Shout / yell</t>
  </si>
  <si>
    <t>纳入</t>
  </si>
  <si>
    <t>nà rù</t>
  </si>
  <si>
    <t>include / incorporate</t>
  </si>
  <si>
    <t>纳税</t>
  </si>
  <si>
    <t>nà shuì</t>
  </si>
  <si>
    <t>pay taxes / tax payment</t>
  </si>
  <si>
    <t>纳税人</t>
  </si>
  <si>
    <t>nà shuì rén</t>
  </si>
  <si>
    <t>Taxpayer</t>
  </si>
  <si>
    <t>乃</t>
  </si>
  <si>
    <t>nǎi</t>
  </si>
  <si>
    <t>Then / But / Therefore</t>
  </si>
  <si>
    <t>奶酪</t>
  </si>
  <si>
    <t>nǎi lào</t>
  </si>
  <si>
    <t>cheese</t>
  </si>
  <si>
    <t>乃至</t>
  </si>
  <si>
    <t>nǎi zhì</t>
  </si>
  <si>
    <t>To even</t>
  </si>
  <si>
    <t>耐</t>
  </si>
  <si>
    <t>nài</t>
  </si>
  <si>
    <t>To endure / To bear</t>
  </si>
  <si>
    <t>耐人寻味</t>
  </si>
  <si>
    <t>nài rén xún wèi</t>
  </si>
  <si>
    <t>Thought-provoking / Intriguing</t>
  </si>
  <si>
    <t>难处</t>
  </si>
  <si>
    <t>nán chù</t>
  </si>
  <si>
    <t>Difficulty / Dilemma</t>
  </si>
  <si>
    <t>难得一见</t>
  </si>
  <si>
    <t>nán dé yí jiàn</t>
  </si>
  <si>
    <t>Rare / Hard to come by</t>
  </si>
  <si>
    <t>男方</t>
  </si>
  <si>
    <t>nán fāng</t>
  </si>
  <si>
    <t>the man</t>
  </si>
  <si>
    <t>南瓜</t>
  </si>
  <si>
    <t>nán guā</t>
  </si>
  <si>
    <t>Pumpkin</t>
  </si>
  <si>
    <t>难关</t>
  </si>
  <si>
    <t>nán guān</t>
  </si>
  <si>
    <t>Difficulty / Crisis</t>
  </si>
  <si>
    <t>难为情</t>
  </si>
  <si>
    <t>nán wéi qíng</t>
  </si>
  <si>
    <t>Embarrassed / Awkward</t>
  </si>
  <si>
    <t>难以置信</t>
  </si>
  <si>
    <t>nán yǐ zhì xìn</t>
  </si>
  <si>
    <t>Hard to believe / Unbelievable</t>
  </si>
  <si>
    <t>挠</t>
  </si>
  <si>
    <t>náo</t>
  </si>
  <si>
    <t>Scratch / Itch / Disturb</t>
  </si>
  <si>
    <t>脑海</t>
  </si>
  <si>
    <t>nǎo hǎi</t>
  </si>
  <si>
    <t>恼羞成怒</t>
  </si>
  <si>
    <t>nǎo xiū chéng nù</t>
  </si>
  <si>
    <t>become angry out of embarrassment / fly into a rage out of humiliation</t>
  </si>
  <si>
    <t>闹事</t>
  </si>
  <si>
    <t>nào shì</t>
  </si>
  <si>
    <t>Cause trouble / Disturbance</t>
  </si>
  <si>
    <t>内存</t>
  </si>
  <si>
    <t>nèi cún</t>
  </si>
  <si>
    <t>Internal memory</t>
  </si>
  <si>
    <t>内地</t>
  </si>
  <si>
    <t>nèi dì</t>
  </si>
  <si>
    <t>inland</t>
  </si>
  <si>
    <t>内行</t>
  </si>
  <si>
    <t>nèi háng</t>
  </si>
  <si>
    <t>Knowledgeable</t>
  </si>
  <si>
    <t>内向</t>
  </si>
  <si>
    <t>nèi xiàng</t>
  </si>
  <si>
    <t>Introverted</t>
  </si>
  <si>
    <t>内需</t>
  </si>
  <si>
    <t>nèi xū</t>
  </si>
  <si>
    <t>Domestic demand</t>
  </si>
  <si>
    <t>内脏</t>
  </si>
  <si>
    <t>nèi zàng</t>
  </si>
  <si>
    <t>internal organs</t>
  </si>
  <si>
    <t>能耗</t>
  </si>
  <si>
    <t>néng hào</t>
  </si>
  <si>
    <t>Energy consumption</t>
  </si>
  <si>
    <t>能耐</t>
  </si>
  <si>
    <t>néng nai</t>
  </si>
  <si>
    <t>Ability / Capability</t>
  </si>
  <si>
    <t>能人</t>
  </si>
  <si>
    <t>néng rén</t>
  </si>
  <si>
    <t>Talented person</t>
  </si>
  <si>
    <t>泥泞</t>
  </si>
  <si>
    <t>ní nìng</t>
  </si>
  <si>
    <t>muddy</t>
  </si>
  <si>
    <t>泥潭</t>
  </si>
  <si>
    <t>ní tán</t>
  </si>
  <si>
    <t>quagmire / mire</t>
  </si>
  <si>
    <t>泥土</t>
  </si>
  <si>
    <t>ní tǔ</t>
  </si>
  <si>
    <t>soil / earth</t>
  </si>
  <si>
    <t>拟</t>
  </si>
  <si>
    <t>Plan / Draft / Intend</t>
  </si>
  <si>
    <t>逆</t>
  </si>
  <si>
    <t>nì</t>
  </si>
  <si>
    <t>To go against / Opposite</t>
  </si>
  <si>
    <t>逆境</t>
  </si>
  <si>
    <t>nì jìng</t>
  </si>
  <si>
    <t>adversity</t>
  </si>
  <si>
    <t>匿名</t>
  </si>
  <si>
    <t>nì míng</t>
  </si>
  <si>
    <t>Anonymous / anonymity</t>
  </si>
  <si>
    <t>溺水</t>
  </si>
  <si>
    <t>nì shuǐ</t>
  </si>
  <si>
    <t>drown</t>
  </si>
  <si>
    <t>黏</t>
  </si>
  <si>
    <t>Sticky / Adhesive</t>
  </si>
  <si>
    <t>年报</t>
  </si>
  <si>
    <t>nián bào</t>
  </si>
  <si>
    <t>annual report</t>
  </si>
  <si>
    <t>年画</t>
  </si>
  <si>
    <t>nián huà</t>
  </si>
  <si>
    <t>New Year picture / Traditional Chinese New Year painting</t>
  </si>
  <si>
    <t>年均</t>
  </si>
  <si>
    <t>nián jūn</t>
  </si>
  <si>
    <t>average annually</t>
  </si>
  <si>
    <t>年轮</t>
  </si>
  <si>
    <t>nián lún</t>
  </si>
  <si>
    <t>annual ring</t>
  </si>
  <si>
    <t>年迈</t>
  </si>
  <si>
    <t>nián mài</t>
  </si>
  <si>
    <t>Advanced in years / Aging</t>
  </si>
  <si>
    <t>年限</t>
  </si>
  <si>
    <t>nián xiàn</t>
  </si>
  <si>
    <t>Time limit / Term</t>
  </si>
  <si>
    <t>年薪</t>
  </si>
  <si>
    <t>nián xīn</t>
  </si>
  <si>
    <t>Annual salary</t>
  </si>
  <si>
    <t>撵</t>
  </si>
  <si>
    <t>niǎn</t>
  </si>
  <si>
    <t>drive away</t>
  </si>
  <si>
    <t>念念不忘</t>
  </si>
  <si>
    <t>niàn niàn bú wàng</t>
  </si>
  <si>
    <t>keep in mind constantly / remember incessantly</t>
  </si>
  <si>
    <t>念头</t>
  </si>
  <si>
    <t>niàn tou</t>
  </si>
  <si>
    <t>Thought / Idea</t>
  </si>
  <si>
    <t>娘</t>
  </si>
  <si>
    <t>niáng</t>
  </si>
  <si>
    <t>Mother / Young lady</t>
  </si>
  <si>
    <t>酿造</t>
  </si>
  <si>
    <t>niàng zào</t>
  </si>
  <si>
    <t>Brew / Ferment</t>
  </si>
  <si>
    <t>鸟巢</t>
  </si>
  <si>
    <t>niǎo cháo</t>
  </si>
  <si>
    <t>Bird's nest</t>
  </si>
  <si>
    <t>尿</t>
  </si>
  <si>
    <t>niào</t>
  </si>
  <si>
    <t>Urine</t>
  </si>
  <si>
    <t>凝结</t>
  </si>
  <si>
    <t>níng jié</t>
  </si>
  <si>
    <t>condense</t>
  </si>
  <si>
    <t>宁静</t>
  </si>
  <si>
    <t>níng jìng</t>
  </si>
  <si>
    <t>peaceful</t>
  </si>
  <si>
    <t>纽带</t>
  </si>
  <si>
    <t>niǔ dài</t>
  </si>
  <si>
    <t>tie / bond</t>
  </si>
  <si>
    <t>纽扣</t>
  </si>
  <si>
    <t>niǔ kòu</t>
  </si>
  <si>
    <t>button / buckle</t>
  </si>
  <si>
    <t>扭曲</t>
  </si>
  <si>
    <t>niǔ qū</t>
  </si>
  <si>
    <t>Distort / Twist</t>
  </si>
  <si>
    <t>扭头</t>
  </si>
  <si>
    <t>niǔ tóu</t>
  </si>
  <si>
    <t>Turn one's head / Turn around</t>
  </si>
  <si>
    <t>农场</t>
  </si>
  <si>
    <t>nóng chǎng</t>
  </si>
  <si>
    <t>Farm</t>
  </si>
  <si>
    <t>农民工</t>
  </si>
  <si>
    <t>nóng mín gōng</t>
  </si>
  <si>
    <t>Migrant worker</t>
  </si>
  <si>
    <t>浓缩</t>
  </si>
  <si>
    <t>nóng suō</t>
  </si>
  <si>
    <t>concentrate / condense</t>
  </si>
  <si>
    <t>浓郁</t>
  </si>
  <si>
    <t>nóng yù</t>
  </si>
  <si>
    <t>rich / strong</t>
  </si>
  <si>
    <t>浓重</t>
  </si>
  <si>
    <t>nóng zhòng</t>
  </si>
  <si>
    <t>heavy / dense</t>
  </si>
  <si>
    <t>弄虚作假</t>
  </si>
  <si>
    <t>nòng xū zuò jiǎ</t>
  </si>
  <si>
    <t>deceive people by false appearances / practice deceit</t>
  </si>
  <si>
    <t>暖烘烘</t>
  </si>
  <si>
    <t>nuǎn hōng hōng</t>
  </si>
  <si>
    <t>Warm</t>
  </si>
  <si>
    <t>诺言</t>
  </si>
  <si>
    <t>nuò yán</t>
  </si>
  <si>
    <t>Promise</t>
  </si>
  <si>
    <t>女方</t>
  </si>
  <si>
    <t>nǚ fāng</t>
  </si>
  <si>
    <t>the woman</t>
  </si>
  <si>
    <t>女婿</t>
  </si>
  <si>
    <t>nǚ xu</t>
  </si>
  <si>
    <t>Son-in-law</t>
  </si>
  <si>
    <t>拍板</t>
  </si>
  <si>
    <t>pāi bǎn</t>
  </si>
  <si>
    <t>Bang the gavel / Reach an agreement</t>
  </si>
  <si>
    <t>拍卖</t>
  </si>
  <si>
    <t>pāi mài</t>
  </si>
  <si>
    <t>Auction / Sell at auction</t>
  </si>
  <si>
    <t>排查</t>
  </si>
  <si>
    <t>pái chá</t>
  </si>
  <si>
    <t>investigate</t>
  </si>
  <si>
    <t>排行榜</t>
  </si>
  <si>
    <t>pái háng bǎng</t>
  </si>
  <si>
    <t>ranking</t>
  </si>
  <si>
    <t>牌照</t>
  </si>
  <si>
    <t>pái zhào</t>
  </si>
  <si>
    <t>license plate / permit</t>
  </si>
  <si>
    <t>攀</t>
  </si>
  <si>
    <t>pān</t>
  </si>
  <si>
    <t>Climb / Scale</t>
  </si>
  <si>
    <t>攀升</t>
  </si>
  <si>
    <t>pān shēng</t>
  </si>
  <si>
    <t>Climb / Ascend</t>
  </si>
  <si>
    <t>盘算</t>
  </si>
  <si>
    <t>pán suan</t>
  </si>
  <si>
    <t>calculate / reckon</t>
  </si>
  <si>
    <t>判</t>
  </si>
  <si>
    <t>judge</t>
  </si>
  <si>
    <t>盼</t>
  </si>
  <si>
    <t>To hope for / To expect</t>
  </si>
  <si>
    <t>判处</t>
  </si>
  <si>
    <t>pàn chǔ</t>
  </si>
  <si>
    <t>Sentence / adjudicate</t>
  </si>
  <si>
    <t>判定</t>
  </si>
  <si>
    <t>pàn dìng</t>
  </si>
  <si>
    <t>Determine / judgment</t>
  </si>
  <si>
    <t>叛逆</t>
  </si>
  <si>
    <t>pàn nì</t>
  </si>
  <si>
    <t>Rebel / rebellion</t>
  </si>
  <si>
    <t>旁人</t>
  </si>
  <si>
    <t>páng rén</t>
  </si>
  <si>
    <t>others</t>
  </si>
  <si>
    <t>螃蟹</t>
  </si>
  <si>
    <t>páng xiè</t>
  </si>
  <si>
    <t>crab</t>
  </si>
  <si>
    <t>胖乎乎</t>
  </si>
  <si>
    <t>pàng hū hū</t>
  </si>
  <si>
    <t>chubby</t>
  </si>
  <si>
    <t>刨</t>
  </si>
  <si>
    <t>páo</t>
  </si>
  <si>
    <t>Plane / Shave / Grind</t>
  </si>
  <si>
    <t>跑龙套</t>
  </si>
  <si>
    <t>pǎo lóng tào</t>
  </si>
  <si>
    <t>Play a minor role / Be an extra</t>
  </si>
  <si>
    <t>炮</t>
  </si>
  <si>
    <t>pào</t>
  </si>
  <si>
    <t>cannon</t>
  </si>
  <si>
    <t>胚胎</t>
  </si>
  <si>
    <t>pēi tāi</t>
  </si>
  <si>
    <t>Embryo</t>
  </si>
  <si>
    <t>佩戴</t>
  </si>
  <si>
    <t>pèi dài</t>
  </si>
  <si>
    <t>wear</t>
  </si>
  <si>
    <t>配方</t>
  </si>
  <si>
    <t>pèi fāng</t>
  </si>
  <si>
    <t>formulate ; formula</t>
  </si>
  <si>
    <t>配件</t>
  </si>
  <si>
    <t>pèi jiàn</t>
  </si>
  <si>
    <t>Spare parts / Accessories</t>
  </si>
  <si>
    <t>配角</t>
  </si>
  <si>
    <t>pèi jué</t>
  </si>
  <si>
    <t>supporting role</t>
  </si>
  <si>
    <t>配音</t>
  </si>
  <si>
    <t>pèi yīn</t>
  </si>
  <si>
    <t>Dubbing / Voice-over</t>
  </si>
  <si>
    <t>配置</t>
  </si>
  <si>
    <t>pèi zhì</t>
  </si>
  <si>
    <t>configure</t>
  </si>
  <si>
    <t>喷泉</t>
  </si>
  <si>
    <t>pēn quán</t>
  </si>
  <si>
    <t>Fountain</t>
  </si>
  <si>
    <t>抨击</t>
  </si>
  <si>
    <t>pēng jī</t>
  </si>
  <si>
    <t>Criticize / Attack verbally</t>
  </si>
  <si>
    <t>烹调</t>
  </si>
  <si>
    <t>pēng tiáo</t>
  </si>
  <si>
    <t>cooking / culinary</t>
  </si>
  <si>
    <t>棚</t>
  </si>
  <si>
    <t>péng</t>
  </si>
  <si>
    <t>shed</t>
  </si>
  <si>
    <t>蓬勃</t>
  </si>
  <si>
    <t>péng bó</t>
  </si>
  <si>
    <t>Vigorous</t>
  </si>
  <si>
    <t>鹏程万里</t>
  </si>
  <si>
    <t>péng chéng wàn lǐ</t>
  </si>
  <si>
    <t>A broad vista of boundless prospects / Great prospects</t>
  </si>
  <si>
    <t>澎湃</t>
  </si>
  <si>
    <t>péng pài</t>
  </si>
  <si>
    <t>surging</t>
  </si>
  <si>
    <t>膨胀</t>
  </si>
  <si>
    <t>péng zhàng</t>
  </si>
  <si>
    <t>Expand</t>
  </si>
  <si>
    <t>捧场</t>
  </si>
  <si>
    <t>pěng chǎng</t>
  </si>
  <si>
    <t>Applaud / Flatter</t>
  </si>
  <si>
    <t>碰钉子</t>
  </si>
  <si>
    <t>pèng dīng zi</t>
  </si>
  <si>
    <t>Run into obstacles / Hit a snag</t>
  </si>
  <si>
    <t>碰巧</t>
  </si>
  <si>
    <t>pèng qiǎo</t>
  </si>
  <si>
    <t>happen to / by chance</t>
  </si>
  <si>
    <t>披露</t>
  </si>
  <si>
    <t>pī lù</t>
  </si>
  <si>
    <t>Disclose / Reveal</t>
  </si>
  <si>
    <t>脾</t>
  </si>
  <si>
    <t>pí</t>
  </si>
  <si>
    <t>Spleen</t>
  </si>
  <si>
    <t>匹配</t>
  </si>
  <si>
    <t>pǐ pèi</t>
  </si>
  <si>
    <t>Match / pair up</t>
  </si>
  <si>
    <t>僻静</t>
  </si>
  <si>
    <t>pì jìng</t>
  </si>
  <si>
    <t>Secluded</t>
  </si>
  <si>
    <t>媲美</t>
  </si>
  <si>
    <t>pì měi</t>
  </si>
  <si>
    <t>Comparable</t>
  </si>
  <si>
    <t>偏</t>
  </si>
  <si>
    <t>biased ; deviate . partially</t>
  </si>
  <si>
    <t>偏爱</t>
  </si>
  <si>
    <t>piān ài</t>
  </si>
  <si>
    <t>prefer</t>
  </si>
  <si>
    <t>篇幅</t>
  </si>
  <si>
    <t>piān fú</t>
  </si>
  <si>
    <t>length (of a written work) / extent</t>
  </si>
  <si>
    <t>偏离</t>
  </si>
  <si>
    <t>piān lí</t>
  </si>
  <si>
    <t>deviate</t>
  </si>
  <si>
    <t>偏旁</t>
  </si>
  <si>
    <t>piān páng</t>
  </si>
  <si>
    <t>radical</t>
  </si>
  <si>
    <t>偏向</t>
  </si>
  <si>
    <t>piān xiàng</t>
  </si>
  <si>
    <t>Bias towards</t>
  </si>
  <si>
    <t>偏远</t>
  </si>
  <si>
    <t>piān yuǎn</t>
  </si>
  <si>
    <t>片子</t>
  </si>
  <si>
    <t>piān zi</t>
  </si>
  <si>
    <t>film / movie</t>
  </si>
  <si>
    <t>片段</t>
  </si>
  <si>
    <t>segment / fragment</t>
  </si>
  <si>
    <t>漂泊</t>
  </si>
  <si>
    <t>piāo bó</t>
  </si>
  <si>
    <t>wander</t>
  </si>
  <si>
    <t>飘浮</t>
  </si>
  <si>
    <t>float</t>
  </si>
  <si>
    <t>漂流</t>
  </si>
  <si>
    <t>piāo liú</t>
  </si>
  <si>
    <t>drift</t>
  </si>
  <si>
    <t>票房</t>
  </si>
  <si>
    <t>piào fáng</t>
  </si>
  <si>
    <t>box office</t>
  </si>
  <si>
    <t>拼接</t>
  </si>
  <si>
    <t>pīn jiē</t>
  </si>
  <si>
    <t>piece together</t>
  </si>
  <si>
    <t>频频</t>
  </si>
  <si>
    <t>pín pín</t>
  </si>
  <si>
    <t>Repeatedly / Frequently</t>
  </si>
  <si>
    <t>贫穷</t>
  </si>
  <si>
    <t>pín qióng</t>
  </si>
  <si>
    <t>Poor</t>
  </si>
  <si>
    <t>品位</t>
  </si>
  <si>
    <t>pǐn wèi</t>
  </si>
  <si>
    <t>Taste / standard of quality</t>
  </si>
  <si>
    <t>品味</t>
  </si>
  <si>
    <t>品行</t>
  </si>
  <si>
    <t>pǐn xíng</t>
  </si>
  <si>
    <t>Conduct / behavior</t>
  </si>
  <si>
    <t>聘</t>
  </si>
  <si>
    <t>pìn</t>
  </si>
  <si>
    <t>To employ / To engage</t>
  </si>
  <si>
    <t>聘任</t>
  </si>
  <si>
    <t>pìn rèn</t>
  </si>
  <si>
    <t>Appoint</t>
  </si>
  <si>
    <t>聘用</t>
  </si>
  <si>
    <t>pìn yòng</t>
  </si>
  <si>
    <t>Employ</t>
  </si>
  <si>
    <t>屏蔽</t>
  </si>
  <si>
    <t>píng bì</t>
  </si>
  <si>
    <t>block</t>
  </si>
  <si>
    <t>平淡</t>
  </si>
  <si>
    <t>píng dàn</t>
  </si>
  <si>
    <t>Plain / Insipid</t>
  </si>
  <si>
    <t>评定</t>
  </si>
  <si>
    <t>píng dìng</t>
  </si>
  <si>
    <t>Evaluate</t>
  </si>
  <si>
    <t>平房</t>
  </si>
  <si>
    <t>píng fáng</t>
  </si>
  <si>
    <t>bungalow</t>
  </si>
  <si>
    <t>平和</t>
  </si>
  <si>
    <t>píng hé</t>
  </si>
  <si>
    <t>Peaceful / Harmonious</t>
  </si>
  <si>
    <t>平价</t>
  </si>
  <si>
    <t>Fair price</t>
  </si>
  <si>
    <t>瓶颈</t>
  </si>
  <si>
    <t>píng jǐng</t>
  </si>
  <si>
    <t>bottleneck</t>
  </si>
  <si>
    <t>评判</t>
  </si>
  <si>
    <t>píng pàn</t>
  </si>
  <si>
    <t>Judge</t>
  </si>
  <si>
    <t>平日</t>
  </si>
  <si>
    <t>píng rì</t>
  </si>
  <si>
    <t>Usual days / Ordinary days</t>
  </si>
  <si>
    <t>评审</t>
  </si>
  <si>
    <t>píng shěn</t>
  </si>
  <si>
    <t>Review</t>
  </si>
  <si>
    <t>萍水相逢</t>
  </si>
  <si>
    <t>píng shuǐ xiāng féng</t>
  </si>
  <si>
    <t>Chance encounter / Meet by chance</t>
  </si>
  <si>
    <t>评委</t>
  </si>
  <si>
    <t>píng wěi</t>
  </si>
  <si>
    <t>平稳</t>
  </si>
  <si>
    <t>píng wěn</t>
  </si>
  <si>
    <t>stable</t>
  </si>
  <si>
    <t>平息</t>
  </si>
  <si>
    <t>píng xī</t>
  </si>
  <si>
    <t>Quell / Calm down</t>
  </si>
  <si>
    <t>凭证</t>
  </si>
  <si>
    <t>píng zhèng</t>
  </si>
  <si>
    <t>Evidence</t>
  </si>
  <si>
    <t>泼冷水</t>
  </si>
  <si>
    <t>pō lěng shuǐ</t>
  </si>
  <si>
    <t>Pour cold water / Dampen enthusiasm</t>
  </si>
  <si>
    <t>破案</t>
  </si>
  <si>
    <t>pò àn</t>
  </si>
  <si>
    <t>solve a case</t>
  </si>
  <si>
    <t>破除</t>
  </si>
  <si>
    <t>pò chú</t>
  </si>
  <si>
    <t>eliminate / abolish</t>
  </si>
  <si>
    <t>破解</t>
  </si>
  <si>
    <t>pò jiě</t>
  </si>
  <si>
    <t>crack / decipher / solve / decode</t>
  </si>
  <si>
    <t>破旧</t>
  </si>
  <si>
    <t>pò jiù</t>
  </si>
  <si>
    <t>dilapidated / old / run-down</t>
  </si>
  <si>
    <t>破裂</t>
  </si>
  <si>
    <t>pò liè</t>
  </si>
  <si>
    <t>rupture / break / break / split</t>
  </si>
  <si>
    <t>破灭</t>
  </si>
  <si>
    <t>pò miè</t>
  </si>
  <si>
    <t>shatter / collapse / be shattered</t>
  </si>
  <si>
    <t>迫使</t>
  </si>
  <si>
    <t>pò shǐ</t>
  </si>
  <si>
    <t>Force</t>
  </si>
  <si>
    <t>破碎</t>
  </si>
  <si>
    <t>pò suì</t>
  </si>
  <si>
    <t>break / shatter</t>
  </si>
  <si>
    <t>扑克</t>
  </si>
  <si>
    <t>pū kè</t>
  </si>
  <si>
    <t>Poker (card game)</t>
  </si>
  <si>
    <t>铺路</t>
  </si>
  <si>
    <t>pū lù</t>
  </si>
  <si>
    <t>Pave the way</t>
  </si>
  <si>
    <t>扑面而来</t>
  </si>
  <si>
    <t>pū miàn ér lái</t>
  </si>
  <si>
    <t>come rushing at one / come straight at one's face</t>
  </si>
  <si>
    <t>菩萨</t>
  </si>
  <si>
    <t>pú sà</t>
  </si>
  <si>
    <t>Bodhisattva</t>
  </si>
  <si>
    <t>谱</t>
  </si>
  <si>
    <t>pǔ</t>
  </si>
  <si>
    <t>Spectrum / Chart / Genealogy</t>
  </si>
  <si>
    <t>沏</t>
  </si>
  <si>
    <t>Brew / Infuse</t>
  </si>
  <si>
    <t>漆</t>
  </si>
  <si>
    <t>Lacquer / Paint</t>
  </si>
  <si>
    <t>漆黑</t>
  </si>
  <si>
    <t>qī hēi</t>
  </si>
  <si>
    <t>pitch-black</t>
  </si>
  <si>
    <t>期盼</t>
  </si>
  <si>
    <t>qī pàn</t>
  </si>
  <si>
    <t>To look forward to / to hope for</t>
  </si>
  <si>
    <t>蹊跷</t>
  </si>
  <si>
    <t>qī qiāo</t>
  </si>
  <si>
    <t>欺诈</t>
  </si>
  <si>
    <t>qī zhà</t>
  </si>
  <si>
    <t>To deceive / to defraud</t>
  </si>
  <si>
    <t>七嘴八舌</t>
  </si>
  <si>
    <t>qī zuǐ bā shé</t>
  </si>
  <si>
    <t>Everyone talking at once / Noisy discussion</t>
  </si>
  <si>
    <t>祈祷</t>
  </si>
  <si>
    <t>qí dǎo</t>
  </si>
  <si>
    <t>pray / prayer</t>
  </si>
  <si>
    <t>奇观</t>
  </si>
  <si>
    <t>qí guān</t>
  </si>
  <si>
    <t>wonder</t>
  </si>
  <si>
    <t>崎岖</t>
  </si>
  <si>
    <t>qí qū</t>
  </si>
  <si>
    <t>奇特</t>
  </si>
  <si>
    <t>qí tè</t>
  </si>
  <si>
    <t>Unique / peculiar</t>
  </si>
  <si>
    <t>起步</t>
  </si>
  <si>
    <t>qǐ bù</t>
  </si>
  <si>
    <t>Start</t>
  </si>
  <si>
    <t>起程</t>
  </si>
  <si>
    <t>Set off</t>
  </si>
  <si>
    <t>启迪</t>
  </si>
  <si>
    <t>qǐ dí</t>
  </si>
  <si>
    <t>Enlighten / inspire</t>
  </si>
  <si>
    <t>起劲</t>
  </si>
  <si>
    <t>qǐ jìn</t>
  </si>
  <si>
    <t>Energetic</t>
  </si>
  <si>
    <t>起跑线</t>
  </si>
  <si>
    <t>qǐ pǎo xiàn</t>
  </si>
  <si>
    <t>Starting line / Starting point</t>
  </si>
  <si>
    <t>乞求</t>
  </si>
  <si>
    <t>qǐ qiú</t>
  </si>
  <si>
    <t>Beg</t>
  </si>
  <si>
    <t>起诉</t>
  </si>
  <si>
    <t>qǐ sù</t>
  </si>
  <si>
    <t>sue</t>
  </si>
  <si>
    <t>乞讨</t>
  </si>
  <si>
    <t>qǐ tǎo</t>
  </si>
  <si>
    <t>启用</t>
  </si>
  <si>
    <t>qǐ yòng</t>
  </si>
  <si>
    <t>launch</t>
  </si>
  <si>
    <t>器重</t>
  </si>
  <si>
    <t>think highly of</t>
  </si>
  <si>
    <t>气愤</t>
  </si>
  <si>
    <t>qì fèn</t>
  </si>
  <si>
    <t>Indignant / angry</t>
  </si>
  <si>
    <t>气管</t>
  </si>
  <si>
    <t>qì guǎn</t>
  </si>
  <si>
    <t>Trachea / windpipe</t>
  </si>
  <si>
    <t>契机</t>
  </si>
  <si>
    <t>qì jī</t>
  </si>
  <si>
    <t>Opportunity / turning point</t>
  </si>
  <si>
    <t>迄今</t>
  </si>
  <si>
    <t>qì jīn</t>
  </si>
  <si>
    <t>Up to now</t>
  </si>
  <si>
    <t>器具</t>
  </si>
  <si>
    <t>qì jù</t>
  </si>
  <si>
    <t>utensil</t>
  </si>
  <si>
    <t>气流</t>
  </si>
  <si>
    <t>qì liú</t>
  </si>
  <si>
    <t>airflow</t>
  </si>
  <si>
    <t>气馁</t>
  </si>
  <si>
    <t>qì něi</t>
  </si>
  <si>
    <t>Disheartened / discouraged</t>
  </si>
  <si>
    <t>气派</t>
  </si>
  <si>
    <t>qì pài</t>
  </si>
  <si>
    <t>Demeanor / style</t>
  </si>
  <si>
    <t>气泡</t>
  </si>
  <si>
    <t>qì pào</t>
  </si>
  <si>
    <t>Air bubble / gas bubble</t>
  </si>
  <si>
    <t>弃权</t>
  </si>
  <si>
    <t>qì quán</t>
  </si>
  <si>
    <t>abstain</t>
  </si>
  <si>
    <t>气息</t>
  </si>
  <si>
    <t>qì xī</t>
  </si>
  <si>
    <t>Breath / atmosphere</t>
  </si>
  <si>
    <t>器械</t>
  </si>
  <si>
    <t>qì xiè</t>
  </si>
  <si>
    <t>Instrument / appliance</t>
  </si>
  <si>
    <t>契约</t>
  </si>
  <si>
    <t>qì yuē</t>
  </si>
  <si>
    <t>Contract / agreement</t>
  </si>
  <si>
    <t>卡</t>
  </si>
  <si>
    <t>qiǎ</t>
  </si>
  <si>
    <t>Card / Block / Jam</t>
  </si>
  <si>
    <t>恰如其分</t>
  </si>
  <si>
    <t>qià rú qí fèn</t>
  </si>
  <si>
    <t>Appropriately</t>
  </si>
  <si>
    <t>迁</t>
  </si>
  <si>
    <t>To move / To shift / To transfer</t>
  </si>
  <si>
    <t>千变万化</t>
  </si>
  <si>
    <t>qiān biàn wàn huà</t>
  </si>
  <si>
    <t>ever-changing / myriad changes</t>
  </si>
  <si>
    <t>牵挂</t>
  </si>
  <si>
    <t>qiān guà</t>
  </si>
  <si>
    <t>worry about / be concerned about</t>
  </si>
  <si>
    <t>千军万马</t>
  </si>
  <si>
    <t>qiān jūn wàn mǎ</t>
  </si>
  <si>
    <t>thousands of soldiers and horses / a formidable army</t>
  </si>
  <si>
    <t>千钧一发</t>
  </si>
  <si>
    <t>qiān jūn yí fà</t>
  </si>
  <si>
    <t>at a critical juncture / hanging by a thread</t>
  </si>
  <si>
    <t>牵涉</t>
  </si>
  <si>
    <t>qiān shè</t>
  </si>
  <si>
    <t>involve / implicate</t>
  </si>
  <si>
    <t>牵头</t>
  </si>
  <si>
    <t>qiān tóu</t>
  </si>
  <si>
    <t>take the lead / head</t>
  </si>
  <si>
    <t>迁移</t>
  </si>
  <si>
    <t>qiān yí</t>
  </si>
  <si>
    <t>Migrate</t>
  </si>
  <si>
    <t>签约</t>
  </si>
  <si>
    <t>qiān yuē</t>
  </si>
  <si>
    <t>sign a contract</t>
  </si>
  <si>
    <t>千姿百态</t>
  </si>
  <si>
    <t>qiān zī bǎi tài</t>
  </si>
  <si>
    <t>various forms</t>
  </si>
  <si>
    <t>前辈</t>
  </si>
  <si>
    <t>qián bèi</t>
  </si>
  <si>
    <t>Senior / elder</t>
  </si>
  <si>
    <t>钱财</t>
  </si>
  <si>
    <t>qián cái</t>
  </si>
  <si>
    <t>Money / Wealth</t>
  </si>
  <si>
    <t>虔诚</t>
  </si>
  <si>
    <t>qián chéng</t>
  </si>
  <si>
    <t>Devout</t>
  </si>
  <si>
    <t>前程</t>
  </si>
  <si>
    <t>future</t>
  </si>
  <si>
    <t>潜伏</t>
  </si>
  <si>
    <t>qián fú</t>
  </si>
  <si>
    <t>lurk</t>
  </si>
  <si>
    <t>前赴后继</t>
  </si>
  <si>
    <t>qián fù hòu jì</t>
  </si>
  <si>
    <t>advance in succession / follow in each other's footsteps</t>
  </si>
  <si>
    <t>潜能</t>
  </si>
  <si>
    <t>qián néng</t>
  </si>
  <si>
    <t>potential / capability</t>
  </si>
  <si>
    <t>前任</t>
  </si>
  <si>
    <t>qián rèn</t>
  </si>
  <si>
    <t>Former position holder / predecessor</t>
  </si>
  <si>
    <t>潜入</t>
  </si>
  <si>
    <t>qián rù</t>
  </si>
  <si>
    <t>sneak into</t>
  </si>
  <si>
    <t>前所未有</t>
  </si>
  <si>
    <t>qián suǒ wèi yǒu</t>
  </si>
  <si>
    <t>unprecedented / never before</t>
  </si>
  <si>
    <t>前台</t>
  </si>
  <si>
    <t>qián tái</t>
  </si>
  <si>
    <t>Front desk / reception</t>
  </si>
  <si>
    <t>潜艇</t>
  </si>
  <si>
    <t>qián tǐng</t>
  </si>
  <si>
    <t>submarine</t>
  </si>
  <si>
    <t>前无古人</t>
  </si>
  <si>
    <t>qián wú gǔ rén</t>
  </si>
  <si>
    <t>unprecedented / no predecessors</t>
  </si>
  <si>
    <t>前夕</t>
  </si>
  <si>
    <t>qián xī</t>
  </si>
  <si>
    <t>Eve / the day before</t>
  </si>
  <si>
    <t>前线</t>
  </si>
  <si>
    <t>qián xiàn</t>
  </si>
  <si>
    <t>Frontline / battlefront</t>
  </si>
  <si>
    <t>潜心</t>
  </si>
  <si>
    <t>qián xīn</t>
  </si>
  <si>
    <t>concentrate on</t>
  </si>
  <si>
    <t>前沿</t>
  </si>
  <si>
    <t>qián yán</t>
  </si>
  <si>
    <t>Forefront / cutting edge</t>
  </si>
  <si>
    <t>潜在</t>
  </si>
  <si>
    <t>qián zài</t>
  </si>
  <si>
    <t>potential / latent</t>
  </si>
  <si>
    <t>浅显</t>
  </si>
  <si>
    <t>qiǎn xiǎn</t>
  </si>
  <si>
    <t>欠缺</t>
  </si>
  <si>
    <t>qiàn quē</t>
  </si>
  <si>
    <t>Deficiency / lack</t>
  </si>
  <si>
    <t>欠条</t>
  </si>
  <si>
    <t>qiàn tiáo</t>
  </si>
  <si>
    <t>IOU / promissory note</t>
  </si>
  <si>
    <t>歉意</t>
  </si>
  <si>
    <t>qiàn yì</t>
  </si>
  <si>
    <t>Apology / regret</t>
  </si>
  <si>
    <t>呛</t>
  </si>
  <si>
    <t>Choke / Irritate the throat</t>
  </si>
  <si>
    <t>腔</t>
  </si>
  <si>
    <t>Cavity / Hollow</t>
  </si>
  <si>
    <t>枪毙</t>
  </si>
  <si>
    <t>qiāng bì</t>
  </si>
  <si>
    <t>To execute by shooting</t>
  </si>
  <si>
    <t>强盗</t>
  </si>
  <si>
    <t>qiáng dào</t>
  </si>
  <si>
    <t>robber</t>
  </si>
  <si>
    <t>强加</t>
  </si>
  <si>
    <t>qiáng jiā</t>
  </si>
  <si>
    <t>Impose / Enforce</t>
  </si>
  <si>
    <t>强劲</t>
  </si>
  <si>
    <t>qiáng jìn</t>
  </si>
  <si>
    <t>Strong / Powerful</t>
  </si>
  <si>
    <t>强势</t>
  </si>
  <si>
    <t>qiáng shì</t>
  </si>
  <si>
    <t>dominance</t>
  </si>
  <si>
    <t>强项</t>
  </si>
  <si>
    <t>qiáng xiàng</t>
  </si>
  <si>
    <t>Strong point / Forte</t>
  </si>
  <si>
    <t>强行</t>
  </si>
  <si>
    <t>qiáng xíng</t>
  </si>
  <si>
    <t>By force / Coercively</t>
  </si>
  <si>
    <t>强硬</t>
  </si>
  <si>
    <t>qiáng yìng</t>
  </si>
  <si>
    <t>Tough / Unyielding</t>
  </si>
  <si>
    <t>强占</t>
  </si>
  <si>
    <t>qiáng zhàn</t>
  </si>
  <si>
    <t>Seize / Occupy forcibly</t>
  </si>
  <si>
    <t>抢夺</t>
  </si>
  <si>
    <t>qiǎng duó</t>
  </si>
  <si>
    <t>Snatch / Seize</t>
  </si>
  <si>
    <t>抢眼</t>
  </si>
  <si>
    <t>qiǎng yǎn</t>
  </si>
  <si>
    <t>Eye-catching / Conspicuous</t>
  </si>
  <si>
    <t>敲诈</t>
  </si>
  <si>
    <t>qiāo zhà</t>
  </si>
  <si>
    <t>To blackmail / to extort</t>
  </si>
  <si>
    <t>憔悴</t>
  </si>
  <si>
    <t>qiáo cuì</t>
  </si>
  <si>
    <t>haggard</t>
  </si>
  <si>
    <t>巧合</t>
  </si>
  <si>
    <t>qiǎo hé</t>
  </si>
  <si>
    <t>Coincidence / Accidental</t>
  </si>
  <si>
    <t>撬</t>
  </si>
  <si>
    <t>Pry / Lever</t>
  </si>
  <si>
    <t>切除</t>
  </si>
  <si>
    <t>qiē chú</t>
  </si>
  <si>
    <t>Excise</t>
  </si>
  <si>
    <t>切磋</t>
  </si>
  <si>
    <t>qiē cuō</t>
  </si>
  <si>
    <t>learn from each other</t>
  </si>
  <si>
    <t>切割</t>
  </si>
  <si>
    <t>qiē gē</t>
  </si>
  <si>
    <t>Cut</t>
  </si>
  <si>
    <t>切换</t>
  </si>
  <si>
    <t>qiē huàn</t>
  </si>
  <si>
    <t>switch</t>
  </si>
  <si>
    <t>且</t>
  </si>
  <si>
    <t>qiě</t>
  </si>
  <si>
    <t>Moreover / Also / Yet</t>
  </si>
  <si>
    <t>切记</t>
  </si>
  <si>
    <t>qiè jì</t>
  </si>
  <si>
    <t>keep in mind</t>
  </si>
  <si>
    <t>切忌</t>
  </si>
  <si>
    <t>avoid</t>
  </si>
  <si>
    <t>窃取</t>
  </si>
  <si>
    <t>qiè qǔ</t>
  </si>
  <si>
    <t>steal / pilfer</t>
  </si>
  <si>
    <t>切身</t>
  </si>
  <si>
    <t>qiè shēn</t>
  </si>
  <si>
    <t>Personal</t>
  </si>
  <si>
    <t>惬意</t>
  </si>
  <si>
    <t>qiè yì</t>
  </si>
  <si>
    <t>侵害</t>
  </si>
  <si>
    <t>qīn hài</t>
  </si>
  <si>
    <t>Infringe upon</t>
  </si>
  <si>
    <t>亲和力</t>
  </si>
  <si>
    <t>qīn hé lì</t>
  </si>
  <si>
    <t>Affinity / Compatibility</t>
  </si>
  <si>
    <t>亲近</t>
  </si>
  <si>
    <t>qīn jìn</t>
  </si>
  <si>
    <t>Close</t>
  </si>
  <si>
    <t>侵权</t>
  </si>
  <si>
    <t>qīn quán</t>
  </si>
  <si>
    <t>Infringement</t>
  </si>
  <si>
    <t>亲身</t>
  </si>
  <si>
    <t>qīn shēn</t>
  </si>
  <si>
    <t>Personally</t>
  </si>
  <si>
    <t>亲生</t>
  </si>
  <si>
    <t>qīn shēng</t>
  </si>
  <si>
    <t>Biological</t>
  </si>
  <si>
    <t>亲手</t>
  </si>
  <si>
    <t>qīn shǒu</t>
  </si>
  <si>
    <t>亲眼</t>
  </si>
  <si>
    <t>qīn yǎn</t>
  </si>
  <si>
    <t>with one's own eyes</t>
  </si>
  <si>
    <t>侵占</t>
  </si>
  <si>
    <t>qīn zhàn</t>
  </si>
  <si>
    <t>Encroach on</t>
  </si>
  <si>
    <t>勤工俭学</t>
  </si>
  <si>
    <t>qín gōng jiǎn xué</t>
  </si>
  <si>
    <t>work-study program / earn one's own tuition</t>
  </si>
  <si>
    <t>勤快</t>
  </si>
  <si>
    <t>qín kuai</t>
  </si>
  <si>
    <t>Diligent and quick / industrious</t>
  </si>
  <si>
    <t>琴棋书画</t>
  </si>
  <si>
    <t>qín qí shū huà</t>
  </si>
  <si>
    <t>traditional arts : qin (a stringed instrument), qi (chess), shu (calligraphy), hua (painting)</t>
  </si>
  <si>
    <t>寝室</t>
  </si>
  <si>
    <t>qǐn shì</t>
  </si>
  <si>
    <t>Dormitory / Bedroom</t>
  </si>
  <si>
    <t>清脆</t>
  </si>
  <si>
    <t>qīng cuì</t>
  </si>
  <si>
    <t>crisp / crunchy</t>
  </si>
  <si>
    <t>清单</t>
  </si>
  <si>
    <t>qīng dān</t>
  </si>
  <si>
    <t>list / inventory</t>
  </si>
  <si>
    <t>倾倒</t>
  </si>
  <si>
    <t>qīng dǎo</t>
  </si>
  <si>
    <t>dump</t>
  </si>
  <si>
    <t>轻而易举</t>
  </si>
  <si>
    <t>qīng ér yì jǔ</t>
  </si>
  <si>
    <t>Easy / Effortless</t>
  </si>
  <si>
    <t>倾家荡产</t>
  </si>
  <si>
    <t>qīng jiā dàng chǎn</t>
  </si>
  <si>
    <t>lose everything / be ruined</t>
  </si>
  <si>
    <t>清静</t>
  </si>
  <si>
    <t>qīng jìng</t>
  </si>
  <si>
    <t>quiet / silent</t>
  </si>
  <si>
    <t>青睐</t>
  </si>
  <si>
    <t>qīng lài</t>
  </si>
  <si>
    <t>favor</t>
  </si>
  <si>
    <t>清凉</t>
  </si>
  <si>
    <t>qīng liáng</t>
  </si>
  <si>
    <t>cool / refreshing</t>
  </si>
  <si>
    <t>轻蔑</t>
  </si>
  <si>
    <t>qīng miè</t>
  </si>
  <si>
    <t>Disdain</t>
  </si>
  <si>
    <t>倾诉</t>
  </si>
  <si>
    <t>qīng sù</t>
  </si>
  <si>
    <t>Pour out</t>
  </si>
  <si>
    <t>青铜器</t>
  </si>
  <si>
    <t>qīng tóng qì</t>
  </si>
  <si>
    <t>bronze ware</t>
  </si>
  <si>
    <t>轻微</t>
  </si>
  <si>
    <t>qīng wēi</t>
  </si>
  <si>
    <t>Slight</t>
  </si>
  <si>
    <t>倾销</t>
  </si>
  <si>
    <t>qīng xiāo</t>
  </si>
  <si>
    <t>Dumping</t>
  </si>
  <si>
    <t>清新</t>
  </si>
  <si>
    <t>qīng xīn</t>
  </si>
  <si>
    <t>fresh / refreshing</t>
  </si>
  <si>
    <t>轻型</t>
  </si>
  <si>
    <t>qīng xíng</t>
  </si>
  <si>
    <t>Light type</t>
  </si>
  <si>
    <t>情不自禁</t>
  </si>
  <si>
    <t>qíng bú zì jīn</t>
  </si>
  <si>
    <t>unable to control one's feelings / unable to restrain oneself</t>
  </si>
  <si>
    <t>情调</t>
  </si>
  <si>
    <t>qíng diào</t>
  </si>
  <si>
    <t>Sentiment / Atmosphere</t>
  </si>
  <si>
    <t>情怀</t>
  </si>
  <si>
    <t>qíng huái</t>
  </si>
  <si>
    <t>Feelings / Sentiments</t>
  </si>
  <si>
    <t>情结</t>
  </si>
  <si>
    <t>Emotion / Sentiment</t>
  </si>
  <si>
    <t>情境</t>
  </si>
  <si>
    <t>qíng jìng</t>
  </si>
  <si>
    <t>context</t>
  </si>
  <si>
    <t>情侣</t>
  </si>
  <si>
    <t>qíng lǚ</t>
  </si>
  <si>
    <t>Couple / Lovers</t>
  </si>
  <si>
    <t>情人</t>
  </si>
  <si>
    <t>qíng rén</t>
  </si>
  <si>
    <t>Lover / Sweetheart</t>
  </si>
  <si>
    <t>情商</t>
  </si>
  <si>
    <t>qíng shāng</t>
  </si>
  <si>
    <t>emotional intelligence</t>
  </si>
  <si>
    <t>情谊</t>
  </si>
  <si>
    <t>qíng yì</t>
  </si>
  <si>
    <t>Friendship / Affection</t>
  </si>
  <si>
    <t>情愿</t>
  </si>
  <si>
    <t>qíng yuàn</t>
  </si>
  <si>
    <t>Be willing to / Preferably</t>
  </si>
  <si>
    <t>庆典</t>
  </si>
  <si>
    <t>qìng diǎn</t>
  </si>
  <si>
    <t>Celebration / Ceremony</t>
  </si>
  <si>
    <t>庆贺</t>
  </si>
  <si>
    <t>qìng hè</t>
  </si>
  <si>
    <t>Congratulate / Celebrate</t>
  </si>
  <si>
    <t>庆幸</t>
  </si>
  <si>
    <t>qìng xìng</t>
  </si>
  <si>
    <t>Rejoice at one's good fortune / Be thankful</t>
  </si>
  <si>
    <t>囚犯</t>
  </si>
  <si>
    <t>qiú fàn</t>
  </si>
  <si>
    <t>Prisoner / convict</t>
  </si>
  <si>
    <t>求同存异</t>
  </si>
  <si>
    <t>qiú tóng cún yì</t>
  </si>
  <si>
    <t>seek common ground while reserving differences</t>
  </si>
  <si>
    <t>求学</t>
  </si>
  <si>
    <t>qiú xué</t>
  </si>
  <si>
    <t>To seek knowledge / to study</t>
  </si>
  <si>
    <t>求医</t>
  </si>
  <si>
    <t>qiú yī</t>
  </si>
  <si>
    <t>To seek medical treatment</t>
  </si>
  <si>
    <t>求证</t>
  </si>
  <si>
    <t>qiú zhèng</t>
  </si>
  <si>
    <t>To seek evidence / to verify</t>
  </si>
  <si>
    <t>驱动</t>
  </si>
  <si>
    <t>qū dòng</t>
  </si>
  <si>
    <t>Drive / Propel</t>
  </si>
  <si>
    <t>区间</t>
  </si>
  <si>
    <t>qū jiān</t>
  </si>
  <si>
    <t>区区</t>
  </si>
  <si>
    <t>qū qū</t>
  </si>
  <si>
    <t>minor</t>
  </si>
  <si>
    <t>曲线</t>
  </si>
  <si>
    <t>qū xiàn</t>
  </si>
  <si>
    <t>Curve / arc</t>
  </si>
  <si>
    <t>趋于</t>
  </si>
  <si>
    <t>qū yú</t>
  </si>
  <si>
    <t>Tend to</t>
  </si>
  <si>
    <t>取材</t>
  </si>
  <si>
    <t>qǔ cái</t>
  </si>
  <si>
    <t>draw materials from</t>
  </si>
  <si>
    <t>取而代之</t>
  </si>
  <si>
    <t>qǔ ér dài zhī</t>
  </si>
  <si>
    <t>replace / substitute</t>
  </si>
  <si>
    <t>取经</t>
  </si>
  <si>
    <t>qǔ jīng</t>
  </si>
  <si>
    <t>Pilgrimage to the West / journey to India for Buddhist scriptures</t>
  </si>
  <si>
    <t>取决</t>
  </si>
  <si>
    <t>qǔ jué</t>
  </si>
  <si>
    <t>depend on</t>
  </si>
  <si>
    <t>取暖</t>
  </si>
  <si>
    <t>qǔ nuǎn</t>
  </si>
  <si>
    <t>Keep warm / warm oneself</t>
  </si>
  <si>
    <t>取胜</t>
  </si>
  <si>
    <t>qǔ shèng</t>
  </si>
  <si>
    <t>Win / be victorious</t>
  </si>
  <si>
    <t>取笑</t>
  </si>
  <si>
    <t>qǔ xiào</t>
  </si>
  <si>
    <t>Tease / make fun of</t>
  </si>
  <si>
    <t>曲艺</t>
  </si>
  <si>
    <t>qǔ yì</t>
  </si>
  <si>
    <t>Chinese folk art forms</t>
  </si>
  <si>
    <t>去除</t>
  </si>
  <si>
    <t>qù chú</t>
  </si>
  <si>
    <t>Remove / eliminate</t>
  </si>
  <si>
    <t>去处</t>
  </si>
  <si>
    <t>qù chù</t>
  </si>
  <si>
    <t>Place to go / destination</t>
  </si>
  <si>
    <t>去向</t>
  </si>
  <si>
    <t>qù xiàng</t>
  </si>
  <si>
    <t>Whereabouts / destination</t>
  </si>
  <si>
    <t>圈子</t>
  </si>
  <si>
    <t>quān zi</t>
  </si>
  <si>
    <t>Circle / group</t>
  </si>
  <si>
    <t>拳</t>
  </si>
  <si>
    <t>quán</t>
  </si>
  <si>
    <t>Fist / Boxing</t>
  </si>
  <si>
    <t>全方位</t>
  </si>
  <si>
    <t>quán fāng wèi</t>
  </si>
  <si>
    <t>All-round / Comprehensive</t>
  </si>
  <si>
    <t>拳击</t>
  </si>
  <si>
    <t>quán jī</t>
  </si>
  <si>
    <t>boxing</t>
  </si>
  <si>
    <t>全能</t>
  </si>
  <si>
    <t>quán néng</t>
  </si>
  <si>
    <t>Omnipotent</t>
  </si>
  <si>
    <t>全身心</t>
  </si>
  <si>
    <t>quán shēn xīn</t>
  </si>
  <si>
    <t>wholeheartedly</t>
  </si>
  <si>
    <t>诠释</t>
  </si>
  <si>
    <t>quán shì</t>
  </si>
  <si>
    <t>interpret</t>
  </si>
  <si>
    <t>权限</t>
  </si>
  <si>
    <t>quán xiàn</t>
  </si>
  <si>
    <t>全心全意</t>
  </si>
  <si>
    <t>quán xīn quán yì</t>
  </si>
  <si>
    <t>wholeheartedly / with all one's heart and soul</t>
  </si>
  <si>
    <t>权益</t>
  </si>
  <si>
    <t>quán yì</t>
  </si>
  <si>
    <t>Rights and interests</t>
  </si>
  <si>
    <t>劝告</t>
  </si>
  <si>
    <t>quàn gào</t>
  </si>
  <si>
    <t>Advise / counsel</t>
  </si>
  <si>
    <t>劝说</t>
  </si>
  <si>
    <t>quàn shuō</t>
  </si>
  <si>
    <t>Persuade / convince</t>
  </si>
  <si>
    <t>劝阻</t>
  </si>
  <si>
    <t>quàn zǔ</t>
  </si>
  <si>
    <t>Dissuade / discourage</t>
  </si>
  <si>
    <t>缺失</t>
  </si>
  <si>
    <t>quē shī</t>
  </si>
  <si>
    <t>Deficiency / Lack</t>
  </si>
  <si>
    <t>确凿</t>
  </si>
  <si>
    <t>què záo</t>
  </si>
  <si>
    <t>definite / irrefutable</t>
  </si>
  <si>
    <t>确诊</t>
  </si>
  <si>
    <t>què zhěn</t>
  </si>
  <si>
    <t>confirm a diagnosis</t>
  </si>
  <si>
    <t>燃放</t>
  </si>
  <si>
    <t>rán fàng</t>
  </si>
  <si>
    <t>set off (fireworks) / detonate</t>
  </si>
  <si>
    <t>燃气</t>
  </si>
  <si>
    <t>rán qì</t>
  </si>
  <si>
    <t>燃油</t>
  </si>
  <si>
    <t>rán yóu</t>
  </si>
  <si>
    <t>fuel oil</t>
  </si>
  <si>
    <t>饶</t>
  </si>
  <si>
    <t>ráo</t>
  </si>
  <si>
    <t>To spare / To forgive</t>
  </si>
  <si>
    <t>绕行</t>
  </si>
  <si>
    <t>rào xíng</t>
  </si>
  <si>
    <t>detour / bypass</t>
  </si>
  <si>
    <t>绕远儿</t>
  </si>
  <si>
    <t>rào yuǎn er</t>
  </si>
  <si>
    <t>take a detour ; roundabout</t>
  </si>
  <si>
    <t>惹</t>
  </si>
  <si>
    <t>rě</t>
  </si>
  <si>
    <t>Provoke / Irritate</t>
  </si>
  <si>
    <t>热潮</t>
  </si>
  <si>
    <t>rè cháo</t>
  </si>
  <si>
    <t>upsurge / tide of fervor</t>
  </si>
  <si>
    <t>热带</t>
  </si>
  <si>
    <t>rè dài</t>
  </si>
  <si>
    <t>tropical</t>
  </si>
  <si>
    <t>热腾腾</t>
  </si>
  <si>
    <t>rè téng téng</t>
  </si>
  <si>
    <t>Steaming hot / Boiling hot</t>
  </si>
  <si>
    <t>热销</t>
  </si>
  <si>
    <t>rè xiāo</t>
  </si>
  <si>
    <t>sell well</t>
  </si>
  <si>
    <t>热衷</t>
  </si>
  <si>
    <t>rè zhōng</t>
  </si>
  <si>
    <t>to be fond of / keen on</t>
  </si>
  <si>
    <t>人次</t>
  </si>
  <si>
    <t>rén cì</t>
  </si>
  <si>
    <t>Person-time</t>
  </si>
  <si>
    <t>人品</t>
  </si>
  <si>
    <t>rén pǐn</t>
  </si>
  <si>
    <t>Character</t>
  </si>
  <si>
    <t>人气</t>
  </si>
  <si>
    <t>rén qì</t>
  </si>
  <si>
    <t>Popularity</t>
  </si>
  <si>
    <t>人情</t>
  </si>
  <si>
    <t>rén qíng</t>
  </si>
  <si>
    <t>Human feelings</t>
  </si>
  <si>
    <t>人权</t>
  </si>
  <si>
    <t>rén quán</t>
  </si>
  <si>
    <t>human rights</t>
  </si>
  <si>
    <t>人身</t>
  </si>
  <si>
    <t>rén shēn</t>
  </si>
  <si>
    <t>人手</t>
  </si>
  <si>
    <t>rén shǒu</t>
  </si>
  <si>
    <t>Manpower</t>
  </si>
  <si>
    <t>人文</t>
  </si>
  <si>
    <t>rén wén</t>
  </si>
  <si>
    <t>Humanities</t>
  </si>
  <si>
    <t>人选</t>
  </si>
  <si>
    <t>rén xuǎn</t>
  </si>
  <si>
    <t>人缘儿</t>
  </si>
  <si>
    <t>rén yuánr</t>
  </si>
  <si>
    <t>Personal connections / Popularity</t>
  </si>
  <si>
    <t>人造</t>
  </si>
  <si>
    <t>rén zào</t>
  </si>
  <si>
    <t>Artificial</t>
  </si>
  <si>
    <t>忍心</t>
  </si>
  <si>
    <t>rěn xīn</t>
  </si>
  <si>
    <t>Have the heart to / Have the nerve to</t>
  </si>
  <si>
    <t>任</t>
  </si>
  <si>
    <t>rèn</t>
  </si>
  <si>
    <t>动、连</t>
  </si>
  <si>
    <t>appoint ; no matter</t>
  </si>
  <si>
    <t>任期</t>
  </si>
  <si>
    <t>rèn qī</t>
  </si>
  <si>
    <t>Term of office</t>
  </si>
  <si>
    <t>韧性</t>
  </si>
  <si>
    <t>Tenacity / Toughness</t>
  </si>
  <si>
    <t>认证</t>
  </si>
  <si>
    <t>rèn zhèng</t>
  </si>
  <si>
    <t>Authenticate</t>
  </si>
  <si>
    <t>任职</t>
  </si>
  <si>
    <t>rèn zhí</t>
  </si>
  <si>
    <t>Serve as</t>
  </si>
  <si>
    <t>日复一日</t>
  </si>
  <si>
    <t>rì fù yí rì</t>
  </si>
  <si>
    <t>day after day / day in and day out</t>
  </si>
  <si>
    <t>日趋</t>
  </si>
  <si>
    <t>rì qū</t>
  </si>
  <si>
    <t>Increasingly / day by day</t>
  </si>
  <si>
    <t>融</t>
  </si>
  <si>
    <t>róng</t>
  </si>
  <si>
    <t>To melt / Fuse</t>
  </si>
  <si>
    <t>容光焕发</t>
  </si>
  <si>
    <t>róng guāng huàn fā</t>
  </si>
  <si>
    <t>radiant and full of energy / glowing with health</t>
  </si>
  <si>
    <t>荣获</t>
  </si>
  <si>
    <t>róng huò</t>
  </si>
  <si>
    <t>Be awarded</t>
  </si>
  <si>
    <t>容许</t>
  </si>
  <si>
    <t>róng xǔ</t>
  </si>
  <si>
    <t>Permit / Allow</t>
  </si>
  <si>
    <t>容颜</t>
  </si>
  <si>
    <t>róng yán</t>
  </si>
  <si>
    <t>Appearance / Looks</t>
  </si>
  <si>
    <t>荣耀</t>
  </si>
  <si>
    <t>róng yào</t>
  </si>
  <si>
    <t>glorious</t>
  </si>
  <si>
    <t>融资</t>
  </si>
  <si>
    <t>róng zī</t>
  </si>
  <si>
    <t>finance ; financing</t>
  </si>
  <si>
    <t>冗长</t>
  </si>
  <si>
    <t>rǒng cháng</t>
  </si>
  <si>
    <t>Lengthy</t>
  </si>
  <si>
    <t>如痴如醉</t>
  </si>
  <si>
    <t>rú chī rú zuì</t>
  </si>
  <si>
    <t>be obsessed with</t>
  </si>
  <si>
    <t>如期</t>
  </si>
  <si>
    <t>rú qī</t>
  </si>
  <si>
    <t>as scheduled</t>
  </si>
  <si>
    <t>如实</t>
  </si>
  <si>
    <t>rú shí</t>
  </si>
  <si>
    <t>Truthfully / as it is</t>
  </si>
  <si>
    <t>如一</t>
  </si>
  <si>
    <t>rú yī</t>
  </si>
  <si>
    <t>remain the same</t>
  </si>
  <si>
    <t>如意</t>
  </si>
  <si>
    <t>rú yì</t>
  </si>
  <si>
    <t>As one wishes / satisfactory</t>
  </si>
  <si>
    <t>如愿以偿</t>
  </si>
  <si>
    <t>rú yuàn yǐ cháng</t>
  </si>
  <si>
    <t>as one wishes / according to one's wishes</t>
  </si>
  <si>
    <t>乳制品</t>
  </si>
  <si>
    <t>rǔ zhì pǐn</t>
  </si>
  <si>
    <t>dairy product</t>
  </si>
  <si>
    <t>入场</t>
  </si>
  <si>
    <t>rù chǎng</t>
  </si>
  <si>
    <t>Enter a venue</t>
  </si>
  <si>
    <t>入场券</t>
  </si>
  <si>
    <t>rù chǎng quàn</t>
  </si>
  <si>
    <t>Admission ticket</t>
  </si>
  <si>
    <t>入侵</t>
  </si>
  <si>
    <t>rù qīn</t>
  </si>
  <si>
    <t>Invade</t>
  </si>
  <si>
    <t>入手</t>
  </si>
  <si>
    <t>rù shǒu</t>
  </si>
  <si>
    <t>Get started</t>
  </si>
  <si>
    <t>软弱</t>
  </si>
  <si>
    <t>ruǎn ruò</t>
  </si>
  <si>
    <t>Weak</t>
  </si>
  <si>
    <t>软实力</t>
  </si>
  <si>
    <t>ruǎn shí lì</t>
  </si>
  <si>
    <t>Soft power</t>
  </si>
  <si>
    <t>瑞雪</t>
  </si>
  <si>
    <t>ruì xuě</t>
  </si>
  <si>
    <t>snowfall / auspicious snow</t>
  </si>
  <si>
    <t>润</t>
  </si>
  <si>
    <t>rùn</t>
  </si>
  <si>
    <t>Moist / Moisturize / Smooth</t>
  </si>
  <si>
    <t>若</t>
  </si>
  <si>
    <t>若是</t>
  </si>
  <si>
    <t>ruò shì</t>
  </si>
  <si>
    <t>弱势</t>
  </si>
  <si>
    <t>Weak position / Weakness</t>
  </si>
  <si>
    <t>弱项</t>
  </si>
  <si>
    <t>ruò xiàng</t>
  </si>
  <si>
    <t>weakness</t>
  </si>
  <si>
    <t>撒</t>
  </si>
  <si>
    <t>Sprinkle / Scatter</t>
  </si>
  <si>
    <t>赛</t>
  </si>
  <si>
    <t>sài</t>
  </si>
  <si>
    <t>compete</t>
  </si>
  <si>
    <t>赛车</t>
  </si>
  <si>
    <t>sài chē</t>
  </si>
  <si>
    <t>Race car</t>
  </si>
  <si>
    <t>赛季</t>
  </si>
  <si>
    <t>sài jì</t>
  </si>
  <si>
    <t>赛跑</t>
  </si>
  <si>
    <t>sài pǎo</t>
  </si>
  <si>
    <t>Race</t>
  </si>
  <si>
    <t>三番五次</t>
  </si>
  <si>
    <t>sān fān wǔ cì</t>
  </si>
  <si>
    <t>Repeatedly / Over and over again</t>
  </si>
  <si>
    <t>三角</t>
  </si>
  <si>
    <t>sān jiǎo</t>
  </si>
  <si>
    <t>Triangle / triangular</t>
  </si>
  <si>
    <t>三维</t>
  </si>
  <si>
    <t>sān wéi</t>
  </si>
  <si>
    <t>Three-dimensional</t>
  </si>
  <si>
    <t>散落</t>
  </si>
  <si>
    <t>sàn luò</t>
  </si>
  <si>
    <t>scatter</t>
  </si>
  <si>
    <t>桑拿</t>
  </si>
  <si>
    <t>sāng ná</t>
  </si>
  <si>
    <t>Sauna</t>
  </si>
  <si>
    <t>嗓音</t>
  </si>
  <si>
    <t>sǎng yīn</t>
  </si>
  <si>
    <t>丧生</t>
  </si>
  <si>
    <t>sàng shēng</t>
  </si>
  <si>
    <t>Die</t>
  </si>
  <si>
    <t>骚乱</t>
  </si>
  <si>
    <t>sāo luàn</t>
  </si>
  <si>
    <t>Riot / Turmoil</t>
  </si>
  <si>
    <t>扫除</t>
  </si>
  <si>
    <t>sǎo chú</t>
  </si>
  <si>
    <t>Sweep away / Eliminate</t>
  </si>
  <si>
    <t>扫墓</t>
  </si>
  <si>
    <t>sǎo mù</t>
  </si>
  <si>
    <t>Sweep tombs / Visit graves</t>
  </si>
  <si>
    <t>扫兴</t>
  </si>
  <si>
    <t>sǎo xìng</t>
  </si>
  <si>
    <t>Disappointment / Ruin the fun</t>
  </si>
  <si>
    <t>扫帚</t>
  </si>
  <si>
    <t>sào zhǒu</t>
  </si>
  <si>
    <t>broom</t>
  </si>
  <si>
    <t>僧人</t>
  </si>
  <si>
    <t>sēng rén</t>
  </si>
  <si>
    <t>纱</t>
  </si>
  <si>
    <t>Gauze / Muslin</t>
  </si>
  <si>
    <t>杀毒</t>
  </si>
  <si>
    <t>shā dú</t>
  </si>
  <si>
    <t>kill viruses</t>
  </si>
  <si>
    <t>杀害</t>
  </si>
  <si>
    <t>shā hài</t>
  </si>
  <si>
    <t>To kill / to murder</t>
  </si>
  <si>
    <t>沙龙</t>
  </si>
  <si>
    <t>shā lóng</t>
  </si>
  <si>
    <t>salon / gathering</t>
  </si>
  <si>
    <t>杀手</t>
  </si>
  <si>
    <t>shā shǒu</t>
  </si>
  <si>
    <t>Killer / assassin</t>
  </si>
  <si>
    <t>傻瓜</t>
  </si>
  <si>
    <t>shǎ guā</t>
  </si>
  <si>
    <t>Fool</t>
  </si>
  <si>
    <t>筛</t>
  </si>
  <si>
    <t>shāi</t>
  </si>
  <si>
    <t>To sift / To sieve</t>
  </si>
  <si>
    <t>筛查</t>
  </si>
  <si>
    <t>shāi chá</t>
  </si>
  <si>
    <t>山川</t>
  </si>
  <si>
    <t>shān chuān</t>
  </si>
  <si>
    <t>Mountains and rivers / Scenery</t>
  </si>
  <si>
    <t>煽动</t>
  </si>
  <si>
    <t>shān dòng</t>
  </si>
  <si>
    <t>incite / instigate</t>
  </si>
  <si>
    <t>山谷</t>
  </si>
  <si>
    <t>shān gǔ</t>
  </si>
  <si>
    <t>valley</t>
  </si>
  <si>
    <t>山岭</t>
  </si>
  <si>
    <t>shān lǐng</t>
  </si>
  <si>
    <t>Mountain ridge / Mountain peak</t>
  </si>
  <si>
    <t>山寨</t>
  </si>
  <si>
    <t>shān zhài</t>
  </si>
  <si>
    <t>Mountain stronghold / Mountain village</t>
  </si>
  <si>
    <t>善</t>
  </si>
  <si>
    <t>shàn</t>
  </si>
  <si>
    <t>Good / Kind / Benevolent</t>
  </si>
  <si>
    <t>膳食</t>
  </si>
  <si>
    <t>shàn shí</t>
  </si>
  <si>
    <t>Diet</t>
  </si>
  <si>
    <t>赡养</t>
  </si>
  <si>
    <t>shàn yǎng</t>
  </si>
  <si>
    <t>善意</t>
  </si>
  <si>
    <t>shàn yì</t>
  </si>
  <si>
    <t>Goodwill / good intentions</t>
  </si>
  <si>
    <t>伤残</t>
  </si>
  <si>
    <t>shāng cán</t>
  </si>
  <si>
    <t>Disabled</t>
  </si>
  <si>
    <t>商贩</t>
  </si>
  <si>
    <t>shāng fàn</t>
  </si>
  <si>
    <t>Peddler / vendor</t>
  </si>
  <si>
    <t>伤感</t>
  </si>
  <si>
    <t>shāng gǎn</t>
  </si>
  <si>
    <t>Sentimental</t>
  </si>
  <si>
    <t>商贾</t>
  </si>
  <si>
    <t>shāng gǔ</t>
  </si>
  <si>
    <t>Merchants / traders</t>
  </si>
  <si>
    <t>伤痕</t>
  </si>
  <si>
    <t>shāng hén</t>
  </si>
  <si>
    <t>Scar</t>
  </si>
  <si>
    <t>商机</t>
  </si>
  <si>
    <t>shāng jī</t>
  </si>
  <si>
    <t>business opportunity</t>
  </si>
  <si>
    <t>伤势</t>
  </si>
  <si>
    <t>shāng shì</t>
  </si>
  <si>
    <t>Injury</t>
  </si>
  <si>
    <t>商讨</t>
  </si>
  <si>
    <t>shāng tǎo</t>
  </si>
  <si>
    <t>Discuss / negotiate</t>
  </si>
  <si>
    <t>商议</t>
  </si>
  <si>
    <t>shāng yì</t>
  </si>
  <si>
    <t>商用</t>
  </si>
  <si>
    <t>shāng yòng</t>
  </si>
  <si>
    <t>commercial</t>
  </si>
  <si>
    <t>赏识</t>
  </si>
  <si>
    <t>shǎng shí</t>
  </si>
  <si>
    <t>appreciate</t>
  </si>
  <si>
    <t>尚</t>
  </si>
  <si>
    <t>Still / Yet / Moreover</t>
  </si>
  <si>
    <t>上半场</t>
  </si>
  <si>
    <t>shàng bàn chǎng</t>
  </si>
  <si>
    <t>first half</t>
  </si>
  <si>
    <t>上报</t>
  </si>
  <si>
    <t>shàng bào</t>
  </si>
  <si>
    <t>Report / submit</t>
  </si>
  <si>
    <t>上层</t>
  </si>
  <si>
    <t>shàng céng</t>
  </si>
  <si>
    <t>upper class</t>
  </si>
  <si>
    <t>上场</t>
  </si>
  <si>
    <t>shàng chǎng</t>
  </si>
  <si>
    <t>Enter the field</t>
  </si>
  <si>
    <t>上岗</t>
  </si>
  <si>
    <t>shàng gǎng</t>
  </si>
  <si>
    <t>Take up a post</t>
  </si>
  <si>
    <t>上火</t>
  </si>
  <si>
    <t>shàng huǒ</t>
  </si>
  <si>
    <t>上空</t>
  </si>
  <si>
    <t>shàng kōng</t>
  </si>
  <si>
    <t>Sky / overhead</t>
  </si>
  <si>
    <t>上司</t>
  </si>
  <si>
    <t>shàng si</t>
  </si>
  <si>
    <t>Superior / boss</t>
  </si>
  <si>
    <t>上诉</t>
  </si>
  <si>
    <t>shàng sù</t>
  </si>
  <si>
    <t>Appeal</t>
  </si>
  <si>
    <t>上调</t>
  </si>
  <si>
    <t>shàng tiáo</t>
  </si>
  <si>
    <t>Increase / raise</t>
  </si>
  <si>
    <t>尚未</t>
  </si>
  <si>
    <t>shàng wèi</t>
  </si>
  <si>
    <t>Not yet</t>
  </si>
  <si>
    <t>上限</t>
  </si>
  <si>
    <t>shàng xiàn</t>
  </si>
  <si>
    <t>Upper limit</t>
  </si>
  <si>
    <t>上行</t>
  </si>
  <si>
    <t>shàng xíng</t>
  </si>
  <si>
    <t>ascend</t>
  </si>
  <si>
    <t>上演</t>
  </si>
  <si>
    <t>shàng yǎn</t>
  </si>
  <si>
    <t>stage</t>
  </si>
  <si>
    <t>上映</t>
  </si>
  <si>
    <t>shàng yìng</t>
  </si>
  <si>
    <t>Screen / premiere</t>
  </si>
  <si>
    <t>稍后</t>
  </si>
  <si>
    <t>shāo hòu</t>
  </si>
  <si>
    <t>later on</t>
  </si>
  <si>
    <t>烧毁</t>
  </si>
  <si>
    <t>shāo huǐ</t>
  </si>
  <si>
    <t>burn down / destroy by fire</t>
  </si>
  <si>
    <t>稍稍</t>
  </si>
  <si>
    <t>shāo shāo</t>
  </si>
  <si>
    <t>a little bit / slightly</t>
  </si>
  <si>
    <t>少不了</t>
  </si>
  <si>
    <t>shǎo bu liǎo</t>
  </si>
  <si>
    <t>Inevitable / Can't do without</t>
  </si>
  <si>
    <t>少女</t>
  </si>
  <si>
    <t>shào nǚ</t>
  </si>
  <si>
    <t>Young girl / Maiden</t>
  </si>
  <si>
    <t>奢望</t>
  </si>
  <si>
    <t>shē wàng</t>
  </si>
  <si>
    <t>Cherished hopes / extravagant hopes</t>
  </si>
  <si>
    <t>设</t>
  </si>
  <si>
    <t>shè</t>
  </si>
  <si>
    <t>To set up / To establish</t>
  </si>
  <si>
    <t>设定</t>
  </si>
  <si>
    <t>shè dìng</t>
  </si>
  <si>
    <t>Set</t>
  </si>
  <si>
    <t>设法</t>
  </si>
  <si>
    <t>shè fǎ</t>
  </si>
  <si>
    <t>Try to</t>
  </si>
  <si>
    <t>社会主义</t>
  </si>
  <si>
    <t>shè huì zhǔ yì</t>
  </si>
  <si>
    <t>Socialism / Socialist</t>
  </si>
  <si>
    <t>社交</t>
  </si>
  <si>
    <t>shè jiāo</t>
  </si>
  <si>
    <t>socialize / social interaction</t>
  </si>
  <si>
    <t>涉猎</t>
  </si>
  <si>
    <t>shè liè</t>
  </si>
  <si>
    <t>dabble in</t>
  </si>
  <si>
    <t>社团</t>
  </si>
  <si>
    <t>shè tuán</t>
  </si>
  <si>
    <t>organization / association</t>
  </si>
  <si>
    <t>涉嫌</t>
  </si>
  <si>
    <t>shè xián</t>
  </si>
  <si>
    <t>be suspected of</t>
  </si>
  <si>
    <t>申办</t>
  </si>
  <si>
    <t>shēn bàn</t>
  </si>
  <si>
    <t>apply for / bid for</t>
  </si>
  <si>
    <t>身不由己</t>
  </si>
  <si>
    <t>shēn bù yóu jǐ</t>
  </si>
  <si>
    <t>Not under one's control / Involuntary</t>
  </si>
  <si>
    <t>深化</t>
  </si>
  <si>
    <t>shēn huà</t>
  </si>
  <si>
    <t>deepen</t>
  </si>
  <si>
    <t>身价</t>
  </si>
  <si>
    <t>shēn jià</t>
  </si>
  <si>
    <t>Value</t>
  </si>
  <si>
    <t>申领</t>
  </si>
  <si>
    <t>shēn lǐng</t>
  </si>
  <si>
    <t>apply for / claim</t>
  </si>
  <si>
    <t>深切</t>
  </si>
  <si>
    <t>shēn qiè</t>
  </si>
  <si>
    <t>deeply / profound</t>
  </si>
  <si>
    <t>深情</t>
  </si>
  <si>
    <t>shēn qíng</t>
  </si>
  <si>
    <t>deep affection / deep</t>
  </si>
  <si>
    <t>身躯</t>
  </si>
  <si>
    <t>shēn qū</t>
  </si>
  <si>
    <t>Body</t>
  </si>
  <si>
    <t>深入人心</t>
  </si>
  <si>
    <t>shēn rù rén xīn</t>
  </si>
  <si>
    <t>Deep into people's hearts / Having a profound impact</t>
  </si>
  <si>
    <t>伸手</t>
  </si>
  <si>
    <t>shēn shǒu</t>
  </si>
  <si>
    <t>Reach out</t>
  </si>
  <si>
    <t>深思</t>
  </si>
  <si>
    <t>shēn sī</t>
  </si>
  <si>
    <t>deep thinking / contemplation</t>
  </si>
  <si>
    <t>申诉</t>
  </si>
  <si>
    <t>shēn sù</t>
  </si>
  <si>
    <t>appeal</t>
  </si>
  <si>
    <t>深邃</t>
  </si>
  <si>
    <t>shēn suì</t>
  </si>
  <si>
    <t>profound</t>
  </si>
  <si>
    <t>伸缩</t>
  </si>
  <si>
    <t>shēn suō</t>
  </si>
  <si>
    <t>Stretch</t>
  </si>
  <si>
    <t>身影</t>
  </si>
  <si>
    <t>shēn yǐng</t>
  </si>
  <si>
    <t>Figure / shadow</t>
  </si>
  <si>
    <t>深造</t>
  </si>
  <si>
    <t>shēn zào</t>
  </si>
  <si>
    <t>further one's study</t>
  </si>
  <si>
    <t>伸张</t>
  </si>
  <si>
    <t>shēn zhāng</t>
  </si>
  <si>
    <t>Assert</t>
  </si>
  <si>
    <t>身子</t>
  </si>
  <si>
    <t>shēn zi</t>
  </si>
  <si>
    <t>神情</t>
  </si>
  <si>
    <t>shén qíng</t>
  </si>
  <si>
    <t>expression</t>
  </si>
  <si>
    <t>审</t>
  </si>
  <si>
    <t>shěn</t>
  </si>
  <si>
    <t>Examine / Judge / Try</t>
  </si>
  <si>
    <t>审定</t>
  </si>
  <si>
    <t>shěn dìng</t>
  </si>
  <si>
    <t>Examine and determine / Approve</t>
  </si>
  <si>
    <t>审核</t>
  </si>
  <si>
    <t>shěn hé</t>
  </si>
  <si>
    <t>Review / Check</t>
  </si>
  <si>
    <t>审计</t>
  </si>
  <si>
    <t>shěn jì</t>
  </si>
  <si>
    <t>audit</t>
  </si>
  <si>
    <t>审批</t>
  </si>
  <si>
    <t>shěn pī</t>
  </si>
  <si>
    <t>Examine and approve</t>
  </si>
  <si>
    <t>审视</t>
  </si>
  <si>
    <t>shěn shì</t>
  </si>
  <si>
    <t>渗</t>
  </si>
  <si>
    <t>shèn</t>
  </si>
  <si>
    <t>Permeate / Seep / Infiltrate</t>
  </si>
  <si>
    <t>肾</t>
  </si>
  <si>
    <t>Kidney</t>
  </si>
  <si>
    <t>生产线</t>
  </si>
  <si>
    <t>shēng chǎn xiàn</t>
  </si>
  <si>
    <t>production line</t>
  </si>
  <si>
    <t>声称</t>
  </si>
  <si>
    <t>shēng chēng</t>
  </si>
  <si>
    <t>Claim / declare</t>
  </si>
  <si>
    <t>升华</t>
  </si>
  <si>
    <t>shēng huá</t>
  </si>
  <si>
    <t>sublimate</t>
  </si>
  <si>
    <t>生命线</t>
  </si>
  <si>
    <t>shēng mìng xiàn</t>
  </si>
  <si>
    <t>Lifeline</t>
  </si>
  <si>
    <t>生怕</t>
  </si>
  <si>
    <t>shēng pà</t>
  </si>
  <si>
    <t>fear / be afraid</t>
  </si>
  <si>
    <t>生平</t>
  </si>
  <si>
    <t>shēng píng</t>
  </si>
  <si>
    <t>lifetime / life</t>
  </si>
  <si>
    <t>生前</t>
  </si>
  <si>
    <t>shēng qián</t>
  </si>
  <si>
    <t>lifetime / before death</t>
  </si>
  <si>
    <t>生死</t>
  </si>
  <si>
    <t>shēng sǐ</t>
  </si>
  <si>
    <t>life and death</t>
  </si>
  <si>
    <t>声望</t>
  </si>
  <si>
    <t>shēng wàng</t>
  </si>
  <si>
    <t>Reputation / prestige</t>
  </si>
  <si>
    <t>生涯</t>
  </si>
  <si>
    <t>shēng yá</t>
  </si>
  <si>
    <t>career / life</t>
  </si>
  <si>
    <t>生硬</t>
  </si>
  <si>
    <t>shēng yìng</t>
  </si>
  <si>
    <t>stiff / rigid</t>
  </si>
  <si>
    <t>升值</t>
  </si>
  <si>
    <t>shēng zhí</t>
  </si>
  <si>
    <t>appreciation</t>
  </si>
  <si>
    <t>省事</t>
  </si>
  <si>
    <t>shěng shì</t>
  </si>
  <si>
    <t>save trouble / convenient</t>
  </si>
  <si>
    <t>胜出</t>
  </si>
  <si>
    <t>shèng chū</t>
  </si>
  <si>
    <t>Win</t>
  </si>
  <si>
    <t>盛大</t>
  </si>
  <si>
    <t>shèng dà</t>
  </si>
  <si>
    <t>grand / magnificent</t>
  </si>
  <si>
    <t>盛会</t>
  </si>
  <si>
    <t>shèng huì</t>
  </si>
  <si>
    <t>grand occasion / grand gathering</t>
  </si>
  <si>
    <t>盛气凌人</t>
  </si>
  <si>
    <t>shèng qì líng rén</t>
  </si>
  <si>
    <t>Domineering / Overbearing</t>
  </si>
  <si>
    <t>胜任</t>
  </si>
  <si>
    <t>shèng rèn</t>
  </si>
  <si>
    <t>Competent</t>
  </si>
  <si>
    <t>盛夏</t>
  </si>
  <si>
    <t>shèng xià</t>
  </si>
  <si>
    <t>midsummer</t>
  </si>
  <si>
    <t>圣贤</t>
  </si>
  <si>
    <t>shèng xián</t>
  </si>
  <si>
    <t>Sage / saint</t>
  </si>
  <si>
    <t>盛宴</t>
  </si>
  <si>
    <t>shèng yàn</t>
  </si>
  <si>
    <t>feast</t>
  </si>
  <si>
    <t>失传</t>
  </si>
  <si>
    <t>shī chuán</t>
  </si>
  <si>
    <t>Be lost to posterity / become extinct</t>
  </si>
  <si>
    <t>湿地</t>
  </si>
  <si>
    <t>shī dì</t>
  </si>
  <si>
    <t>wetland</t>
  </si>
  <si>
    <t>施工</t>
  </si>
  <si>
    <t>shī gōng</t>
  </si>
  <si>
    <t>Construction work</t>
  </si>
  <si>
    <t>失控</t>
  </si>
  <si>
    <t>shī kòng</t>
  </si>
  <si>
    <t>Lose control / get out of control</t>
  </si>
  <si>
    <t>失礼</t>
  </si>
  <si>
    <t>shī lǐ</t>
  </si>
  <si>
    <t>be impolite</t>
  </si>
  <si>
    <t>失利</t>
  </si>
  <si>
    <t>shī lì</t>
  </si>
  <si>
    <t>Lose / suffer defeat</t>
  </si>
  <si>
    <t>失灵</t>
  </si>
  <si>
    <t>shī líng</t>
  </si>
  <si>
    <t>Malfunction / break down</t>
  </si>
  <si>
    <t>失落</t>
  </si>
  <si>
    <t>shī luò</t>
  </si>
  <si>
    <t>Feel lost / be disappointed</t>
  </si>
  <si>
    <t>失明</t>
  </si>
  <si>
    <t>shī míng</t>
  </si>
  <si>
    <t>Blindness / lose one's sight</t>
  </si>
  <si>
    <t>失态</t>
  </si>
  <si>
    <t>shī tài</t>
  </si>
  <si>
    <t>lose one's composure</t>
  </si>
  <si>
    <t>失效</t>
  </si>
  <si>
    <t>shī xiào</t>
  </si>
  <si>
    <t>Lose effectiveness / become invalid</t>
  </si>
  <si>
    <t>施行</t>
  </si>
  <si>
    <t>shī xíng</t>
  </si>
  <si>
    <t>To implement / to carry out / to put into practice</t>
  </si>
  <si>
    <t>施压</t>
  </si>
  <si>
    <t>shī yā</t>
  </si>
  <si>
    <t>To put pressure on / to press</t>
  </si>
  <si>
    <t>师长</t>
  </si>
  <si>
    <t>shī zhǎng</t>
  </si>
  <si>
    <t>Teacher / Master</t>
  </si>
  <si>
    <t>师资</t>
  </si>
  <si>
    <t>shī zī</t>
  </si>
  <si>
    <t>Teaching staff / Faculty</t>
  </si>
  <si>
    <t>实地</t>
  </si>
  <si>
    <t>shí dì</t>
  </si>
  <si>
    <t>On the spot / In situ</t>
  </si>
  <si>
    <t>时段</t>
  </si>
  <si>
    <t>shí duàn</t>
  </si>
  <si>
    <t>Time period / time segment</t>
  </si>
  <si>
    <t>时隔</t>
  </si>
  <si>
    <t>shí gé</t>
  </si>
  <si>
    <t>After an interval of time</t>
  </si>
  <si>
    <t>时好时坏</t>
  </si>
  <si>
    <t>shí hǎo shí huài</t>
  </si>
  <si>
    <t>sometimes good / sometimes bad / fluctuate</t>
  </si>
  <si>
    <t>实话实说</t>
  </si>
  <si>
    <t>shí huà shí shuō</t>
  </si>
  <si>
    <t>speak the truth / tell it like it is</t>
  </si>
  <si>
    <t>时节</t>
  </si>
  <si>
    <t>shí jié</t>
  </si>
  <si>
    <t>时空</t>
  </si>
  <si>
    <t>shí kōng</t>
  </si>
  <si>
    <t>Time and space</t>
  </si>
  <si>
    <t>实况</t>
  </si>
  <si>
    <t>shí kuàng</t>
  </si>
  <si>
    <t>Live broadcast / On-the-spot report</t>
  </si>
  <si>
    <t>时时</t>
  </si>
  <si>
    <t>shí shí</t>
  </si>
  <si>
    <t>often / always</t>
  </si>
  <si>
    <t>食宿</t>
  </si>
  <si>
    <t>shí sù</t>
  </si>
  <si>
    <t>Food and lodging / Board and lodging</t>
  </si>
  <si>
    <t>实体</t>
  </si>
  <si>
    <t>shí tǐ</t>
  </si>
  <si>
    <t>Entity / Substance</t>
  </si>
  <si>
    <t>实物</t>
  </si>
  <si>
    <t>Object / Physical object</t>
  </si>
  <si>
    <t>时装</t>
  </si>
  <si>
    <t>shí zhuāng</t>
  </si>
  <si>
    <t>fashion</t>
  </si>
  <si>
    <t>屎</t>
  </si>
  <si>
    <t>feces /stool</t>
  </si>
  <si>
    <t>使唤</t>
  </si>
  <si>
    <t>shǐ huan</t>
  </si>
  <si>
    <t>Call</t>
  </si>
  <si>
    <t>史无前例</t>
  </si>
  <si>
    <t>shǐ wú qián lì</t>
  </si>
  <si>
    <t>unprecedented / without precedent</t>
  </si>
  <si>
    <t>使者</t>
  </si>
  <si>
    <t>shǐ zhě</t>
  </si>
  <si>
    <t>Messenger</t>
  </si>
  <si>
    <t>势不可当</t>
  </si>
  <si>
    <t>shì bù kě dāng</t>
  </si>
  <si>
    <t>overwhelming / irresistible</t>
  </si>
  <si>
    <t>视察</t>
  </si>
  <si>
    <t>shì chá</t>
  </si>
  <si>
    <t>inspect / investigation</t>
  </si>
  <si>
    <t>市场经济</t>
  </si>
  <si>
    <t>shì chǎng jīng jì</t>
  </si>
  <si>
    <t>market economy</t>
  </si>
  <si>
    <t>试点</t>
  </si>
  <si>
    <t>shì diǎn</t>
  </si>
  <si>
    <t>pilot ; pilot project</t>
  </si>
  <si>
    <t>世故</t>
  </si>
  <si>
    <t>shì gu</t>
  </si>
  <si>
    <t>Worldly-wise</t>
  </si>
  <si>
    <t>嗜好</t>
  </si>
  <si>
    <t>shì hào</t>
  </si>
  <si>
    <t>Hobby / preference</t>
  </si>
  <si>
    <t>侍候</t>
  </si>
  <si>
    <t>shì hòu</t>
  </si>
  <si>
    <t>Wait on</t>
  </si>
  <si>
    <t>世间</t>
  </si>
  <si>
    <t>shì jiān</t>
  </si>
  <si>
    <t>the world</t>
  </si>
  <si>
    <t>视角</t>
  </si>
  <si>
    <t>shì jiǎo</t>
  </si>
  <si>
    <t>perspective / point of view</t>
  </si>
  <si>
    <t>适量</t>
  </si>
  <si>
    <t>shì liàng</t>
  </si>
  <si>
    <t>Proper amount</t>
  </si>
  <si>
    <t>士气</t>
  </si>
  <si>
    <t>shì qì</t>
  </si>
  <si>
    <t>Morale / fighting spirit</t>
  </si>
  <si>
    <t>世人</t>
  </si>
  <si>
    <t>shì rén</t>
  </si>
  <si>
    <t>people / the public</t>
  </si>
  <si>
    <t>适时</t>
  </si>
  <si>
    <t>Timely</t>
  </si>
  <si>
    <t>试探</t>
  </si>
  <si>
    <t>shì tan</t>
  </si>
  <si>
    <t>Probe</t>
  </si>
  <si>
    <t>势头</t>
  </si>
  <si>
    <t>shì tou</t>
  </si>
  <si>
    <t>Momentum / trend</t>
  </si>
  <si>
    <t>事务所</t>
  </si>
  <si>
    <t>shì wù suǒ</t>
  </si>
  <si>
    <t>Office / Agency</t>
  </si>
  <si>
    <t>试行</t>
  </si>
  <si>
    <t>shì xíng</t>
  </si>
  <si>
    <t>Trial</t>
  </si>
  <si>
    <t>事宜</t>
  </si>
  <si>
    <t>Matters needing attention</t>
  </si>
  <si>
    <t>市值</t>
  </si>
  <si>
    <t>shì zhí</t>
  </si>
  <si>
    <t>market value</t>
  </si>
  <si>
    <t>柿子</t>
  </si>
  <si>
    <t>shì zi</t>
  </si>
  <si>
    <t>Persimmon</t>
  </si>
  <si>
    <t>收复</t>
  </si>
  <si>
    <t>shōu fù</t>
  </si>
  <si>
    <t>Recapture / Retake</t>
  </si>
  <si>
    <t>收割</t>
  </si>
  <si>
    <t>shōu gē</t>
  </si>
  <si>
    <t>harvest</t>
  </si>
  <si>
    <t>收敛</t>
  </si>
  <si>
    <t>shōu liǎn</t>
  </si>
  <si>
    <t>To collect / to gather up / to contract / to converge</t>
  </si>
  <si>
    <t>收留</t>
  </si>
  <si>
    <t>shōu liú</t>
  </si>
  <si>
    <t>To accommodate / to give shelter to / to keep (sb) for one's own / to detain</t>
  </si>
  <si>
    <t>收买</t>
  </si>
  <si>
    <t>shōu mǎi</t>
  </si>
  <si>
    <t>Bribe / Buy off</t>
  </si>
  <si>
    <t>收视率</t>
  </si>
  <si>
    <t>shōu shì lǜ</t>
  </si>
  <si>
    <t>TV ratings / Viewing rate</t>
  </si>
  <si>
    <t>收养</t>
  </si>
  <si>
    <t>shōu yǎng</t>
  </si>
  <si>
    <t>adopt</t>
  </si>
  <si>
    <t>收支</t>
  </si>
  <si>
    <t>shōu zhī</t>
  </si>
  <si>
    <t>Income and expenditure</t>
  </si>
  <si>
    <t>手册</t>
  </si>
  <si>
    <t>shǒu cè</t>
  </si>
  <si>
    <t>Manual / Handbook</t>
  </si>
  <si>
    <t>首创</t>
  </si>
  <si>
    <t>shǒu chuàng</t>
  </si>
  <si>
    <t>Pioneering / Original</t>
  </si>
  <si>
    <t>手动</t>
  </si>
  <si>
    <t>shǒu dòng</t>
  </si>
  <si>
    <t>Manual / Hand-operated</t>
  </si>
  <si>
    <t>首府</t>
  </si>
  <si>
    <t>shǒu fǔ</t>
  </si>
  <si>
    <t>Capital / Chief city</t>
  </si>
  <si>
    <t>首付</t>
  </si>
  <si>
    <t>shǒu fù</t>
  </si>
  <si>
    <t>down payment</t>
  </si>
  <si>
    <t>守候</t>
  </si>
  <si>
    <t>shǒu hòu</t>
  </si>
  <si>
    <t>Wait for / Keep watch</t>
  </si>
  <si>
    <t>手脚</t>
  </si>
  <si>
    <t>shǒu jiǎo</t>
  </si>
  <si>
    <t>Hands and feet / Actions</t>
  </si>
  <si>
    <t>首脑</t>
  </si>
  <si>
    <t>shǒu nǎo</t>
  </si>
  <si>
    <t>head</t>
  </si>
  <si>
    <t>手帕</t>
  </si>
  <si>
    <t>shǒu pà</t>
  </si>
  <si>
    <t>Handkerchief</t>
  </si>
  <si>
    <t>首批</t>
  </si>
  <si>
    <t>shǒu pī</t>
  </si>
  <si>
    <t>First batch</t>
  </si>
  <si>
    <t>手枪</t>
  </si>
  <si>
    <t>shǒu qiāng</t>
  </si>
  <si>
    <t>Pistol / Handgun</t>
  </si>
  <si>
    <t>手头</t>
  </si>
  <si>
    <t>shǒu tóu</t>
  </si>
  <si>
    <t>On hand / At hand</t>
  </si>
  <si>
    <t>手腕</t>
  </si>
  <si>
    <t>shǒu wàn</t>
  </si>
  <si>
    <t>Wrist</t>
  </si>
  <si>
    <t>首席</t>
  </si>
  <si>
    <t>shǒu xí</t>
  </si>
  <si>
    <t>chief ; chief /principal</t>
  </si>
  <si>
    <t>守信</t>
  </si>
  <si>
    <t>shǒu xìn</t>
  </si>
  <si>
    <t>keep one's word</t>
  </si>
  <si>
    <t>手掌</t>
  </si>
  <si>
    <t>shǒu zhǎng</t>
  </si>
  <si>
    <t>Palm (of the hand)</t>
  </si>
  <si>
    <t>守株待兔</t>
  </si>
  <si>
    <t>shǒu zhū dài tù</t>
  </si>
  <si>
    <t>wait idly for opportunities / wait for windfalls</t>
  </si>
  <si>
    <t>受宠若惊</t>
  </si>
  <si>
    <t>shòu chǒng ruò jīng</t>
  </si>
  <si>
    <t>be overwhelmed by an unexpected honor</t>
  </si>
  <si>
    <t>受挫</t>
  </si>
  <si>
    <t>shòu cuò</t>
  </si>
  <si>
    <t>be frustrated</t>
  </si>
  <si>
    <t>受害</t>
  </si>
  <si>
    <t>shòu hài</t>
  </si>
  <si>
    <t>Be harmed / suffer from</t>
  </si>
  <si>
    <t>受害人</t>
  </si>
  <si>
    <t>shòu hài rén</t>
  </si>
  <si>
    <t>Victim</t>
  </si>
  <si>
    <t>受贿</t>
  </si>
  <si>
    <t>shòu huì</t>
  </si>
  <si>
    <t>Accept bribes</t>
  </si>
  <si>
    <t>受惊</t>
  </si>
  <si>
    <t>shòu jīng</t>
  </si>
  <si>
    <t>Be frightened / be shocked</t>
  </si>
  <si>
    <t>受苦</t>
  </si>
  <si>
    <t>shòu kǔ</t>
  </si>
  <si>
    <t>Suffer / endure hardship</t>
  </si>
  <si>
    <t>受理</t>
  </si>
  <si>
    <t>shòu lǐ</t>
  </si>
  <si>
    <t>Acceptance / handle</t>
  </si>
  <si>
    <t>受骗</t>
  </si>
  <si>
    <t>shòu piàn</t>
  </si>
  <si>
    <t>Be deceived / be cheated</t>
  </si>
  <si>
    <t>授权</t>
  </si>
  <si>
    <t>shòu quán</t>
  </si>
  <si>
    <t>Authorize / Empower</t>
  </si>
  <si>
    <t>受益</t>
  </si>
  <si>
    <t>shòu yì</t>
  </si>
  <si>
    <t>Benefit from / profit from</t>
  </si>
  <si>
    <t>受益匪浅</t>
  </si>
  <si>
    <t>shòu yì fěi qiǎn</t>
  </si>
  <si>
    <t>benefit greatly</t>
  </si>
  <si>
    <t>梳</t>
  </si>
  <si>
    <t>Comb / To comb</t>
  </si>
  <si>
    <t>疏导</t>
  </si>
  <si>
    <t>shū dǎo</t>
  </si>
  <si>
    <t>guide / channel</t>
  </si>
  <si>
    <t>梳理</t>
  </si>
  <si>
    <t>shū lǐ</t>
  </si>
  <si>
    <t>To sort out / to comb through</t>
  </si>
  <si>
    <t>枢纽</t>
  </si>
  <si>
    <t>shū niǔ</t>
  </si>
  <si>
    <t>Pivot / hub</t>
  </si>
  <si>
    <t>抒情</t>
  </si>
  <si>
    <t>shū qíng</t>
  </si>
  <si>
    <t>Express emotions / Sentimental</t>
  </si>
  <si>
    <t>疏散</t>
  </si>
  <si>
    <t>shū sàn</t>
  </si>
  <si>
    <t>evacuate / disperse</t>
  </si>
  <si>
    <t>疏通</t>
  </si>
  <si>
    <t>shū tōng</t>
  </si>
  <si>
    <t>clear / unblock</t>
  </si>
  <si>
    <t>输血</t>
  </si>
  <si>
    <t>shū xuè</t>
  </si>
  <si>
    <t>Blood transfusion</t>
  </si>
  <si>
    <t>输液</t>
  </si>
  <si>
    <t>shū yè</t>
  </si>
  <si>
    <t>Infusion</t>
  </si>
  <si>
    <t>舒展</t>
  </si>
  <si>
    <t>shū zhǎn</t>
  </si>
  <si>
    <t>stretch ; relaxed</t>
  </si>
  <si>
    <t>赎</t>
  </si>
  <si>
    <t>shú</t>
  </si>
  <si>
    <t>To redeem / To ransom</t>
  </si>
  <si>
    <t>曙光</t>
  </si>
  <si>
    <t>shǔ guāng</t>
  </si>
  <si>
    <t>Dawn / daybreak</t>
  </si>
  <si>
    <t>属相</t>
  </si>
  <si>
    <t>shǔ xiàng</t>
  </si>
  <si>
    <t>Chinese zodiac sign</t>
  </si>
  <si>
    <t>属性</t>
  </si>
  <si>
    <t>shǔ xìng</t>
  </si>
  <si>
    <t>Attribute / Property</t>
  </si>
  <si>
    <t>数一数二</t>
  </si>
  <si>
    <t>shǔ yī shǔ èr</t>
  </si>
  <si>
    <t>rank among the best</t>
  </si>
  <si>
    <t>树干</t>
  </si>
  <si>
    <t>shù gàn</t>
  </si>
  <si>
    <t>tree trunk</t>
  </si>
  <si>
    <t>数据库</t>
  </si>
  <si>
    <t>shù jù kù</t>
  </si>
  <si>
    <t>Database</t>
  </si>
  <si>
    <t>竖立</t>
  </si>
  <si>
    <t>erect</t>
  </si>
  <si>
    <t>树梢</t>
  </si>
  <si>
    <t>shù shāo</t>
  </si>
  <si>
    <t>Treetop / branch tip</t>
  </si>
  <si>
    <t>束手无策</t>
  </si>
  <si>
    <t>shù shǒu wú cè</t>
  </si>
  <si>
    <t>be at a loss</t>
  </si>
  <si>
    <t>树荫</t>
  </si>
  <si>
    <t>shù yīn</t>
  </si>
  <si>
    <t>Shade of a tree / tree canopy</t>
  </si>
  <si>
    <t>刷新</t>
  </si>
  <si>
    <t>shuā xīn</t>
  </si>
  <si>
    <t>Refresh / update</t>
  </si>
  <si>
    <t>耍赖</t>
  </si>
  <si>
    <t>shuǎ lài</t>
  </si>
  <si>
    <t>Shirk</t>
  </si>
  <si>
    <t>衰减</t>
  </si>
  <si>
    <t>shuāi jiǎn</t>
  </si>
  <si>
    <t>摔跤</t>
  </si>
  <si>
    <t>shuāi jiāo</t>
  </si>
  <si>
    <t>Wrestle / Grapple</t>
  </si>
  <si>
    <t>衰竭</t>
  </si>
  <si>
    <t>shuāi jié</t>
  </si>
  <si>
    <t>Exhaustion</t>
  </si>
  <si>
    <t>衰落</t>
  </si>
  <si>
    <t>shuāi luò</t>
  </si>
  <si>
    <t>衰弱</t>
  </si>
  <si>
    <t>shuāi ruò</t>
  </si>
  <si>
    <t>Feeble</t>
  </si>
  <si>
    <t>拴</t>
  </si>
  <si>
    <t>shuān</t>
  </si>
  <si>
    <t>Tie up / Leash</t>
  </si>
  <si>
    <t>涮</t>
  </si>
  <si>
    <t>shuàn</t>
  </si>
  <si>
    <t>Dip (food in boiling water)</t>
  </si>
  <si>
    <t>霜</t>
  </si>
  <si>
    <t>Frost</t>
  </si>
  <si>
    <t>双边</t>
  </si>
  <si>
    <t>shuāng biān</t>
  </si>
  <si>
    <t>Bilateral / two-sided</t>
  </si>
  <si>
    <t>双重</t>
  </si>
  <si>
    <t>shuāng chóng</t>
  </si>
  <si>
    <t>Double / dual</t>
  </si>
  <si>
    <t>双向</t>
  </si>
  <si>
    <t>shuāng xiàng</t>
  </si>
  <si>
    <t>Two-way / bidirectional</t>
  </si>
  <si>
    <t>双赢</t>
  </si>
  <si>
    <t>shuāng yíng</t>
  </si>
  <si>
    <t>Win-win</t>
  </si>
  <si>
    <t>爽</t>
  </si>
  <si>
    <t>shuǎng</t>
  </si>
  <si>
    <t>refreshing /comfortable</t>
  </si>
  <si>
    <t>水产</t>
  </si>
  <si>
    <t>shuǐ chǎn</t>
  </si>
  <si>
    <t>aquatic product</t>
  </si>
  <si>
    <t>水滴石穿</t>
  </si>
  <si>
    <t>shuǐ dī shí chuān</t>
  </si>
  <si>
    <t>constant dripping wears away the stone</t>
  </si>
  <si>
    <t>水晶</t>
  </si>
  <si>
    <t>shuǐ jīng</t>
  </si>
  <si>
    <t>Crystal</t>
  </si>
  <si>
    <t>水落石出</t>
  </si>
  <si>
    <t>shuǐ luò shí chū</t>
  </si>
  <si>
    <t>When the water recedes / the rocks appear / The truth becomes clear over time</t>
  </si>
  <si>
    <t>水汽</t>
  </si>
  <si>
    <t>shuǐ qì</t>
  </si>
  <si>
    <t>water vapor</t>
  </si>
  <si>
    <t>水土</t>
  </si>
  <si>
    <t>shuǐ tǔ</t>
  </si>
  <si>
    <t>natural environment</t>
  </si>
  <si>
    <t>水域</t>
  </si>
  <si>
    <t>shuǐ yù</t>
  </si>
  <si>
    <t>Water area / aquatic region</t>
  </si>
  <si>
    <t>水源</t>
  </si>
  <si>
    <t>shuǐ yuán</t>
  </si>
  <si>
    <t>Water source / water origin</t>
  </si>
  <si>
    <t>水涨船高</t>
  </si>
  <si>
    <t>shuǐ zhǎng chuán gāo</t>
  </si>
  <si>
    <t>When the water rises / the boat floats higher / An improvement in one's situation due to external factors</t>
  </si>
  <si>
    <t>水准</t>
  </si>
  <si>
    <t>shuǐ zhǔn</t>
  </si>
  <si>
    <t>Level / standard</t>
  </si>
  <si>
    <t>睡袋</t>
  </si>
  <si>
    <t>shuì dài</t>
  </si>
  <si>
    <t>sleeping bag</t>
  </si>
  <si>
    <t>税收</t>
  </si>
  <si>
    <t>shuì shōu</t>
  </si>
  <si>
    <t>tax revenue / tax receipts</t>
  </si>
  <si>
    <t>税务</t>
  </si>
  <si>
    <t>shuì wù</t>
  </si>
  <si>
    <t>tax administration / taxation</t>
  </si>
  <si>
    <t>顺差</t>
  </si>
  <si>
    <t>shùn chā</t>
  </si>
  <si>
    <t>Trade surplus</t>
  </si>
  <si>
    <t>顺畅</t>
  </si>
  <si>
    <t>shùn chàng</t>
  </si>
  <si>
    <t>Smooth / Unobstructed</t>
  </si>
  <si>
    <t>顺从</t>
  </si>
  <si>
    <t>shùn cóng</t>
  </si>
  <si>
    <t>Compliance / Obedience</t>
  </si>
  <si>
    <t>顺理成章</t>
  </si>
  <si>
    <t>shùn lǐ chéng zhāng</t>
  </si>
  <si>
    <t>As a matter of course / Naturally and logically</t>
  </si>
  <si>
    <t>顺路</t>
  </si>
  <si>
    <t>shùn lù</t>
  </si>
  <si>
    <t>On the way / Convenient</t>
  </si>
  <si>
    <t>顺其自然</t>
  </si>
  <si>
    <t>shùn qí zì rán</t>
  </si>
  <si>
    <t>Let nature take its course / Go with the flow</t>
  </si>
  <si>
    <t>顺势</t>
  </si>
  <si>
    <t>shùn shì</t>
  </si>
  <si>
    <t>Take advantage of the situation</t>
  </si>
  <si>
    <t>顺手</t>
  </si>
  <si>
    <t>shùn shǒu</t>
  </si>
  <si>
    <t>Convenient / Skillfully</t>
  </si>
  <si>
    <t>顺心</t>
  </si>
  <si>
    <t>shùn xīn</t>
  </si>
  <si>
    <t>Satisfactory / Content</t>
  </si>
  <si>
    <t>顺延</t>
  </si>
  <si>
    <t>shùn yán</t>
  </si>
  <si>
    <t>postpone /extend</t>
  </si>
  <si>
    <t>顺应</t>
  </si>
  <si>
    <t>shùn yìng</t>
  </si>
  <si>
    <t>Adapt to / Conform to</t>
  </si>
  <si>
    <t>说不上</t>
  </si>
  <si>
    <t>shuō bu shàng</t>
  </si>
  <si>
    <t>Hard to say / Can't say for sure</t>
  </si>
  <si>
    <t>说谎</t>
  </si>
  <si>
    <t>shuō huǎng</t>
  </si>
  <si>
    <t>说情</t>
  </si>
  <si>
    <t>shuō qíng</t>
  </si>
  <si>
    <t>Intercede</t>
  </si>
  <si>
    <t>硕果</t>
  </si>
  <si>
    <t>shuò guǒ</t>
  </si>
  <si>
    <t>abundant results / rich fruits</t>
  </si>
  <si>
    <t>丝</t>
  </si>
  <si>
    <t>Silk / Thread</t>
  </si>
  <si>
    <t>私家车</t>
  </si>
  <si>
    <t>sī jiā chē</t>
  </si>
  <si>
    <t>Private car</t>
  </si>
  <si>
    <t>司空见惯</t>
  </si>
  <si>
    <t>sī kōng jiàn guàn</t>
  </si>
  <si>
    <t>commonplace / a common sight</t>
  </si>
  <si>
    <t>私立</t>
  </si>
  <si>
    <t>sī lì</t>
  </si>
  <si>
    <t>private / privately funded</t>
  </si>
  <si>
    <t>思前想后</t>
  </si>
  <si>
    <t>sī qián xiǎng hòu</t>
  </si>
  <si>
    <t>think over and over again / deliberate</t>
  </si>
  <si>
    <t>私事</t>
  </si>
  <si>
    <t>sī shì</t>
  </si>
  <si>
    <t>personal matters / private affairs</t>
  </si>
  <si>
    <t>私下</t>
  </si>
  <si>
    <t>sī xià</t>
  </si>
  <si>
    <t>privately / behind the scenes</t>
  </si>
  <si>
    <t>思绪</t>
  </si>
  <si>
    <t>sī xù</t>
  </si>
  <si>
    <t>thoughts</t>
  </si>
  <si>
    <t>私营</t>
  </si>
  <si>
    <t>sī yíng</t>
  </si>
  <si>
    <t>private enterprise / privately owned</t>
  </si>
  <si>
    <t>私有</t>
  </si>
  <si>
    <t>sī yǒu</t>
  </si>
  <si>
    <t>private ownership / privately owned</t>
  </si>
  <si>
    <t>死心</t>
  </si>
  <si>
    <t>sǐ xīn</t>
  </si>
  <si>
    <t>To give up hope / to be reconciled to death</t>
  </si>
  <si>
    <t>寺</t>
  </si>
  <si>
    <t>似曾相识</t>
  </si>
  <si>
    <t>sì céng xiāng shí</t>
  </si>
  <si>
    <t>seem to have met before / have a familiar feeling</t>
  </si>
  <si>
    <t>四方</t>
  </si>
  <si>
    <t>sì fāng</t>
  </si>
  <si>
    <t>all directions</t>
  </si>
  <si>
    <t>伺机</t>
  </si>
  <si>
    <t>sì jī</t>
  </si>
  <si>
    <t>Wait for an opportunity</t>
  </si>
  <si>
    <t>饲料</t>
  </si>
  <si>
    <t>sì liào</t>
  </si>
  <si>
    <t>Feed / Fodder</t>
  </si>
  <si>
    <t>四面八方</t>
  </si>
  <si>
    <t>sì miàn bā fāng</t>
  </si>
  <si>
    <t>all directions / from all sides</t>
  </si>
  <si>
    <t>似是而非</t>
  </si>
  <si>
    <t>sì shì ér fēi</t>
  </si>
  <si>
    <t>appear to be true but is actually false / specious</t>
  </si>
  <si>
    <t>四通八达</t>
  </si>
  <si>
    <t>sì tòng bā dá</t>
  </si>
  <si>
    <t>well-connected</t>
  </si>
  <si>
    <t>松弛</t>
  </si>
  <si>
    <t>sōng chí</t>
  </si>
  <si>
    <t>Loose / relaxed</t>
  </si>
  <si>
    <t>松树</t>
  </si>
  <si>
    <t>sōng shù</t>
  </si>
  <si>
    <t>pine tree</t>
  </si>
  <si>
    <t>松懈</t>
  </si>
  <si>
    <t>sōng xiè</t>
  </si>
  <si>
    <t>lax ; relax</t>
  </si>
  <si>
    <t>耸立</t>
  </si>
  <si>
    <t>sǒng lì</t>
  </si>
  <si>
    <t>Tower</t>
  </si>
  <si>
    <t>怂恿</t>
  </si>
  <si>
    <t>sǒng yǒng</t>
  </si>
  <si>
    <t>encourage /egg on</t>
  </si>
  <si>
    <t>送别</t>
  </si>
  <si>
    <t>sòng bié</t>
  </si>
  <si>
    <t>Send off</t>
  </si>
  <si>
    <t>送行</t>
  </si>
  <si>
    <t>sòng xíng</t>
  </si>
  <si>
    <t>see off</t>
  </si>
  <si>
    <t>搜查</t>
  </si>
  <si>
    <t>sōu chá</t>
  </si>
  <si>
    <t>Search / Investigate</t>
  </si>
  <si>
    <t>搜救</t>
  </si>
  <si>
    <t>sōu jiù</t>
  </si>
  <si>
    <t>Search and rescue</t>
  </si>
  <si>
    <t>搜寻</t>
  </si>
  <si>
    <t>sōu xún</t>
  </si>
  <si>
    <t>Search / Seek</t>
  </si>
  <si>
    <t>酥</t>
  </si>
  <si>
    <t>sū</t>
  </si>
  <si>
    <t>Flaky / Crumbly / Delicate</t>
  </si>
  <si>
    <t>俗</t>
  </si>
  <si>
    <t>sú</t>
  </si>
  <si>
    <t>Common / Vulgar / Customary</t>
  </si>
  <si>
    <t>俗称</t>
  </si>
  <si>
    <t>sú chēng</t>
  </si>
  <si>
    <t>be commonly known as ; common name</t>
  </si>
  <si>
    <t>俗语</t>
  </si>
  <si>
    <t>sú yǔ</t>
  </si>
  <si>
    <t>Colloquialism</t>
  </si>
  <si>
    <t>素</t>
  </si>
  <si>
    <t>sù</t>
  </si>
  <si>
    <t>Plain / Vegetarian / Element</t>
  </si>
  <si>
    <t>素不相识</t>
  </si>
  <si>
    <t>sù bù xiāng shí</t>
  </si>
  <si>
    <t>Complete strangers / Total strangers</t>
  </si>
  <si>
    <t>素材</t>
  </si>
  <si>
    <t>sù cái</t>
  </si>
  <si>
    <t>raw material / source material</t>
  </si>
  <si>
    <t>诉苦</t>
  </si>
  <si>
    <t>sù kǔ</t>
  </si>
  <si>
    <t>Complain</t>
  </si>
  <si>
    <t>诉求</t>
  </si>
  <si>
    <t>sù qiú</t>
  </si>
  <si>
    <t>appeal for ; demand</t>
  </si>
  <si>
    <t>诉说</t>
  </si>
  <si>
    <t>sù shuō</t>
  </si>
  <si>
    <t>Talk about</t>
  </si>
  <si>
    <t>素养</t>
  </si>
  <si>
    <t>sù yǎng</t>
  </si>
  <si>
    <t>accomplishment / culture</t>
  </si>
  <si>
    <t>诉诸</t>
  </si>
  <si>
    <t>sù zhū</t>
  </si>
  <si>
    <t>resort to</t>
  </si>
  <si>
    <t>蒜</t>
  </si>
  <si>
    <t>suàn</t>
  </si>
  <si>
    <t>Garlic</t>
  </si>
  <si>
    <t>算计</t>
  </si>
  <si>
    <t>suàn jì</t>
  </si>
  <si>
    <t>calculate / scheme</t>
  </si>
  <si>
    <t>算盘</t>
  </si>
  <si>
    <t>suàn pán</t>
  </si>
  <si>
    <t>abacus / calculation</t>
  </si>
  <si>
    <t>算账</t>
  </si>
  <si>
    <t>suàn zhàng</t>
  </si>
  <si>
    <t>settle accounts / hold accountable</t>
  </si>
  <si>
    <t>虽说</t>
  </si>
  <si>
    <t>suī shuō</t>
  </si>
  <si>
    <t>Although</t>
  </si>
  <si>
    <t>随处可见</t>
  </si>
  <si>
    <t>suí chù kě jiàn</t>
  </si>
  <si>
    <t>Can be seen everywhere / Ubiquitous</t>
  </si>
  <si>
    <t>随机</t>
  </si>
  <si>
    <t>suí jī</t>
  </si>
  <si>
    <t>Random / Arbitrary</t>
  </si>
  <si>
    <t>随时随地</t>
  </si>
  <si>
    <t>suí shí suí dì</t>
  </si>
  <si>
    <t>Anytime and anywhere / Whenever and wherever</t>
  </si>
  <si>
    <t>随心所欲</t>
  </si>
  <si>
    <t>suí xīn suǒ yù</t>
  </si>
  <si>
    <t>Do as one pleases / Follow one's heart's desire</t>
  </si>
  <si>
    <t>损人利己</t>
  </si>
  <si>
    <t>sǔn rén lì jǐ</t>
  </si>
  <si>
    <t>harm others for one's own benefit / selfish</t>
  </si>
  <si>
    <t>缩</t>
  </si>
  <si>
    <t>suō</t>
  </si>
  <si>
    <t>To shrink / To contract</t>
  </si>
  <si>
    <t>缩减</t>
  </si>
  <si>
    <t>suō jiǎn</t>
  </si>
  <si>
    <t>reduce</t>
  </si>
  <si>
    <t>缩水</t>
  </si>
  <si>
    <t>suō shuǐ</t>
  </si>
  <si>
    <t>Shrink</t>
  </si>
  <si>
    <t>缩影</t>
  </si>
  <si>
    <t>suō yǐng</t>
  </si>
  <si>
    <t>Microcosm</t>
  </si>
  <si>
    <t>锁定</t>
  </si>
  <si>
    <t>suǒ dìng</t>
  </si>
  <si>
    <t>Lock / Fixate</t>
  </si>
  <si>
    <t>索赔</t>
  </si>
  <si>
    <t>suǒ péi</t>
  </si>
  <si>
    <t>claim compensation / sue for damages</t>
  </si>
  <si>
    <t>所属</t>
  </si>
  <si>
    <t>suǒ shǔ</t>
  </si>
  <si>
    <t>Affiliated with / Belonging to</t>
  </si>
  <si>
    <t>琐碎</t>
  </si>
  <si>
    <t>suǒ suì</t>
  </si>
  <si>
    <t>trivial</t>
  </si>
  <si>
    <t>所谓</t>
  </si>
  <si>
    <t>suǒ wèi</t>
  </si>
  <si>
    <t>So-called / Alleged</t>
  </si>
  <si>
    <t>所在</t>
  </si>
  <si>
    <t>suǒ zài</t>
  </si>
  <si>
    <t>所作所为</t>
  </si>
  <si>
    <t>suǒ zuò suǒ wéi</t>
  </si>
  <si>
    <t>one's actions / what one does</t>
  </si>
  <si>
    <t>踏</t>
  </si>
  <si>
    <t>tà</t>
  </si>
  <si>
    <t>step on</t>
  </si>
  <si>
    <t>胎</t>
  </si>
  <si>
    <t>tāi</t>
  </si>
  <si>
    <t>Embryo / Fetus</t>
  </si>
  <si>
    <t>胎儿</t>
  </si>
  <si>
    <t>tāi ér</t>
  </si>
  <si>
    <t>Fetus</t>
  </si>
  <si>
    <t>太极</t>
  </si>
  <si>
    <t>tài jí</t>
  </si>
  <si>
    <t>Tai Chi / supreme ultimate</t>
  </si>
  <si>
    <t>太平</t>
  </si>
  <si>
    <t>tài píng</t>
  </si>
  <si>
    <t>Peaceful / calm</t>
  </si>
  <si>
    <t>态势</t>
  </si>
  <si>
    <t>tài shì</t>
  </si>
  <si>
    <t>瘫</t>
  </si>
  <si>
    <t>To paralyze</t>
  </si>
  <si>
    <t>贪</t>
  </si>
  <si>
    <t>To covet / Greedy</t>
  </si>
  <si>
    <t>贪吃</t>
  </si>
  <si>
    <t>tān chī</t>
  </si>
  <si>
    <t>greedy / gluttonous</t>
  </si>
  <si>
    <t>坛</t>
  </si>
  <si>
    <t>Altar / Platform / Raised area</t>
  </si>
  <si>
    <t>痰</t>
  </si>
  <si>
    <t>Phlegm</t>
  </si>
  <si>
    <t>谈及</t>
  </si>
  <si>
    <t>tán jí</t>
  </si>
  <si>
    <t>mention</t>
  </si>
  <si>
    <t>坦诚</t>
  </si>
  <si>
    <t>tǎn chéng</t>
  </si>
  <si>
    <t>Frank / sincere</t>
  </si>
  <si>
    <t>坦克</t>
  </si>
  <si>
    <t>tǎn kè</t>
  </si>
  <si>
    <t>Tank (military vehicle)</t>
  </si>
  <si>
    <t>坦然</t>
  </si>
  <si>
    <t>tǎn rán</t>
  </si>
  <si>
    <t>Calm / composed</t>
  </si>
  <si>
    <t>坦言</t>
  </si>
  <si>
    <t>tǎn yán</t>
  </si>
  <si>
    <t>frankly say ; frank statement</t>
  </si>
  <si>
    <t>毯子</t>
  </si>
  <si>
    <t>tǎn zi</t>
  </si>
  <si>
    <t>Blanket / rug</t>
  </si>
  <si>
    <t>探</t>
  </si>
  <si>
    <t>tàn</t>
  </si>
  <si>
    <t>Probe / Explore / Investigate</t>
  </si>
  <si>
    <t>炭</t>
  </si>
  <si>
    <t>Charcoal</t>
  </si>
  <si>
    <t>探究</t>
  </si>
  <si>
    <t>tàn jiū</t>
  </si>
  <si>
    <t>explore</t>
  </si>
  <si>
    <t>探亲</t>
  </si>
  <si>
    <t>tàn qīn</t>
  </si>
  <si>
    <t>Visit one's relatives / Pay a family visit</t>
  </si>
  <si>
    <t>探求</t>
  </si>
  <si>
    <t>tàn qiú</t>
  </si>
  <si>
    <t>Seek / Inquire into</t>
  </si>
  <si>
    <t>探险</t>
  </si>
  <si>
    <t>tàn xiǎn</t>
  </si>
  <si>
    <t>Explore / Adventure</t>
  </si>
  <si>
    <t>堂</t>
  </si>
  <si>
    <t>Measure word for halls or large rooms</t>
  </si>
  <si>
    <t>糖尿病</t>
  </si>
  <si>
    <t>táng niào bìng</t>
  </si>
  <si>
    <t>Diabetes</t>
  </si>
  <si>
    <t>淌</t>
  </si>
  <si>
    <t>Drip / Flow</t>
  </si>
  <si>
    <t>掏腰包</t>
  </si>
  <si>
    <t>tāo yāo bāo</t>
  </si>
  <si>
    <t>pay out of one's own pocket</t>
  </si>
  <si>
    <t>淘</t>
  </si>
  <si>
    <t>Clean / Wash / Sift</t>
  </si>
  <si>
    <t>逃生</t>
  </si>
  <si>
    <t>táo shēng</t>
  </si>
  <si>
    <t>Escape</t>
  </si>
  <si>
    <t>逃亡</t>
  </si>
  <si>
    <t>táo wáng</t>
  </si>
  <si>
    <t>Flee</t>
  </si>
  <si>
    <t>陶冶</t>
  </si>
  <si>
    <t>táo yě</t>
  </si>
  <si>
    <t>Temper / Cultivate</t>
  </si>
  <si>
    <t>讨</t>
  </si>
  <si>
    <t>tǎo</t>
  </si>
  <si>
    <t>To discuss / To demand</t>
  </si>
  <si>
    <t>特此</t>
  </si>
  <si>
    <t>tè cǐ</t>
  </si>
  <si>
    <t>hereby</t>
  </si>
  <si>
    <t>特例</t>
  </si>
  <si>
    <t>tè lì</t>
  </si>
  <si>
    <t>exception / special case</t>
  </si>
  <si>
    <t>特权</t>
  </si>
  <si>
    <t>tè quán</t>
  </si>
  <si>
    <t>privilege / special right</t>
  </si>
  <si>
    <t>特邀</t>
  </si>
  <si>
    <t>tè yāo</t>
  </si>
  <si>
    <t>specially invited / invited as a special guest</t>
  </si>
  <si>
    <t>特制</t>
  </si>
  <si>
    <t>tè zhì</t>
  </si>
  <si>
    <t>specially made / custom-made</t>
  </si>
  <si>
    <t>特质</t>
  </si>
  <si>
    <t>characteristic / trait</t>
  </si>
  <si>
    <t>腾</t>
  </si>
  <si>
    <t>To soar / To gallop / To move</t>
  </si>
  <si>
    <t>藤蔓</t>
  </si>
  <si>
    <t>téng wàn</t>
  </si>
  <si>
    <t>vine</t>
  </si>
  <si>
    <t>剔除</t>
  </si>
  <si>
    <t>tī chú</t>
  </si>
  <si>
    <t>梯子</t>
  </si>
  <si>
    <t>tī zi</t>
  </si>
  <si>
    <t>Ladder / stairway</t>
  </si>
  <si>
    <t>提及</t>
  </si>
  <si>
    <t>tí jí</t>
  </si>
  <si>
    <t>refer to</t>
  </si>
  <si>
    <t>提名</t>
  </si>
  <si>
    <t>tí míng</t>
  </si>
  <si>
    <t>Nominate / Put forward (a candidate)</t>
  </si>
  <si>
    <t>提速</t>
  </si>
  <si>
    <t>tí sù</t>
  </si>
  <si>
    <t>Increase speed / Speed up</t>
  </si>
  <si>
    <t>提心吊胆</t>
  </si>
  <si>
    <t>tí xīn diào dǎn</t>
  </si>
  <si>
    <t>live in fear / be on tenterhooks</t>
  </si>
  <si>
    <t>体能</t>
  </si>
  <si>
    <t>tǐ néng</t>
  </si>
  <si>
    <t>Physical Fitness</t>
  </si>
  <si>
    <t>体魄</t>
  </si>
  <si>
    <t>tǐ pò</t>
  </si>
  <si>
    <t>physique</t>
  </si>
  <si>
    <t>体态</t>
  </si>
  <si>
    <t>tǐ tài</t>
  </si>
  <si>
    <t>posture</t>
  </si>
  <si>
    <t>体制</t>
  </si>
  <si>
    <t>tǐ zhì</t>
  </si>
  <si>
    <t>System</t>
  </si>
  <si>
    <t>体质</t>
  </si>
  <si>
    <t>Constitution</t>
  </si>
  <si>
    <t>剃</t>
  </si>
  <si>
    <t>tì</t>
  </si>
  <si>
    <t>Shave / Trim</t>
  </si>
  <si>
    <t>替补</t>
  </si>
  <si>
    <t>tì bǔ</t>
  </si>
  <si>
    <t>substitute ; substitute</t>
  </si>
  <si>
    <t>替换</t>
  </si>
  <si>
    <t>tì huàn</t>
  </si>
  <si>
    <t>To replace / to substitute</t>
  </si>
  <si>
    <t>天长地久</t>
  </si>
  <si>
    <t>tiān cháng dì jiǔ</t>
  </si>
  <si>
    <t>everlasting / enduring as heaven and earth</t>
  </si>
  <si>
    <t>天敌</t>
  </si>
  <si>
    <t>tiān dí</t>
  </si>
  <si>
    <t>natural enemy</t>
  </si>
  <si>
    <t>天地</t>
  </si>
  <si>
    <t>tiān dì</t>
  </si>
  <si>
    <t>Heaven and earth / universe</t>
  </si>
  <si>
    <t>天鹅</t>
  </si>
  <si>
    <t>tiān é</t>
  </si>
  <si>
    <t>Swan</t>
  </si>
  <si>
    <t>天分</t>
  </si>
  <si>
    <t>tiān fèn</t>
  </si>
  <si>
    <t>Talent / natural gift</t>
  </si>
  <si>
    <t>天花板</t>
  </si>
  <si>
    <t>tiān huā bǎn</t>
  </si>
  <si>
    <t>ceiling</t>
  </si>
  <si>
    <t>添加剂</t>
  </si>
  <si>
    <t>tiān jiā jì</t>
  </si>
  <si>
    <t>additive</t>
  </si>
  <si>
    <t>天经地义</t>
  </si>
  <si>
    <t>tiān jīng dì yì</t>
  </si>
  <si>
    <t>a matter of course / natural and reasonable</t>
  </si>
  <si>
    <t>天平</t>
  </si>
  <si>
    <t>tiān píng</t>
  </si>
  <si>
    <t>Balance / scales</t>
  </si>
  <si>
    <t>天桥</t>
  </si>
  <si>
    <t>tiān qiáo</t>
  </si>
  <si>
    <t>Overpass / pedestrian bridge</t>
  </si>
  <si>
    <t>天使</t>
  </si>
  <si>
    <t>tiān shǐ</t>
  </si>
  <si>
    <t>Angel</t>
  </si>
  <si>
    <t>天线</t>
  </si>
  <si>
    <t>tiān xiàn</t>
  </si>
  <si>
    <t>Antenna / aerial</t>
  </si>
  <si>
    <t>天性</t>
  </si>
  <si>
    <t>tiān xìng</t>
  </si>
  <si>
    <t>Nature / inherent disposition</t>
  </si>
  <si>
    <t>填补</t>
  </si>
  <si>
    <t>tián bǔ</t>
  </si>
  <si>
    <t>Fill in a gap / make up for a deficiency</t>
  </si>
  <si>
    <t>填充</t>
  </si>
  <si>
    <t>tián chōng</t>
  </si>
  <si>
    <t>Fill in / stuff</t>
  </si>
  <si>
    <t>田间</t>
  </si>
  <si>
    <t>tián jiān</t>
  </si>
  <si>
    <t>field</t>
  </si>
  <si>
    <t>甜美</t>
  </si>
  <si>
    <t>tián měi</t>
  </si>
  <si>
    <t>sweet / lovely</t>
  </si>
  <si>
    <t>甜蜜</t>
  </si>
  <si>
    <t>tián mì</t>
  </si>
  <si>
    <t>sweet / honeyed</t>
  </si>
  <si>
    <t>田园</t>
  </si>
  <si>
    <t>tián yuán</t>
  </si>
  <si>
    <t>countryside</t>
  </si>
  <si>
    <t>挑</t>
  </si>
  <si>
    <t>tiāo</t>
  </si>
  <si>
    <t>pick / choose</t>
  </si>
  <si>
    <t>调侃</t>
  </si>
  <si>
    <t>tiáo kǎn</t>
  </si>
  <si>
    <t>Banter</t>
  </si>
  <si>
    <t>调控</t>
  </si>
  <si>
    <t>tiáo kòng</t>
  </si>
  <si>
    <t>Control</t>
  </si>
  <si>
    <t>条例</t>
  </si>
  <si>
    <t>tiáo lì</t>
  </si>
  <si>
    <t>Regulation / rule</t>
  </si>
  <si>
    <t>调试</t>
  </si>
  <si>
    <t>tiáo shì</t>
  </si>
  <si>
    <t>Debug</t>
  </si>
  <si>
    <t>跳槽</t>
  </si>
  <si>
    <t>tiào cáo</t>
  </si>
  <si>
    <t>Job-hopping</t>
  </si>
  <si>
    <t>跳动</t>
  </si>
  <si>
    <t>tiào dòng</t>
  </si>
  <si>
    <t>Beat</t>
  </si>
  <si>
    <t>跳伞</t>
  </si>
  <si>
    <t>tiào sǎn</t>
  </si>
  <si>
    <t>Parachute</t>
  </si>
  <si>
    <t>眺望</t>
  </si>
  <si>
    <t>tiào wàng</t>
  </si>
  <si>
    <t>贴切</t>
  </si>
  <si>
    <t>tiē qiè</t>
  </si>
  <si>
    <t>Appropriate</t>
  </si>
  <si>
    <t>铁</t>
  </si>
  <si>
    <t>tiě</t>
  </si>
  <si>
    <t>iron</t>
  </si>
  <si>
    <t>帖子</t>
  </si>
  <si>
    <t>tiě zi</t>
  </si>
  <si>
    <t>Note / Card</t>
  </si>
  <si>
    <t>听从</t>
  </si>
  <si>
    <t>tīng cóng</t>
  </si>
  <si>
    <t>Obey / comply with</t>
  </si>
  <si>
    <t>停放</t>
  </si>
  <si>
    <t>tíng fàng</t>
  </si>
  <si>
    <t>Park</t>
  </si>
  <si>
    <t>停业</t>
  </si>
  <si>
    <t>tíng yè</t>
  </si>
  <si>
    <t>Close down</t>
  </si>
  <si>
    <t>通报</t>
  </si>
  <si>
    <t>tōng bào</t>
  </si>
  <si>
    <t>circulate a notice ; circular</t>
  </si>
  <si>
    <t>通畅</t>
  </si>
  <si>
    <t>tōng chàng</t>
  </si>
  <si>
    <t>通车</t>
  </si>
  <si>
    <t>tōng chē</t>
  </si>
  <si>
    <t>Open to traffic</t>
  </si>
  <si>
    <t>通告</t>
  </si>
  <si>
    <t>tōng gào</t>
  </si>
  <si>
    <t>Notice</t>
  </si>
  <si>
    <t>通顺</t>
  </si>
  <si>
    <t>tōng shùn</t>
  </si>
  <si>
    <t>Smooth</t>
  </si>
  <si>
    <t>通通</t>
  </si>
  <si>
    <t>tōng tōng</t>
  </si>
  <si>
    <t>All</t>
  </si>
  <si>
    <t>通宵</t>
  </si>
  <si>
    <t>tōng xiāo</t>
  </si>
  <si>
    <t>All night</t>
  </si>
  <si>
    <t>同比</t>
  </si>
  <si>
    <t>tóng bǐ</t>
  </si>
  <si>
    <t>year-on-year</t>
  </si>
  <si>
    <t>同步</t>
  </si>
  <si>
    <t>tóng bù</t>
  </si>
  <si>
    <t>Synchronize / keep pace with</t>
  </si>
  <si>
    <t>同等</t>
  </si>
  <si>
    <t>tóng děng</t>
  </si>
  <si>
    <t>Equal / equivalent</t>
  </si>
  <si>
    <t>同感</t>
  </si>
  <si>
    <t>tóng gǎn</t>
  </si>
  <si>
    <t>Same feeling / mutual understanding</t>
  </si>
  <si>
    <t>同伙</t>
  </si>
  <si>
    <t>tóng huǒ</t>
  </si>
  <si>
    <t>Accomplice / associate</t>
  </si>
  <si>
    <t>同盟</t>
  </si>
  <si>
    <t>tóng méng</t>
  </si>
  <si>
    <t>Alliance / coalition</t>
  </si>
  <si>
    <t>同期</t>
  </si>
  <si>
    <t>tóng qī</t>
  </si>
  <si>
    <t>same period</t>
  </si>
  <si>
    <t>同仁</t>
  </si>
  <si>
    <t>tóng rén</t>
  </si>
  <si>
    <t>同舟共济</t>
  </si>
  <si>
    <t>tóng zhōu gòng jì</t>
  </si>
  <si>
    <t>work together in the same boat / cooperate closely to overcome difficulties</t>
  </si>
  <si>
    <t>捅</t>
  </si>
  <si>
    <t>tǒng</t>
  </si>
  <si>
    <t>Poke / Stab</t>
  </si>
  <si>
    <t>筒</t>
  </si>
  <si>
    <t>Tube / Cylinder</t>
  </si>
  <si>
    <t>统筹</t>
  </si>
  <si>
    <t>tǒng chóu</t>
  </si>
  <si>
    <t>Plan overall</t>
  </si>
  <si>
    <t>通红</t>
  </si>
  <si>
    <t>tòng hóng</t>
  </si>
  <si>
    <t>bright red</t>
  </si>
  <si>
    <t>痛心</t>
  </si>
  <si>
    <t>tòng xīn</t>
  </si>
  <si>
    <t>distressed / heartbroken</t>
  </si>
  <si>
    <t>偷窥</t>
  </si>
  <si>
    <t>tōu kuī</t>
  </si>
  <si>
    <t>Spy</t>
  </si>
  <si>
    <t>偷懒</t>
  </si>
  <si>
    <t>tōu lǎn</t>
  </si>
  <si>
    <t>Be lazy</t>
  </si>
  <si>
    <t>投奔</t>
  </si>
  <si>
    <t>tóu bèn</t>
  </si>
  <si>
    <t>Flee to / Seek refuge with</t>
  </si>
  <si>
    <t>投放</t>
  </si>
  <si>
    <t>tóu fàng</t>
  </si>
  <si>
    <t>launch / put into (market)</t>
  </si>
  <si>
    <t>投稿</t>
  </si>
  <si>
    <t>tóu gǎo</t>
  </si>
  <si>
    <t>Submit (an article) / Contribute</t>
  </si>
  <si>
    <t>头号</t>
  </si>
  <si>
    <t>tóu hào</t>
  </si>
  <si>
    <t>Top / first-rate</t>
  </si>
  <si>
    <t>投射</t>
  </si>
  <si>
    <t>tóu shè</t>
  </si>
  <si>
    <t>Project / Cast</t>
  </si>
  <si>
    <t>投身</t>
  </si>
  <si>
    <t>tóu shēn</t>
  </si>
  <si>
    <t>Dedicate oneself to / Devote oneself to</t>
  </si>
  <si>
    <t>头条</t>
  </si>
  <si>
    <t>tóu tiáo</t>
  </si>
  <si>
    <t>Headline / top news</t>
  </si>
  <si>
    <t>头头是道</t>
  </si>
  <si>
    <t>tóu tóu shì dào</t>
  </si>
  <si>
    <t>everything is logical and coherent / everything is in good order</t>
  </si>
  <si>
    <t>头衔</t>
  </si>
  <si>
    <t>tóu xián</t>
  </si>
  <si>
    <t>Title / designation</t>
  </si>
  <si>
    <t>透彻</t>
  </si>
  <si>
    <t>tòu chè</t>
  </si>
  <si>
    <t>Thorough</t>
  </si>
  <si>
    <t>透气</t>
  </si>
  <si>
    <t>tòu qì</t>
  </si>
  <si>
    <t>Breathable</t>
  </si>
  <si>
    <t>透支</t>
  </si>
  <si>
    <t>tòu zhī</t>
  </si>
  <si>
    <t>Overdraft</t>
  </si>
  <si>
    <t>凸</t>
  </si>
  <si>
    <t>Convex / Protruding</t>
  </si>
  <si>
    <t>突击</t>
  </si>
  <si>
    <t>tū jī</t>
  </si>
  <si>
    <t>assault / attack / make a sudden effort</t>
  </si>
  <si>
    <t>突破口</t>
  </si>
  <si>
    <t>tū pò kǒu</t>
  </si>
  <si>
    <t>Breakthrough / Opening</t>
  </si>
  <si>
    <t>突如其来</t>
  </si>
  <si>
    <t>tū rú qí lái</t>
  </si>
  <si>
    <t>Suddenly / Unexpectedly</t>
  </si>
  <si>
    <t>突兀</t>
  </si>
  <si>
    <t>tū wù</t>
  </si>
  <si>
    <t>abrupt</t>
  </si>
  <si>
    <t>凸显</t>
  </si>
  <si>
    <t>tū xiǎn</t>
  </si>
  <si>
    <t>Highlight</t>
  </si>
  <si>
    <t>涂</t>
  </si>
  <si>
    <t>tú</t>
  </si>
  <si>
    <t>Apply (paint / ointment) / Smear</t>
  </si>
  <si>
    <t>徒步</t>
  </si>
  <si>
    <t>tú bù</t>
  </si>
  <si>
    <t>On foot / Walking</t>
  </si>
  <si>
    <t>徒劳</t>
  </si>
  <si>
    <t>tú láo</t>
  </si>
  <si>
    <t>be in vain</t>
  </si>
  <si>
    <t>屠杀</t>
  </si>
  <si>
    <t>tú shā</t>
  </si>
  <si>
    <t>Massacre / Slaughter</t>
  </si>
  <si>
    <t>图形</t>
  </si>
  <si>
    <t>tú xíng</t>
  </si>
  <si>
    <t>Shape / figure</t>
  </si>
  <si>
    <t>图纸</t>
  </si>
  <si>
    <t>tú zhǐ</t>
  </si>
  <si>
    <t>Blueprint / drawing</t>
  </si>
  <si>
    <t>吐槽</t>
  </si>
  <si>
    <t>tǔ cáo</t>
  </si>
  <si>
    <t>complain /criticize humorously</t>
  </si>
  <si>
    <t>土生土长</t>
  </si>
  <si>
    <t>tǔ shēng tǔ zhǎng</t>
  </si>
  <si>
    <t>native-born and bred / indigenous</t>
  </si>
  <si>
    <t>团伙</t>
  </si>
  <si>
    <t>tuán huǒ</t>
  </si>
  <si>
    <t>Group / gang</t>
  </si>
  <si>
    <t>团聚</t>
  </si>
  <si>
    <t>tuán jù</t>
  </si>
  <si>
    <t>Reunite / gather together</t>
  </si>
  <si>
    <t>团员</t>
  </si>
  <si>
    <t>Member of a group or organization</t>
  </si>
  <si>
    <t>推崇</t>
  </si>
  <si>
    <t>tuī chóng</t>
  </si>
  <si>
    <t>esteem</t>
  </si>
  <si>
    <t>推断</t>
  </si>
  <si>
    <t>tuī duàn</t>
  </si>
  <si>
    <t>Infer / Deduce</t>
  </si>
  <si>
    <t>推敲</t>
  </si>
  <si>
    <t>tuī qiāo</t>
  </si>
  <si>
    <t>Deliberate / Ponder over</t>
  </si>
  <si>
    <t>推算</t>
  </si>
  <si>
    <t>tuī suàn</t>
  </si>
  <si>
    <t>Calculate / Estimate</t>
  </si>
  <si>
    <t>推卸</t>
  </si>
  <si>
    <t>tuī xiè</t>
  </si>
  <si>
    <t>Shift (blame / responsibility) / Shirk</t>
  </si>
  <si>
    <t>推选</t>
  </si>
  <si>
    <t>tuī xuǎn</t>
  </si>
  <si>
    <t>Elect / Choose by vote</t>
  </si>
  <si>
    <t>推移</t>
  </si>
  <si>
    <t>tuī yí</t>
  </si>
  <si>
    <t>Shift / Change</t>
  </si>
  <si>
    <t>颓废</t>
  </si>
  <si>
    <t>tuí fèi</t>
  </si>
  <si>
    <t>Decadent / Moribund</t>
  </si>
  <si>
    <t>退化</t>
  </si>
  <si>
    <t>tuì huà</t>
  </si>
  <si>
    <t>degenerate</t>
  </si>
  <si>
    <t>退回</t>
  </si>
  <si>
    <t>tuì huí</t>
  </si>
  <si>
    <t>退却</t>
  </si>
  <si>
    <t>tuì què</t>
  </si>
  <si>
    <t>Retreat</t>
  </si>
  <si>
    <t>退让</t>
  </si>
  <si>
    <t>tuì ràng</t>
  </si>
  <si>
    <t>Concession</t>
  </si>
  <si>
    <t>退缩</t>
  </si>
  <si>
    <t>tuì suō</t>
  </si>
  <si>
    <t>Shrink back</t>
  </si>
  <si>
    <t>退役</t>
  </si>
  <si>
    <t>tuì yì</t>
  </si>
  <si>
    <t>Retire from military service</t>
  </si>
  <si>
    <t>臀</t>
  </si>
  <si>
    <t>tún</t>
  </si>
  <si>
    <t>buttock</t>
  </si>
  <si>
    <t>托</t>
  </si>
  <si>
    <t>hold ; support</t>
  </si>
  <si>
    <t>托付</t>
  </si>
  <si>
    <t>tuō fù</t>
  </si>
  <si>
    <t>Entrust / Assign</t>
  </si>
  <si>
    <t>脱节</t>
  </si>
  <si>
    <t>tuō jié</t>
  </si>
  <si>
    <t>Disconnect</t>
  </si>
  <si>
    <t>脱口而出</t>
  </si>
  <si>
    <t>tuō kǒu ér chū</t>
  </si>
  <si>
    <t>Blurting out / Speak without thinking</t>
  </si>
  <si>
    <t>拖累</t>
  </si>
  <si>
    <t>tuō lěi</t>
  </si>
  <si>
    <t>Implicate / Drag down</t>
  </si>
  <si>
    <t>脱落</t>
  </si>
  <si>
    <t>tuō luò</t>
  </si>
  <si>
    <t>Shed</t>
  </si>
  <si>
    <t>拖欠</t>
  </si>
  <si>
    <t>tuō qiàn</t>
  </si>
  <si>
    <t>Owe / Be in arrears</t>
  </si>
  <si>
    <t>脱身</t>
  </si>
  <si>
    <t>tuō shēn</t>
  </si>
  <si>
    <t>Get away</t>
  </si>
  <si>
    <t>脱颖而出</t>
  </si>
  <si>
    <t>tuō yǐng ér chū</t>
  </si>
  <si>
    <t>Stand out / Distinguished</t>
  </si>
  <si>
    <t>驮</t>
  </si>
  <si>
    <t>tuó</t>
  </si>
  <si>
    <t>To carry on one's back</t>
  </si>
  <si>
    <t>妥</t>
  </si>
  <si>
    <t>tuǒ</t>
  </si>
  <si>
    <t>Proper / Secure / Complete</t>
  </si>
  <si>
    <t>拓宽</t>
  </si>
  <si>
    <t>tuò kuān</t>
  </si>
  <si>
    <t>Broaden / Expand</t>
  </si>
  <si>
    <t>唾液</t>
  </si>
  <si>
    <t>tuò yè</t>
  </si>
  <si>
    <t>拓展</t>
  </si>
  <si>
    <t>tuò zhǎn</t>
  </si>
  <si>
    <t>Develop / Expand</t>
  </si>
  <si>
    <t>挖苦</t>
  </si>
  <si>
    <t>wā kǔ</t>
  </si>
  <si>
    <t>Ridicule / Mock</t>
  </si>
  <si>
    <t>瓦</t>
  </si>
  <si>
    <t>wǎ</t>
  </si>
  <si>
    <t>Tile</t>
  </si>
  <si>
    <t>外币</t>
  </si>
  <si>
    <t>wài bì</t>
  </si>
  <si>
    <t>foreign currency</t>
  </si>
  <si>
    <t>外号</t>
  </si>
  <si>
    <t>wài hào</t>
  </si>
  <si>
    <t>Nickname / alias</t>
  </si>
  <si>
    <t>外汇</t>
  </si>
  <si>
    <t>wài huì</t>
  </si>
  <si>
    <t>foreign exchange</t>
  </si>
  <si>
    <t>外籍</t>
  </si>
  <si>
    <t>wài jí</t>
  </si>
  <si>
    <t>Foreign nationality / expatriate</t>
  </si>
  <si>
    <t>外貌</t>
  </si>
  <si>
    <t>wài mào</t>
  </si>
  <si>
    <t>Appearance / facial features</t>
  </si>
  <si>
    <t>外贸</t>
  </si>
  <si>
    <t>Foreign trade / international trade</t>
  </si>
  <si>
    <t>外星人</t>
  </si>
  <si>
    <t>wài xīng rén</t>
  </si>
  <si>
    <t>Alien / Extraterrestrial</t>
  </si>
  <si>
    <t>外援</t>
  </si>
  <si>
    <t>wài yuán</t>
  </si>
  <si>
    <t>Foreign aid / external assistance</t>
  </si>
  <si>
    <t>外在</t>
  </si>
  <si>
    <t>wài zài</t>
  </si>
  <si>
    <t>external</t>
  </si>
  <si>
    <t>外资</t>
  </si>
  <si>
    <t>wài zī</t>
  </si>
  <si>
    <t>foreign capital</t>
  </si>
  <si>
    <t>完好</t>
  </si>
  <si>
    <t>wán hǎo</t>
  </si>
  <si>
    <t>Intact / Undamaged</t>
  </si>
  <si>
    <t>顽皮</t>
  </si>
  <si>
    <t>wán pí</t>
  </si>
  <si>
    <t>naughty</t>
  </si>
  <si>
    <t>玩耍</t>
  </si>
  <si>
    <t>wán shuǎ</t>
  </si>
  <si>
    <t>play / frolic</t>
  </si>
  <si>
    <t>丸子</t>
  </si>
  <si>
    <t>wán zi</t>
  </si>
  <si>
    <t>meatball</t>
  </si>
  <si>
    <t>挽</t>
  </si>
  <si>
    <t>Pull / Tug / Draw</t>
  </si>
  <si>
    <t>晚年</t>
  </si>
  <si>
    <t>wǎn nián</t>
  </si>
  <si>
    <t>Old age / later years</t>
  </si>
  <si>
    <t>晚期</t>
  </si>
  <si>
    <t>wǎn qī</t>
  </si>
  <si>
    <t>Late stage / final stage</t>
  </si>
  <si>
    <t>晚霞</t>
  </si>
  <si>
    <t>wǎn xiá</t>
  </si>
  <si>
    <t>sunset glow</t>
  </si>
  <si>
    <t>万能</t>
  </si>
  <si>
    <t>wàn néng</t>
  </si>
  <si>
    <t>Almighty</t>
  </si>
  <si>
    <t>万万</t>
  </si>
  <si>
    <t>wàn wàn</t>
  </si>
  <si>
    <t>Absolutely</t>
  </si>
  <si>
    <t>万无一失</t>
  </si>
  <si>
    <t>wàn wú yì shī</t>
  </si>
  <si>
    <t>Absolutely reliable / Without any risk of failure</t>
  </si>
  <si>
    <t>汪洋</t>
  </si>
  <si>
    <t>wāng yáng</t>
  </si>
  <si>
    <t>Vast expanse of water / ocean</t>
  </si>
  <si>
    <t>王朝</t>
  </si>
  <si>
    <t>wáng cháo</t>
  </si>
  <si>
    <t>王国</t>
  </si>
  <si>
    <t>wáng guó</t>
  </si>
  <si>
    <t>kingdom / realm</t>
  </si>
  <si>
    <t>王牌</t>
  </si>
  <si>
    <t>wáng pái</t>
  </si>
  <si>
    <t>trump card / ace</t>
  </si>
  <si>
    <t>亡羊补牢</t>
  </si>
  <si>
    <t>wáng yáng bǔ láo</t>
  </si>
  <si>
    <t>mend the fold after a sheep is lost / take remedial action</t>
  </si>
  <si>
    <t>网点</t>
  </si>
  <si>
    <t>wǎng diǎn</t>
  </si>
  <si>
    <t>Network point</t>
  </si>
  <si>
    <t>网民</t>
  </si>
  <si>
    <t>wǎng mín</t>
  </si>
  <si>
    <t>Netizen</t>
  </si>
  <si>
    <t>往日</t>
  </si>
  <si>
    <t>wǎng rì</t>
  </si>
  <si>
    <t>Former days / In the past</t>
  </si>
  <si>
    <t>旺</t>
  </si>
  <si>
    <t>wàng</t>
  </si>
  <si>
    <t>Prosperous / Flourishing</t>
  </si>
  <si>
    <t>旺季</t>
  </si>
  <si>
    <t>Peak season / boom season</t>
  </si>
  <si>
    <t>旺盛</t>
  </si>
  <si>
    <t>wàng shèng</t>
  </si>
  <si>
    <t>Flourishing / prosperous</t>
  </si>
  <si>
    <t>望远镜</t>
  </si>
  <si>
    <t>wàng yuǎn jìng</t>
  </si>
  <si>
    <t>Telescope</t>
  </si>
  <si>
    <t>微</t>
  </si>
  <si>
    <t>wēi</t>
  </si>
  <si>
    <t>slightly</t>
  </si>
  <si>
    <t>微波炉</t>
  </si>
  <si>
    <t>wēi bō lú</t>
  </si>
  <si>
    <t>microwave oven</t>
  </si>
  <si>
    <t>危及</t>
  </si>
  <si>
    <t>wēi jí</t>
  </si>
  <si>
    <t>Endanger / jeopardize</t>
  </si>
  <si>
    <t>危急</t>
  </si>
  <si>
    <t>Critical / perilous</t>
  </si>
  <si>
    <t>微妙</t>
  </si>
  <si>
    <t>wēi miào</t>
  </si>
  <si>
    <t>Subtle / Exquisite</t>
  </si>
  <si>
    <t>微弱</t>
  </si>
  <si>
    <t>wēi ruò</t>
  </si>
  <si>
    <t>Weak / Feeble</t>
  </si>
  <si>
    <t>威慑</t>
  </si>
  <si>
    <t>wēi shè</t>
  </si>
  <si>
    <t>Deterrence / intimidate</t>
  </si>
  <si>
    <t>微生物</t>
  </si>
  <si>
    <t>wēi shēng wù</t>
  </si>
  <si>
    <t>microorganism</t>
  </si>
  <si>
    <t>微微</t>
  </si>
  <si>
    <t>wēi wēi</t>
  </si>
  <si>
    <t>slight / slightly</t>
  </si>
  <si>
    <t>微型</t>
  </si>
  <si>
    <t>wēi xíng</t>
  </si>
  <si>
    <t>Miniature / Micro-</t>
  </si>
  <si>
    <t>唯</t>
  </si>
  <si>
    <t>wéi</t>
  </si>
  <si>
    <t>Only / Merely / Solely</t>
  </si>
  <si>
    <t>围观</t>
  </si>
  <si>
    <t>wéi guān</t>
  </si>
  <si>
    <t>gather to watch</t>
  </si>
  <si>
    <t>围墙</t>
  </si>
  <si>
    <t>wéi qiáng</t>
  </si>
  <si>
    <t>Enclosure wall / surrounding wall</t>
  </si>
  <si>
    <t>维权</t>
  </si>
  <si>
    <t>wéi quán</t>
  </si>
  <si>
    <t>defend rights</t>
  </si>
  <si>
    <t>为人</t>
  </si>
  <si>
    <t>wéi rén</t>
  </si>
  <si>
    <t>Be regarded as</t>
  </si>
  <si>
    <t>唯有</t>
  </si>
  <si>
    <t>wéi yǒu</t>
  </si>
  <si>
    <t>连、副</t>
  </si>
  <si>
    <t>违约</t>
  </si>
  <si>
    <t>wéi yuē</t>
  </si>
  <si>
    <t>Breach of contract</t>
  </si>
  <si>
    <t>违章</t>
  </si>
  <si>
    <t>wéi zhāng</t>
  </si>
  <si>
    <t>Violate regulations</t>
  </si>
  <si>
    <t>纬度</t>
  </si>
  <si>
    <t>wěi dù</t>
  </si>
  <si>
    <t>latitude</t>
  </si>
  <si>
    <t>尾气</t>
  </si>
  <si>
    <t>wěi qì</t>
  </si>
  <si>
    <t>Exhaust gas / Tail gas</t>
  </si>
  <si>
    <t>尾声</t>
  </si>
  <si>
    <t>wěi shēng</t>
  </si>
  <si>
    <t>Finale / Conclusion</t>
  </si>
  <si>
    <t>萎缩</t>
  </si>
  <si>
    <t>wěi suō</t>
  </si>
  <si>
    <t>Atrophy</t>
  </si>
  <si>
    <t>委婉</t>
  </si>
  <si>
    <t>wěi wǎn</t>
  </si>
  <si>
    <t>Polite and tactful</t>
  </si>
  <si>
    <t>委员会</t>
  </si>
  <si>
    <t>wěi yuán huì</t>
  </si>
  <si>
    <t>Committee</t>
  </si>
  <si>
    <t>伪装</t>
  </si>
  <si>
    <t>wěi zhuāng</t>
  </si>
  <si>
    <t>Disguise</t>
  </si>
  <si>
    <t>味精</t>
  </si>
  <si>
    <t>wèi jīng</t>
  </si>
  <si>
    <t>Monosodium glutamate (MSG)</t>
  </si>
  <si>
    <t>慰劳</t>
  </si>
  <si>
    <t>wèi láo</t>
  </si>
  <si>
    <t>Console / Comfort</t>
  </si>
  <si>
    <t>卫视</t>
  </si>
  <si>
    <t>wèi shì</t>
  </si>
  <si>
    <t>Satellite TV channel</t>
  </si>
  <si>
    <t>畏缩</t>
  </si>
  <si>
    <t>wèi suō</t>
  </si>
  <si>
    <t>flinch / shrink back</t>
  </si>
  <si>
    <t>喂养</t>
  </si>
  <si>
    <t>wèi yǎng</t>
  </si>
  <si>
    <t>Feed / nurture</t>
  </si>
  <si>
    <t>未知数</t>
  </si>
  <si>
    <t>wèi zhī shù</t>
  </si>
  <si>
    <t>Unknown / Variable</t>
  </si>
  <si>
    <t>位子</t>
  </si>
  <si>
    <t>wèi zi</t>
  </si>
  <si>
    <t>Seat</t>
  </si>
  <si>
    <t>温差</t>
  </si>
  <si>
    <t>wēn chà</t>
  </si>
  <si>
    <t>temperature difference</t>
  </si>
  <si>
    <t>温度计</t>
  </si>
  <si>
    <t>wēn dù jì</t>
  </si>
  <si>
    <t>Thermometer</t>
  </si>
  <si>
    <t>温泉</t>
  </si>
  <si>
    <t>wēn quán</t>
  </si>
  <si>
    <t>hot spring</t>
  </si>
  <si>
    <t>温室</t>
  </si>
  <si>
    <t>wēn shì</t>
  </si>
  <si>
    <t>greenhouse</t>
  </si>
  <si>
    <t>温习</t>
  </si>
  <si>
    <t>wēn xí</t>
  </si>
  <si>
    <t>review / revise</t>
  </si>
  <si>
    <t>温馨</t>
  </si>
  <si>
    <t>wēn xīn</t>
  </si>
  <si>
    <t>warm and sweet</t>
  </si>
  <si>
    <t>瘟疫</t>
  </si>
  <si>
    <t>wēn yì</t>
  </si>
  <si>
    <t>epidemic / plague</t>
  </si>
  <si>
    <t>文</t>
  </si>
  <si>
    <t>Writing / Literature</t>
  </si>
  <si>
    <t>文盲</t>
  </si>
  <si>
    <t>wén máng</t>
  </si>
  <si>
    <t>Illiterate person</t>
  </si>
  <si>
    <t>文人</t>
  </si>
  <si>
    <t>wén rén</t>
  </si>
  <si>
    <t>Literati / scholar</t>
  </si>
  <si>
    <t>蚊帐</t>
  </si>
  <si>
    <t>wén zhàng</t>
  </si>
  <si>
    <t>Mosquito net</t>
  </si>
  <si>
    <t>蚊子</t>
  </si>
  <si>
    <t>wén zi</t>
  </si>
  <si>
    <t>Mosquito</t>
  </si>
  <si>
    <t>稳</t>
  </si>
  <si>
    <t>stable ; stabilize</t>
  </si>
  <si>
    <t>稳固</t>
  </si>
  <si>
    <t>wěn gù</t>
  </si>
  <si>
    <t>stable / solid / stabilize</t>
  </si>
  <si>
    <t>吻合</t>
  </si>
  <si>
    <t>wěn hé</t>
  </si>
  <si>
    <t>Accord / coincide</t>
  </si>
  <si>
    <t>稳健</t>
  </si>
  <si>
    <t>wěn jiàn</t>
  </si>
  <si>
    <t>stable and robust</t>
  </si>
  <si>
    <t>紊乱</t>
  </si>
  <si>
    <t>wěn luàn</t>
  </si>
  <si>
    <t>disorder / chaos</t>
  </si>
  <si>
    <t>稳妥</t>
  </si>
  <si>
    <t>wěn tuǒ</t>
  </si>
  <si>
    <t>safe and sound / secure</t>
  </si>
  <si>
    <t>稳重</t>
  </si>
  <si>
    <t>wěn zhòng</t>
  </si>
  <si>
    <t>steady / sedate</t>
  </si>
  <si>
    <t>卧</t>
  </si>
  <si>
    <t>wò</t>
  </si>
  <si>
    <t>Lie / Lay down</t>
  </si>
  <si>
    <t>卧铺</t>
  </si>
  <si>
    <t>wò pù</t>
  </si>
  <si>
    <t>sleeper</t>
  </si>
  <si>
    <t>污秽</t>
  </si>
  <si>
    <t>wū huì</t>
  </si>
  <si>
    <t>Filthy / polluted</t>
  </si>
  <si>
    <t>屋檐</t>
  </si>
  <si>
    <t>wū yán</t>
  </si>
  <si>
    <t>eaves</t>
  </si>
  <si>
    <t>呜咽</t>
  </si>
  <si>
    <t>wū yè</t>
  </si>
  <si>
    <t>Sob / choke with sobs</t>
  </si>
  <si>
    <t>乌云</t>
  </si>
  <si>
    <t>wū yún</t>
  </si>
  <si>
    <t>dark cloud</t>
  </si>
  <si>
    <t>无边无际</t>
  </si>
  <si>
    <t>wú biān wú jì</t>
  </si>
  <si>
    <t>boundless</t>
  </si>
  <si>
    <t>无不</t>
  </si>
  <si>
    <t>wú bù</t>
  </si>
  <si>
    <t>Without exception / nothing but</t>
  </si>
  <si>
    <t>无从</t>
  </si>
  <si>
    <t>wú cóng</t>
  </si>
  <si>
    <t>have no way to</t>
  </si>
  <si>
    <t>无敌</t>
  </si>
  <si>
    <t>wú dí</t>
  </si>
  <si>
    <t>Invincible / unbeatable</t>
  </si>
  <si>
    <t>无故</t>
  </si>
  <si>
    <t>wú gù</t>
  </si>
  <si>
    <t>Without cause / without reason</t>
  </si>
  <si>
    <t>无关紧要</t>
  </si>
  <si>
    <t>wú guān jǐn yào</t>
  </si>
  <si>
    <t>of no importance / irrelevant</t>
  </si>
  <si>
    <t>无话可说</t>
  </si>
  <si>
    <t>wú huà kě shuō</t>
  </si>
  <si>
    <t>have nothing to say / speechless</t>
  </si>
  <si>
    <t>无济于事</t>
  </si>
  <si>
    <t>wú jì yú shì</t>
  </si>
  <si>
    <t>be of no avail / to no avail</t>
  </si>
  <si>
    <t>无家可归</t>
  </si>
  <si>
    <t>wú jiā kě guī</t>
  </si>
  <si>
    <t>homeless / without a place to go</t>
  </si>
  <si>
    <t>无价之宝</t>
  </si>
  <si>
    <t>wú jià zhī bǎo</t>
  </si>
  <si>
    <t>invaluable treasure</t>
  </si>
  <si>
    <t>无可厚非</t>
  </si>
  <si>
    <t>wú kě hòu fēi</t>
  </si>
  <si>
    <t>there is nothing wrong with it / it's understandable</t>
  </si>
  <si>
    <t>无可奈何</t>
  </si>
  <si>
    <t>wú kě nài hé</t>
  </si>
  <si>
    <t>helpless / have no alternative</t>
  </si>
  <si>
    <t>无理</t>
  </si>
  <si>
    <t>wú lǐ</t>
  </si>
  <si>
    <t>Unreasonable / irrational</t>
  </si>
  <si>
    <t>无力</t>
  </si>
  <si>
    <t>wú lì</t>
  </si>
  <si>
    <t>Powerless / impotent</t>
  </si>
  <si>
    <t>无论如何</t>
  </si>
  <si>
    <t>wú lùn rú hé</t>
  </si>
  <si>
    <t>no matter what / regardless of how</t>
  </si>
  <si>
    <t>无能</t>
  </si>
  <si>
    <t>wú néng</t>
  </si>
  <si>
    <t>Incapable / incompetent</t>
  </si>
  <si>
    <t>无情</t>
  </si>
  <si>
    <t>wú qíng</t>
  </si>
  <si>
    <t>Heartless / pitiless</t>
  </si>
  <si>
    <t>无穷</t>
  </si>
  <si>
    <t>wú qióng</t>
  </si>
  <si>
    <t>Infinite / boundless</t>
  </si>
  <si>
    <t>无私</t>
  </si>
  <si>
    <t>wú sī</t>
  </si>
  <si>
    <t>Selfless / unselfish</t>
  </si>
  <si>
    <t>无所事事</t>
  </si>
  <si>
    <t>wú suǒ shì shì</t>
  </si>
  <si>
    <t>have nothing to do / idle away one's time</t>
  </si>
  <si>
    <t>无所作为</t>
  </si>
  <si>
    <t>wú suǒ zuò wéi</t>
  </si>
  <si>
    <t>do nothing / be ineffective</t>
  </si>
  <si>
    <t>无条件</t>
  </si>
  <si>
    <t>wú tiáo jiàn</t>
  </si>
  <si>
    <t>Unconditionally</t>
  </si>
  <si>
    <t>无线</t>
  </si>
  <si>
    <t>wú xiàn</t>
  </si>
  <si>
    <t>Wireless</t>
  </si>
  <si>
    <t>无形</t>
  </si>
  <si>
    <t>wú xíng</t>
  </si>
  <si>
    <t>Intangible / invisible</t>
  </si>
  <si>
    <t>无须</t>
  </si>
  <si>
    <t>wú xū</t>
  </si>
  <si>
    <t>Need not / unnecessary</t>
  </si>
  <si>
    <t>无意</t>
  </si>
  <si>
    <t>wú yì</t>
  </si>
  <si>
    <t>Unintentional / inadvertent / unintentionally / inadvertently</t>
  </si>
  <si>
    <t>无缘</t>
  </si>
  <si>
    <t>wú yuán</t>
  </si>
  <si>
    <t>No opportunity / no fate with</t>
  </si>
  <si>
    <t>舞</t>
  </si>
  <si>
    <t>捂</t>
  </si>
  <si>
    <t>Cover / Seal / Muffle</t>
  </si>
  <si>
    <t>五官</t>
  </si>
  <si>
    <t>wǔ guān</t>
  </si>
  <si>
    <t>facial features</t>
  </si>
  <si>
    <t>五湖四海</t>
  </si>
  <si>
    <t>wǔ hú sì hǎi</t>
  </si>
  <si>
    <t>all corners of the country</t>
  </si>
  <si>
    <t>五花八门</t>
  </si>
  <si>
    <t>wǔ huā bā mén</t>
  </si>
  <si>
    <t>numerous and varied / all sorts of</t>
  </si>
  <si>
    <t>武力</t>
  </si>
  <si>
    <t>wǔ lì</t>
  </si>
  <si>
    <t>Military force / armed force</t>
  </si>
  <si>
    <t>误导</t>
  </si>
  <si>
    <t>wù dǎo</t>
  </si>
  <si>
    <t>Mislead</t>
  </si>
  <si>
    <t>务工</t>
  </si>
  <si>
    <t>wù gōng</t>
  </si>
  <si>
    <t>work</t>
  </si>
  <si>
    <t>物力</t>
  </si>
  <si>
    <t>wù lì</t>
  </si>
  <si>
    <t>material resources</t>
  </si>
  <si>
    <t>物流</t>
  </si>
  <si>
    <t>wù liú</t>
  </si>
  <si>
    <t>误区</t>
  </si>
  <si>
    <t>wù qū</t>
  </si>
  <si>
    <t>Misunderstanding</t>
  </si>
  <si>
    <t>物色</t>
  </si>
  <si>
    <t>wù sè</t>
  </si>
  <si>
    <t>look for</t>
  </si>
  <si>
    <t>务实</t>
  </si>
  <si>
    <t>wù shí</t>
  </si>
  <si>
    <t>Pragmatic / practical</t>
  </si>
  <si>
    <t>物证</t>
  </si>
  <si>
    <t>wù zhèng</t>
  </si>
  <si>
    <t>physical evidence</t>
  </si>
  <si>
    <t>物种</t>
  </si>
  <si>
    <t>wù zhǒng</t>
  </si>
  <si>
    <t>species</t>
  </si>
  <si>
    <t>稀</t>
  </si>
  <si>
    <t>Sparse / Thin</t>
  </si>
  <si>
    <t>吸毒</t>
  </si>
  <si>
    <t>xī dú</t>
  </si>
  <si>
    <t>take drugs</t>
  </si>
  <si>
    <t>稀罕</t>
  </si>
  <si>
    <t>xī han</t>
  </si>
  <si>
    <t>rare / uncommon</t>
  </si>
  <si>
    <t>熄火</t>
  </si>
  <si>
    <t>xī huǒ</t>
  </si>
  <si>
    <t>extinguish / put out (a fire)</t>
  </si>
  <si>
    <t>犀利</t>
  </si>
  <si>
    <t>xī lì</t>
  </si>
  <si>
    <t>sharp</t>
  </si>
  <si>
    <t>奚落</t>
  </si>
  <si>
    <t>xī luò</t>
  </si>
  <si>
    <t>ridicule</t>
  </si>
  <si>
    <t>吸纳</t>
  </si>
  <si>
    <t>xī nà</t>
  </si>
  <si>
    <t>Absorb / take in</t>
  </si>
  <si>
    <t>稀奇</t>
  </si>
  <si>
    <t>xī qí</t>
  </si>
  <si>
    <t>rare / unusual</t>
  </si>
  <si>
    <t>稀少</t>
  </si>
  <si>
    <t>xī shǎo</t>
  </si>
  <si>
    <t>rare / scarce</t>
  </si>
  <si>
    <t>熙熙攘攘</t>
  </si>
  <si>
    <t>xī xī rǎng rǎng</t>
  </si>
  <si>
    <t>Bustling with noise and excitement / Bustling with activity</t>
  </si>
  <si>
    <t>息息相关</t>
  </si>
  <si>
    <t>xī xī xiāng guān</t>
  </si>
  <si>
    <t>closely related / closely intertwined</t>
  </si>
  <si>
    <t>嬉笑</t>
  </si>
  <si>
    <t>xī xiào</t>
  </si>
  <si>
    <t>Laugh and joke</t>
  </si>
  <si>
    <t>稀有</t>
  </si>
  <si>
    <t>xī yǒu</t>
  </si>
  <si>
    <t>rare</t>
  </si>
  <si>
    <t>锡纸</t>
  </si>
  <si>
    <t>xī zhǐ</t>
  </si>
  <si>
    <t>tin foil</t>
  </si>
  <si>
    <t>席</t>
  </si>
  <si>
    <t>xí</t>
  </si>
  <si>
    <t>Seat / Mat / Bedspread</t>
  </si>
  <si>
    <t>席位</t>
  </si>
  <si>
    <t>xí wèi</t>
  </si>
  <si>
    <t>Seat / Berth</t>
  </si>
  <si>
    <t>喜出望外</t>
  </si>
  <si>
    <t>xǐ chū wàng wài</t>
  </si>
  <si>
    <t>extremely pleased / overjoyed</t>
  </si>
  <si>
    <t>洗涤</t>
  </si>
  <si>
    <t>xǐ dí</t>
  </si>
  <si>
    <t>wash</t>
  </si>
  <si>
    <t>喜好</t>
  </si>
  <si>
    <t>xǐ hào</t>
  </si>
  <si>
    <t>Preference / liking</t>
  </si>
  <si>
    <t>喜酒</t>
  </si>
  <si>
    <t>xǐ jiǔ</t>
  </si>
  <si>
    <t>Wedding wine / wedding banquet</t>
  </si>
  <si>
    <t>洗礼</t>
  </si>
  <si>
    <t>xǐ lǐ</t>
  </si>
  <si>
    <t>baptism / initiation</t>
  </si>
  <si>
    <t>喜怒哀乐</t>
  </si>
  <si>
    <t>xǐ nù āi lè</t>
  </si>
  <si>
    <t>joy / anger / sorrow / and happiness / the full range of emotions</t>
  </si>
  <si>
    <t>喜庆</t>
  </si>
  <si>
    <t>xǐ qìng</t>
  </si>
  <si>
    <t>Festive / joyful</t>
  </si>
  <si>
    <t>喜糖</t>
  </si>
  <si>
    <t>xǐ táng</t>
  </si>
  <si>
    <t>Wedding candies</t>
  </si>
  <si>
    <t>喜洋洋</t>
  </si>
  <si>
    <t>xǐ yáng yáng</t>
  </si>
  <si>
    <t>Full of joy / Beaming</t>
  </si>
  <si>
    <t>细腻</t>
  </si>
  <si>
    <t>xì nì</t>
  </si>
  <si>
    <t>fine / delicate</t>
  </si>
  <si>
    <t>细微</t>
  </si>
  <si>
    <t>xì wēi</t>
  </si>
  <si>
    <t>subtle / slight</t>
  </si>
  <si>
    <t>虾</t>
  </si>
  <si>
    <t>Shrimp</t>
  </si>
  <si>
    <t>瑕疵</t>
  </si>
  <si>
    <t>xiá cī</t>
  </si>
  <si>
    <t>flaw</t>
  </si>
  <si>
    <t>辖区</t>
  </si>
  <si>
    <t>xiá qū</t>
  </si>
  <si>
    <t>jurisdiction</t>
  </si>
  <si>
    <t>狭小</t>
  </si>
  <si>
    <t>xiá xiǎo</t>
  </si>
  <si>
    <t>small / narrow</t>
  </si>
  <si>
    <t>狭义</t>
  </si>
  <si>
    <t>xiá yì</t>
  </si>
  <si>
    <t>narrow sense</t>
  </si>
  <si>
    <t>下半场</t>
  </si>
  <si>
    <t>xià bàn chǎng</t>
  </si>
  <si>
    <t>second half</t>
  </si>
  <si>
    <t>下场</t>
  </si>
  <si>
    <t>xià chǎng</t>
  </si>
  <si>
    <t>Leave the field</t>
  </si>
  <si>
    <t>下达</t>
  </si>
  <si>
    <t>xià dá</t>
  </si>
  <si>
    <t>issue</t>
  </si>
  <si>
    <t>下跌</t>
  </si>
  <si>
    <t>xià diē</t>
  </si>
  <si>
    <t>Fall / decline</t>
  </si>
  <si>
    <t>吓唬</t>
  </si>
  <si>
    <t>xià hu</t>
  </si>
  <si>
    <t>Scare / intimidate</t>
  </si>
  <si>
    <t>下滑</t>
  </si>
  <si>
    <t>xià huá</t>
  </si>
  <si>
    <t>下级</t>
  </si>
  <si>
    <t>xià jí</t>
  </si>
  <si>
    <t>Lower level</t>
  </si>
  <si>
    <t>下令</t>
  </si>
  <si>
    <t>xià lìng</t>
  </si>
  <si>
    <t>Issue orders</t>
  </si>
  <si>
    <t>下落</t>
  </si>
  <si>
    <t>xià luò</t>
  </si>
  <si>
    <t>Whereabouts</t>
  </si>
  <si>
    <t>吓人</t>
  </si>
  <si>
    <t>xià rén</t>
  </si>
  <si>
    <t>Scary / frightening</t>
  </si>
  <si>
    <t>下手</t>
  </si>
  <si>
    <t>xià shǒu</t>
  </si>
  <si>
    <t>Start / make a move</t>
  </si>
  <si>
    <t>下台</t>
  </si>
  <si>
    <t>xià tái</t>
  </si>
  <si>
    <t>Step down / leave the stage</t>
  </si>
  <si>
    <t>下调</t>
  </si>
  <si>
    <t>xià tiáo</t>
  </si>
  <si>
    <t>Lower / reduce</t>
  </si>
  <si>
    <t>下行</t>
  </si>
  <si>
    <t>xià xíng</t>
  </si>
  <si>
    <t>descend</t>
  </si>
  <si>
    <t>下意识</t>
  </si>
  <si>
    <t>xià yì shí</t>
  </si>
  <si>
    <t>Subconsciously / Unconsciously</t>
  </si>
  <si>
    <t>下游</t>
  </si>
  <si>
    <t>xià yóu</t>
  </si>
  <si>
    <t>Downstream</t>
  </si>
  <si>
    <t>下坠</t>
  </si>
  <si>
    <t>xià zhuì</t>
  </si>
  <si>
    <t>Fall downward</t>
  </si>
  <si>
    <t>掀</t>
  </si>
  <si>
    <t>Lift / Raise / To start</t>
  </si>
  <si>
    <t>先锋</t>
  </si>
  <si>
    <t>xiān fēng</t>
  </si>
  <si>
    <t>pioneer</t>
  </si>
  <si>
    <t>仙鹤</t>
  </si>
  <si>
    <t>xiān hè</t>
  </si>
  <si>
    <t>Crane</t>
  </si>
  <si>
    <t>鲜活</t>
  </si>
  <si>
    <t>xiān huó</t>
  </si>
  <si>
    <t>Fresh / Alive</t>
  </si>
  <si>
    <t>先例</t>
  </si>
  <si>
    <t>xiān lì</t>
  </si>
  <si>
    <t>Precedent</t>
  </si>
  <si>
    <t>鲜美</t>
  </si>
  <si>
    <t>xiān měi</t>
  </si>
  <si>
    <t>Delicious / Tasty</t>
  </si>
  <si>
    <t>仙女</t>
  </si>
  <si>
    <t>xiān nǚ</t>
  </si>
  <si>
    <t>Fairy</t>
  </si>
  <si>
    <t>先天</t>
  </si>
  <si>
    <t>xiān tiān</t>
  </si>
  <si>
    <t>Innate</t>
  </si>
  <si>
    <t>鲜血</t>
  </si>
  <si>
    <t>xiān xuè</t>
  </si>
  <si>
    <t>Fresh blood</t>
  </si>
  <si>
    <t>嫌弃</t>
  </si>
  <si>
    <t>xián qì</t>
  </si>
  <si>
    <t>Reject / Disdain</t>
  </si>
  <si>
    <t>闲置</t>
  </si>
  <si>
    <t>xián zhì</t>
  </si>
  <si>
    <t>leave idle</t>
  </si>
  <si>
    <t>显而易见</t>
  </si>
  <si>
    <t>xiǎn ér yì jiàn</t>
  </si>
  <si>
    <t>obvious / evident</t>
  </si>
  <si>
    <t>显赫</t>
  </si>
  <si>
    <t>xiǎn hè</t>
  </si>
  <si>
    <t>Prominent / illustrious</t>
  </si>
  <si>
    <t>显露</t>
  </si>
  <si>
    <t>xiǎn lù</t>
  </si>
  <si>
    <t>reveal</t>
  </si>
  <si>
    <t>显示器</t>
  </si>
  <si>
    <t>xiǎn shì qì</t>
  </si>
  <si>
    <t>Monitor / Display screen</t>
  </si>
  <si>
    <t>显微镜</t>
  </si>
  <si>
    <t>xiǎn wēi jìng</t>
  </si>
  <si>
    <t>microscope</t>
  </si>
  <si>
    <t>鲜为人知</t>
  </si>
  <si>
    <t>xiǎn wéi rén zhī</t>
  </si>
  <si>
    <t>little-known</t>
  </si>
  <si>
    <t>显现</t>
  </si>
  <si>
    <t>xiǎn xiàn</t>
  </si>
  <si>
    <t>To appear / to emerge / to manifest</t>
  </si>
  <si>
    <t>显性</t>
  </si>
  <si>
    <t>xiǎn xìng</t>
  </si>
  <si>
    <t>dominant</t>
  </si>
  <si>
    <t>显眼</t>
  </si>
  <si>
    <t>xiǎn yǎn</t>
  </si>
  <si>
    <t>Conspicuous / eye-catching</t>
  </si>
  <si>
    <t>陷</t>
  </si>
  <si>
    <t>To trap / To fall into</t>
  </si>
  <si>
    <t>馅</t>
  </si>
  <si>
    <t>献</t>
  </si>
  <si>
    <t>offer</t>
  </si>
  <si>
    <t>限定</t>
  </si>
  <si>
    <t>xiàn dìng</t>
  </si>
  <si>
    <t>Limit / Define</t>
  </si>
  <si>
    <t>现任</t>
  </si>
  <si>
    <t>xiàn rèn</t>
  </si>
  <si>
    <t>incumbent / current</t>
  </si>
  <si>
    <t>线条</t>
  </si>
  <si>
    <t>xiàn tiáo</t>
  </si>
  <si>
    <t>line / contour</t>
  </si>
  <si>
    <t>现行</t>
  </si>
  <si>
    <t>xiàn xíng</t>
  </si>
  <si>
    <t>current / existing</t>
  </si>
  <si>
    <t>镶</t>
  </si>
  <si>
    <t>To inlay / To embed</t>
  </si>
  <si>
    <t>相伴</t>
  </si>
  <si>
    <t>xiāng bàn</t>
  </si>
  <si>
    <t>accompany / keep company</t>
  </si>
  <si>
    <t>相继</t>
  </si>
  <si>
    <t>xiāng jì</t>
  </si>
  <si>
    <t>successively / one after another</t>
  </si>
  <si>
    <t>相近</t>
  </si>
  <si>
    <t>xiāng jìn</t>
  </si>
  <si>
    <t>similar</t>
  </si>
  <si>
    <t>香料</t>
  </si>
  <si>
    <t>xiāng liào</t>
  </si>
  <si>
    <t>Spice / Seasoning</t>
  </si>
  <si>
    <t>乡亲</t>
  </si>
  <si>
    <t>xiāng qīn</t>
  </si>
  <si>
    <t>Fellow villager / Compatriot</t>
  </si>
  <si>
    <t>相识</t>
  </si>
  <si>
    <t>xiāng shí</t>
  </si>
  <si>
    <t>know each other / acquaintance</t>
  </si>
  <si>
    <t>相提并论</t>
  </si>
  <si>
    <t>xiāng tí bìng lùn</t>
  </si>
  <si>
    <t>Mention in the same breath / Treat as equals</t>
  </si>
  <si>
    <t>相通</t>
  </si>
  <si>
    <t>xiāng tōng</t>
  </si>
  <si>
    <t>communicate / be in agreement</t>
  </si>
  <si>
    <t>乡下</t>
  </si>
  <si>
    <t>xiāng xià</t>
  </si>
  <si>
    <t>Countryside / Rural area</t>
  </si>
  <si>
    <t>香油</t>
  </si>
  <si>
    <t>xiāng yóu</t>
  </si>
  <si>
    <t>Sesame oil</t>
  </si>
  <si>
    <t>相遇</t>
  </si>
  <si>
    <t>xiāng yù</t>
  </si>
  <si>
    <t>meet / encounter</t>
  </si>
  <si>
    <t>相约</t>
  </si>
  <si>
    <t>xiāng yuē</t>
  </si>
  <si>
    <t>make an appointment / agree to meet</t>
  </si>
  <si>
    <t>祥和</t>
  </si>
  <si>
    <t>xiáng hé</t>
  </si>
  <si>
    <t>peaceful / harmonious</t>
  </si>
  <si>
    <t>详尽</t>
  </si>
  <si>
    <t>xiáng jìn</t>
  </si>
  <si>
    <t>Detailed</t>
  </si>
  <si>
    <t>享</t>
  </si>
  <si>
    <t>Enjoy / Have the benefit of</t>
  </si>
  <si>
    <t>享用</t>
  </si>
  <si>
    <t>xiǎng yòng</t>
  </si>
  <si>
    <t>享有</t>
  </si>
  <si>
    <t>xiǎng yǒu</t>
  </si>
  <si>
    <t>Enjoy</t>
  </si>
  <si>
    <t>橡胶</t>
  </si>
  <si>
    <t>xiàng jiāo</t>
  </si>
  <si>
    <t>Rubber</t>
  </si>
  <si>
    <t>相貌</t>
  </si>
  <si>
    <t>xiàng mào</t>
  </si>
  <si>
    <t>像样</t>
  </si>
  <si>
    <t>xiàng yàng</t>
  </si>
  <si>
    <t>Decent</t>
  </si>
  <si>
    <t>消</t>
  </si>
  <si>
    <t>Consume / Disappear / Eliminate</t>
  </si>
  <si>
    <t>销</t>
  </si>
  <si>
    <t>To sell / To eliminate</t>
  </si>
  <si>
    <t>消沉</t>
  </si>
  <si>
    <t>xiāo chén</t>
  </si>
  <si>
    <t>depression / despondency</t>
  </si>
  <si>
    <t>消磨</t>
  </si>
  <si>
    <t>xiāo mó</t>
  </si>
  <si>
    <t>消遣</t>
  </si>
  <si>
    <t>xiāo qiǎn</t>
  </si>
  <si>
    <t>amusement / pastime</t>
  </si>
  <si>
    <t>萧条</t>
  </si>
  <si>
    <t>xiāo tiáo</t>
  </si>
  <si>
    <t>Depression</t>
  </si>
  <si>
    <t>嚣张</t>
  </si>
  <si>
    <t>xiāo zhāng</t>
  </si>
  <si>
    <t>arrogant</t>
  </si>
  <si>
    <t>小菜一碟</t>
  </si>
  <si>
    <t>xiǎo cài yī dié</t>
  </si>
  <si>
    <t>a piece of cake</t>
  </si>
  <si>
    <t>小丑</t>
  </si>
  <si>
    <t>xiǎo chǒu</t>
  </si>
  <si>
    <t>Clown / Buffoon</t>
  </si>
  <si>
    <t>小费</t>
  </si>
  <si>
    <t>xiǎo fèi</t>
  </si>
  <si>
    <t>tip</t>
  </si>
  <si>
    <t>小看</t>
  </si>
  <si>
    <t>xiǎo kàn</t>
  </si>
  <si>
    <t>Underestimate / Look down upon</t>
  </si>
  <si>
    <t>小康</t>
  </si>
  <si>
    <t>xiǎo kāng</t>
  </si>
  <si>
    <t>Moderately prosperous / Relatively affluent</t>
  </si>
  <si>
    <t>小品</t>
  </si>
  <si>
    <t>xiǎo pǐn</t>
  </si>
  <si>
    <t>Sketch / Short skit</t>
  </si>
  <si>
    <t>小人</t>
  </si>
  <si>
    <t>xiǎo rén</t>
  </si>
  <si>
    <t>Villain / Evil person</t>
  </si>
  <si>
    <t>小提琴</t>
  </si>
  <si>
    <t>xiǎo tí qín</t>
  </si>
  <si>
    <t>Violin</t>
  </si>
  <si>
    <t>效仿</t>
  </si>
  <si>
    <t>xiào fǎng</t>
  </si>
  <si>
    <t>To imitate / to emulate</t>
  </si>
  <si>
    <t>孝敬</t>
  </si>
  <si>
    <t>xiào jìng</t>
  </si>
  <si>
    <t>Show filial piety / Respect</t>
  </si>
  <si>
    <t>效力</t>
  </si>
  <si>
    <t>xiào lì</t>
  </si>
  <si>
    <t>Efficacy / effect</t>
  </si>
  <si>
    <t>邪</t>
  </si>
  <si>
    <t>Evil / Sinister</t>
  </si>
  <si>
    <t>挟持</t>
  </si>
  <si>
    <t>xié chí</t>
  </si>
  <si>
    <t>Hold hostage / Abduct</t>
  </si>
  <si>
    <t>协定</t>
  </si>
  <si>
    <t>xié dìng</t>
  </si>
  <si>
    <t>Agreement / pact</t>
  </si>
  <si>
    <t>邪恶</t>
  </si>
  <si>
    <t>xié è</t>
  </si>
  <si>
    <t>Evil</t>
  </si>
  <si>
    <t>携手</t>
  </si>
  <si>
    <t>xié shǒu</t>
  </si>
  <si>
    <t>Join hands / Work together</t>
  </si>
  <si>
    <t>协同</t>
  </si>
  <si>
    <t>xié tóng</t>
  </si>
  <si>
    <t>Cooperate / collaborate</t>
  </si>
  <si>
    <t>协作</t>
  </si>
  <si>
    <t>xié zuò</t>
  </si>
  <si>
    <t>写照</t>
  </si>
  <si>
    <t>xiě zhào</t>
  </si>
  <si>
    <t>Picture</t>
  </si>
  <si>
    <t>卸</t>
  </si>
  <si>
    <t>Unload / Remove / Discharge</t>
  </si>
  <si>
    <t>泄</t>
  </si>
  <si>
    <t>Leak / Discharge / Divulge</t>
  </si>
  <si>
    <t>泻</t>
  </si>
  <si>
    <t>Flow out / To drain / To diarrhea</t>
  </si>
  <si>
    <t>泄漏</t>
  </si>
  <si>
    <t>xiè lòu</t>
  </si>
  <si>
    <t>leak / disclosure</t>
  </si>
  <si>
    <t>泄密</t>
  </si>
  <si>
    <t>xiè mì</t>
  </si>
  <si>
    <t>leak secrets</t>
  </si>
  <si>
    <t>卸任</t>
  </si>
  <si>
    <t>xiè rèn</t>
  </si>
  <si>
    <t>leave office</t>
  </si>
  <si>
    <t>卸载</t>
  </si>
  <si>
    <t>xiè zǎi</t>
  </si>
  <si>
    <t>uninstall</t>
  </si>
  <si>
    <t>心安理得</t>
  </si>
  <si>
    <t>xīn ān lǐ dé</t>
  </si>
  <si>
    <t>feel justified and at ease / feel morally justified</t>
  </si>
  <si>
    <t>心病</t>
  </si>
  <si>
    <t>xīn bìng</t>
  </si>
  <si>
    <t>Mental ailment / Worry</t>
  </si>
  <si>
    <t>心肠</t>
  </si>
  <si>
    <t>xīn cháng</t>
  </si>
  <si>
    <t>Heart / Feelings</t>
  </si>
  <si>
    <t>新潮</t>
  </si>
  <si>
    <t>xīn cháo</t>
  </si>
  <si>
    <t>New wave / fashionable</t>
  </si>
  <si>
    <t>薪酬</t>
  </si>
  <si>
    <t>xīn chóu</t>
  </si>
  <si>
    <t>salary</t>
  </si>
  <si>
    <t>新春</t>
  </si>
  <si>
    <t>xīn chūn</t>
  </si>
  <si>
    <t>Spring Festival</t>
  </si>
  <si>
    <t>心慌</t>
  </si>
  <si>
    <t>xīn huāng</t>
  </si>
  <si>
    <t>Anxious / Nervous</t>
  </si>
  <si>
    <t>心急如焚</t>
  </si>
  <si>
    <t>xīn jí rú fén</t>
  </si>
  <si>
    <t>be extremely anxious / be in a great hurry</t>
  </si>
  <si>
    <t>心灵手巧</t>
  </si>
  <si>
    <t>xīn líng shǒu qiǎo</t>
  </si>
  <si>
    <t>dexterous / skillful</t>
  </si>
  <si>
    <t>芯片</t>
  </si>
  <si>
    <t>xīn piàn</t>
  </si>
  <si>
    <t>Chip</t>
  </si>
  <si>
    <t>新奇</t>
  </si>
  <si>
    <t>xīn qí</t>
  </si>
  <si>
    <t>Novel / new and strange</t>
  </si>
  <si>
    <t>心声</t>
  </si>
  <si>
    <t>xīn shēng</t>
  </si>
  <si>
    <t>Inner voice / Sincerity</t>
  </si>
  <si>
    <t>新生</t>
  </si>
  <si>
    <t>Newborn / new student</t>
  </si>
  <si>
    <t>心事</t>
  </si>
  <si>
    <t>xīn shì</t>
  </si>
  <si>
    <t>Worry / Trouble on one's mind</t>
  </si>
  <si>
    <t>新式</t>
  </si>
  <si>
    <t>New type / new style</t>
  </si>
  <si>
    <t>新手</t>
  </si>
  <si>
    <t>xīn shǒu</t>
  </si>
  <si>
    <t>Novice / beginner</t>
  </si>
  <si>
    <t>心思</t>
  </si>
  <si>
    <t>xīn si</t>
  </si>
  <si>
    <t>心酸</t>
  </si>
  <si>
    <t>xīn suān</t>
  </si>
  <si>
    <t>Heartbroken / Sore at heart</t>
  </si>
  <si>
    <t>辛酸</t>
  </si>
  <si>
    <t>Bitter</t>
  </si>
  <si>
    <t>欣喜</t>
  </si>
  <si>
    <t>xīn xǐ</t>
  </si>
  <si>
    <t>Delighted / pleased</t>
  </si>
  <si>
    <t>心想事成</t>
  </si>
  <si>
    <t>xīn xiǎng shì chéng</t>
  </si>
  <si>
    <t>may all your wishes come true / wish for success in everything</t>
  </si>
  <si>
    <t>心胸</t>
  </si>
  <si>
    <t>xīn xiōng</t>
  </si>
  <si>
    <t>Mind / Heart</t>
  </si>
  <si>
    <t>心意</t>
  </si>
  <si>
    <t>xīn yì</t>
  </si>
  <si>
    <t>Intention / Goodwill</t>
  </si>
  <si>
    <t>信贷</t>
  </si>
  <si>
    <t>xìn dài</t>
  </si>
  <si>
    <t>Credit</t>
  </si>
  <si>
    <t>信件</t>
  </si>
  <si>
    <t>xìn jiàn</t>
  </si>
  <si>
    <t>Letter</t>
  </si>
  <si>
    <t>兴奋剂</t>
  </si>
  <si>
    <t>xīng fèn jì</t>
  </si>
  <si>
    <t>Stimulant / Excitement agent</t>
  </si>
  <si>
    <t>星级</t>
  </si>
  <si>
    <t>xīng jí</t>
  </si>
  <si>
    <t>star rating ; star-rated</t>
  </si>
  <si>
    <t>兴建</t>
  </si>
  <si>
    <t>xīng jiàn</t>
  </si>
  <si>
    <t>Construct</t>
  </si>
  <si>
    <t>星球</t>
  </si>
  <si>
    <t>xīng qiú</t>
  </si>
  <si>
    <t>planet</t>
  </si>
  <si>
    <t>兴盛</t>
  </si>
  <si>
    <t>xīng shèng</t>
  </si>
  <si>
    <t>prosperous</t>
  </si>
  <si>
    <t>星系</t>
  </si>
  <si>
    <t>xīng xì</t>
  </si>
  <si>
    <t>galaxy</t>
  </si>
  <si>
    <t>猩猩</t>
  </si>
  <si>
    <t>xīng xing</t>
  </si>
  <si>
    <t>chimpanzee</t>
  </si>
  <si>
    <t>星座</t>
  </si>
  <si>
    <t>xīng zuò</t>
  </si>
  <si>
    <t>Constellation / zodiac</t>
  </si>
  <si>
    <t>刑法</t>
  </si>
  <si>
    <t>xíng fǎ</t>
  </si>
  <si>
    <t>Criminal law</t>
  </si>
  <si>
    <t>行使</t>
  </si>
  <si>
    <t>xíng shǐ</t>
  </si>
  <si>
    <t>Exercise</t>
  </si>
  <si>
    <t>行星</t>
  </si>
  <si>
    <t>xíng xīng</t>
  </si>
  <si>
    <t>形形色色</t>
  </si>
  <si>
    <t>xíng xíng sè sè</t>
  </si>
  <si>
    <t>all kinds of / of all descriptions</t>
  </si>
  <si>
    <t>形影不离</t>
  </si>
  <si>
    <t>xíng yǐng bù lí</t>
  </si>
  <si>
    <t>inseparable / always together</t>
  </si>
  <si>
    <t>醒目</t>
  </si>
  <si>
    <t>xǐng mù</t>
  </si>
  <si>
    <t>Striking / Eye-catching</t>
  </si>
  <si>
    <t>醒悟</t>
  </si>
  <si>
    <t>xǐng wù</t>
  </si>
  <si>
    <t>Awaken to / Realize</t>
  </si>
  <si>
    <t>幸存</t>
  </si>
  <si>
    <t>xìng cún</t>
  </si>
  <si>
    <t>Survive / Be alive</t>
  </si>
  <si>
    <t>幸好</t>
  </si>
  <si>
    <t>xìng hǎo</t>
  </si>
  <si>
    <t>Fortunately / Luckily</t>
  </si>
  <si>
    <t>幸免</t>
  </si>
  <si>
    <t>xìng miǎn</t>
  </si>
  <si>
    <t>Escape unharmed / Be spared</t>
  </si>
  <si>
    <t>性情</t>
  </si>
  <si>
    <t>xìng qíng</t>
  </si>
  <si>
    <t>Temperament / Disposition</t>
  </si>
  <si>
    <t>姓氏</t>
  </si>
  <si>
    <t>xìng shì</t>
  </si>
  <si>
    <t>Surname / family name</t>
  </si>
  <si>
    <t>兴致</t>
  </si>
  <si>
    <t>Interest</t>
  </si>
  <si>
    <t>凶</t>
  </si>
  <si>
    <t>凶残</t>
  </si>
  <si>
    <t>xiōng cán</t>
  </si>
  <si>
    <t>Brutal</t>
  </si>
  <si>
    <t>凶狠</t>
  </si>
  <si>
    <t>xiōng hěn</t>
  </si>
  <si>
    <t>Fierce</t>
  </si>
  <si>
    <t>凶猛</t>
  </si>
  <si>
    <t>xiōng měng</t>
  </si>
  <si>
    <t>Savage</t>
  </si>
  <si>
    <t>胸有成竹</t>
  </si>
  <si>
    <t>xiōng yǒu chéng zhú</t>
  </si>
  <si>
    <t>Have a well-thought-out plan / Be confident of success</t>
  </si>
  <si>
    <t>雄性</t>
  </si>
  <si>
    <t>xióng xìng</t>
  </si>
  <si>
    <t>修补</t>
  </si>
  <si>
    <t>xiū bǔ</t>
  </si>
  <si>
    <t>Mend</t>
  </si>
  <si>
    <t>修长</t>
  </si>
  <si>
    <t>xiū cháng</t>
  </si>
  <si>
    <t>Long</t>
  </si>
  <si>
    <t>休克</t>
  </si>
  <si>
    <t>xiū kè</t>
  </si>
  <si>
    <t>Shock</t>
  </si>
  <si>
    <t>羞愧</t>
  </si>
  <si>
    <t>xiū kuì</t>
  </si>
  <si>
    <t>Ashamed</t>
  </si>
  <si>
    <t>休眠</t>
  </si>
  <si>
    <t>xiū mián</t>
  </si>
  <si>
    <t>Dormant</t>
  </si>
  <si>
    <t>休想</t>
  </si>
  <si>
    <t>xiū xiǎng</t>
  </si>
  <si>
    <t>Don't even think about it</t>
  </si>
  <si>
    <t>休养</t>
  </si>
  <si>
    <t>Recuperate</t>
  </si>
  <si>
    <t>修正</t>
  </si>
  <si>
    <t>xiū zhèng</t>
  </si>
  <si>
    <t>Correct</t>
  </si>
  <si>
    <t>锈</t>
  </si>
  <si>
    <t>Rust / To rust</t>
  </si>
  <si>
    <t>嗅</t>
  </si>
  <si>
    <t>smell</t>
  </si>
  <si>
    <t>秀丽</t>
  </si>
  <si>
    <t>xiù lì</t>
  </si>
  <si>
    <t>beautiful / graceful</t>
  </si>
  <si>
    <t>秀美</t>
  </si>
  <si>
    <t>xiù měi</t>
  </si>
  <si>
    <t>beautiful / attractive</t>
  </si>
  <si>
    <t>袖手旁观</t>
  </si>
  <si>
    <t>xiù shǒu páng guān</t>
  </si>
  <si>
    <t>Stand by and watch / Stand aloof</t>
  </si>
  <si>
    <t>袖珍</t>
  </si>
  <si>
    <t>xiù zhēn</t>
  </si>
  <si>
    <t>pocket-sized</t>
  </si>
  <si>
    <t>虚</t>
  </si>
  <si>
    <t>xū</t>
  </si>
  <si>
    <t>Empty / False / Virtually</t>
  </si>
  <si>
    <t>须</t>
  </si>
  <si>
    <t>Must / Need / Beard</t>
  </si>
  <si>
    <t>虚构</t>
  </si>
  <si>
    <t>xū gòu</t>
  </si>
  <si>
    <t>虚幻</t>
  </si>
  <si>
    <t>xū huàn</t>
  </si>
  <si>
    <t>Illusory</t>
  </si>
  <si>
    <t>虚拟</t>
  </si>
  <si>
    <t>xū nǐ</t>
  </si>
  <si>
    <t>Virtual</t>
  </si>
  <si>
    <t>虚弱</t>
  </si>
  <si>
    <t>xū ruò</t>
  </si>
  <si>
    <t>徐徐</t>
  </si>
  <si>
    <t>xú xú</t>
  </si>
  <si>
    <t>Slowly / Gradually</t>
  </si>
  <si>
    <t>许</t>
  </si>
  <si>
    <t>xǔ</t>
  </si>
  <si>
    <t>To permit / To allow / Perhaps</t>
  </si>
  <si>
    <t>许愿</t>
  </si>
  <si>
    <t>xǔ yuàn</t>
  </si>
  <si>
    <t>make a wish</t>
  </si>
  <si>
    <t>序</t>
  </si>
  <si>
    <t>xù</t>
  </si>
  <si>
    <t>Preface / Sequence / Order</t>
  </si>
  <si>
    <t>续</t>
  </si>
  <si>
    <t>To continue / To replenish</t>
  </si>
  <si>
    <t>絮叨</t>
  </si>
  <si>
    <t>xù dao</t>
  </si>
  <si>
    <t>talkative / garrulous</t>
  </si>
  <si>
    <t>续航</t>
  </si>
  <si>
    <t>xù háng</t>
  </si>
  <si>
    <t>extend battery life</t>
  </si>
  <si>
    <t>序列</t>
  </si>
  <si>
    <t>xù liè</t>
  </si>
  <si>
    <t>序幕</t>
  </si>
  <si>
    <t>Opening scene / Prologue</t>
  </si>
  <si>
    <t>旭日</t>
  </si>
  <si>
    <t>xù rì</t>
  </si>
  <si>
    <t>Rising sun / dawn</t>
  </si>
  <si>
    <t>宣称</t>
  </si>
  <si>
    <t>xuān chēng</t>
  </si>
  <si>
    <t>Claim / Proclaim</t>
  </si>
  <si>
    <t>宣读</t>
  </si>
  <si>
    <t>xuān dú</t>
  </si>
  <si>
    <t>Read out loud</t>
  </si>
  <si>
    <t>宣告</t>
  </si>
  <si>
    <t>xuān gào</t>
  </si>
  <si>
    <t>Declare / Proclaim</t>
  </si>
  <si>
    <t>喧闹</t>
  </si>
  <si>
    <t>xuān nào</t>
  </si>
  <si>
    <t>Noisy / bustling</t>
  </si>
  <si>
    <t>宣泄</t>
  </si>
  <si>
    <t>xuān xiè</t>
  </si>
  <si>
    <t>Vent / Let out</t>
  </si>
  <si>
    <t>宣言</t>
  </si>
  <si>
    <t>xuān yán</t>
  </si>
  <si>
    <t>Declaration / Proclamation</t>
  </si>
  <si>
    <t>玄</t>
  </si>
  <si>
    <t>xuán</t>
  </si>
  <si>
    <t>Profound / Mysterious</t>
  </si>
  <si>
    <t>悬</t>
  </si>
  <si>
    <t>hang</t>
  </si>
  <si>
    <t>玄机</t>
  </si>
  <si>
    <t>xuán jī</t>
  </si>
  <si>
    <t>mystery / secret</t>
  </si>
  <si>
    <t>旋涡</t>
  </si>
  <si>
    <t>xuán wō</t>
  </si>
  <si>
    <t>Vortex / whirlpool</t>
  </si>
  <si>
    <t>悬崖</t>
  </si>
  <si>
    <t>xuán yá</t>
  </si>
  <si>
    <t>Cliff / Precipice</t>
  </si>
  <si>
    <t>选民</t>
  </si>
  <si>
    <t>xuǎn mín</t>
  </si>
  <si>
    <t>Electorate</t>
  </si>
  <si>
    <t>选项</t>
  </si>
  <si>
    <t>xuǎn xiàng</t>
  </si>
  <si>
    <t>Option</t>
  </si>
  <si>
    <t>选用</t>
  </si>
  <si>
    <t>xuǎn yòng</t>
  </si>
  <si>
    <t>Select and use</t>
  </si>
  <si>
    <t>削减</t>
  </si>
  <si>
    <t>xuē jiǎn</t>
  </si>
  <si>
    <t>靴子</t>
  </si>
  <si>
    <t>xuē zi</t>
  </si>
  <si>
    <t>Boot / Shoe</t>
  </si>
  <si>
    <t>学识</t>
  </si>
  <si>
    <t>xué shí</t>
  </si>
  <si>
    <t>学士</t>
  </si>
  <si>
    <t>xué shì</t>
  </si>
  <si>
    <t>Bachelor's degree</t>
  </si>
  <si>
    <t>穴位</t>
  </si>
  <si>
    <t>acupoint</t>
  </si>
  <si>
    <t>学业</t>
  </si>
  <si>
    <t>xué yè</t>
  </si>
  <si>
    <t>Academic study / Learning</t>
  </si>
  <si>
    <t>学子</t>
  </si>
  <si>
    <t>xué zǐ</t>
  </si>
  <si>
    <t>Students / Scholars</t>
  </si>
  <si>
    <t>雪山</t>
  </si>
  <si>
    <t>xuě shān</t>
  </si>
  <si>
    <t>Snowy mountain</t>
  </si>
  <si>
    <t>血脉</t>
  </si>
  <si>
    <t>xuè mài</t>
  </si>
  <si>
    <t>Blood vessels</t>
  </si>
  <si>
    <t>血缘</t>
  </si>
  <si>
    <t>xuè yuán</t>
  </si>
  <si>
    <t>Blood relation</t>
  </si>
  <si>
    <t>熏</t>
  </si>
  <si>
    <t>xūn</t>
  </si>
  <si>
    <t>Smoke / Fumigate / Cure (meat)</t>
  </si>
  <si>
    <t>勋章</t>
  </si>
  <si>
    <t>xūn zhāng</t>
  </si>
  <si>
    <t>Medal / badge of honor</t>
  </si>
  <si>
    <t>寻</t>
  </si>
  <si>
    <t>xún</t>
  </si>
  <si>
    <t>Seek / Search for</t>
  </si>
  <si>
    <t>旬</t>
  </si>
  <si>
    <t>ten-day period</t>
  </si>
  <si>
    <t>寻常</t>
  </si>
  <si>
    <t>xún cháng</t>
  </si>
  <si>
    <t>Common / Ordinary</t>
  </si>
  <si>
    <t>巡回</t>
  </si>
  <si>
    <t>xún huí</t>
  </si>
  <si>
    <t>tour</t>
  </si>
  <si>
    <t>巡视</t>
  </si>
  <si>
    <t>xún shì</t>
  </si>
  <si>
    <t>patrol</t>
  </si>
  <si>
    <t>训</t>
  </si>
  <si>
    <t>xùn</t>
  </si>
  <si>
    <t>To instruct / To teach</t>
  </si>
  <si>
    <t>驯</t>
  </si>
  <si>
    <t>To tame / To train</t>
  </si>
  <si>
    <t>迅猛</t>
  </si>
  <si>
    <t>xùn měng</t>
  </si>
  <si>
    <t>rapid</t>
  </si>
  <si>
    <t>逊色</t>
  </si>
  <si>
    <t>xùn sè</t>
  </si>
  <si>
    <t>Inferior</t>
  </si>
  <si>
    <t>押</t>
  </si>
  <si>
    <t>yā</t>
  </si>
  <si>
    <t>Press / Detain / Mortgage</t>
  </si>
  <si>
    <t>压倒</t>
  </si>
  <si>
    <t>yā dǎo</t>
  </si>
  <si>
    <t>Overwhelm / outweigh</t>
  </si>
  <si>
    <t>丫头</t>
  </si>
  <si>
    <t>yā tou</t>
  </si>
  <si>
    <t>Maid</t>
  </si>
  <si>
    <t>压轴</t>
  </si>
  <si>
    <t>yā zhòu</t>
  </si>
  <si>
    <t>serve as the grand finale</t>
  </si>
  <si>
    <t>芽</t>
  </si>
  <si>
    <t>yá</t>
  </si>
  <si>
    <t>哑</t>
  </si>
  <si>
    <t>yǎ</t>
  </si>
  <si>
    <t>Mute / Hoarse</t>
  </si>
  <si>
    <t>揠苗助长</t>
  </si>
  <si>
    <t>yà miáo zhù zhǎng</t>
  </si>
  <si>
    <t>spoil things by excessive eagerness</t>
  </si>
  <si>
    <t>烟囱</t>
  </si>
  <si>
    <t>yān cōng</t>
  </si>
  <si>
    <t>chimney</t>
  </si>
  <si>
    <t>咽喉</t>
  </si>
  <si>
    <t>yān hóu</t>
  </si>
  <si>
    <t>Throat / pharynx</t>
  </si>
  <si>
    <t>烟花</t>
  </si>
  <si>
    <t>yān huā</t>
  </si>
  <si>
    <t>烟火</t>
  </si>
  <si>
    <t>yān huǒ</t>
  </si>
  <si>
    <t>fireworks / firecrackers</t>
  </si>
  <si>
    <t>延</t>
  </si>
  <si>
    <t>Extend / Prolong / Delay</t>
  </si>
  <si>
    <t>沿岸</t>
  </si>
  <si>
    <t>yán àn</t>
  </si>
  <si>
    <t>coastline / shore</t>
  </si>
  <si>
    <t>言辞</t>
  </si>
  <si>
    <t>yán cí</t>
  </si>
  <si>
    <t>Wording</t>
  </si>
  <si>
    <t>延缓</t>
  </si>
  <si>
    <t>yán huǎn</t>
  </si>
  <si>
    <t>Delay / Postpone</t>
  </si>
  <si>
    <t>严谨</t>
  </si>
  <si>
    <t>yán jǐn</t>
  </si>
  <si>
    <t>Strict</t>
  </si>
  <si>
    <t>沿途</t>
  </si>
  <si>
    <t>yán tú</t>
  </si>
  <si>
    <t>along the way</t>
  </si>
  <si>
    <t>阎王</t>
  </si>
  <si>
    <t>Yán wang</t>
  </si>
  <si>
    <t>King Yan / King of Hell</t>
  </si>
  <si>
    <t>延误</t>
  </si>
  <si>
    <t>yán wù</t>
  </si>
  <si>
    <t>沿线</t>
  </si>
  <si>
    <t>yán xiàn</t>
  </si>
  <si>
    <t>along the route</t>
  </si>
  <si>
    <t>言行</t>
  </si>
  <si>
    <t>yán xíng</t>
  </si>
  <si>
    <t>Words and deeds</t>
  </si>
  <si>
    <t>沿用</t>
  </si>
  <si>
    <t>yán yòng</t>
  </si>
  <si>
    <t>continue to use</t>
  </si>
  <si>
    <t>掩耳盗铃</t>
  </si>
  <si>
    <t>yǎn ěr dào líng</t>
  </si>
  <si>
    <t>deceive oneself</t>
  </si>
  <si>
    <t>眼红</t>
  </si>
  <si>
    <t>yǎn hóng</t>
  </si>
  <si>
    <t>envious / green-eyed</t>
  </si>
  <si>
    <t>演化</t>
  </si>
  <si>
    <t>yǎn huà</t>
  </si>
  <si>
    <t>evolve</t>
  </si>
  <si>
    <t>演技</t>
  </si>
  <si>
    <t>yǎn jì</t>
  </si>
  <si>
    <t>acting skills</t>
  </si>
  <si>
    <t>眼界</t>
  </si>
  <si>
    <t>yǎn jiè</t>
  </si>
  <si>
    <t>horizon / outlook</t>
  </si>
  <si>
    <t>演练</t>
  </si>
  <si>
    <t>yǎn liàn</t>
  </si>
  <si>
    <t>rehearse / drill</t>
  </si>
  <si>
    <t>衍生</t>
  </si>
  <si>
    <t>yǎn shēng</t>
  </si>
  <si>
    <t>Derive</t>
  </si>
  <si>
    <t>演示</t>
  </si>
  <si>
    <t>demonstrate / demonstration</t>
  </si>
  <si>
    <t>演说</t>
  </si>
  <si>
    <t>yǎn shuō</t>
  </si>
  <si>
    <t>speech / oration / address</t>
  </si>
  <si>
    <t>眼下</t>
  </si>
  <si>
    <t>yǎn xià</t>
  </si>
  <si>
    <t>currently / presently</t>
  </si>
  <si>
    <t>咽</t>
  </si>
  <si>
    <t>yàn</t>
  </si>
  <si>
    <t>Swallow / Choke</t>
  </si>
  <si>
    <t>验</t>
  </si>
  <si>
    <t>To verify / To check</t>
  </si>
  <si>
    <t>厌烦</t>
  </si>
  <si>
    <t>yàn fán</t>
  </si>
  <si>
    <t>Annoyed / bored</t>
  </si>
  <si>
    <t>厌倦</t>
  </si>
  <si>
    <t>yàn juàn</t>
  </si>
  <si>
    <t>Be tired of / be weary of</t>
  </si>
  <si>
    <t>艳丽</t>
  </si>
  <si>
    <t>yàn lì</t>
  </si>
  <si>
    <t>Gorgeous</t>
  </si>
  <si>
    <t>燕子</t>
  </si>
  <si>
    <t>yàn zi</t>
  </si>
  <si>
    <t>swallow (bird)</t>
  </si>
  <si>
    <t>秧歌</t>
  </si>
  <si>
    <t>yāng ge</t>
  </si>
  <si>
    <t>yangge dance</t>
  </si>
  <si>
    <t>扬</t>
  </si>
  <si>
    <t>yáng</t>
  </si>
  <si>
    <t>Raise / Hoist / Flaunt</t>
  </si>
  <si>
    <t>阳历</t>
  </si>
  <si>
    <t>yáng lì</t>
  </si>
  <si>
    <t>solar calendar</t>
  </si>
  <si>
    <t>杨树</t>
  </si>
  <si>
    <t>yáng shù</t>
  </si>
  <si>
    <t>Poplar tree</t>
  </si>
  <si>
    <t>阳性</t>
  </si>
  <si>
    <t>yáng xìng</t>
  </si>
  <si>
    <t>Positive (medical test)</t>
  </si>
  <si>
    <t>洋溢</t>
  </si>
  <si>
    <t>yáng yì</t>
  </si>
  <si>
    <t>brimming / overflowing with</t>
  </si>
  <si>
    <t>养活</t>
  </si>
  <si>
    <t>yǎng huo</t>
  </si>
  <si>
    <t>养生</t>
  </si>
  <si>
    <t>yǎng shēng</t>
  </si>
  <si>
    <t>Keep fit</t>
  </si>
  <si>
    <t>仰望</t>
  </si>
  <si>
    <t>yǎng wàng</t>
  </si>
  <si>
    <t>look up at</t>
  </si>
  <si>
    <t>养育</t>
  </si>
  <si>
    <t>yǎng yù</t>
  </si>
  <si>
    <t>养殖</t>
  </si>
  <si>
    <t>yǎng zhí</t>
  </si>
  <si>
    <t>Breed</t>
  </si>
  <si>
    <t>样本</t>
  </si>
  <si>
    <t>yàng běn</t>
  </si>
  <si>
    <t>Sample / specimen</t>
  </si>
  <si>
    <t>邀</t>
  </si>
  <si>
    <t>To invite / To ask</t>
  </si>
  <si>
    <t>妖怪</t>
  </si>
  <si>
    <t>yāo guài</t>
  </si>
  <si>
    <t>Monster / demon</t>
  </si>
  <si>
    <t>要好</t>
  </si>
  <si>
    <t>yāo hǎo</t>
  </si>
  <si>
    <t>close</t>
  </si>
  <si>
    <t>窑</t>
  </si>
  <si>
    <t>Kiln / Furnace</t>
  </si>
  <si>
    <t>摇晃</t>
  </si>
  <si>
    <t>yáo huàng</t>
  </si>
  <si>
    <t>Sway / Shake</t>
  </si>
  <si>
    <t>摇篮</t>
  </si>
  <si>
    <t>yáo lán</t>
  </si>
  <si>
    <t>Cradle / Cot</t>
  </si>
  <si>
    <t>摇摇欲坠</t>
  </si>
  <si>
    <t>yáo yáo yù zhuì</t>
  </si>
  <si>
    <t>on the verge of collapse / tottering</t>
  </si>
  <si>
    <t>药材</t>
  </si>
  <si>
    <t>yào cái</t>
  </si>
  <si>
    <t>Medicinal material</t>
  </si>
  <si>
    <t>药方</t>
  </si>
  <si>
    <t>yào fāng</t>
  </si>
  <si>
    <t>Prescription</t>
  </si>
  <si>
    <t>要害</t>
  </si>
  <si>
    <t>yào hài</t>
  </si>
  <si>
    <t>Key</t>
  </si>
  <si>
    <t>要紧</t>
  </si>
  <si>
    <t>yào jǐn</t>
  </si>
  <si>
    <t>Important</t>
  </si>
  <si>
    <t>要领</t>
  </si>
  <si>
    <t>yào lǐng</t>
  </si>
  <si>
    <t>Key points</t>
  </si>
  <si>
    <t>要强</t>
  </si>
  <si>
    <t>yào qiáng</t>
  </si>
  <si>
    <t>Strong-willed</t>
  </si>
  <si>
    <t>椰子</t>
  </si>
  <si>
    <t>yē zi</t>
  </si>
  <si>
    <t>Coconut</t>
  </si>
  <si>
    <t>野餐</t>
  </si>
  <si>
    <t>yě cān</t>
  </si>
  <si>
    <t>Picnic</t>
  </si>
  <si>
    <t>野兽</t>
  </si>
  <si>
    <t>yě shòu</t>
  </si>
  <si>
    <t>Beast / Wild animal</t>
  </si>
  <si>
    <t>夜班</t>
  </si>
  <si>
    <t>yè bān</t>
  </si>
  <si>
    <t>Night shift / graveyard shift</t>
  </si>
  <si>
    <t>业绩</t>
  </si>
  <si>
    <t>yè jì</t>
  </si>
  <si>
    <t>Performance</t>
  </si>
  <si>
    <t>液晶</t>
  </si>
  <si>
    <t>yè jīng</t>
  </si>
  <si>
    <t>liquid crystal</t>
  </si>
  <si>
    <t>夜宵</t>
  </si>
  <si>
    <t>yè xiāo</t>
  </si>
  <si>
    <t>midnight snack</t>
  </si>
  <si>
    <t>夜校</t>
  </si>
  <si>
    <t>yè xiào</t>
  </si>
  <si>
    <t>Night school / evening classes</t>
  </si>
  <si>
    <t>夜以继日</t>
  </si>
  <si>
    <t>yè yǐ jì rì</t>
  </si>
  <si>
    <t>day and night / round the clock</t>
  </si>
  <si>
    <t>依</t>
  </si>
  <si>
    <t>Rely on / Depend on / According to</t>
  </si>
  <si>
    <t>一并</t>
  </si>
  <si>
    <t>yī bìng</t>
  </si>
  <si>
    <t>依次</t>
  </si>
  <si>
    <t>yī cì</t>
  </si>
  <si>
    <t>in turn</t>
  </si>
  <si>
    <t>依法</t>
  </si>
  <si>
    <t>yī fǎ</t>
  </si>
  <si>
    <t>legally / according to law</t>
  </si>
  <si>
    <t>依附</t>
  </si>
  <si>
    <t>yī fù</t>
  </si>
  <si>
    <t>depend on / attach to</t>
  </si>
  <si>
    <t>一齐</t>
  </si>
  <si>
    <t>yī qí</t>
  </si>
  <si>
    <t>simultaneously / together</t>
  </si>
  <si>
    <t>医务</t>
  </si>
  <si>
    <t>yī wù</t>
  </si>
  <si>
    <t>Medical service / medical work</t>
  </si>
  <si>
    <t>一线</t>
  </si>
  <si>
    <t>yī xiàn</t>
  </si>
  <si>
    <t>Frontline</t>
  </si>
  <si>
    <t>一行</t>
  </si>
  <si>
    <t>yī xíng</t>
  </si>
  <si>
    <t>a group of people</t>
  </si>
  <si>
    <t>依依不舍</t>
  </si>
  <si>
    <t>yī yī bù shě</t>
  </si>
  <si>
    <t>reluctant to leave / unwilling to part</t>
  </si>
  <si>
    <t>依照</t>
  </si>
  <si>
    <t>yī zhào</t>
  </si>
  <si>
    <t>follow; according to</t>
  </si>
  <si>
    <t>一针见血</t>
  </si>
  <si>
    <t>yī zhēn jiàn xiě</t>
  </si>
  <si>
    <t>hit the nail on the head</t>
  </si>
  <si>
    <t>仪表</t>
  </si>
  <si>
    <t>yí biǎo</t>
  </si>
  <si>
    <t>Instrumentation</t>
  </si>
  <si>
    <t>疑点</t>
  </si>
  <si>
    <t>yí diǎn</t>
  </si>
  <si>
    <t>doubt / point of doubt</t>
  </si>
  <si>
    <t>一动不动</t>
  </si>
  <si>
    <t>yí dòng bú dòng</t>
  </si>
  <si>
    <t>Not move at all / Motionless</t>
  </si>
  <si>
    <t>一概</t>
  </si>
  <si>
    <t>yí gài</t>
  </si>
  <si>
    <t>All / without exception</t>
  </si>
  <si>
    <t>一概而论</t>
  </si>
  <si>
    <t>yí gài ér lùn</t>
  </si>
  <si>
    <t>Generalize / Make sweeping statements</t>
  </si>
  <si>
    <t>一晃</t>
  </si>
  <si>
    <t>yí huàng</t>
  </si>
  <si>
    <t>Flit</t>
  </si>
  <si>
    <t>一技之长</t>
  </si>
  <si>
    <t>yí jì zhī cháng</t>
  </si>
  <si>
    <t>Special skill / Expertise</t>
  </si>
  <si>
    <t>移交</t>
  </si>
  <si>
    <t>yí jiāo</t>
  </si>
  <si>
    <t>transfer / hand over</t>
  </si>
  <si>
    <t>宜居</t>
  </si>
  <si>
    <t>yí jū</t>
  </si>
  <si>
    <t>livable</t>
  </si>
  <si>
    <t>遗漏</t>
  </si>
  <si>
    <t>yí lòu</t>
  </si>
  <si>
    <t>omit / miss</t>
  </si>
  <si>
    <t>疑虑</t>
  </si>
  <si>
    <t>doubt / misgiving</t>
  </si>
  <si>
    <t>一面</t>
  </si>
  <si>
    <t>yí miàn</t>
  </si>
  <si>
    <t>One side / at the same time</t>
  </si>
  <si>
    <t>遗弃</t>
  </si>
  <si>
    <t>Abandon</t>
  </si>
  <si>
    <t>怡然自得</t>
  </si>
  <si>
    <t>yí rán zì dé</t>
  </si>
  <si>
    <t>content and at ease / self-satisfied</t>
  </si>
  <si>
    <t>宜人</t>
  </si>
  <si>
    <t>yí rén</t>
  </si>
  <si>
    <t>pleasant</t>
  </si>
  <si>
    <t>一事无成</t>
  </si>
  <si>
    <t>yí shì wú chéng</t>
  </si>
  <si>
    <t>Accomplishing nothing / Achieving nothing</t>
  </si>
  <si>
    <t>遗体</t>
  </si>
  <si>
    <t>yí tǐ</t>
  </si>
  <si>
    <t>Remains</t>
  </si>
  <si>
    <t>遗忘</t>
  </si>
  <si>
    <t>yí wàng</t>
  </si>
  <si>
    <t>Forget</t>
  </si>
  <si>
    <t>一味</t>
  </si>
  <si>
    <t>yí wèi</t>
  </si>
  <si>
    <t>Unremittingly</t>
  </si>
  <si>
    <t>遗物</t>
  </si>
  <si>
    <t>yí wù</t>
  </si>
  <si>
    <t>Relics</t>
  </si>
  <si>
    <t>移植</t>
  </si>
  <si>
    <t>yí zhí</t>
  </si>
  <si>
    <t>transplant / transplantation</t>
  </si>
  <si>
    <t>遗嘱</t>
  </si>
  <si>
    <t>yí zhǔ</t>
  </si>
  <si>
    <t>Will</t>
  </si>
  <si>
    <t>倚</t>
  </si>
  <si>
    <t>Rely on / Depend on</t>
  </si>
  <si>
    <t>矣</t>
  </si>
  <si>
    <t>Modal particle indicating completed action</t>
  </si>
  <si>
    <t>以身作则</t>
  </si>
  <si>
    <t>yǐ shēn zuò zé</t>
  </si>
  <si>
    <t>set an example through one's own actions / lead by example</t>
  </si>
  <si>
    <t>以至于</t>
  </si>
  <si>
    <t>yǐ zhì yú</t>
  </si>
  <si>
    <t>So much so that / To the extent that</t>
  </si>
  <si>
    <t>溢</t>
  </si>
  <si>
    <t>Overflow / Spill over</t>
  </si>
  <si>
    <t>议</t>
  </si>
  <si>
    <t>To discuss / Proposal</t>
  </si>
  <si>
    <t>译</t>
  </si>
  <si>
    <t>To translate</t>
  </si>
  <si>
    <t>议程</t>
  </si>
  <si>
    <t>yì chéng</t>
  </si>
  <si>
    <t>Agenda</t>
  </si>
  <si>
    <t>一成不变</t>
  </si>
  <si>
    <t>yì chéng bú biàn</t>
  </si>
  <si>
    <t>Never change / Always the same</t>
  </si>
  <si>
    <t>一筹莫展</t>
  </si>
  <si>
    <t>yì chóu mò zhǎn</t>
  </si>
  <si>
    <t>Have no way out / Be at one's wits' end</t>
  </si>
  <si>
    <t>一干二净</t>
  </si>
  <si>
    <t>yì gān èr jìng</t>
  </si>
  <si>
    <t>Completely / Thoroughly</t>
  </si>
  <si>
    <t>义工</t>
  </si>
  <si>
    <t>yì gōng</t>
  </si>
  <si>
    <t>Volunteer</t>
  </si>
  <si>
    <t>一鼓作气</t>
  </si>
  <si>
    <t>yì gǔ zuò qì</t>
  </si>
  <si>
    <t>Make a concerted effort / Keep up the momentum</t>
  </si>
  <si>
    <t>一经</t>
  </si>
  <si>
    <t>yì jīng</t>
  </si>
  <si>
    <t>Once</t>
  </si>
  <si>
    <t>一举</t>
  </si>
  <si>
    <t>yì jǔ</t>
  </si>
  <si>
    <t>In one move</t>
  </si>
  <si>
    <t>一举一动</t>
  </si>
  <si>
    <t>yì jǔ yí dòng</t>
  </si>
  <si>
    <t>Every action / Every move</t>
  </si>
  <si>
    <t>异口同声</t>
  </si>
  <si>
    <t>yì kǒu tóng shēng</t>
  </si>
  <si>
    <t>with one voice / unanimously</t>
  </si>
  <si>
    <t>易拉罐</t>
  </si>
  <si>
    <t>yì lā guàn</t>
  </si>
  <si>
    <t>Tin can / Aluminum can</t>
  </si>
  <si>
    <t>一揽子</t>
  </si>
  <si>
    <t>yì lǎn zi</t>
  </si>
  <si>
    <t>Overall / Comprehensive</t>
  </si>
  <si>
    <t>屹立</t>
  </si>
  <si>
    <t>Stand tall / Tower</t>
  </si>
  <si>
    <t>一连</t>
  </si>
  <si>
    <t>yì lián</t>
  </si>
  <si>
    <t>Successively</t>
  </si>
  <si>
    <t>一连串</t>
  </si>
  <si>
    <t>yì lián chuàn</t>
  </si>
  <si>
    <t>Series / String</t>
  </si>
  <si>
    <t>一毛不拔</t>
  </si>
  <si>
    <t>yì máo bù bá</t>
  </si>
  <si>
    <t>Stingy / Tight-fisted</t>
  </si>
  <si>
    <t>疫苗</t>
  </si>
  <si>
    <t>yì miáo</t>
  </si>
  <si>
    <t>vaccine</t>
  </si>
  <si>
    <t>一旁</t>
  </si>
  <si>
    <t>yì páng</t>
  </si>
  <si>
    <t>Beside / one side</t>
  </si>
  <si>
    <t>一声不吭</t>
  </si>
  <si>
    <t>yì shēng bù kēng</t>
  </si>
  <si>
    <t>Not say a word / Keep silent</t>
  </si>
  <si>
    <t>一手</t>
  </si>
  <si>
    <t>yì shǒu</t>
  </si>
  <si>
    <t>Firsthand / one-handedly</t>
  </si>
  <si>
    <t>一塌糊涂</t>
  </si>
  <si>
    <t>yì tā hú tú</t>
  </si>
  <si>
    <t>In a mess / Confused</t>
  </si>
  <si>
    <t>议题</t>
  </si>
  <si>
    <t>yì tí</t>
  </si>
  <si>
    <t>一体</t>
  </si>
  <si>
    <t>yì tǐ</t>
  </si>
  <si>
    <t>Entirety</t>
  </si>
  <si>
    <t>一头</t>
  </si>
  <si>
    <t>yì tóu</t>
  </si>
  <si>
    <t>All of a sudden / from the very beginning</t>
  </si>
  <si>
    <t>亿万</t>
  </si>
  <si>
    <t>yì wàn</t>
  </si>
  <si>
    <t>hundreds of millions</t>
  </si>
  <si>
    <t>意味</t>
  </si>
  <si>
    <t>yì wèi</t>
  </si>
  <si>
    <t>一无所有</t>
  </si>
  <si>
    <t>yì wú suǒ yǒu</t>
  </si>
  <si>
    <t>Have nothing at all / Be left with nothing</t>
  </si>
  <si>
    <t>一无所知</t>
  </si>
  <si>
    <t>yì wú suǒ zhī</t>
  </si>
  <si>
    <t>Know nothing about / Be completely ignorant of</t>
  </si>
  <si>
    <t>意想不到</t>
  </si>
  <si>
    <t>yì xiǎng bú dào</t>
  </si>
  <si>
    <t>unexpected</t>
  </si>
  <si>
    <t>异想天开</t>
  </si>
  <si>
    <t>yì xiǎng tiān kāi</t>
  </si>
  <si>
    <t>indulge in fantasy / let one's imagination run wild</t>
  </si>
  <si>
    <t>一心</t>
  </si>
  <si>
    <t>yì xīn</t>
  </si>
  <si>
    <t>Wholeheartedly</t>
  </si>
  <si>
    <t>一心一意</t>
  </si>
  <si>
    <t>yì xīn yí yì</t>
  </si>
  <si>
    <t>Wholeheartedly / Single-mindedly</t>
  </si>
  <si>
    <t>异性</t>
  </si>
  <si>
    <t>yì xìng</t>
  </si>
  <si>
    <t>Opposite sex / Different gender</t>
  </si>
  <si>
    <t>一言不发</t>
  </si>
  <si>
    <t>yì yán bù fā</t>
  </si>
  <si>
    <t>一言一行</t>
  </si>
  <si>
    <t>yì yán yì xíng</t>
  </si>
  <si>
    <t>Every word and action / Everything one does</t>
  </si>
  <si>
    <t>抑扬顿挫</t>
  </si>
  <si>
    <t>yì yáng dùn cuò</t>
  </si>
  <si>
    <t>rise and fall / fluctuate</t>
  </si>
  <si>
    <t>异议</t>
  </si>
  <si>
    <t>Dissent / Objection</t>
  </si>
  <si>
    <t>一应俱全</t>
  </si>
  <si>
    <t>yì yīng jù quán</t>
  </si>
  <si>
    <t>Everything needed is available / Everything is in readiness</t>
  </si>
  <si>
    <t>抑郁</t>
  </si>
  <si>
    <t>yì yù</t>
  </si>
  <si>
    <t>Depressed / Melancholic</t>
  </si>
  <si>
    <t>抑郁症</t>
  </si>
  <si>
    <t>yì yù zhèng</t>
  </si>
  <si>
    <t>意愿</t>
  </si>
  <si>
    <t>yì yuàn</t>
  </si>
  <si>
    <t>willingness</t>
  </si>
  <si>
    <t>一早</t>
  </si>
  <si>
    <t>yì zǎo</t>
  </si>
  <si>
    <t>Early morning</t>
  </si>
  <si>
    <t>阴暗</t>
  </si>
  <si>
    <t>yīn àn</t>
  </si>
  <si>
    <t>Dark / Gloomy</t>
  </si>
  <si>
    <t>因地制宜</t>
  </si>
  <si>
    <t>yīn dì zhì yí</t>
  </si>
  <si>
    <t>adapt measures to local conditions</t>
  </si>
  <si>
    <t>阴历</t>
  </si>
  <si>
    <t>yīn lì</t>
  </si>
  <si>
    <t>lunar calendar</t>
  </si>
  <si>
    <t>殷勤</t>
  </si>
  <si>
    <t>yīn qín</t>
  </si>
  <si>
    <t>Attentive / assiduous</t>
  </si>
  <si>
    <t>因人而异</t>
  </si>
  <si>
    <t>yīn rén ér yì</t>
  </si>
  <si>
    <t>vary from person to person / differ according to the individual</t>
  </si>
  <si>
    <t>阴性</t>
  </si>
  <si>
    <t>yīn xìng</t>
  </si>
  <si>
    <t>Negative (medical test)</t>
  </si>
  <si>
    <t>阴影</t>
  </si>
  <si>
    <t>yīn yǐng</t>
  </si>
  <si>
    <t>shadow</t>
  </si>
  <si>
    <t>银幕</t>
  </si>
  <si>
    <t>yín mù</t>
  </si>
  <si>
    <t>Screen</t>
  </si>
  <si>
    <t>瘾</t>
  </si>
  <si>
    <t>yǐn</t>
  </si>
  <si>
    <t>Addiction / Craving</t>
  </si>
  <si>
    <t>隐含</t>
  </si>
  <si>
    <t>yǐn hán</t>
  </si>
  <si>
    <t>imply</t>
  </si>
  <si>
    <t>引荐</t>
  </si>
  <si>
    <t>yǐn jiàn</t>
  </si>
  <si>
    <t>引经据典</t>
  </si>
  <si>
    <t>yǐn jīng jù diǎn</t>
  </si>
  <si>
    <t>quote classical works and historical records / cite precedent</t>
  </si>
  <si>
    <t>引领</t>
  </si>
  <si>
    <t>yǐn lǐng</t>
  </si>
  <si>
    <t>Guide / Lead</t>
  </si>
  <si>
    <t>隐情</t>
  </si>
  <si>
    <t>Hidden facts / Secret</t>
  </si>
  <si>
    <t>引人入胜</t>
  </si>
  <si>
    <t>yǐn rén rù shèng</t>
  </si>
  <si>
    <t>attract and captivate the audience / be engrossing</t>
  </si>
  <si>
    <t>引人注目</t>
  </si>
  <si>
    <t>yǐn rén zhù mù</t>
  </si>
  <si>
    <t>attract attention / draw the eye</t>
  </si>
  <si>
    <t>隐形</t>
  </si>
  <si>
    <t>yǐn xíng</t>
  </si>
  <si>
    <t>Invisible / Hidden</t>
  </si>
  <si>
    <t>隐性</t>
  </si>
  <si>
    <t>yǐn xìng</t>
  </si>
  <si>
    <t>Recessive</t>
  </si>
  <si>
    <t>引诱</t>
  </si>
  <si>
    <t>yǐn yòu</t>
  </si>
  <si>
    <t>Tempt / Entice</t>
  </si>
  <si>
    <t>印章</t>
  </si>
  <si>
    <t>yìn zhāng</t>
  </si>
  <si>
    <t>Seal / stamp</t>
  </si>
  <si>
    <t>印证</t>
  </si>
  <si>
    <t>yìn zhèng</t>
  </si>
  <si>
    <t>Confirm / corroborate</t>
  </si>
  <si>
    <t>鹰</t>
  </si>
  <si>
    <t>yīng</t>
  </si>
  <si>
    <t>Eagle</t>
  </si>
  <si>
    <t>应</t>
  </si>
  <si>
    <t>be supposed to</t>
  </si>
  <si>
    <t>应有尽有</t>
  </si>
  <si>
    <t>yīng yǒu jìn yǒu</t>
  </si>
  <si>
    <t>everything one could wish for / have everything one should have</t>
  </si>
  <si>
    <t>荧光</t>
  </si>
  <si>
    <t>yíng guāng</t>
  </si>
  <si>
    <t>Fluorescence</t>
  </si>
  <si>
    <t>迎合</t>
  </si>
  <si>
    <t>yíng hé</t>
  </si>
  <si>
    <t>Cater to</t>
  </si>
  <si>
    <t>赢家</t>
  </si>
  <si>
    <t>yíng jiā</t>
  </si>
  <si>
    <t>Winner</t>
  </si>
  <si>
    <t>营救</t>
  </si>
  <si>
    <t>yíng jiù</t>
  </si>
  <si>
    <t>营利</t>
  </si>
  <si>
    <t>seek profits</t>
  </si>
  <si>
    <t>营销</t>
  </si>
  <si>
    <t>yíng xiāo</t>
  </si>
  <si>
    <t>营造</t>
  </si>
  <si>
    <t>yíng zào</t>
  </si>
  <si>
    <t>Create</t>
  </si>
  <si>
    <t>影像</t>
  </si>
  <si>
    <t>yǐng xiàng</t>
  </si>
  <si>
    <t>Image / Picture</t>
  </si>
  <si>
    <t>硬币</t>
  </si>
  <si>
    <t>yìng bì</t>
  </si>
  <si>
    <t>coin</t>
  </si>
  <si>
    <t>应急</t>
  </si>
  <si>
    <t>yìng jí</t>
  </si>
  <si>
    <t>deal with emergencies</t>
  </si>
  <si>
    <t>硬朗</t>
  </si>
  <si>
    <t>yìng lang</t>
  </si>
  <si>
    <t>robust / healthy</t>
  </si>
  <si>
    <t>硬盘</t>
  </si>
  <si>
    <t>yìng pán</t>
  </si>
  <si>
    <t>hard disk</t>
  </si>
  <si>
    <t>涌</t>
  </si>
  <si>
    <t>yǒng</t>
  </si>
  <si>
    <t>Gush forth / Surge / Well up</t>
  </si>
  <si>
    <t>永久</t>
  </si>
  <si>
    <t>yǒng jiǔ</t>
  </si>
  <si>
    <t>Permanent / everlasting</t>
  </si>
  <si>
    <t>勇往直前</t>
  </si>
  <si>
    <t>yǒng wǎng zhí qián</t>
  </si>
  <si>
    <t>forge ahead courageously / march forward bravely</t>
  </si>
  <si>
    <t>用意</t>
  </si>
  <si>
    <t>yòng yì</t>
  </si>
  <si>
    <t>intention / purpose</t>
  </si>
  <si>
    <t>忧愁</t>
  </si>
  <si>
    <t>yōu chóu</t>
  </si>
  <si>
    <t>Worried / Anxious</t>
  </si>
  <si>
    <t>忧虑</t>
  </si>
  <si>
    <t>yōu lǜ</t>
  </si>
  <si>
    <t>Worry / Be concerned</t>
  </si>
  <si>
    <t>悠闲</t>
  </si>
  <si>
    <t>yōu xián</t>
  </si>
  <si>
    <t>Leisurely / Carefree</t>
  </si>
  <si>
    <t>邮编</t>
  </si>
  <si>
    <t>yóu biān</t>
  </si>
  <si>
    <t>Postal code</t>
  </si>
  <si>
    <t>游船</t>
  </si>
  <si>
    <t>yóu chuán</t>
  </si>
  <si>
    <t>pleasure boat</t>
  </si>
  <si>
    <t>油画</t>
  </si>
  <si>
    <t>yóu huà</t>
  </si>
  <si>
    <t>oil painting</t>
  </si>
  <si>
    <t>尤为</t>
  </si>
  <si>
    <t>yóu wéi</t>
  </si>
  <si>
    <t>Especially / Particularly</t>
  </si>
  <si>
    <t>游行</t>
  </si>
  <si>
    <t>yóu xíng</t>
  </si>
  <si>
    <t>parade</t>
  </si>
  <si>
    <t>犹豫不决</t>
  </si>
  <si>
    <t>yóu yù bù jué</t>
  </si>
  <si>
    <t>Hesitant / Indecisive</t>
  </si>
  <si>
    <t>邮政</t>
  </si>
  <si>
    <t>yóu zhèng</t>
  </si>
  <si>
    <t>Post</t>
  </si>
  <si>
    <t>由衷</t>
  </si>
  <si>
    <t>yóu zhōng</t>
  </si>
  <si>
    <t>sincere / heartfelt</t>
  </si>
  <si>
    <t>有待</t>
  </si>
  <si>
    <t>yǒu dài</t>
  </si>
  <si>
    <t>To be left to / awaiting</t>
  </si>
  <si>
    <t>有的放矢</t>
  </si>
  <si>
    <t>yǒu dì fàng shǐ</t>
  </si>
  <si>
    <t>make a pertinent remark / hit the mark</t>
  </si>
  <si>
    <t>友人</t>
  </si>
  <si>
    <t>yǒu rén</t>
  </si>
  <si>
    <t>Friend</t>
  </si>
  <si>
    <t>友善</t>
  </si>
  <si>
    <t>yǒu shàn</t>
  </si>
  <si>
    <t>Friendly / amicable</t>
  </si>
  <si>
    <t>有声有色</t>
  </si>
  <si>
    <t>yǒu shēng yǒu sè</t>
  </si>
  <si>
    <t>vivid and lifelike / full of sound and color</t>
  </si>
  <si>
    <t>有望</t>
  </si>
  <si>
    <t>yǒu wàng</t>
  </si>
  <si>
    <t>Likely / hopeful</t>
  </si>
  <si>
    <t>有幸</t>
  </si>
  <si>
    <t>yǒu xìng</t>
  </si>
  <si>
    <t>Fortunate / privileged</t>
  </si>
  <si>
    <t>有意</t>
  </si>
  <si>
    <t>Intentional / deliberately</t>
  </si>
  <si>
    <t>有朝一日</t>
  </si>
  <si>
    <t>yǒu zhāo yí rì</t>
  </si>
  <si>
    <t>some day / one day</t>
  </si>
  <si>
    <t>诱饵</t>
  </si>
  <si>
    <t>yòu ěr</t>
  </si>
  <si>
    <t>Bait</t>
  </si>
  <si>
    <t>诱发</t>
  </si>
  <si>
    <t>yòu fā</t>
  </si>
  <si>
    <t>Induce</t>
  </si>
  <si>
    <t>诱人</t>
  </si>
  <si>
    <t>yòu rén</t>
  </si>
  <si>
    <t>Tempting</t>
  </si>
  <si>
    <t>优雅</t>
  </si>
  <si>
    <t>yōuyǎ</t>
  </si>
  <si>
    <t>Elegant</t>
  </si>
  <si>
    <t>淤泥</t>
  </si>
  <si>
    <t>yū ní</t>
  </si>
  <si>
    <t>silt</t>
  </si>
  <si>
    <t>余</t>
  </si>
  <si>
    <t>动、数</t>
  </si>
  <si>
    <t>Remainder / Surplus</t>
  </si>
  <si>
    <t>渔船</t>
  </si>
  <si>
    <t>yú chuán</t>
  </si>
  <si>
    <t>fishing boat</t>
  </si>
  <si>
    <t>余地</t>
  </si>
  <si>
    <t>yú dì</t>
  </si>
  <si>
    <t>Room</t>
  </si>
  <si>
    <t>愚公移山</t>
  </si>
  <si>
    <t>yú gōng yí shān</t>
  </si>
  <si>
    <t>the Foolish Old Man Moves Mountains / perseverance can conquer all obstacles</t>
  </si>
  <si>
    <t>逾期</t>
  </si>
  <si>
    <t>yú qī</t>
  </si>
  <si>
    <t>Overdue</t>
  </si>
  <si>
    <t>愉悦</t>
  </si>
  <si>
    <t>yú yuè</t>
  </si>
  <si>
    <t>cheerful</t>
  </si>
  <si>
    <t>与否</t>
  </si>
  <si>
    <t>yǔ fǒu</t>
  </si>
  <si>
    <t>Whether or not</t>
  </si>
  <si>
    <t>与时俱进</t>
  </si>
  <si>
    <t>yǔ shí jù jìn</t>
  </si>
  <si>
    <t>Keep pace with / Advance with the times</t>
  </si>
  <si>
    <t>予以</t>
  </si>
  <si>
    <t>yǔ yǐ</t>
  </si>
  <si>
    <t>Give</t>
  </si>
  <si>
    <t>与众不同</t>
  </si>
  <si>
    <t>yǔ zhòng bù tóng</t>
  </si>
  <si>
    <t>Different from others / Stand out from the crowd</t>
  </si>
  <si>
    <t>预备</t>
  </si>
  <si>
    <t>yù bèi</t>
  </si>
  <si>
    <t>预感</t>
  </si>
  <si>
    <t>yù gǎn</t>
  </si>
  <si>
    <t>Premonition / Foreboding</t>
  </si>
  <si>
    <t>预告</t>
  </si>
  <si>
    <t>yù gào</t>
  </si>
  <si>
    <t>Announcement / Forecast</t>
  </si>
  <si>
    <t>愈合</t>
  </si>
  <si>
    <t>yù hé</t>
  </si>
  <si>
    <t>Heal / Recover</t>
  </si>
  <si>
    <t>愈加</t>
  </si>
  <si>
    <t>yù jiā</t>
  </si>
  <si>
    <t>increasingly</t>
  </si>
  <si>
    <t>预见</t>
  </si>
  <si>
    <t>yù jiàn</t>
  </si>
  <si>
    <t>Foresee / Foreseeable</t>
  </si>
  <si>
    <t>预警</t>
  </si>
  <si>
    <t>yù jǐng</t>
  </si>
  <si>
    <t>issue an early warning</t>
  </si>
  <si>
    <t>郁闷</t>
  </si>
  <si>
    <t>yù mèn</t>
  </si>
  <si>
    <t>depressed</t>
  </si>
  <si>
    <t>遇难</t>
  </si>
  <si>
    <t>yù nàn</t>
  </si>
  <si>
    <t>Meet with disaster</t>
  </si>
  <si>
    <t>预赛</t>
  </si>
  <si>
    <t>yù sài</t>
  </si>
  <si>
    <t>Preliminary round</t>
  </si>
  <si>
    <t>预示</t>
  </si>
  <si>
    <t>yù shì</t>
  </si>
  <si>
    <t>Indicate / Foretell</t>
  </si>
  <si>
    <t>预售</t>
  </si>
  <si>
    <t>yù shòu</t>
  </si>
  <si>
    <t>Pre-sale</t>
  </si>
  <si>
    <t>遇险</t>
  </si>
  <si>
    <t>yù xiǎn</t>
  </si>
  <si>
    <t>Encounter danger</t>
  </si>
  <si>
    <t>愈演愈烈</t>
  </si>
  <si>
    <t>yù yǎn yù liè</t>
  </si>
  <si>
    <t>intensify / escalate</t>
  </si>
  <si>
    <t>寓意</t>
  </si>
  <si>
    <t>yù yì</t>
  </si>
  <si>
    <t>Connotation / Implication</t>
  </si>
  <si>
    <t>冤</t>
  </si>
  <si>
    <t>yuān</t>
  </si>
  <si>
    <t>Unjust / Unfair</t>
  </si>
  <si>
    <t>渊源</t>
  </si>
  <si>
    <t>yuān yuán</t>
  </si>
  <si>
    <t>origin / source</t>
  </si>
  <si>
    <t>原创</t>
  </si>
  <si>
    <t>yuán chuàng</t>
  </si>
  <si>
    <t>Original / creative</t>
  </si>
  <si>
    <t>缘分</t>
  </si>
  <si>
    <t>yuán fèn</t>
  </si>
  <si>
    <t>Fate</t>
  </si>
  <si>
    <t>元老</t>
  </si>
  <si>
    <t>yuán lǎo</t>
  </si>
  <si>
    <t>Elder statesman</t>
  </si>
  <si>
    <t>园区</t>
  </si>
  <si>
    <t>yuán qū</t>
  </si>
  <si>
    <t>源头</t>
  </si>
  <si>
    <t>yuán tóu</t>
  </si>
  <si>
    <t>source / origin</t>
  </si>
  <si>
    <t>原型</t>
  </si>
  <si>
    <t>yuán xíng</t>
  </si>
  <si>
    <t>Prototype / original model</t>
  </si>
  <si>
    <t>源源不断</t>
  </si>
  <si>
    <t>yuán yuán bú duàn</t>
  </si>
  <si>
    <t>In a steady stream / Continuously</t>
  </si>
  <si>
    <t>源远流长</t>
  </si>
  <si>
    <t>yuán yuǎn liú cháng</t>
  </si>
  <si>
    <t>have a long history</t>
  </si>
  <si>
    <t>原汁原味</t>
  </si>
  <si>
    <t>yuán zhī yuán wèi</t>
  </si>
  <si>
    <t>original flavor / authentic</t>
  </si>
  <si>
    <t>援助</t>
  </si>
  <si>
    <t>yuán zhù</t>
  </si>
  <si>
    <t>assist / aid</t>
  </si>
  <si>
    <t>原装</t>
  </si>
  <si>
    <t>yuán zhuāng</t>
  </si>
  <si>
    <t>Original / in the original packaging</t>
  </si>
  <si>
    <t>远见</t>
  </si>
  <si>
    <t>yuǎn jiàn</t>
  </si>
  <si>
    <t>Foresight</t>
  </si>
  <si>
    <t>远近闻名</t>
  </si>
  <si>
    <t>yuǎn jìn wén míng</t>
  </si>
  <si>
    <t>Famous far and near / Renowned far and wide</t>
  </si>
  <si>
    <t>怨</t>
  </si>
  <si>
    <t>yuàn</t>
  </si>
  <si>
    <t>complain</t>
  </si>
  <si>
    <t>怨恨</t>
  </si>
  <si>
    <t>yuàn hèn</t>
  </si>
  <si>
    <t>Resentment / Hatred</t>
  </si>
  <si>
    <t>怨气</t>
  </si>
  <si>
    <t>yuàn qì</t>
  </si>
  <si>
    <t>Resentment / Grudge</t>
  </si>
  <si>
    <t>院士</t>
  </si>
  <si>
    <t>yuàn shì</t>
  </si>
  <si>
    <t>Academician</t>
  </si>
  <si>
    <t>怨言</t>
  </si>
  <si>
    <t>yuàn yán</t>
  </si>
  <si>
    <t>Complaint / Grievance</t>
  </si>
  <si>
    <t>曰</t>
  </si>
  <si>
    <t>yuē</t>
  </si>
  <si>
    <t>Say / Speak</t>
  </si>
  <si>
    <t>约定俗成</t>
  </si>
  <si>
    <t>yuē dìng sú chéng</t>
  </si>
  <si>
    <t>By common consent / Become a convention</t>
  </si>
  <si>
    <t>乐队</t>
  </si>
  <si>
    <t>yuè duì</t>
  </si>
  <si>
    <t>band</t>
  </si>
  <si>
    <t>悦耳</t>
  </si>
  <si>
    <t>yuè ěr</t>
  </si>
  <si>
    <t>Pleasing to the ear / Melodious</t>
  </si>
  <si>
    <t>越发</t>
  </si>
  <si>
    <t>yuè fā</t>
  </si>
  <si>
    <t>More and more</t>
  </si>
  <si>
    <t>岳父</t>
  </si>
  <si>
    <t>yuè fù</t>
  </si>
  <si>
    <t>Wife's father / Father-in-law</t>
  </si>
  <si>
    <t>越过</t>
  </si>
  <si>
    <t>yuè guò</t>
  </si>
  <si>
    <t>Go over</t>
  </si>
  <si>
    <t>阅览</t>
  </si>
  <si>
    <t>yuè lǎn</t>
  </si>
  <si>
    <t>read</t>
  </si>
  <si>
    <t>阅历</t>
  </si>
  <si>
    <t>yuè lì</t>
  </si>
  <si>
    <t>Experience / Knowledge</t>
  </si>
  <si>
    <t>晕头转向</t>
  </si>
  <si>
    <t>yūn tóu zhuàn xiàng</t>
  </si>
  <si>
    <t>dizzy / confused</t>
  </si>
  <si>
    <t>陨石</t>
  </si>
  <si>
    <t>yǔn shí</t>
  </si>
  <si>
    <t>Meteorite</t>
  </si>
  <si>
    <t>运筹帷幄</t>
  </si>
  <si>
    <t>yùn chóu wéi wò</t>
  </si>
  <si>
    <t>strategize / plan strategically</t>
  </si>
  <si>
    <t>孕妇</t>
  </si>
  <si>
    <t>yùn fù</t>
  </si>
  <si>
    <t>Pregnant woman</t>
  </si>
  <si>
    <t>蕴含</t>
  </si>
  <si>
    <t>yùn hán</t>
  </si>
  <si>
    <t>contain / embody</t>
  </si>
  <si>
    <t>运河</t>
  </si>
  <si>
    <t>yùn hé</t>
  </si>
  <si>
    <t>Canal</t>
  </si>
  <si>
    <t>韵味</t>
  </si>
  <si>
    <t>yùn wèi</t>
  </si>
  <si>
    <t>Charm / Flavor</t>
  </si>
  <si>
    <t>运转</t>
  </si>
  <si>
    <t>yùn zhuǎn</t>
  </si>
  <si>
    <t>Operate</t>
  </si>
  <si>
    <t>运作</t>
  </si>
  <si>
    <t>yùn zuò</t>
  </si>
  <si>
    <t>operate</t>
  </si>
  <si>
    <t>杂乱无章</t>
  </si>
  <si>
    <t>zá luàn wú zhāng</t>
  </si>
  <si>
    <t>chaotic and disorderly / in a mess</t>
  </si>
  <si>
    <t>栽</t>
  </si>
  <si>
    <t>zāi</t>
  </si>
  <si>
    <t>Plant / To plant</t>
  </si>
  <si>
    <t>栽赃</t>
  </si>
  <si>
    <t>zāi zāng</t>
  </si>
  <si>
    <t>再度</t>
  </si>
  <si>
    <t>zài dù</t>
  </si>
  <si>
    <t>Again</t>
  </si>
  <si>
    <t>在所难免</t>
  </si>
  <si>
    <t>zài suǒ nán miǎn</t>
  </si>
  <si>
    <t>be inevitable</t>
  </si>
  <si>
    <t>载体</t>
  </si>
  <si>
    <t>zài tǐ</t>
  </si>
  <si>
    <t>Carrier</t>
  </si>
  <si>
    <t>再现</t>
  </si>
  <si>
    <t>zài xiàn</t>
  </si>
  <si>
    <t>Reappear</t>
  </si>
  <si>
    <t>在职</t>
  </si>
  <si>
    <t>zài zhí</t>
  </si>
  <si>
    <t>Employed / in office</t>
  </si>
  <si>
    <t>暂</t>
  </si>
  <si>
    <t>zàn</t>
  </si>
  <si>
    <t>Temporarily / For the time being</t>
  </si>
  <si>
    <t>赞不绝口</t>
  </si>
  <si>
    <t>zàn bù jué kǒu</t>
  </si>
  <si>
    <t>Sing one's praises / Speak highly of</t>
  </si>
  <si>
    <t>赞许</t>
  </si>
  <si>
    <t>zàn xǔ</t>
  </si>
  <si>
    <t>Approve</t>
  </si>
  <si>
    <t>赞扬</t>
  </si>
  <si>
    <t>zàn yáng</t>
  </si>
  <si>
    <t>Praise</t>
  </si>
  <si>
    <t>葬</t>
  </si>
  <si>
    <t>zàng</t>
  </si>
  <si>
    <t>To bury</t>
  </si>
  <si>
    <t>葬礼</t>
  </si>
  <si>
    <t>zàng lǐ</t>
  </si>
  <si>
    <t>Funeral</t>
  </si>
  <si>
    <t>糟粕</t>
  </si>
  <si>
    <t>zāo pò</t>
  </si>
  <si>
    <t>dregs</t>
  </si>
  <si>
    <t>凿</t>
  </si>
  <si>
    <t>záo</t>
  </si>
  <si>
    <t>Chisel / Carve</t>
  </si>
  <si>
    <t>枣</t>
  </si>
  <si>
    <t>zǎo</t>
  </si>
  <si>
    <t>Date (fruit)</t>
  </si>
  <si>
    <t>早年</t>
  </si>
  <si>
    <t>zǎo nián</t>
  </si>
  <si>
    <t>In one's early years</t>
  </si>
  <si>
    <t>早日</t>
  </si>
  <si>
    <t>zǎo rì</t>
  </si>
  <si>
    <t>At an early date / soon</t>
  </si>
  <si>
    <t>灶</t>
  </si>
  <si>
    <t>zào</t>
  </si>
  <si>
    <t>stove</t>
  </si>
  <si>
    <t>造福</t>
  </si>
  <si>
    <t>zào fú</t>
  </si>
  <si>
    <t>造假</t>
  </si>
  <si>
    <t>zào jiǎ</t>
  </si>
  <si>
    <t>Counterfeit</t>
  </si>
  <si>
    <t>造价</t>
  </si>
  <si>
    <t>zào jià</t>
  </si>
  <si>
    <t>Cost</t>
  </si>
  <si>
    <t>造就</t>
  </si>
  <si>
    <t>zào jiù</t>
  </si>
  <si>
    <t>增产</t>
  </si>
  <si>
    <t>zēng chǎn</t>
  </si>
  <si>
    <t>increase production</t>
  </si>
  <si>
    <t>增收</t>
  </si>
  <si>
    <t>zēng shōu</t>
  </si>
  <si>
    <t>Increase in income / additional revenue</t>
  </si>
  <si>
    <t>增速</t>
  </si>
  <si>
    <t>zēng sù</t>
  </si>
  <si>
    <t>accelerate / increase speed</t>
  </si>
  <si>
    <t>增值</t>
  </si>
  <si>
    <t>zēng zhí</t>
  </si>
  <si>
    <t>appreciate / add value</t>
  </si>
  <si>
    <t>扎根</t>
  </si>
  <si>
    <t>zhā gēn</t>
  </si>
  <si>
    <t>Take root / Settle down</t>
  </si>
  <si>
    <t>闸</t>
  </si>
  <si>
    <t>zhá</t>
  </si>
  <si>
    <t>Sluice gate / Floodgate</t>
  </si>
  <si>
    <t>眨眼</t>
  </si>
  <si>
    <t>zhǎ yǎn</t>
  </si>
  <si>
    <t>blink / wink</t>
  </si>
  <si>
    <t>榨</t>
  </si>
  <si>
    <t>zhà</t>
  </si>
  <si>
    <t>Squeeze / Extract (oil / juice)</t>
  </si>
  <si>
    <t>炸弹</t>
  </si>
  <si>
    <t>zhà dàn</t>
  </si>
  <si>
    <t>bomb</t>
  </si>
  <si>
    <t>炸药</t>
  </si>
  <si>
    <t>zhà yào</t>
  </si>
  <si>
    <t>explosive</t>
  </si>
  <si>
    <t>债</t>
  </si>
  <si>
    <t>zhài</t>
  </si>
  <si>
    <t>debt</t>
  </si>
  <si>
    <t>债务</t>
  </si>
  <si>
    <t>zhài wù</t>
  </si>
  <si>
    <t>Debt</t>
  </si>
  <si>
    <t>沾</t>
  </si>
  <si>
    <t>zhān</t>
  </si>
  <si>
    <t>Dip / Moistened / To smear</t>
  </si>
  <si>
    <t>占卜</t>
  </si>
  <si>
    <t>zhān bǔ</t>
  </si>
  <si>
    <t>Divination / fortune-telling</t>
  </si>
  <si>
    <t>斩</t>
  </si>
  <si>
    <t>zhǎn</t>
  </si>
  <si>
    <t>Chop / Cut down</t>
  </si>
  <si>
    <t>盏</t>
  </si>
  <si>
    <t>Measure word for lamps / lights / etc.</t>
  </si>
  <si>
    <t>辗转</t>
  </si>
  <si>
    <t>zhǎn zhuǎn</t>
  </si>
  <si>
    <t>toss and turn / travel far and wide</t>
  </si>
  <si>
    <t>蘸</t>
  </si>
  <si>
    <t>To dip</t>
  </si>
  <si>
    <t>战场</t>
  </si>
  <si>
    <t>zhàn chǎng</t>
  </si>
  <si>
    <t>battlefield</t>
  </si>
  <si>
    <t>绽放</t>
  </si>
  <si>
    <t>zhàn fàng</t>
  </si>
  <si>
    <t>Bloom</t>
  </si>
  <si>
    <t>站立</t>
  </si>
  <si>
    <t>zhàn lì</t>
  </si>
  <si>
    <t>stand / stand up</t>
  </si>
  <si>
    <t>战士</t>
  </si>
  <si>
    <t>zhàn shì</t>
  </si>
  <si>
    <t>soldier</t>
  </si>
  <si>
    <t>占用</t>
  </si>
  <si>
    <t>zhàn yòng</t>
  </si>
  <si>
    <t>Occupy / take up</t>
  </si>
  <si>
    <t>战友</t>
  </si>
  <si>
    <t>zhàn yǒu</t>
  </si>
  <si>
    <t>comrade-in-arms</t>
  </si>
  <si>
    <t>张灯结彩</t>
  </si>
  <si>
    <t>zhāng dēng jié cǎi</t>
  </si>
  <si>
    <t>decorate with lanterns and colored banners / put up festive decorations</t>
  </si>
  <si>
    <t>张贴</t>
  </si>
  <si>
    <t>zhāng tiē</t>
  </si>
  <si>
    <t>Post / Stick up</t>
  </si>
  <si>
    <t>张扬</t>
  </si>
  <si>
    <t>zhāng yáng</t>
  </si>
  <si>
    <t>Flaunt / Publicize</t>
  </si>
  <si>
    <t>掌舵</t>
  </si>
  <si>
    <t>zhǎng duò</t>
  </si>
  <si>
    <t>steer; helm</t>
  </si>
  <si>
    <t>涨幅</t>
  </si>
  <si>
    <t>zhǎng fú</t>
  </si>
  <si>
    <t>increase / rise</t>
  </si>
  <si>
    <t>掌管</t>
  </si>
  <si>
    <t>zhǎng guǎn</t>
  </si>
  <si>
    <t>Be in charge of / Manage</t>
  </si>
  <si>
    <t>长相</t>
  </si>
  <si>
    <t>zhǎng xiàng</t>
  </si>
  <si>
    <t>胀</t>
  </si>
  <si>
    <t>zhàng</t>
  </si>
  <si>
    <t>To swell / Swollen</t>
  </si>
  <si>
    <t>招揽</t>
  </si>
  <si>
    <t>zhāo lǎn</t>
  </si>
  <si>
    <t>Attract / Solicit</t>
  </si>
  <si>
    <t>招募</t>
  </si>
  <si>
    <t>zhāo mù</t>
  </si>
  <si>
    <t>Recruit / Enlist</t>
  </si>
  <si>
    <t>招牌</t>
  </si>
  <si>
    <t>zhāo pai</t>
  </si>
  <si>
    <t>Signboard / Sign</t>
  </si>
  <si>
    <t>朝三暮四</t>
  </si>
  <si>
    <t>zhāo sān mù sì</t>
  </si>
  <si>
    <t>change one's mind repeatedly / be indecisive</t>
  </si>
  <si>
    <t>招商</t>
  </si>
  <si>
    <t>zhāo shāng</t>
  </si>
  <si>
    <t>attract investment</t>
  </si>
  <si>
    <t>招数</t>
  </si>
  <si>
    <t>zhāo shù</t>
  </si>
  <si>
    <t>Trick / Skill</t>
  </si>
  <si>
    <t>朝夕相处</t>
  </si>
  <si>
    <t>zhāo xī xiāng chǔ</t>
  </si>
  <si>
    <t>be together day and night / live together</t>
  </si>
  <si>
    <t>罩</t>
  </si>
  <si>
    <t>To cover / Hood / Cover</t>
  </si>
  <si>
    <t>照办</t>
  </si>
  <si>
    <t>zhào bàn</t>
  </si>
  <si>
    <t>handle as instructed</t>
  </si>
  <si>
    <t>召集</t>
  </si>
  <si>
    <t>zhào jí</t>
  </si>
  <si>
    <t>Convene / call together</t>
  </si>
  <si>
    <t>照例</t>
  </si>
  <si>
    <t>zhào lì</t>
  </si>
  <si>
    <t>as usual / according to custom</t>
  </si>
  <si>
    <t>照料</t>
  </si>
  <si>
    <t>zhào liào</t>
  </si>
  <si>
    <t>take care of / attend to</t>
  </si>
  <si>
    <t>照射</t>
  </si>
  <si>
    <t>zhào shè</t>
  </si>
  <si>
    <t>shine / irradiate</t>
  </si>
  <si>
    <t>肇事</t>
  </si>
  <si>
    <t>zhào shì</t>
  </si>
  <si>
    <t>Cause an accident</t>
  </si>
  <si>
    <t>兆头</t>
  </si>
  <si>
    <t>zhào tou</t>
  </si>
  <si>
    <t>Omen</t>
  </si>
  <si>
    <t>遮</t>
  </si>
  <si>
    <t>zhē</t>
  </si>
  <si>
    <t>To cover / To shield / To block</t>
  </si>
  <si>
    <t>遮盖</t>
  </si>
  <si>
    <t>zhē gài</t>
  </si>
  <si>
    <t>Cover</t>
  </si>
  <si>
    <t>折叠</t>
  </si>
  <si>
    <t>zhé dié</t>
  </si>
  <si>
    <t>Fold / Collapse</t>
  </si>
  <si>
    <t>折合</t>
  </si>
  <si>
    <t>zhé hé</t>
  </si>
  <si>
    <t>Convert / Equate</t>
  </si>
  <si>
    <t>哲理</t>
  </si>
  <si>
    <t>zhé lǐ</t>
  </si>
  <si>
    <t>折射</t>
  </si>
  <si>
    <t>zhé shè</t>
  </si>
  <si>
    <t>Refraction / Deflection</t>
  </si>
  <si>
    <t>珍藏</t>
  </si>
  <si>
    <t>zhēn cáng</t>
  </si>
  <si>
    <t>cherish / treasure / collection</t>
  </si>
  <si>
    <t>侦查</t>
  </si>
  <si>
    <t>zhēn chá</t>
  </si>
  <si>
    <t>针锋相对</t>
  </si>
  <si>
    <t>zhēn fēng xiāng duì</t>
  </si>
  <si>
    <t>Confront each other / Lock horns</t>
  </si>
  <si>
    <t>针灸</t>
  </si>
  <si>
    <t>zhēn jiǔ</t>
  </si>
  <si>
    <t>Acupuncture</t>
  </si>
  <si>
    <t>真空</t>
  </si>
  <si>
    <t>zhēn kōng</t>
  </si>
  <si>
    <t>vacuum</t>
  </si>
  <si>
    <t>真情</t>
  </si>
  <si>
    <t>zhēn qíng</t>
  </si>
  <si>
    <t>true feelings / true emotions</t>
  </si>
  <si>
    <t>真是</t>
  </si>
  <si>
    <t>zhēn shì</t>
  </si>
  <si>
    <t>珍视</t>
  </si>
  <si>
    <t>cherish / treasure</t>
  </si>
  <si>
    <t>真心</t>
  </si>
  <si>
    <t>zhēn xīn</t>
  </si>
  <si>
    <t>sincere / genuine</t>
  </si>
  <si>
    <t>珍重</t>
  </si>
  <si>
    <t>zhēn zhòng</t>
  </si>
  <si>
    <t>cherish / value</t>
  </si>
  <si>
    <t>枕</t>
  </si>
  <si>
    <t>zhěn</t>
  </si>
  <si>
    <t>rest one's head on</t>
  </si>
  <si>
    <t>诊所</t>
  </si>
  <si>
    <t>zhěn suǒ</t>
  </si>
  <si>
    <t>Clinic</t>
  </si>
  <si>
    <t>震</t>
  </si>
  <si>
    <t>To shake / To shock</t>
  </si>
  <si>
    <t>震荡</t>
  </si>
  <si>
    <t>zhèn dàng</t>
  </si>
  <si>
    <t>shake / vibrate</t>
  </si>
  <si>
    <t>震动</t>
  </si>
  <si>
    <t>Shock / Shake</t>
  </si>
  <si>
    <t>阵营</t>
  </si>
  <si>
    <t>zhèn yíng</t>
  </si>
  <si>
    <t>Camp / Faction</t>
  </si>
  <si>
    <t>振作</t>
  </si>
  <si>
    <t>zhèn zuò</t>
  </si>
  <si>
    <t>Cheer up / Perk up</t>
  </si>
  <si>
    <t>征</t>
  </si>
  <si>
    <t>Conscript / Levy / Expedition</t>
  </si>
  <si>
    <t>蒸</t>
  </si>
  <si>
    <t>Steam / Vaporize / To evaporate</t>
  </si>
  <si>
    <t>争辩</t>
  </si>
  <si>
    <t>zhēng biàn</t>
  </si>
  <si>
    <t>argue</t>
  </si>
  <si>
    <t>争分夺秒</t>
  </si>
  <si>
    <t>zhēng fēn duó miǎo</t>
  </si>
  <si>
    <t>race against time / seize every minute and second</t>
  </si>
  <si>
    <t>争光</t>
  </si>
  <si>
    <t>zhēng guāng</t>
  </si>
  <si>
    <t>Honor</t>
  </si>
  <si>
    <t>征集</t>
  </si>
  <si>
    <t>zhēng jí</t>
  </si>
  <si>
    <t>Collect / Call for</t>
  </si>
  <si>
    <t>症结</t>
  </si>
  <si>
    <t>zhēng jié</t>
  </si>
  <si>
    <t>crux / key point</t>
  </si>
  <si>
    <t>争相</t>
  </si>
  <si>
    <t>zhēng xiāng</t>
  </si>
  <si>
    <t>competitively</t>
  </si>
  <si>
    <t>争执</t>
  </si>
  <si>
    <t>zhēng zhí</t>
  </si>
  <si>
    <t>Dispute</t>
  </si>
  <si>
    <t>整合</t>
  </si>
  <si>
    <t>zhěng hé</t>
  </si>
  <si>
    <t>To integrate / integration</t>
  </si>
  <si>
    <t>整洁</t>
  </si>
  <si>
    <t>zhěng jié</t>
  </si>
  <si>
    <t>Neat / tidy</t>
  </si>
  <si>
    <t>拯救</t>
  </si>
  <si>
    <t>zhěng jiù</t>
  </si>
  <si>
    <t>Rescue / Save</t>
  </si>
  <si>
    <t>整数</t>
  </si>
  <si>
    <t>zhěng shù</t>
  </si>
  <si>
    <t>Integer</t>
  </si>
  <si>
    <t>整治</t>
  </si>
  <si>
    <t>zhěng zhì</t>
  </si>
  <si>
    <t>rectify / renovate</t>
  </si>
  <si>
    <t>正版</t>
  </si>
  <si>
    <t>zhèng bǎn</t>
  </si>
  <si>
    <t>official version</t>
  </si>
  <si>
    <t>政党</t>
  </si>
  <si>
    <t>zhèng dǎng</t>
  </si>
  <si>
    <t>political party</t>
  </si>
  <si>
    <t>正能量</t>
  </si>
  <si>
    <t>zhèng néng liàng</t>
  </si>
  <si>
    <t>Positive energy</t>
  </si>
  <si>
    <t>证券</t>
  </si>
  <si>
    <t>zhèng quàn</t>
  </si>
  <si>
    <t>security</t>
  </si>
  <si>
    <t>证人</t>
  </si>
  <si>
    <t>zhèng rén</t>
  </si>
  <si>
    <t>正视</t>
  </si>
  <si>
    <t>To take seriously / to treat with due seriousness</t>
  </si>
  <si>
    <t>正直</t>
  </si>
  <si>
    <t>zhèng zhí</t>
  </si>
  <si>
    <t>Honest / upright</t>
  </si>
  <si>
    <t>织</t>
  </si>
  <si>
    <t>weave</t>
  </si>
  <si>
    <t>知己</t>
  </si>
  <si>
    <t>zhī jǐ</t>
  </si>
  <si>
    <t>bosom friend / confidant</t>
  </si>
  <si>
    <t>支架</t>
  </si>
  <si>
    <t>zhī jià</t>
  </si>
  <si>
    <t>bracket / support</t>
  </si>
  <si>
    <t>芝麻</t>
  </si>
  <si>
    <t>zhī ma</t>
  </si>
  <si>
    <t>Sesame</t>
  </si>
  <si>
    <t>知识分子</t>
  </si>
  <si>
    <t>zhī shi fèn zǐ</t>
  </si>
  <si>
    <t>Intellectual / Knowledge worker</t>
  </si>
  <si>
    <t>肢体</t>
  </si>
  <si>
    <t>zhī tǐ</t>
  </si>
  <si>
    <t>Limb</t>
  </si>
  <si>
    <t>知足</t>
  </si>
  <si>
    <t>zhī zú</t>
  </si>
  <si>
    <t>content / satisfied</t>
  </si>
  <si>
    <t>职称</t>
  </si>
  <si>
    <t>zhí chēng</t>
  </si>
  <si>
    <t>professional title</t>
  </si>
  <si>
    <t>直达</t>
  </si>
  <si>
    <t>zhí dá</t>
  </si>
  <si>
    <t>go straight to / direct</t>
  </si>
  <si>
    <t>执法</t>
  </si>
  <si>
    <t>zhí fǎ</t>
  </si>
  <si>
    <t>Enforce the law / Law enforcement</t>
  </si>
  <si>
    <t>直观</t>
  </si>
  <si>
    <t>zhí guān</t>
  </si>
  <si>
    <t>intuitive / direct / intuition / direct observation</t>
  </si>
  <si>
    <t>直觉</t>
  </si>
  <si>
    <t>zhí jué</t>
  </si>
  <si>
    <t>intuition / instinct</t>
  </si>
  <si>
    <t>值钱</t>
  </si>
  <si>
    <t>zhí qián</t>
  </si>
  <si>
    <t>Valuable</t>
  </si>
  <si>
    <t>直升机</t>
  </si>
  <si>
    <t>zhí shēng jī</t>
  </si>
  <si>
    <t>helicopter</t>
  </si>
  <si>
    <t>直视</t>
  </si>
  <si>
    <t>zhí shì</t>
  </si>
  <si>
    <t>look straight at / stare at</t>
  </si>
  <si>
    <t>直辖市</t>
  </si>
  <si>
    <t>zhí xiá shì</t>
  </si>
  <si>
    <t>municipality directly under the central government</t>
  </si>
  <si>
    <t>直线</t>
  </si>
  <si>
    <t>zhí xiàn</t>
  </si>
  <si>
    <t>straight line; straight</t>
  </si>
  <si>
    <t>执意</t>
  </si>
  <si>
    <t>zhí yì</t>
  </si>
  <si>
    <t>Insist on / Be determined to</t>
  </si>
  <si>
    <t>直至</t>
  </si>
  <si>
    <t>zhí zhì</t>
  </si>
  <si>
    <t>until / up to</t>
  </si>
  <si>
    <t>纸币</t>
  </si>
  <si>
    <t>zhǐ bì</t>
  </si>
  <si>
    <t>banknote</t>
  </si>
  <si>
    <t>止步</t>
  </si>
  <si>
    <t>zhǐ bù</t>
  </si>
  <si>
    <t>To stop / to halt</t>
  </si>
  <si>
    <t>指点</t>
  </si>
  <si>
    <t>zhǐ diǎn</t>
  </si>
  <si>
    <t>Give guidance / Point the way</t>
  </si>
  <si>
    <t>只管</t>
  </si>
  <si>
    <t>zhǐ guǎn</t>
  </si>
  <si>
    <t>指教</t>
  </si>
  <si>
    <t>zhǐ jiào</t>
  </si>
  <si>
    <t>Offer advice / Give pointers</t>
  </si>
  <si>
    <t>指控</t>
  </si>
  <si>
    <t>zhǐ kòng</t>
  </si>
  <si>
    <t>accuse</t>
  </si>
  <si>
    <t>指南</t>
  </si>
  <si>
    <t>zhǐ nán</t>
  </si>
  <si>
    <t>Guide / Directory</t>
  </si>
  <si>
    <t>纸上谈兵</t>
  </si>
  <si>
    <t>zhǐ shàng tán bīng</t>
  </si>
  <si>
    <t>armchair strategy</t>
  </si>
  <si>
    <t>指手画脚</t>
  </si>
  <si>
    <t>zhǐ shǒu huà jiǎo</t>
  </si>
  <si>
    <t>gesticulate / gesture wildly</t>
  </si>
  <si>
    <t>指数</t>
  </si>
  <si>
    <t>zhǐ shù</t>
  </si>
  <si>
    <t>index</t>
  </si>
  <si>
    <t>指纹</t>
  </si>
  <si>
    <t>zhǐ wén</t>
  </si>
  <si>
    <t>fingerprint</t>
  </si>
  <si>
    <t>指向</t>
  </si>
  <si>
    <t>zhǐ xiàng</t>
  </si>
  <si>
    <t>Point to / Direct towards</t>
  </si>
  <si>
    <t>指引</t>
  </si>
  <si>
    <t>zhǐ yǐn</t>
  </si>
  <si>
    <t>旨在</t>
  </si>
  <si>
    <t>zhǐ zài</t>
  </si>
  <si>
    <t>Aimed at / intended to</t>
  </si>
  <si>
    <t>置</t>
  </si>
  <si>
    <t>zhì</t>
  </si>
  <si>
    <t>To put / To place / To lay</t>
  </si>
  <si>
    <t>致</t>
  </si>
  <si>
    <t>To send / To cause / To result in</t>
  </si>
  <si>
    <t>至此</t>
  </si>
  <si>
    <t>zhì cǐ</t>
  </si>
  <si>
    <t>质地</t>
  </si>
  <si>
    <t>zhì dì</t>
  </si>
  <si>
    <t>Texture</t>
  </si>
  <si>
    <t>致富</t>
  </si>
  <si>
    <t>zhì fù</t>
  </si>
  <si>
    <t>Get rich</t>
  </si>
  <si>
    <t>滞后</t>
  </si>
  <si>
    <t>zhì hòu</t>
  </si>
  <si>
    <t>lag / fall behind</t>
  </si>
  <si>
    <t>致敬</t>
  </si>
  <si>
    <t>zhì jìng</t>
  </si>
  <si>
    <t>Pay tribute</t>
  </si>
  <si>
    <t>致力于</t>
  </si>
  <si>
    <t>zhì lì yú</t>
  </si>
  <si>
    <t>Devote oneself to / Be committed to</t>
  </si>
  <si>
    <t>致命</t>
  </si>
  <si>
    <t>zhì mìng</t>
  </si>
  <si>
    <t>Fatal</t>
  </si>
  <si>
    <t>稚嫩</t>
  </si>
  <si>
    <t>zhì nèn</t>
  </si>
  <si>
    <t>immature</t>
  </si>
  <si>
    <t>质朴</t>
  </si>
  <si>
    <t>zhì pǔ</t>
  </si>
  <si>
    <t>Simple and unadorned</t>
  </si>
  <si>
    <t>质问</t>
  </si>
  <si>
    <t>zhì wèn</t>
  </si>
  <si>
    <t>Interrogate</t>
  </si>
  <si>
    <t>窒息</t>
  </si>
  <si>
    <t>zhì xī</t>
  </si>
  <si>
    <t>suffocate / choke</t>
  </si>
  <si>
    <t>志向</t>
  </si>
  <si>
    <t>zhì xiàng</t>
  </si>
  <si>
    <t>ambition</t>
  </si>
  <si>
    <t>治愈</t>
  </si>
  <si>
    <t>zhì yù</t>
  </si>
  <si>
    <t>heal / cure</t>
  </si>
  <si>
    <t>志愿</t>
  </si>
  <si>
    <t>zhì yuàn</t>
  </si>
  <si>
    <t>钟</t>
  </si>
  <si>
    <t>zhōng</t>
  </si>
  <si>
    <t>clock</t>
  </si>
  <si>
    <t>终端</t>
  </si>
  <si>
    <t>zhōng duān</t>
  </si>
  <si>
    <t>terminal</t>
  </si>
  <si>
    <t>忠告</t>
  </si>
  <si>
    <t>zhōng gào</t>
  </si>
  <si>
    <t>advise ; advice</t>
  </si>
  <si>
    <t>终极</t>
  </si>
  <si>
    <t>zhōng jí</t>
  </si>
  <si>
    <t>ultimate</t>
  </si>
  <si>
    <t>终结</t>
  </si>
  <si>
    <t>zhōng jié</t>
  </si>
  <si>
    <t>end / conclude</t>
  </si>
  <si>
    <t>终生</t>
  </si>
  <si>
    <t>zhōng shēng</t>
  </si>
  <si>
    <t>lifelong / all one's life</t>
  </si>
  <si>
    <t>中途</t>
  </si>
  <si>
    <t>zhōng tú</t>
  </si>
  <si>
    <t>Halfway</t>
  </si>
  <si>
    <t>忠心</t>
  </si>
  <si>
    <t>loyalty</t>
  </si>
  <si>
    <t>中性</t>
  </si>
  <si>
    <t>zhōng xìng</t>
  </si>
  <si>
    <t>Neutral</t>
  </si>
  <si>
    <t>中叶</t>
  </si>
  <si>
    <t>zhōng yè</t>
  </si>
  <si>
    <t>middle period</t>
  </si>
  <si>
    <t>中庸</t>
  </si>
  <si>
    <t>zhōng yōng</t>
  </si>
  <si>
    <t>Middle-of-the-road</t>
  </si>
  <si>
    <t>忠于</t>
  </si>
  <si>
    <t>Be loyal to / Be faithful to</t>
  </si>
  <si>
    <t>忠贞</t>
  </si>
  <si>
    <t>zhōng zhēn</t>
  </si>
  <si>
    <t>Loyalty / Fidelity</t>
  </si>
  <si>
    <t>中止</t>
  </si>
  <si>
    <t>Suspend</t>
  </si>
  <si>
    <t>仲裁</t>
  </si>
  <si>
    <t>zhòng cái</t>
  </si>
  <si>
    <t>Arbitration</t>
  </si>
  <si>
    <t>重创</t>
  </si>
  <si>
    <t>zhòng chuāng</t>
  </si>
  <si>
    <t>Heavy blow</t>
  </si>
  <si>
    <t>重量级</t>
  </si>
  <si>
    <t>zhòng liàng jí</t>
  </si>
  <si>
    <t>Heavyweight / Major</t>
  </si>
  <si>
    <t>重任</t>
  </si>
  <si>
    <t>zhòng rèn</t>
  </si>
  <si>
    <t>Heavy responsibility</t>
  </si>
  <si>
    <t>重型</t>
  </si>
  <si>
    <t>zhòng xíng</t>
  </si>
  <si>
    <t>Heavy-duty / Heavyweight</t>
  </si>
  <si>
    <t>重用</t>
  </si>
  <si>
    <t>zhòng yòng</t>
  </si>
  <si>
    <t>promote / place in an important position</t>
  </si>
  <si>
    <t>众志成城</t>
  </si>
  <si>
    <t>zhòng zhì chéng chéng</t>
  </si>
  <si>
    <t>unity is strength / when the whole nation works as one / it is invincible</t>
  </si>
  <si>
    <t>重中之重</t>
  </si>
  <si>
    <t>zhòng zhōng zhī zhòng</t>
  </si>
  <si>
    <t>The most important / The top priority</t>
  </si>
  <si>
    <t>周岁</t>
  </si>
  <si>
    <t>zhōu suì</t>
  </si>
  <si>
    <t>full year of age</t>
  </si>
  <si>
    <t>周旋</t>
  </si>
  <si>
    <t>zhōu xuán</t>
  </si>
  <si>
    <t>Maneuver / handle</t>
  </si>
  <si>
    <t>皱</t>
  </si>
  <si>
    <t>zhòu</t>
  </si>
  <si>
    <t>To wrinkle / Wrinkle</t>
  </si>
  <si>
    <t>骤然</t>
  </si>
  <si>
    <t>zhòu rán</t>
  </si>
  <si>
    <t>Suddenly / Abruptly</t>
  </si>
  <si>
    <t>朱红</t>
  </si>
  <si>
    <t>zhū hóng</t>
  </si>
  <si>
    <t>Vermilion / cinnabar red</t>
  </si>
  <si>
    <t>诸如此类</t>
  </si>
  <si>
    <t>zhū rú cǐ lèi</t>
  </si>
  <si>
    <t>And so on / And such like</t>
  </si>
  <si>
    <t>竹竿</t>
  </si>
  <si>
    <t>zhú gān</t>
  </si>
  <si>
    <t>bamboo pole</t>
  </si>
  <si>
    <t>逐一</t>
  </si>
  <si>
    <t>zhú yī</t>
  </si>
  <si>
    <t>one by one</t>
  </si>
  <si>
    <t>主编</t>
  </si>
  <si>
    <t>zhǔ biān</t>
  </si>
  <si>
    <t>Editor-in-chief</t>
  </si>
  <si>
    <t>主打</t>
  </si>
  <si>
    <t>zhǔ dǎ</t>
  </si>
  <si>
    <t>focus on / highlight</t>
  </si>
  <si>
    <t>主力</t>
  </si>
  <si>
    <t>zhǔ lì</t>
  </si>
  <si>
    <t>Main force</t>
  </si>
  <si>
    <t>主人公</t>
  </si>
  <si>
    <t>zhǔ rén gōng</t>
  </si>
  <si>
    <t>Protagonist / Main character</t>
  </si>
  <si>
    <t>主题曲</t>
  </si>
  <si>
    <t>zhǔ tí qǔ</t>
  </si>
  <si>
    <t>theme song</t>
  </si>
  <si>
    <t>主体</t>
  </si>
  <si>
    <t>zhǔ tǐ</t>
  </si>
  <si>
    <t>main body</t>
  </si>
  <si>
    <t>嘱托</t>
  </si>
  <si>
    <t>zhǔ tuō</t>
  </si>
  <si>
    <t>entrust / urge</t>
  </si>
  <si>
    <t>主页</t>
  </si>
  <si>
    <t>zhǔ yè</t>
  </si>
  <si>
    <t>Homepage</t>
  </si>
  <si>
    <t>主宰</t>
  </si>
  <si>
    <t>zhǔ zǎi</t>
  </si>
  <si>
    <t>Lord</t>
  </si>
  <si>
    <t>注</t>
  </si>
  <si>
    <t>Note / Inject / Pour</t>
  </si>
  <si>
    <t>筑</t>
  </si>
  <si>
    <t>To build / To construct</t>
  </si>
  <si>
    <t>驻</t>
  </si>
  <si>
    <t>station</t>
  </si>
  <si>
    <t>贮藏</t>
  </si>
  <si>
    <t>zhù cáng</t>
  </si>
  <si>
    <t>Store</t>
  </si>
  <si>
    <t>著称</t>
  </si>
  <si>
    <t>zhù chēng</t>
  </si>
  <si>
    <t>be famous for</t>
  </si>
  <si>
    <t>住处</t>
  </si>
  <si>
    <t>zhù chù</t>
  </si>
  <si>
    <t>Residence</t>
  </si>
  <si>
    <t>注定</t>
  </si>
  <si>
    <t>zhù dìng</t>
  </si>
  <si>
    <t>destined / predetermined</t>
  </si>
  <si>
    <t>住户</t>
  </si>
  <si>
    <t>zhù hù</t>
  </si>
  <si>
    <t>Householder</t>
  </si>
  <si>
    <t>助力</t>
  </si>
  <si>
    <t>zhù lì</t>
  </si>
  <si>
    <t>assist ; support</t>
  </si>
  <si>
    <t>助威</t>
  </si>
  <si>
    <t>zhù wēi</t>
  </si>
  <si>
    <t>Cheer for / root</t>
  </si>
  <si>
    <t>注销</t>
  </si>
  <si>
    <t>zhù xiāo</t>
  </si>
  <si>
    <t>cancel</t>
  </si>
  <si>
    <t>蛀牙</t>
  </si>
  <si>
    <t>zhù yá</t>
  </si>
  <si>
    <t>cavity</t>
  </si>
  <si>
    <t>柱子</t>
  </si>
  <si>
    <t>zhù zi</t>
  </si>
  <si>
    <t>pillar</t>
  </si>
  <si>
    <t>驻足</t>
  </si>
  <si>
    <t>zhù zú</t>
  </si>
  <si>
    <t>stop / pause</t>
  </si>
  <si>
    <t>爪子</t>
  </si>
  <si>
    <t>zhuǎ zi</t>
  </si>
  <si>
    <t>claw / talon</t>
  </si>
  <si>
    <t>专柜</t>
  </si>
  <si>
    <t>zhuān guì</t>
  </si>
  <si>
    <t>Counter (in a store)</t>
  </si>
  <si>
    <t>专辑</t>
  </si>
  <si>
    <t>zhuān jí</t>
  </si>
  <si>
    <t>album</t>
  </si>
  <si>
    <t>专栏</t>
  </si>
  <si>
    <t>zhuān lán</t>
  </si>
  <si>
    <t>Column / special column</t>
  </si>
  <si>
    <t>专卖</t>
  </si>
  <si>
    <t>zhuān mài</t>
  </si>
  <si>
    <t>monopolize / sell exclusively</t>
  </si>
  <si>
    <t>专人</t>
  </si>
  <si>
    <t>zhuān rén</t>
  </si>
  <si>
    <t>Specialized person / specialist</t>
  </si>
  <si>
    <t>专项</t>
  </si>
  <si>
    <t>zhuān xiàng</t>
  </si>
  <si>
    <t>special project</t>
  </si>
  <si>
    <t>专职</t>
  </si>
  <si>
    <t>zhuān zhí</t>
  </si>
  <si>
    <t>Full-time</t>
  </si>
  <si>
    <t>专制</t>
  </si>
  <si>
    <t>zhuān zhì</t>
  </si>
  <si>
    <t>Autocratic / authoritarian</t>
  </si>
  <si>
    <t>专著</t>
  </si>
  <si>
    <t>zhuān zhù</t>
  </si>
  <si>
    <t>Monograph</t>
  </si>
  <si>
    <t>转播</t>
  </si>
  <si>
    <t>zhuǎn bō</t>
  </si>
  <si>
    <t>Broadcast</t>
  </si>
  <si>
    <t>转化</t>
  </si>
  <si>
    <t>zhuǎn huà</t>
  </si>
  <si>
    <t>transofrm</t>
  </si>
  <si>
    <t>转机</t>
  </si>
  <si>
    <t>zhuǎn jī</t>
  </si>
  <si>
    <t>Turning point</t>
  </si>
  <si>
    <t>转型</t>
  </si>
  <si>
    <t>zhuǎn xíng</t>
  </si>
  <si>
    <t>转眼</t>
  </si>
  <si>
    <t>zhuǎn yǎn</t>
  </si>
  <si>
    <t>In the blink of an eye</t>
  </si>
  <si>
    <t>转载</t>
  </si>
  <si>
    <t>zhuǎn zǎi</t>
  </si>
  <si>
    <t>Repost</t>
  </si>
  <si>
    <t>转折点</t>
  </si>
  <si>
    <t>zhuǎn zhé diǎn</t>
  </si>
  <si>
    <t>Turning point / Critical juncture</t>
  </si>
  <si>
    <t>传</t>
  </si>
  <si>
    <t>Tradition / Inheritance / Biography</t>
  </si>
  <si>
    <t>撰写</t>
  </si>
  <si>
    <t>zhuàn xiě</t>
  </si>
  <si>
    <t>Write / Compose</t>
  </si>
  <si>
    <t>转悠</t>
  </si>
  <si>
    <t>zhuàn you</t>
  </si>
  <si>
    <t>Wander around</t>
  </si>
  <si>
    <t>桩</t>
  </si>
  <si>
    <t>Stake / Pile / Measure word for events or things set upright</t>
  </si>
  <si>
    <t>装扮</t>
  </si>
  <si>
    <t>zhuāng bàn</t>
  </si>
  <si>
    <t>Dress up</t>
  </si>
  <si>
    <t>庄园</t>
  </si>
  <si>
    <t>zhuāng yuán</t>
  </si>
  <si>
    <t>Manor / Estate</t>
  </si>
  <si>
    <t>装置</t>
  </si>
  <si>
    <t>zhuāng zhì</t>
  </si>
  <si>
    <t>isntall</t>
  </si>
  <si>
    <t>壮</t>
  </si>
  <si>
    <t>Strong / Robust / Strengthen</t>
  </si>
  <si>
    <t>壮大</t>
  </si>
  <si>
    <t>zhuàng dà</t>
  </si>
  <si>
    <t>Expand / strengthen</t>
  </si>
  <si>
    <t>撞击</t>
  </si>
  <si>
    <t>zhuàng jī</t>
  </si>
  <si>
    <t>Impact / Collision</t>
  </si>
  <si>
    <t>状元</t>
  </si>
  <si>
    <t>zhuàng yuan</t>
  </si>
  <si>
    <t>top scholar in the imperial examinations</t>
  </si>
  <si>
    <t>追赶</t>
  </si>
  <si>
    <t>zhuī gǎn</t>
  </si>
  <si>
    <t>Chase</t>
  </si>
  <si>
    <t>追捧</t>
  </si>
  <si>
    <t>zhuī pěng</t>
  </si>
  <si>
    <t>chase / pursue</t>
  </si>
  <si>
    <t>追溯</t>
  </si>
  <si>
    <t>zhuī sù</t>
  </si>
  <si>
    <t>Trace back</t>
  </si>
  <si>
    <t>追随</t>
  </si>
  <si>
    <t>zhuī suí</t>
  </si>
  <si>
    <t>Follow</t>
  </si>
  <si>
    <t>追尾</t>
  </si>
  <si>
    <t>zhuī wěi</t>
  </si>
  <si>
    <t>Rear-end</t>
  </si>
  <si>
    <t>追问</t>
  </si>
  <si>
    <t>zhuī wèn</t>
  </si>
  <si>
    <t>Question</t>
  </si>
  <si>
    <t>追逐</t>
  </si>
  <si>
    <t>zhuī zhú</t>
  </si>
  <si>
    <t>Pursuit</t>
  </si>
  <si>
    <t>追踪</t>
  </si>
  <si>
    <t>zhuī zōng</t>
  </si>
  <si>
    <t>Track</t>
  </si>
  <si>
    <t>坠落</t>
  </si>
  <si>
    <t>zhuì luò</t>
  </si>
  <si>
    <t>fall</t>
  </si>
  <si>
    <t>准许</t>
  </si>
  <si>
    <t>zhǔn xǔ</t>
  </si>
  <si>
    <t>Permit</t>
  </si>
  <si>
    <t>拙劣</t>
  </si>
  <si>
    <t>zhuō liè</t>
  </si>
  <si>
    <t>Crude / Inferior</t>
  </si>
  <si>
    <t>捉迷藏</t>
  </si>
  <si>
    <t>zhuō mí cáng</t>
  </si>
  <si>
    <t>Hide and seek</t>
  </si>
  <si>
    <t>着力</t>
  </si>
  <si>
    <t>zhuó lì</t>
  </si>
  <si>
    <t>make efforts / strive</t>
  </si>
  <si>
    <t>着落</t>
  </si>
  <si>
    <t>zhuó luò</t>
  </si>
  <si>
    <t>arrangement / solution</t>
  </si>
  <si>
    <t>酌情</t>
  </si>
  <si>
    <t>zhuó qíng</t>
  </si>
  <si>
    <t>Discretion / As appropriate</t>
  </si>
  <si>
    <t>灼热</t>
  </si>
  <si>
    <t>zhuó rè</t>
  </si>
  <si>
    <t>scorching / blazing</t>
  </si>
  <si>
    <t>着实</t>
  </si>
  <si>
    <t>zhuó shí</t>
  </si>
  <si>
    <t>really / indeed</t>
  </si>
  <si>
    <t>着眼</t>
  </si>
  <si>
    <t>zhuó yǎn</t>
  </si>
  <si>
    <t>focus on / take into account</t>
  </si>
  <si>
    <t>茁壮</t>
  </si>
  <si>
    <t>zhuó zhuàng</t>
  </si>
  <si>
    <t>vigorous</t>
  </si>
  <si>
    <t>兹</t>
  </si>
  <si>
    <t>zī</t>
  </si>
  <si>
    <t>Now / Here</t>
  </si>
  <si>
    <t>资本主义</t>
  </si>
  <si>
    <t>zī běn zhǔ yì</t>
  </si>
  <si>
    <t>Capitalism / Capitalist</t>
  </si>
  <si>
    <t>资历</t>
  </si>
  <si>
    <t>zī lì</t>
  </si>
  <si>
    <t>Qualifications</t>
  </si>
  <si>
    <t>滋生</t>
  </si>
  <si>
    <t>zī shēng</t>
  </si>
  <si>
    <t>breed</t>
  </si>
  <si>
    <t>资讯</t>
  </si>
  <si>
    <t>zī xùn</t>
  </si>
  <si>
    <t>Information</t>
  </si>
  <si>
    <t>资质</t>
  </si>
  <si>
    <t>zī zhì</t>
  </si>
  <si>
    <t>qualification</t>
  </si>
  <si>
    <t>籽</t>
  </si>
  <si>
    <t>seed</t>
  </si>
  <si>
    <t>子弟</t>
  </si>
  <si>
    <t>zǐ dì</t>
  </si>
  <si>
    <t>Younger generation / Disciples</t>
  </si>
  <si>
    <t>子孙</t>
  </si>
  <si>
    <t>zǐ sūn</t>
  </si>
  <si>
    <t>Descendants</t>
  </si>
  <si>
    <t>自称</t>
  </si>
  <si>
    <t>zì chēng</t>
  </si>
  <si>
    <t>Claim oneself as</t>
  </si>
  <si>
    <t>自费</t>
  </si>
  <si>
    <t>zì fèi</t>
  </si>
  <si>
    <t>Self-funded</t>
  </si>
  <si>
    <t>自负</t>
  </si>
  <si>
    <t>zì fù</t>
  </si>
  <si>
    <t>Arrogant / Conceited</t>
  </si>
  <si>
    <t>字迹</t>
  </si>
  <si>
    <t>zì jì</t>
  </si>
  <si>
    <t>Handwriting</t>
  </si>
  <si>
    <t>自理</t>
  </si>
  <si>
    <t>zì lǐ</t>
  </si>
  <si>
    <t>Take care of oneself</t>
  </si>
  <si>
    <t>自立</t>
  </si>
  <si>
    <t>zì lì</t>
  </si>
  <si>
    <t>Independent</t>
  </si>
  <si>
    <t>自强不息</t>
  </si>
  <si>
    <t>zì qiáng bù xī</t>
  </si>
  <si>
    <t>Strive unremittingly for self-improvement / Never cease striving to become stronger</t>
  </si>
  <si>
    <t>自然而然</t>
  </si>
  <si>
    <t>zì rán ér rán</t>
  </si>
  <si>
    <t>Naturally / Naturally and inevitably</t>
  </si>
  <si>
    <t>自然界</t>
  </si>
  <si>
    <t>zì rán jiè</t>
  </si>
  <si>
    <t>Nature</t>
  </si>
  <si>
    <t>自如</t>
  </si>
  <si>
    <t>zì rú</t>
  </si>
  <si>
    <t>At ease</t>
  </si>
  <si>
    <t>自始至终</t>
  </si>
  <si>
    <t>zì shǐ zhì zhōng</t>
  </si>
  <si>
    <t>From beginning to end / Throughout</t>
  </si>
  <si>
    <t>自首</t>
  </si>
  <si>
    <t>zì shǒu</t>
  </si>
  <si>
    <t>surrender</t>
  </si>
  <si>
    <t>字体</t>
  </si>
  <si>
    <t>zì tǐ</t>
  </si>
  <si>
    <t>Font</t>
  </si>
  <si>
    <t>自卫</t>
  </si>
  <si>
    <t>zì wèi</t>
  </si>
  <si>
    <t>Self-defense</t>
  </si>
  <si>
    <t>自相矛盾</t>
  </si>
  <si>
    <t>zì xiāng máo dùn</t>
  </si>
  <si>
    <t>Self-contradictory / Contradictory</t>
  </si>
  <si>
    <t>自行</t>
  </si>
  <si>
    <t>zì xíng</t>
  </si>
  <si>
    <t>By oneself</t>
  </si>
  <si>
    <t>字眼</t>
  </si>
  <si>
    <t>zì yǎn</t>
  </si>
  <si>
    <t>Wording / Writings</t>
  </si>
  <si>
    <t>自以为是</t>
  </si>
  <si>
    <t>zì yǐ wéi shì</t>
  </si>
  <si>
    <t>Self-righteous / Assume oneself to be right</t>
  </si>
  <si>
    <t>自在</t>
  </si>
  <si>
    <t>zì zài</t>
  </si>
  <si>
    <t>free / at ease</t>
  </si>
  <si>
    <t>自责</t>
  </si>
  <si>
    <t>zì zé</t>
  </si>
  <si>
    <t>Self-blame</t>
  </si>
  <si>
    <t>自治区</t>
  </si>
  <si>
    <t>zì zhì qū</t>
  </si>
  <si>
    <t>autonomous region</t>
  </si>
  <si>
    <t>自尊</t>
  </si>
  <si>
    <t>zì zūn</t>
  </si>
  <si>
    <t>Self-esteem</t>
  </si>
  <si>
    <t>宗</t>
  </si>
  <si>
    <t>zōng</t>
  </si>
  <si>
    <t>Measure word for religions or schools of thought</t>
  </si>
  <si>
    <t>综艺</t>
  </si>
  <si>
    <t>zōng yì</t>
  </si>
  <si>
    <t>variety show</t>
  </si>
  <si>
    <t>总额</t>
  </si>
  <si>
    <t>zǒng é</t>
  </si>
  <si>
    <t>Total amount / Total sum</t>
  </si>
  <si>
    <t>纵观</t>
  </si>
  <si>
    <t>zòng guān</t>
  </si>
  <si>
    <t>take a broad view / overall view</t>
  </si>
  <si>
    <t>纵然</t>
  </si>
  <si>
    <t>zòng rán</t>
  </si>
  <si>
    <t>even though / although</t>
  </si>
  <si>
    <t>纵容</t>
  </si>
  <si>
    <t>zòng róng</t>
  </si>
  <si>
    <t>indulge / connive at</t>
  </si>
  <si>
    <t>纵深</t>
  </si>
  <si>
    <t>zòng shēn</t>
  </si>
  <si>
    <t>depth (military concept) / strategic depth</t>
  </si>
  <si>
    <t>走过场</t>
  </si>
  <si>
    <t>zǒu guò chǎng</t>
  </si>
  <si>
    <t>Go through the motions / Just for show</t>
  </si>
  <si>
    <t>走势</t>
  </si>
  <si>
    <t>zǒu shì</t>
  </si>
  <si>
    <t>trend</t>
  </si>
  <si>
    <t>走投无路</t>
  </si>
  <si>
    <t>zǒu tóu wú lù</t>
  </si>
  <si>
    <t>Be at one's wit's end / Have nowhere to go</t>
  </si>
  <si>
    <t>走弯路</t>
  </si>
  <si>
    <t>zǒu wān lù</t>
  </si>
  <si>
    <t>Take a detour / Go the wrong way</t>
  </si>
  <si>
    <t>走向</t>
  </si>
  <si>
    <t>zǒu xiàng</t>
  </si>
  <si>
    <t>奏效</t>
  </si>
  <si>
    <t>zòu xiào</t>
  </si>
  <si>
    <t>Take effect / produce results</t>
  </si>
  <si>
    <t>足不出户</t>
  </si>
  <si>
    <t>zú bù chū hù</t>
  </si>
  <si>
    <t>stay at home (without stepping outside)</t>
  </si>
  <si>
    <t>足迹</t>
  </si>
  <si>
    <t>zú jì</t>
  </si>
  <si>
    <t>Footprint</t>
  </si>
  <si>
    <t>足智多谋</t>
  </si>
  <si>
    <t>zú zhì duō móu</t>
  </si>
  <si>
    <t>Resourceful / Ingenious</t>
  </si>
  <si>
    <t>祖传</t>
  </si>
  <si>
    <t>zǔ chuán</t>
  </si>
  <si>
    <t>handed down through generations / ancestral</t>
  </si>
  <si>
    <t>祖籍</t>
  </si>
  <si>
    <t>zǔ jí</t>
  </si>
  <si>
    <t>ancestral home / native place</t>
  </si>
  <si>
    <t>组建</t>
  </si>
  <si>
    <t>zǔ jiàn</t>
  </si>
  <si>
    <t>set up / establish</t>
  </si>
  <si>
    <t>阻力</t>
  </si>
  <si>
    <t>zǔ lì</t>
  </si>
  <si>
    <t>Resistance</t>
  </si>
  <si>
    <t>祖母</t>
  </si>
  <si>
    <t>zǔ mǔ</t>
  </si>
  <si>
    <t>grandmother</t>
  </si>
  <si>
    <t>组装</t>
  </si>
  <si>
    <t>zǔ zhuāng</t>
  </si>
  <si>
    <t>assemble / assemble</t>
  </si>
  <si>
    <t>祖宗</t>
  </si>
  <si>
    <t>zǔ zong</t>
  </si>
  <si>
    <t>ancestor / progenitor</t>
  </si>
  <si>
    <t>钻空子</t>
  </si>
  <si>
    <t>zuān kòng zi</t>
  </si>
  <si>
    <t>Exploit a loophole / Find a loophole</t>
  </si>
  <si>
    <t>罪魁祸首</t>
  </si>
  <si>
    <t>zuì kuí huò shǒu</t>
  </si>
  <si>
    <t>The main culprit / The principal offender</t>
  </si>
  <si>
    <t>尊贵</t>
  </si>
  <si>
    <t>zūn guì</t>
  </si>
  <si>
    <t>Honorable / Distinguished</t>
  </si>
  <si>
    <t>遵照</t>
  </si>
  <si>
    <t>zūn zhào</t>
  </si>
  <si>
    <t>作料</t>
  </si>
  <si>
    <t>zuó liào</t>
  </si>
  <si>
    <t>seasoning</t>
  </si>
  <si>
    <t>左顾右盼</t>
  </si>
  <si>
    <t>zuǒ gù yòu pàn</t>
  </si>
  <si>
    <t>look to the left and right / look around</t>
  </si>
  <si>
    <t>作对</t>
  </si>
  <si>
    <t>zuò duì</t>
  </si>
  <si>
    <t>Oppose</t>
  </si>
  <si>
    <t>作客</t>
  </si>
  <si>
    <t>zuò kè</t>
  </si>
  <si>
    <t>Be a guest</t>
  </si>
  <si>
    <t>坐落</t>
  </si>
  <si>
    <t>zuò luò</t>
  </si>
  <si>
    <t>Situated / located</t>
  </si>
  <si>
    <t>座谈</t>
  </si>
  <si>
    <t>zuò tán</t>
  </si>
  <si>
    <t>Have a discussion / Symposium</t>
  </si>
  <si>
    <t>作物</t>
  </si>
  <si>
    <t>zuò wù</t>
  </si>
  <si>
    <t>Crop</t>
  </si>
  <si>
    <t>作战</t>
  </si>
  <si>
    <t>zuò zhàn</t>
  </si>
  <si>
    <t>fight</t>
  </si>
  <si>
    <t>做证</t>
  </si>
  <si>
    <t>zuò zhèng</t>
  </si>
  <si>
    <t>Testify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</si>
</sst>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54.57"/>
    <col customWidth="1" min="6" max="6" width="49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" t="s">
        <v>6</v>
      </c>
      <c r="B2" s="1">
        <v>1.0</v>
      </c>
      <c r="C2" s="1" t="s">
        <v>7</v>
      </c>
      <c r="D2" s="1" t="s">
        <v>8</v>
      </c>
      <c r="E2" s="1" t="s">
        <v>9</v>
      </c>
      <c r="F2" s="1" t="str">
        <f>IFERROR(__xludf.DUMMYFUNCTION("GOOGLETRANSLATE(A2, ""zh-CN"", ""ko"")"),"좋다")</f>
        <v>좋다</v>
      </c>
    </row>
    <row r="3">
      <c r="A3" s="1" t="s">
        <v>10</v>
      </c>
      <c r="B3" s="1">
        <v>1.0</v>
      </c>
      <c r="C3" s="1" t="s">
        <v>11</v>
      </c>
      <c r="D3" s="1" t="s">
        <v>12</v>
      </c>
      <c r="E3" s="1" t="s">
        <v>13</v>
      </c>
      <c r="F3" s="1" t="str">
        <f>IFERROR(__xludf.DUMMYFUNCTION("GOOGLETRANSLATE(A3, ""zh-CN"", ""ko"")"),"여덟")</f>
        <v>여덟</v>
      </c>
    </row>
    <row r="4">
      <c r="A4" s="1" t="s">
        <v>14</v>
      </c>
      <c r="B4" s="1">
        <v>1.0</v>
      </c>
      <c r="C4" s="1" t="s">
        <v>15</v>
      </c>
      <c r="D4" s="1" t="s">
        <v>16</v>
      </c>
      <c r="E4" s="1" t="s">
        <v>17</v>
      </c>
      <c r="F4" s="1" t="str">
        <f>IFERROR(__xludf.DUMMYFUNCTION("GOOGLETRANSLATE(A4, ""zh-CN"", ""ko"")"),"아빠")</f>
        <v>아빠</v>
      </c>
    </row>
    <row r="5">
      <c r="A5" s="1" t="s">
        <v>18</v>
      </c>
      <c r="B5" s="1">
        <v>1.0</v>
      </c>
      <c r="C5" s="1" t="s">
        <v>19</v>
      </c>
      <c r="D5" s="1" t="s">
        <v>16</v>
      </c>
      <c r="E5" s="1" t="s">
        <v>20</v>
      </c>
      <c r="F5" s="1" t="str">
        <f>IFERROR(__xludf.DUMMYFUNCTION("GOOGLETRANSLATE(A5, ""zh-CN"", ""ko"")"),"컵")</f>
        <v>컵</v>
      </c>
    </row>
    <row r="6">
      <c r="A6" s="1" t="s">
        <v>21</v>
      </c>
      <c r="B6" s="1">
        <v>1.0</v>
      </c>
      <c r="C6" s="1" t="s">
        <v>22</v>
      </c>
      <c r="D6" s="1" t="s">
        <v>16</v>
      </c>
      <c r="E6" s="1" t="s">
        <v>23</v>
      </c>
      <c r="F6" s="1" t="str">
        <f>IFERROR(__xludf.DUMMYFUNCTION("GOOGLETRANSLATE(A6, ""zh-CN"", ""ko"")"),"베이징")</f>
        <v>베이징</v>
      </c>
    </row>
    <row r="7">
      <c r="A7" s="1" t="s">
        <v>24</v>
      </c>
      <c r="B7" s="1">
        <v>1.0</v>
      </c>
      <c r="C7" s="1" t="s">
        <v>25</v>
      </c>
      <c r="D7" s="1" t="s">
        <v>26</v>
      </c>
      <c r="E7" s="1" t="s">
        <v>27</v>
      </c>
      <c r="F7" s="1" t="str">
        <f>IFERROR(__xludf.DUMMYFUNCTION("GOOGLETRANSLATE(A7, ""zh-CN"", ""ko"")"),"책")</f>
        <v>책</v>
      </c>
    </row>
    <row r="8">
      <c r="A8" s="1" t="s">
        <v>28</v>
      </c>
      <c r="B8" s="1">
        <v>1.0</v>
      </c>
      <c r="C8" s="1" t="s">
        <v>29</v>
      </c>
      <c r="E8" s="1" t="s">
        <v>30</v>
      </c>
      <c r="F8" s="1" t="str">
        <f>IFERROR(__xludf.DUMMYFUNCTION("GOOGLETRANSLATE(A8, ""zh-CN"", ""ko"")"),"천만에요")</f>
        <v>천만에요</v>
      </c>
    </row>
    <row r="9">
      <c r="A9" s="1" t="s">
        <v>31</v>
      </c>
      <c r="B9" s="1">
        <v>1.0</v>
      </c>
      <c r="C9" s="1" t="s">
        <v>32</v>
      </c>
      <c r="D9" s="1" t="s">
        <v>33</v>
      </c>
      <c r="E9" s="1" t="s">
        <v>34</v>
      </c>
      <c r="F9" s="1" t="str">
        <f>IFERROR(__xludf.DUMMYFUNCTION("GOOGLETRANSLATE(A9, ""zh-CN"", ""ko"")"),"아니요")</f>
        <v>아니요</v>
      </c>
    </row>
    <row r="10">
      <c r="A10" s="1" t="s">
        <v>35</v>
      </c>
      <c r="B10" s="1">
        <v>1.0</v>
      </c>
      <c r="C10" s="1" t="s">
        <v>36</v>
      </c>
      <c r="D10" s="1" t="s">
        <v>16</v>
      </c>
      <c r="E10" s="1" t="s">
        <v>37</v>
      </c>
      <c r="F10" s="1" t="str">
        <f>IFERROR(__xludf.DUMMYFUNCTION("GOOGLETRANSLATE(A10, ""zh-CN"", ""ko"")"),"채소")</f>
        <v>채소</v>
      </c>
    </row>
    <row r="11">
      <c r="A11" s="1" t="s">
        <v>38</v>
      </c>
      <c r="B11" s="1">
        <v>1.0</v>
      </c>
      <c r="C11" s="1" t="s">
        <v>39</v>
      </c>
      <c r="D11" s="1" t="s">
        <v>16</v>
      </c>
      <c r="E11" s="1" t="s">
        <v>40</v>
      </c>
      <c r="F11" s="1" t="str">
        <f>IFERROR(__xludf.DUMMYFUNCTION("GOOGLETRANSLATE(A11, ""zh-CN"", ""ko"")"),"차")</f>
        <v>차</v>
      </c>
    </row>
    <row r="12">
      <c r="A12" s="1" t="s">
        <v>41</v>
      </c>
      <c r="B12" s="1">
        <v>1.0</v>
      </c>
      <c r="C12" s="1" t="s">
        <v>42</v>
      </c>
      <c r="D12" s="1" t="s">
        <v>8</v>
      </c>
      <c r="E12" s="1" t="s">
        <v>43</v>
      </c>
      <c r="F12" s="1" t="str">
        <f>IFERROR(__xludf.DUMMYFUNCTION("GOOGLETRANSLATE(A12, ""zh-CN"", ""ko"")"),"먹다")</f>
        <v>먹다</v>
      </c>
    </row>
    <row r="13">
      <c r="A13" s="1" t="s">
        <v>44</v>
      </c>
      <c r="B13" s="1">
        <v>1.0</v>
      </c>
      <c r="C13" s="1" t="s">
        <v>45</v>
      </c>
      <c r="D13" s="1" t="s">
        <v>16</v>
      </c>
      <c r="E13" s="1" t="s">
        <v>46</v>
      </c>
      <c r="F13" s="1" t="str">
        <f>IFERROR(__xludf.DUMMYFUNCTION("GOOGLETRANSLATE(A13, ""zh-CN"", ""ko"")"),"택시")</f>
        <v>택시</v>
      </c>
    </row>
    <row r="14">
      <c r="A14" s="1" t="s">
        <v>47</v>
      </c>
      <c r="B14" s="1">
        <v>1.0</v>
      </c>
      <c r="C14" s="1" t="s">
        <v>48</v>
      </c>
      <c r="E14" s="1" t="s">
        <v>49</v>
      </c>
      <c r="F14" s="1" t="str">
        <f>IFERROR(__xludf.DUMMYFUNCTION("GOOGLETRANSLATE(A14, ""zh-CN"", ""ko"")"),"전화하세요")</f>
        <v>전화하세요</v>
      </c>
    </row>
    <row r="15">
      <c r="A15" s="1" t="s">
        <v>50</v>
      </c>
      <c r="B15" s="1">
        <v>1.0</v>
      </c>
      <c r="C15" s="1" t="s">
        <v>51</v>
      </c>
      <c r="D15" s="1" t="s">
        <v>52</v>
      </c>
      <c r="E15" s="1" t="s">
        <v>53</v>
      </c>
      <c r="F15" s="1" t="str">
        <f>IFERROR(__xludf.DUMMYFUNCTION("GOOGLETRANSLATE(A15, ""zh-CN"", ""ko"")"),"큰")</f>
        <v>큰</v>
      </c>
    </row>
    <row r="16">
      <c r="A16" s="1" t="s">
        <v>54</v>
      </c>
      <c r="B16" s="1">
        <v>1.0</v>
      </c>
      <c r="C16" s="1" t="s">
        <v>55</v>
      </c>
      <c r="D16" s="1" t="s">
        <v>56</v>
      </c>
      <c r="E16" s="1" t="s">
        <v>57</v>
      </c>
      <c r="F16" s="1" t="str">
        <f>IFERROR(__xludf.DUMMYFUNCTION("GOOGLETRANSLATE(A16, ""zh-CN"", ""ko"")"),"~의")</f>
        <v>~의</v>
      </c>
    </row>
    <row r="17">
      <c r="A17" s="1" t="s">
        <v>58</v>
      </c>
      <c r="B17" s="1">
        <v>1.0</v>
      </c>
      <c r="C17" s="1" t="s">
        <v>59</v>
      </c>
      <c r="D17" s="1" t="s">
        <v>26</v>
      </c>
      <c r="E17" s="1" t="s">
        <v>60</v>
      </c>
      <c r="F17" s="1" t="str">
        <f>IFERROR(__xludf.DUMMYFUNCTION("GOOGLETRANSLATE(A17, ""zh-CN"", ""ko"")"),"가리키다")</f>
        <v>가리키다</v>
      </c>
    </row>
    <row r="18">
      <c r="A18" s="1" t="s">
        <v>61</v>
      </c>
      <c r="B18" s="1">
        <v>1.0</v>
      </c>
      <c r="C18" s="1" t="s">
        <v>62</v>
      </c>
      <c r="D18" s="1" t="s">
        <v>16</v>
      </c>
      <c r="E18" s="1" t="s">
        <v>63</v>
      </c>
      <c r="F18" s="1" t="str">
        <f>IFERROR(__xludf.DUMMYFUNCTION("GOOGLETRANSLATE(A18, ""zh-CN"", ""ko"")"),"컴퓨터")</f>
        <v>컴퓨터</v>
      </c>
    </row>
    <row r="19">
      <c r="A19" s="1" t="s">
        <v>64</v>
      </c>
      <c r="B19" s="1">
        <v>1.0</v>
      </c>
      <c r="C19" s="1" t="s">
        <v>65</v>
      </c>
      <c r="D19" s="1" t="s">
        <v>16</v>
      </c>
      <c r="E19" s="1" t="s">
        <v>66</v>
      </c>
      <c r="F19" s="1" t="str">
        <f>IFERROR(__xludf.DUMMYFUNCTION("GOOGLETRANSLATE(A19, ""zh-CN"", ""ko"")"),"텔레비전")</f>
        <v>텔레비전</v>
      </c>
    </row>
    <row r="20">
      <c r="A20" s="1" t="s">
        <v>67</v>
      </c>
      <c r="B20" s="1">
        <v>1.0</v>
      </c>
      <c r="C20" s="1" t="s">
        <v>68</v>
      </c>
      <c r="D20" s="1" t="s">
        <v>16</v>
      </c>
      <c r="E20" s="1" t="s">
        <v>69</v>
      </c>
      <c r="F20" s="1" t="str">
        <f>IFERROR(__xludf.DUMMYFUNCTION("GOOGLETRANSLATE(A20, ""zh-CN"", ""ko"")"),"영화")</f>
        <v>영화</v>
      </c>
    </row>
    <row r="21" ht="15.75" customHeight="1">
      <c r="A21" s="1" t="s">
        <v>70</v>
      </c>
      <c r="B21" s="1">
        <v>1.0</v>
      </c>
      <c r="C21" s="1" t="s">
        <v>71</v>
      </c>
      <c r="D21" s="1" t="s">
        <v>16</v>
      </c>
      <c r="E21" s="1" t="s">
        <v>72</v>
      </c>
      <c r="F21" s="1" t="str">
        <f>IFERROR(__xludf.DUMMYFUNCTION("GOOGLETRANSLATE(A21, ""zh-CN"", ""ko"")"),"물건")</f>
        <v>물건</v>
      </c>
    </row>
    <row r="22" ht="15.75" customHeight="1">
      <c r="A22" s="1" t="s">
        <v>73</v>
      </c>
      <c r="B22" s="1">
        <v>1.0</v>
      </c>
      <c r="C22" s="1" t="s">
        <v>74</v>
      </c>
      <c r="D22" s="1" t="s">
        <v>33</v>
      </c>
      <c r="E22" s="1" t="s">
        <v>75</v>
      </c>
      <c r="F22" s="1" t="str">
        <f>IFERROR(__xludf.DUMMYFUNCTION("GOOGLETRANSLATE(A22, ""zh-CN"", ""ko"")"),"모두")</f>
        <v>모두</v>
      </c>
    </row>
    <row r="23" ht="15.75" customHeight="1">
      <c r="A23" s="1" t="s">
        <v>76</v>
      </c>
      <c r="B23" s="1">
        <v>1.0</v>
      </c>
      <c r="C23" s="1" t="s">
        <v>77</v>
      </c>
      <c r="D23" s="1" t="s">
        <v>8</v>
      </c>
      <c r="E23" s="1" t="s">
        <v>78</v>
      </c>
      <c r="F23" s="1" t="str">
        <f>IFERROR(__xludf.DUMMYFUNCTION("GOOGLETRANSLATE(A23, ""zh-CN"", ""ko"")"),"읽다")</f>
        <v>읽다</v>
      </c>
    </row>
    <row r="24" ht="15.75" customHeight="1">
      <c r="A24" s="1" t="s">
        <v>79</v>
      </c>
      <c r="B24" s="1">
        <v>1.0</v>
      </c>
      <c r="C24" s="1" t="s">
        <v>80</v>
      </c>
      <c r="D24" s="1" t="s">
        <v>8</v>
      </c>
      <c r="E24" s="1" t="s">
        <v>81</v>
      </c>
      <c r="F24" s="1" t="str">
        <f>IFERROR(__xludf.DUMMYFUNCTION("GOOGLETRANSLATE(A24, ""zh-CN"", ""ko"")"),"죄송합니다")</f>
        <v>죄송합니다</v>
      </c>
    </row>
    <row r="25" ht="15.75" customHeight="1">
      <c r="A25" s="1" t="s">
        <v>82</v>
      </c>
      <c r="B25" s="1">
        <v>1.0</v>
      </c>
      <c r="C25" s="1" t="s">
        <v>83</v>
      </c>
      <c r="D25" s="1" t="s">
        <v>84</v>
      </c>
      <c r="E25" s="1" t="s">
        <v>85</v>
      </c>
      <c r="F25" s="1" t="str">
        <f>IFERROR(__xludf.DUMMYFUNCTION("GOOGLETRANSLATE(A25, ""zh-CN"", ""ko"")"),"많은")</f>
        <v>많은</v>
      </c>
    </row>
    <row r="26" ht="15.75" customHeight="1">
      <c r="A26" s="1" t="s">
        <v>86</v>
      </c>
      <c r="B26" s="1">
        <v>1.0</v>
      </c>
      <c r="C26" s="1" t="s">
        <v>87</v>
      </c>
      <c r="D26" s="1" t="s">
        <v>88</v>
      </c>
      <c r="E26" s="1" t="s">
        <v>89</v>
      </c>
      <c r="F26" s="1" t="str">
        <f>IFERROR(__xludf.DUMMYFUNCTION("GOOGLETRANSLATE(A26, ""zh-CN"", ""ko"")"),"얼마나")</f>
        <v>얼마나</v>
      </c>
    </row>
    <row r="27" ht="15.75" customHeight="1">
      <c r="A27" s="1" t="s">
        <v>90</v>
      </c>
      <c r="B27" s="1">
        <v>1.0</v>
      </c>
      <c r="C27" s="1" t="s">
        <v>91</v>
      </c>
      <c r="D27" s="1" t="s">
        <v>16</v>
      </c>
      <c r="E27" s="1" t="s">
        <v>92</v>
      </c>
      <c r="F27" s="1" t="str">
        <f>IFERROR(__xludf.DUMMYFUNCTION("GOOGLETRANSLATE(A27, ""zh-CN"", ""ko"")"),"아들")</f>
        <v>아들</v>
      </c>
    </row>
    <row r="28" ht="15.75" customHeight="1">
      <c r="A28" s="1" t="s">
        <v>93</v>
      </c>
      <c r="B28" s="1">
        <v>1.0</v>
      </c>
      <c r="C28" s="1" t="s">
        <v>94</v>
      </c>
      <c r="D28" s="1" t="s">
        <v>12</v>
      </c>
      <c r="E28" s="1" t="s">
        <v>95</v>
      </c>
      <c r="F28" s="1" t="str">
        <f>IFERROR(__xludf.DUMMYFUNCTION("GOOGLETRANSLATE(A28, ""zh-CN"", ""ko"")"),"둘")</f>
        <v>둘</v>
      </c>
    </row>
    <row r="29" ht="15.75" customHeight="1">
      <c r="A29" s="1" t="s">
        <v>96</v>
      </c>
      <c r="B29" s="1">
        <v>1.0</v>
      </c>
      <c r="C29" s="1" t="s">
        <v>97</v>
      </c>
      <c r="D29" s="1" t="s">
        <v>16</v>
      </c>
      <c r="E29" s="1" t="s">
        <v>98</v>
      </c>
      <c r="F29" s="1" t="str">
        <f>IFERROR(__xludf.DUMMYFUNCTION("GOOGLETRANSLATE(A29, ""zh-CN"", ""ko"")"),"식당")</f>
        <v>식당</v>
      </c>
    </row>
    <row r="30" ht="15.75" customHeight="1">
      <c r="A30" s="1" t="s">
        <v>99</v>
      </c>
      <c r="B30" s="1">
        <v>1.0</v>
      </c>
      <c r="C30" s="1" t="s">
        <v>100</v>
      </c>
      <c r="D30" s="1" t="s">
        <v>16</v>
      </c>
      <c r="E30" s="1" t="s">
        <v>101</v>
      </c>
      <c r="F30" s="1" t="str">
        <f>IFERROR(__xludf.DUMMYFUNCTION("GOOGLETRANSLATE(A30, ""zh-CN"", ""ko"")"),"비행기")</f>
        <v>비행기</v>
      </c>
    </row>
    <row r="31" ht="15.75" customHeight="1">
      <c r="A31" s="1" t="s">
        <v>102</v>
      </c>
      <c r="B31" s="1">
        <v>1.0</v>
      </c>
      <c r="C31" s="1" t="s">
        <v>103</v>
      </c>
      <c r="D31" s="1" t="s">
        <v>26</v>
      </c>
      <c r="E31" s="1" t="s">
        <v>104</v>
      </c>
      <c r="F31" s="1" t="str">
        <f>IFERROR(__xludf.DUMMYFUNCTION("GOOGLETRANSLATE(A31, ""zh-CN"", ""ko"")"),"분")</f>
        <v>분</v>
      </c>
    </row>
    <row r="32" ht="15.75" customHeight="1">
      <c r="A32" s="1" t="s">
        <v>105</v>
      </c>
      <c r="B32" s="1">
        <v>1.0</v>
      </c>
      <c r="C32" s="1" t="s">
        <v>106</v>
      </c>
      <c r="D32" s="1" t="s">
        <v>52</v>
      </c>
      <c r="E32" s="1" t="s">
        <v>107</v>
      </c>
      <c r="F32" s="1" t="str">
        <f>IFERROR(__xludf.DUMMYFUNCTION("GOOGLETRANSLATE(A32, ""zh-CN"", ""ko"")"),"행복하다")</f>
        <v>행복하다</v>
      </c>
    </row>
    <row r="33" ht="15.75" customHeight="1">
      <c r="A33" s="1" t="s">
        <v>108</v>
      </c>
      <c r="B33" s="1">
        <v>1.0</v>
      </c>
      <c r="C33" s="1" t="s">
        <v>109</v>
      </c>
      <c r="D33" s="1" t="s">
        <v>26</v>
      </c>
      <c r="E33" s="1" t="s">
        <v>110</v>
      </c>
      <c r="F33" s="1" t="str">
        <f>IFERROR(__xludf.DUMMYFUNCTION("GOOGLETRANSLATE(A33, ""zh-CN"", ""ko"")"),"개인")</f>
        <v>개인</v>
      </c>
    </row>
    <row r="34" ht="15.75" customHeight="1">
      <c r="A34" s="1" t="s">
        <v>111</v>
      </c>
      <c r="B34" s="1">
        <v>1.0</v>
      </c>
      <c r="C34" s="1" t="s">
        <v>112</v>
      </c>
      <c r="D34" s="1" t="s">
        <v>113</v>
      </c>
      <c r="E34" s="1" t="s">
        <v>114</v>
      </c>
      <c r="F34" s="1" t="str">
        <f>IFERROR(__xludf.DUMMYFUNCTION("GOOGLETRANSLATE(A34, ""zh-CN"", ""ko"")"),"일하다")</f>
        <v>일하다</v>
      </c>
    </row>
    <row r="35" ht="15.75" customHeight="1">
      <c r="A35" s="1" t="s">
        <v>115</v>
      </c>
      <c r="B35" s="1">
        <v>1.0</v>
      </c>
      <c r="C35" s="1" t="s">
        <v>116</v>
      </c>
      <c r="D35" s="1" t="s">
        <v>16</v>
      </c>
      <c r="E35" s="1" t="s">
        <v>117</v>
      </c>
      <c r="F35" s="1" t="str">
        <f>IFERROR(__xludf.DUMMYFUNCTION("GOOGLETRANSLATE(A35, ""zh-CN"", ""ko"")"),"개")</f>
        <v>개</v>
      </c>
    </row>
    <row r="36" ht="15.75" customHeight="1">
      <c r="A36" s="1" t="s">
        <v>118</v>
      </c>
      <c r="B36" s="1">
        <v>1.0</v>
      </c>
      <c r="C36" s="1" t="s">
        <v>119</v>
      </c>
      <c r="D36" s="1" t="s">
        <v>16</v>
      </c>
      <c r="E36" s="1" t="s">
        <v>120</v>
      </c>
      <c r="F36" s="1" t="str">
        <f>IFERROR(__xludf.DUMMYFUNCTION("GOOGLETRANSLATE(A36, ""zh-CN"", ""ko"")"),"중국인")</f>
        <v>중국인</v>
      </c>
    </row>
    <row r="37" ht="15.75" customHeight="1">
      <c r="A37" s="1" t="s">
        <v>121</v>
      </c>
      <c r="B37" s="1">
        <v>1.0</v>
      </c>
      <c r="C37" s="1" t="s">
        <v>122</v>
      </c>
      <c r="D37" s="1" t="s">
        <v>52</v>
      </c>
      <c r="E37" s="1" t="s">
        <v>123</v>
      </c>
      <c r="F37" s="1" t="str">
        <f>IFERROR(__xludf.DUMMYFUNCTION("GOOGLETRANSLATE(A37, ""zh-CN"", ""ko"")"),"좋은")</f>
        <v>좋은</v>
      </c>
    </row>
    <row r="38" ht="15.75" customHeight="1">
      <c r="A38" s="1" t="s">
        <v>124</v>
      </c>
      <c r="B38" s="1">
        <v>1.0</v>
      </c>
      <c r="C38" s="1" t="s">
        <v>125</v>
      </c>
      <c r="D38" s="1" t="s">
        <v>26</v>
      </c>
      <c r="E38" s="1" t="s">
        <v>126</v>
      </c>
      <c r="F38" s="1" t="str">
        <f>IFERROR(__xludf.DUMMYFUNCTION("GOOGLETRANSLATE(A38, ""zh-CN"", ""ko"")"),"숫자")</f>
        <v>숫자</v>
      </c>
    </row>
    <row r="39" ht="15.75" customHeight="1">
      <c r="A39" s="1" t="s">
        <v>127</v>
      </c>
      <c r="B39" s="1">
        <v>1.0</v>
      </c>
      <c r="C39" s="1" t="s">
        <v>128</v>
      </c>
      <c r="D39" s="1" t="s">
        <v>8</v>
      </c>
      <c r="E39" s="1" t="s">
        <v>129</v>
      </c>
      <c r="F39" s="1" t="str">
        <f>IFERROR(__xludf.DUMMYFUNCTION("GOOGLETRANSLATE(A39, ""zh-CN"", ""ko"")"),"마시다")</f>
        <v>마시다</v>
      </c>
    </row>
    <row r="40" ht="15.75" customHeight="1">
      <c r="A40" s="1" t="s">
        <v>130</v>
      </c>
      <c r="B40" s="1">
        <v>1.0</v>
      </c>
      <c r="C40" s="1" t="s">
        <v>131</v>
      </c>
      <c r="D40" s="1" t="s">
        <v>132</v>
      </c>
      <c r="E40" s="1" t="s">
        <v>133</v>
      </c>
      <c r="F40" s="1" t="str">
        <f>IFERROR(__xludf.DUMMYFUNCTION("GOOGLETRANSLATE(A40, ""zh-CN"", ""ko"")"),"그리고")</f>
        <v>그리고</v>
      </c>
    </row>
    <row r="41" ht="15.75" customHeight="1">
      <c r="A41" s="1" t="s">
        <v>134</v>
      </c>
      <c r="B41" s="1">
        <v>1.0</v>
      </c>
      <c r="C41" s="1" t="s">
        <v>135</v>
      </c>
      <c r="D41" s="1" t="s">
        <v>33</v>
      </c>
      <c r="E41" s="1" t="s">
        <v>136</v>
      </c>
      <c r="F41" s="1" t="str">
        <f>IFERROR(__xludf.DUMMYFUNCTION("GOOGLETRANSLATE(A41, ""zh-CN"", ""ko"")"),"매우")</f>
        <v>매우</v>
      </c>
    </row>
    <row r="42" ht="15.75" customHeight="1">
      <c r="A42" s="1" t="s">
        <v>137</v>
      </c>
      <c r="B42" s="1">
        <v>1.0</v>
      </c>
      <c r="C42" s="1" t="s">
        <v>138</v>
      </c>
      <c r="D42" s="1" t="s">
        <v>16</v>
      </c>
      <c r="E42" s="1" t="s">
        <v>139</v>
      </c>
      <c r="F42" s="1" t="str">
        <f>IFERROR(__xludf.DUMMYFUNCTION("GOOGLETRANSLATE(A42, ""zh-CN"", ""ko"")"),"나중에")</f>
        <v>나중에</v>
      </c>
    </row>
    <row r="43" ht="15.75" customHeight="1">
      <c r="A43" s="1" t="s">
        <v>140</v>
      </c>
      <c r="B43" s="1">
        <v>1.0</v>
      </c>
      <c r="C43" s="1" t="s">
        <v>141</v>
      </c>
      <c r="D43" s="1" t="s">
        <v>8</v>
      </c>
      <c r="E43" s="1" t="s">
        <v>142</v>
      </c>
      <c r="F43" s="1" t="str">
        <f>IFERROR(__xludf.DUMMYFUNCTION("GOOGLETRANSLATE(A43, ""zh-CN"", ""ko"")"),"반품")</f>
        <v>반품</v>
      </c>
    </row>
    <row r="44" ht="15.75" customHeight="1">
      <c r="A44" s="1" t="s">
        <v>143</v>
      </c>
      <c r="B44" s="1">
        <v>1.0</v>
      </c>
      <c r="C44" s="1" t="s">
        <v>144</v>
      </c>
      <c r="D44" s="1" t="s">
        <v>8</v>
      </c>
      <c r="E44" s="1" t="s">
        <v>145</v>
      </c>
      <c r="F44" s="1" t="str">
        <f>IFERROR(__xludf.DUMMYFUNCTION("GOOGLETRANSLATE(A44, ""zh-CN"", ""ko"")"),"회의")</f>
        <v>회의</v>
      </c>
    </row>
    <row r="45" ht="15.75" customHeight="1">
      <c r="A45" s="1" t="s">
        <v>146</v>
      </c>
      <c r="B45" s="1">
        <v>1.0</v>
      </c>
      <c r="C45" s="1" t="s">
        <v>147</v>
      </c>
      <c r="D45" s="1" t="s">
        <v>148</v>
      </c>
      <c r="E45" s="1" t="s">
        <v>149</v>
      </c>
      <c r="F45" s="1" t="str">
        <f>IFERROR(__xludf.DUMMYFUNCTION("GOOGLETRANSLATE(A45, ""zh-CN"", ""ko"")"),"여러 개의")</f>
        <v>여러 개의</v>
      </c>
    </row>
    <row r="46" ht="15.75" customHeight="1">
      <c r="A46" s="1" t="s">
        <v>150</v>
      </c>
      <c r="B46" s="1">
        <v>1.0</v>
      </c>
      <c r="C46" s="1" t="s">
        <v>151</v>
      </c>
      <c r="D46" s="1" t="s">
        <v>16</v>
      </c>
      <c r="E46" s="1" t="s">
        <v>152</v>
      </c>
      <c r="F46" s="1" t="str">
        <f>IFERROR(__xludf.DUMMYFUNCTION("GOOGLETRANSLATE(A46, ""zh-CN"", ""ko"")"),"집")</f>
        <v>집</v>
      </c>
    </row>
    <row r="47" ht="15.75" customHeight="1">
      <c r="A47" s="1" t="s">
        <v>153</v>
      </c>
      <c r="B47" s="1">
        <v>1.0</v>
      </c>
      <c r="C47" s="1" t="s">
        <v>154</v>
      </c>
      <c r="D47" s="1" t="s">
        <v>8</v>
      </c>
      <c r="E47" s="1" t="s">
        <v>155</v>
      </c>
      <c r="F47" s="1" t="str">
        <f>IFERROR(__xludf.DUMMYFUNCTION("GOOGLETRANSLATE(A47, ""zh-CN"", ""ko"")"),"부르다")</f>
        <v>부르다</v>
      </c>
    </row>
    <row r="48" ht="15.75" customHeight="1">
      <c r="A48" s="1" t="s">
        <v>156</v>
      </c>
      <c r="B48" s="1">
        <v>1.0</v>
      </c>
      <c r="C48" s="1" t="s">
        <v>157</v>
      </c>
      <c r="D48" s="1" t="s">
        <v>16</v>
      </c>
      <c r="E48" s="1" t="s">
        <v>158</v>
      </c>
      <c r="F48" s="1" t="str">
        <f>IFERROR(__xludf.DUMMYFUNCTION("GOOGLETRANSLATE(A48, ""zh-CN"", ""ko"")"),"오늘")</f>
        <v>오늘</v>
      </c>
    </row>
    <row r="49" ht="15.75" customHeight="1">
      <c r="A49" s="1" t="s">
        <v>159</v>
      </c>
      <c r="B49" s="1">
        <v>1.0</v>
      </c>
      <c r="C49" s="1" t="s">
        <v>160</v>
      </c>
      <c r="D49" s="1" t="s">
        <v>12</v>
      </c>
      <c r="E49" s="1" t="s">
        <v>161</v>
      </c>
      <c r="F49" s="1" t="str">
        <f>IFERROR(__xludf.DUMMYFUNCTION("GOOGLETRANSLATE(A49, ""zh-CN"", ""ko"")"),"아홉")</f>
        <v>아홉</v>
      </c>
    </row>
    <row r="50" ht="15.75" customHeight="1">
      <c r="A50" s="1" t="s">
        <v>162</v>
      </c>
      <c r="B50" s="1">
        <v>1.0</v>
      </c>
      <c r="C50" s="1" t="s">
        <v>163</v>
      </c>
      <c r="D50" s="1" t="s">
        <v>8</v>
      </c>
      <c r="E50" s="1" t="s">
        <v>164</v>
      </c>
      <c r="F50" s="1" t="str">
        <f>IFERROR(__xludf.DUMMYFUNCTION("GOOGLETRANSLATE(A50, ""zh-CN"", ""ko"")"),"열려 있는")</f>
        <v>열려 있는</v>
      </c>
    </row>
    <row r="51" ht="15.75" customHeight="1">
      <c r="A51" s="1" t="s">
        <v>165</v>
      </c>
      <c r="B51" s="1">
        <v>1.0</v>
      </c>
      <c r="C51" s="1" t="s">
        <v>166</v>
      </c>
      <c r="D51" s="1" t="s">
        <v>8</v>
      </c>
      <c r="E51" s="1" t="s">
        <v>167</v>
      </c>
      <c r="F51" s="1" t="str">
        <f>IFERROR(__xludf.DUMMYFUNCTION("GOOGLETRANSLATE(A51, ""zh-CN"", ""ko"")"),"바라보다")</f>
        <v>바라보다</v>
      </c>
    </row>
    <row r="52" ht="15.75" customHeight="1">
      <c r="A52" s="1" t="s">
        <v>168</v>
      </c>
      <c r="B52" s="1">
        <v>1.0</v>
      </c>
      <c r="C52" s="1" t="s">
        <v>169</v>
      </c>
      <c r="D52" s="1" t="s">
        <v>8</v>
      </c>
      <c r="E52" s="1" t="s">
        <v>170</v>
      </c>
      <c r="F52" s="1" t="str">
        <f>IFERROR(__xludf.DUMMYFUNCTION("GOOGLETRANSLATE(A52, ""zh-CN"", ""ko"")"),"보다")</f>
        <v>보다</v>
      </c>
    </row>
    <row r="53" ht="15.75" customHeight="1">
      <c r="A53" s="1" t="s">
        <v>171</v>
      </c>
      <c r="B53" s="1">
        <v>1.0</v>
      </c>
      <c r="C53" s="1" t="s">
        <v>172</v>
      </c>
      <c r="D53" s="1" t="s">
        <v>26</v>
      </c>
      <c r="E53" s="1" t="s">
        <v>173</v>
      </c>
      <c r="F53" s="1" t="str">
        <f>IFERROR(__xludf.DUMMYFUNCTION("GOOGLETRANSLATE(A53, ""zh-CN"", ""ko"")"),"조각")</f>
        <v>조각</v>
      </c>
    </row>
    <row r="54" ht="15.75" customHeight="1">
      <c r="A54" s="1" t="s">
        <v>174</v>
      </c>
      <c r="B54" s="1">
        <v>1.0</v>
      </c>
      <c r="C54" s="1" t="s">
        <v>175</v>
      </c>
      <c r="D54" s="1" t="s">
        <v>8</v>
      </c>
      <c r="E54" s="1" t="s">
        <v>176</v>
      </c>
      <c r="F54" s="1" t="str">
        <f>IFERROR(__xludf.DUMMYFUNCTION("GOOGLETRANSLATE(A54, ""zh-CN"", ""ko"")"),"오다")</f>
        <v>오다</v>
      </c>
    </row>
    <row r="55" ht="15.75" customHeight="1">
      <c r="A55" s="1" t="s">
        <v>177</v>
      </c>
      <c r="B55" s="1">
        <v>1.0</v>
      </c>
      <c r="C55" s="1" t="s">
        <v>178</v>
      </c>
      <c r="D55" s="1" t="s">
        <v>16</v>
      </c>
      <c r="E55" s="1" t="s">
        <v>179</v>
      </c>
      <c r="F55" s="1" t="str">
        <f>IFERROR(__xludf.DUMMYFUNCTION("GOOGLETRANSLATE(A55, ""zh-CN"", ""ko"")"),"선생님")</f>
        <v>선생님</v>
      </c>
    </row>
    <row r="56" ht="15.75" customHeight="1">
      <c r="A56" s="1" t="s">
        <v>180</v>
      </c>
      <c r="B56" s="1">
        <v>1.0</v>
      </c>
      <c r="C56" s="1" t="s">
        <v>181</v>
      </c>
      <c r="D56" s="1" t="s">
        <v>56</v>
      </c>
      <c r="E56" s="1" t="s">
        <v>182</v>
      </c>
      <c r="F56" s="1" t="str">
        <f>IFERROR(__xludf.DUMMYFUNCTION("GOOGLETRANSLATE(A56, ""zh-CN"", ""ko"")"),"이미")</f>
        <v>이미</v>
      </c>
    </row>
    <row r="57" ht="15.75" customHeight="1">
      <c r="A57" s="1" t="s">
        <v>183</v>
      </c>
      <c r="B57" s="1">
        <v>1.0</v>
      </c>
      <c r="C57" s="1" t="s">
        <v>184</v>
      </c>
      <c r="D57" s="1" t="s">
        <v>52</v>
      </c>
      <c r="E57" s="1" t="s">
        <v>185</v>
      </c>
      <c r="F57" s="1" t="str">
        <f>IFERROR(__xludf.DUMMYFUNCTION("GOOGLETRANSLATE(A57, ""zh-CN"", ""ko"")"),"추운")</f>
        <v>추운</v>
      </c>
    </row>
    <row r="58" ht="15.75" customHeight="1">
      <c r="A58" s="1" t="s">
        <v>186</v>
      </c>
      <c r="B58" s="1">
        <v>1.0</v>
      </c>
      <c r="C58" s="1" t="s">
        <v>187</v>
      </c>
      <c r="D58" s="1" t="s">
        <v>16</v>
      </c>
      <c r="E58" s="1" t="s">
        <v>188</v>
      </c>
      <c r="F58" s="1" t="str">
        <f>IFERROR(__xludf.DUMMYFUNCTION("GOOGLETRANSLATE(A58, ""zh-CN"", ""ko"")"),"내부에")</f>
        <v>내부에</v>
      </c>
    </row>
    <row r="59" ht="15.75" customHeight="1">
      <c r="A59" s="1" t="s">
        <v>189</v>
      </c>
      <c r="B59" s="1">
        <v>1.0</v>
      </c>
      <c r="C59" s="1" t="s">
        <v>190</v>
      </c>
      <c r="D59" s="1" t="s">
        <v>12</v>
      </c>
      <c r="E59" s="1" t="s">
        <v>191</v>
      </c>
      <c r="F59" s="1" t="str">
        <f>IFERROR(__xludf.DUMMYFUNCTION("GOOGLETRANSLATE(A59, ""zh-CN"", ""ko"")"),"육")</f>
        <v>육</v>
      </c>
    </row>
    <row r="60" ht="15.75" customHeight="1">
      <c r="A60" s="1" t="s">
        <v>192</v>
      </c>
      <c r="B60" s="1">
        <v>1.0</v>
      </c>
      <c r="C60" s="1" t="s">
        <v>193</v>
      </c>
      <c r="D60" s="1" t="s">
        <v>16</v>
      </c>
      <c r="E60" s="1" t="s">
        <v>194</v>
      </c>
      <c r="F60" s="1" t="str">
        <f>IFERROR(__xludf.DUMMYFUNCTION("GOOGLETRANSLATE(A60, ""zh-CN"", ""ko"")"),"어머니")</f>
        <v>어머니</v>
      </c>
    </row>
    <row r="61" ht="15.75" customHeight="1">
      <c r="A61" s="1" t="s">
        <v>195</v>
      </c>
      <c r="B61" s="1">
        <v>1.0</v>
      </c>
      <c r="C61" s="1" t="s">
        <v>196</v>
      </c>
      <c r="D61" s="1" t="s">
        <v>56</v>
      </c>
      <c r="E61" s="1" t="s">
        <v>197</v>
      </c>
      <c r="F61" s="1" t="str">
        <f>IFERROR(__xludf.DUMMYFUNCTION("GOOGLETRANSLATE(A61, ""zh-CN"", ""ko"")"),"엄마")</f>
        <v>엄마</v>
      </c>
    </row>
    <row r="62" ht="15.75" customHeight="1">
      <c r="A62" s="1" t="s">
        <v>198</v>
      </c>
      <c r="B62" s="1">
        <v>1.0</v>
      </c>
      <c r="C62" s="1" t="s">
        <v>199</v>
      </c>
      <c r="D62" s="1" t="s">
        <v>8</v>
      </c>
      <c r="E62" s="1" t="s">
        <v>200</v>
      </c>
      <c r="F62" s="1" t="str">
        <f>IFERROR(__xludf.DUMMYFUNCTION("GOOGLETRANSLATE(A62, ""zh-CN"", ""ko"")"),"구입")</f>
        <v>구입</v>
      </c>
    </row>
    <row r="63" ht="15.75" customHeight="1">
      <c r="A63" s="1" t="s">
        <v>201</v>
      </c>
      <c r="B63" s="1">
        <v>1.0</v>
      </c>
      <c r="C63" s="1" t="s">
        <v>202</v>
      </c>
      <c r="D63" s="1" t="s">
        <v>16</v>
      </c>
      <c r="E63" s="1" t="s">
        <v>203</v>
      </c>
      <c r="F63" s="1" t="str">
        <f>IFERROR(__xludf.DUMMYFUNCTION("GOOGLETRANSLATE(A63, ""zh-CN"", ""ko"")"),"고양이")</f>
        <v>고양이</v>
      </c>
    </row>
    <row r="64" ht="15.75" customHeight="1">
      <c r="A64" s="1" t="s">
        <v>204</v>
      </c>
      <c r="B64" s="1">
        <v>1.0</v>
      </c>
      <c r="C64" s="1" t="s">
        <v>205</v>
      </c>
      <c r="E64" s="1" t="s">
        <v>206</v>
      </c>
      <c r="F64" s="1" t="str">
        <f>IFERROR(__xludf.DUMMYFUNCTION("GOOGLETRANSLATE(A64, ""zh-CN"", ""ko"")"),"상관없어요")</f>
        <v>상관없어요</v>
      </c>
    </row>
    <row r="65" ht="15.75" customHeight="1">
      <c r="A65" s="1" t="s">
        <v>207</v>
      </c>
      <c r="B65" s="1">
        <v>1.0</v>
      </c>
      <c r="C65" s="1" t="s">
        <v>208</v>
      </c>
      <c r="D65" s="1" t="s">
        <v>209</v>
      </c>
      <c r="E65" s="1" t="s">
        <v>210</v>
      </c>
      <c r="F65" s="1" t="str">
        <f>IFERROR(__xludf.DUMMYFUNCTION("GOOGLETRANSLATE(A65, ""zh-CN"", ""ko"")"),"아니요")</f>
        <v>아니요</v>
      </c>
    </row>
    <row r="66" ht="15.75" customHeight="1">
      <c r="A66" s="1" t="s">
        <v>211</v>
      </c>
      <c r="B66" s="1">
        <v>1.0</v>
      </c>
      <c r="C66" s="1" t="s">
        <v>212</v>
      </c>
      <c r="D66" s="1" t="s">
        <v>16</v>
      </c>
      <c r="E66" s="1" t="s">
        <v>213</v>
      </c>
      <c r="F66" s="1" t="str">
        <f>IFERROR(__xludf.DUMMYFUNCTION("GOOGLETRANSLATE(A66, ""zh-CN"", ""ko"")"),"쌀")</f>
        <v>쌀</v>
      </c>
    </row>
    <row r="67" ht="15.75" customHeight="1">
      <c r="A67" s="1" t="s">
        <v>214</v>
      </c>
      <c r="B67" s="1">
        <v>1.0</v>
      </c>
      <c r="C67" s="1" t="s">
        <v>215</v>
      </c>
      <c r="D67" s="1" t="s">
        <v>16</v>
      </c>
      <c r="E67" s="1" t="s">
        <v>216</v>
      </c>
      <c r="F67" s="1" t="str">
        <f>IFERROR(__xludf.DUMMYFUNCTION("GOOGLETRANSLATE(A67, ""zh-CN"", ""ko"")"),"내일")</f>
        <v>내일</v>
      </c>
    </row>
    <row r="68" ht="15.75" customHeight="1">
      <c r="A68" s="1" t="s">
        <v>217</v>
      </c>
      <c r="B68" s="1">
        <v>1.0</v>
      </c>
      <c r="C68" s="1" t="s">
        <v>218</v>
      </c>
      <c r="D68" s="1" t="s">
        <v>16</v>
      </c>
      <c r="E68" s="1" t="s">
        <v>219</v>
      </c>
      <c r="F68" s="1" t="str">
        <f>IFERROR(__xludf.DUMMYFUNCTION("GOOGLETRANSLATE(A68, ""zh-CN"", ""ko"")"),"이름")</f>
        <v>이름</v>
      </c>
    </row>
    <row r="69" ht="15.75" customHeight="1">
      <c r="A69" s="1" t="s">
        <v>220</v>
      </c>
      <c r="B69" s="1">
        <v>1.0</v>
      </c>
      <c r="C69" s="1" t="s">
        <v>221</v>
      </c>
      <c r="D69" s="1" t="s">
        <v>88</v>
      </c>
      <c r="E69" s="1" t="s">
        <v>222</v>
      </c>
      <c r="F69" s="1" t="str">
        <f>IFERROR(__xludf.DUMMYFUNCTION("GOOGLETRANSLATE(A69, ""zh-CN"", ""ko"")"),"어디")</f>
        <v>어디</v>
      </c>
    </row>
    <row r="70" ht="15.75" customHeight="1">
      <c r="A70" s="1" t="s">
        <v>223</v>
      </c>
      <c r="B70" s="1">
        <v>1.0</v>
      </c>
      <c r="C70" s="1" t="s">
        <v>224</v>
      </c>
      <c r="D70" s="1" t="s">
        <v>88</v>
      </c>
      <c r="E70" s="1" t="s">
        <v>225</v>
      </c>
      <c r="F70" s="1" t="str">
        <f>IFERROR(__xludf.DUMMYFUNCTION("GOOGLETRANSLATE(A70, ""zh-CN"", ""ko"")"),"어디")</f>
        <v>어디</v>
      </c>
    </row>
    <row r="71" ht="15.75" customHeight="1">
      <c r="A71" s="1" t="s">
        <v>226</v>
      </c>
      <c r="B71" s="1">
        <v>1.0</v>
      </c>
      <c r="C71" s="1" t="s">
        <v>227</v>
      </c>
      <c r="D71" s="1" t="s">
        <v>88</v>
      </c>
      <c r="E71" s="1" t="s">
        <v>228</v>
      </c>
      <c r="F71" s="1" t="str">
        <f>IFERROR(__xludf.DUMMYFUNCTION("GOOGLETRANSLATE(A71, ""zh-CN"", ""ko"")"),"저것")</f>
        <v>저것</v>
      </c>
    </row>
    <row r="72" ht="15.75" customHeight="1">
      <c r="A72" s="1" t="s">
        <v>229</v>
      </c>
      <c r="B72" s="1">
        <v>1.0</v>
      </c>
      <c r="C72" s="1" t="s">
        <v>230</v>
      </c>
      <c r="D72" s="1" t="s">
        <v>56</v>
      </c>
      <c r="E72" s="1" t="s">
        <v>231</v>
      </c>
      <c r="F72" s="1" t="str">
        <f>IFERROR(__xludf.DUMMYFUNCTION("GOOGLETRANSLATE(A72, ""zh-CN"", ""ko"")"),"모직물")</f>
        <v>모직물</v>
      </c>
    </row>
    <row r="73" ht="15.75" customHeight="1">
      <c r="A73" s="1" t="s">
        <v>232</v>
      </c>
      <c r="B73" s="1">
        <v>1.0</v>
      </c>
      <c r="C73" s="1" t="s">
        <v>233</v>
      </c>
      <c r="D73" s="1" t="s">
        <v>8</v>
      </c>
      <c r="E73" s="1" t="s">
        <v>234</v>
      </c>
      <c r="F73" s="1" t="str">
        <f>IFERROR(__xludf.DUMMYFUNCTION("GOOGLETRANSLATE(A73, ""zh-CN"", ""ko"")"),"할 수 있는")</f>
        <v>할 수 있는</v>
      </c>
    </row>
    <row r="74" ht="15.75" customHeight="1">
      <c r="A74" s="1" t="s">
        <v>235</v>
      </c>
      <c r="B74" s="1">
        <v>1.0</v>
      </c>
      <c r="C74" s="1" t="s">
        <v>236</v>
      </c>
      <c r="D74" s="1" t="s">
        <v>88</v>
      </c>
      <c r="E74" s="1" t="s">
        <v>237</v>
      </c>
      <c r="F74" s="1" t="str">
        <f>IFERROR(__xludf.DUMMYFUNCTION("GOOGLETRANSLATE(A74, ""zh-CN"", ""ko"")"),"너")</f>
        <v>너</v>
      </c>
    </row>
    <row r="75" ht="15.75" customHeight="1">
      <c r="A75" s="1" t="s">
        <v>238</v>
      </c>
      <c r="B75" s="1">
        <v>1.0</v>
      </c>
      <c r="C75" s="1" t="s">
        <v>239</v>
      </c>
      <c r="D75" s="1" t="s">
        <v>240</v>
      </c>
      <c r="E75" s="1" t="s">
        <v>241</v>
      </c>
      <c r="F75" s="1" t="str">
        <f>IFERROR(__xludf.DUMMYFUNCTION("GOOGLETRANSLATE(A75, ""zh-CN"", ""ko"")"),"년도")</f>
        <v>년도</v>
      </c>
    </row>
    <row r="76" ht="15.75" customHeight="1">
      <c r="A76" s="1" t="s">
        <v>242</v>
      </c>
      <c r="B76" s="1">
        <v>1.0</v>
      </c>
      <c r="C76" s="1" t="s">
        <v>243</v>
      </c>
      <c r="D76" s="1" t="s">
        <v>16</v>
      </c>
      <c r="E76" s="1" t="s">
        <v>244</v>
      </c>
      <c r="F76" s="1" t="str">
        <f>IFERROR(__xludf.DUMMYFUNCTION("GOOGLETRANSLATE(A76, ""zh-CN"", ""ko"")"),"딸")</f>
        <v>딸</v>
      </c>
    </row>
    <row r="77" ht="15.75" customHeight="1">
      <c r="A77" s="1" t="s">
        <v>245</v>
      </c>
      <c r="B77" s="1">
        <v>1.0</v>
      </c>
      <c r="C77" s="1" t="s">
        <v>246</v>
      </c>
      <c r="D77" s="1" t="s">
        <v>16</v>
      </c>
      <c r="E77" s="1" t="s">
        <v>247</v>
      </c>
      <c r="F77" s="1" t="str">
        <f>IFERROR(__xludf.DUMMYFUNCTION("GOOGLETRANSLATE(A77, ""zh-CN"", ""ko"")"),"친구")</f>
        <v>친구</v>
      </c>
    </row>
    <row r="78" ht="15.75" customHeight="1">
      <c r="A78" s="1" t="s">
        <v>248</v>
      </c>
      <c r="B78" s="1">
        <v>1.0</v>
      </c>
      <c r="C78" s="1" t="s">
        <v>249</v>
      </c>
      <c r="D78" s="1" t="s">
        <v>52</v>
      </c>
      <c r="E78" s="1" t="s">
        <v>250</v>
      </c>
      <c r="F78" s="1" t="str">
        <f>IFERROR(__xludf.DUMMYFUNCTION("GOOGLETRANSLATE(A78, ""zh-CN"", ""ko"")"),"예쁜")</f>
        <v>예쁜</v>
      </c>
    </row>
    <row r="79" ht="15.75" customHeight="1">
      <c r="A79" s="1" t="s">
        <v>251</v>
      </c>
      <c r="B79" s="1">
        <v>1.0</v>
      </c>
      <c r="C79" s="1" t="s">
        <v>252</v>
      </c>
      <c r="D79" s="1" t="s">
        <v>16</v>
      </c>
      <c r="E79" s="1" t="s">
        <v>253</v>
      </c>
      <c r="F79" s="1" t="str">
        <f>IFERROR(__xludf.DUMMYFUNCTION("GOOGLETRANSLATE(A79, ""zh-CN"", ""ko"")"),"사과")</f>
        <v>사과</v>
      </c>
    </row>
    <row r="80" ht="15.75" customHeight="1">
      <c r="A80" s="1" t="s">
        <v>254</v>
      </c>
      <c r="B80" s="1">
        <v>1.0</v>
      </c>
      <c r="C80" s="1" t="s">
        <v>255</v>
      </c>
      <c r="D80" s="1" t="s">
        <v>12</v>
      </c>
      <c r="E80" s="1" t="s">
        <v>256</v>
      </c>
      <c r="F80" s="1" t="str">
        <f>IFERROR(__xludf.DUMMYFUNCTION("GOOGLETRANSLATE(A80, ""zh-CN"", ""ko"")"),"일곱")</f>
        <v>일곱</v>
      </c>
    </row>
    <row r="81" ht="15.75" customHeight="1">
      <c r="A81" s="1" t="s">
        <v>257</v>
      </c>
      <c r="B81" s="1">
        <v>1.0</v>
      </c>
      <c r="C81" s="1" t="s">
        <v>258</v>
      </c>
      <c r="D81" s="1" t="s">
        <v>16</v>
      </c>
      <c r="E81" s="1" t="s">
        <v>259</v>
      </c>
      <c r="F81" s="1" t="str">
        <f>IFERROR(__xludf.DUMMYFUNCTION("GOOGLETRANSLATE(A81, ""zh-CN"", ""ko"")"),"돈")</f>
        <v>돈</v>
      </c>
    </row>
    <row r="82" ht="15.75" customHeight="1">
      <c r="A82" s="1" t="s">
        <v>260</v>
      </c>
      <c r="B82" s="1">
        <v>1.0</v>
      </c>
      <c r="C82" s="1" t="s">
        <v>261</v>
      </c>
      <c r="D82" s="1" t="s">
        <v>16</v>
      </c>
      <c r="E82" s="1" t="s">
        <v>262</v>
      </c>
      <c r="F82" s="1" t="str">
        <f>IFERROR(__xludf.DUMMYFUNCTION("GOOGLETRANSLATE(A82, ""zh-CN"", ""ko"")"),"앞쪽")</f>
        <v>앞쪽</v>
      </c>
    </row>
    <row r="83" ht="15.75" customHeight="1">
      <c r="A83" s="1" t="s">
        <v>263</v>
      </c>
      <c r="B83" s="1">
        <v>1.0</v>
      </c>
      <c r="C83" s="1" t="s">
        <v>264</v>
      </c>
      <c r="D83" s="1" t="s">
        <v>8</v>
      </c>
      <c r="E83" s="1" t="s">
        <v>265</v>
      </c>
      <c r="F83" s="1" t="str">
        <f>IFERROR(__xludf.DUMMYFUNCTION("GOOGLETRANSLATE(A83, ""zh-CN"", ""ko"")"),"제발")</f>
        <v>제발</v>
      </c>
    </row>
    <row r="84" ht="15.75" customHeight="1">
      <c r="A84" s="1" t="s">
        <v>266</v>
      </c>
      <c r="B84" s="1">
        <v>1.0</v>
      </c>
      <c r="C84" s="1" t="s">
        <v>267</v>
      </c>
      <c r="D84" s="1" t="s">
        <v>8</v>
      </c>
      <c r="E84" s="1" t="s">
        <v>268</v>
      </c>
      <c r="F84" s="1" t="str">
        <f>IFERROR(__xludf.DUMMYFUNCTION("GOOGLETRANSLATE(A84, ""zh-CN"", ""ko"")"),"가다")</f>
        <v>가다</v>
      </c>
    </row>
    <row r="85" ht="15.75" customHeight="1">
      <c r="A85" s="1" t="s">
        <v>269</v>
      </c>
      <c r="B85" s="1">
        <v>1.0</v>
      </c>
      <c r="C85" s="1" t="s">
        <v>270</v>
      </c>
      <c r="D85" s="1" t="s">
        <v>52</v>
      </c>
      <c r="E85" s="1" t="s">
        <v>271</v>
      </c>
      <c r="F85" s="1" t="str">
        <f>IFERROR(__xludf.DUMMYFUNCTION("GOOGLETRANSLATE(A85, ""zh-CN"", ""ko"")"),"더운")</f>
        <v>더운</v>
      </c>
    </row>
    <row r="86" ht="15.75" customHeight="1">
      <c r="A86" s="1" t="s">
        <v>272</v>
      </c>
      <c r="B86" s="1">
        <v>1.0</v>
      </c>
      <c r="C86" s="1" t="s">
        <v>273</v>
      </c>
      <c r="D86" s="1" t="s">
        <v>16</v>
      </c>
      <c r="E86" s="1" t="s">
        <v>274</v>
      </c>
      <c r="F86" s="1" t="str">
        <f>IFERROR(__xludf.DUMMYFUNCTION("GOOGLETRANSLATE(A86, ""zh-CN"", ""ko"")"),"사람들")</f>
        <v>사람들</v>
      </c>
    </row>
    <row r="87" ht="15.75" customHeight="1">
      <c r="A87" s="1" t="s">
        <v>275</v>
      </c>
      <c r="B87" s="1">
        <v>1.0</v>
      </c>
      <c r="C87" s="1" t="s">
        <v>276</v>
      </c>
      <c r="D87" s="1" t="s">
        <v>8</v>
      </c>
      <c r="E87" s="1" t="s">
        <v>277</v>
      </c>
      <c r="F87" s="1" t="str">
        <f>IFERROR(__xludf.DUMMYFUNCTION("GOOGLETRANSLATE(A87, ""zh-CN"", ""ko"")"),"알다 ")</f>
        <v>알다 </v>
      </c>
    </row>
    <row r="88" ht="15.75" customHeight="1">
      <c r="A88" s="1" t="s">
        <v>278</v>
      </c>
      <c r="B88" s="1">
        <v>1.0</v>
      </c>
      <c r="C88" s="1" t="s">
        <v>279</v>
      </c>
      <c r="D88" s="1" t="s">
        <v>12</v>
      </c>
      <c r="E88" s="1" t="s">
        <v>280</v>
      </c>
      <c r="F88" s="1" t="str">
        <f>IFERROR(__xludf.DUMMYFUNCTION("GOOGLETRANSLATE(A88, ""zh-CN"", ""ko"")"),"삼")</f>
        <v>삼</v>
      </c>
    </row>
    <row r="89" ht="15.75" customHeight="1">
      <c r="A89" s="1" t="s">
        <v>281</v>
      </c>
      <c r="B89" s="1">
        <v>1.0</v>
      </c>
      <c r="C89" s="1" t="s">
        <v>282</v>
      </c>
      <c r="D89" s="1" t="s">
        <v>16</v>
      </c>
      <c r="E89" s="1" t="s">
        <v>283</v>
      </c>
      <c r="F89" s="1" t="str">
        <f>IFERROR(__xludf.DUMMYFUNCTION("GOOGLETRANSLATE(A89, ""zh-CN"", ""ko"")"),"가게")</f>
        <v>가게</v>
      </c>
    </row>
    <row r="90" ht="15.75" customHeight="1">
      <c r="A90" s="1" t="s">
        <v>284</v>
      </c>
      <c r="B90" s="1">
        <v>1.0</v>
      </c>
      <c r="C90" s="1" t="s">
        <v>285</v>
      </c>
      <c r="D90" s="1" t="s">
        <v>16</v>
      </c>
      <c r="E90" s="1" t="s">
        <v>286</v>
      </c>
      <c r="F90" s="1" t="str">
        <f>IFERROR(__xludf.DUMMYFUNCTION("GOOGLETRANSLATE(A90, ""zh-CN"", ""ko"")"),"우수한")</f>
        <v>우수한</v>
      </c>
    </row>
    <row r="91" ht="15.75" customHeight="1">
      <c r="A91" s="1" t="s">
        <v>287</v>
      </c>
      <c r="B91" s="1">
        <v>1.0</v>
      </c>
      <c r="C91" s="1" t="s">
        <v>288</v>
      </c>
      <c r="D91" s="1" t="s">
        <v>16</v>
      </c>
      <c r="E91" s="1" t="s">
        <v>289</v>
      </c>
      <c r="F91" s="1" t="str">
        <f>IFERROR(__xludf.DUMMYFUNCTION("GOOGLETRANSLATE(A91, ""zh-CN"", ""ko"")"),"아침")</f>
        <v>아침</v>
      </c>
    </row>
    <row r="92" ht="15.75" customHeight="1">
      <c r="A92" s="1" t="s">
        <v>290</v>
      </c>
      <c r="B92" s="1">
        <v>1.0</v>
      </c>
      <c r="C92" s="1" t="s">
        <v>291</v>
      </c>
      <c r="D92" s="1" t="s">
        <v>52</v>
      </c>
      <c r="E92" s="1" t="s">
        <v>292</v>
      </c>
      <c r="F92" s="1" t="str">
        <f>IFERROR(__xludf.DUMMYFUNCTION("GOOGLETRANSLATE(A92, ""zh-CN"", ""ko"")"),"약간의")</f>
        <v>약간의</v>
      </c>
    </row>
    <row r="93" ht="15.75" customHeight="1">
      <c r="A93" s="1" t="s">
        <v>293</v>
      </c>
      <c r="B93" s="1">
        <v>1.0</v>
      </c>
      <c r="C93" s="1" t="s">
        <v>294</v>
      </c>
      <c r="D93" s="1" t="s">
        <v>88</v>
      </c>
      <c r="E93" s="1" t="s">
        <v>295</v>
      </c>
      <c r="F93" s="1" t="str">
        <f>IFERROR(__xludf.DUMMYFUNCTION("GOOGLETRANSLATE(A93, ""zh-CN"", ""ko"")"),"WHO")</f>
        <v>WHO</v>
      </c>
    </row>
    <row r="94" ht="15.75" customHeight="1">
      <c r="A94" s="1" t="s">
        <v>296</v>
      </c>
      <c r="B94" s="1">
        <v>1.0</v>
      </c>
      <c r="C94" s="1" t="s">
        <v>297</v>
      </c>
      <c r="D94" s="1" t="s">
        <v>88</v>
      </c>
      <c r="E94" s="1" t="s">
        <v>298</v>
      </c>
      <c r="F94" s="1" t="str">
        <f>IFERROR(__xludf.DUMMYFUNCTION("GOOGLETRANSLATE(A94, ""zh-CN"", ""ko"")"),"무엇")</f>
        <v>무엇</v>
      </c>
    </row>
    <row r="95" ht="15.75" customHeight="1">
      <c r="A95" s="1" t="s">
        <v>299</v>
      </c>
      <c r="B95" s="1">
        <v>1.0</v>
      </c>
      <c r="C95" s="1" t="s">
        <v>300</v>
      </c>
      <c r="D95" s="1" t="s">
        <v>12</v>
      </c>
      <c r="E95" s="1" t="s">
        <v>301</v>
      </c>
      <c r="F95" s="1" t="str">
        <f>IFERROR(__xludf.DUMMYFUNCTION("GOOGLETRANSLATE(A95, ""zh-CN"", ""ko"")"),"열")</f>
        <v>열</v>
      </c>
    </row>
    <row r="96" ht="15.75" customHeight="1">
      <c r="A96" s="1" t="s">
        <v>302</v>
      </c>
      <c r="B96" s="1">
        <v>1.0</v>
      </c>
      <c r="C96" s="1" t="s">
        <v>303</v>
      </c>
      <c r="D96" s="1" t="s">
        <v>16</v>
      </c>
      <c r="E96" s="1" t="s">
        <v>304</v>
      </c>
      <c r="F96" s="1" t="str">
        <f>IFERROR(__xludf.DUMMYFUNCTION("GOOGLETRANSLATE(A96, ""zh-CN"", ""ko"")"),"언제")</f>
        <v>언제</v>
      </c>
    </row>
    <row r="97" ht="15.75" customHeight="1">
      <c r="A97" s="1" t="s">
        <v>305</v>
      </c>
      <c r="B97" s="1">
        <v>1.0</v>
      </c>
      <c r="C97" s="1" t="s">
        <v>306</v>
      </c>
      <c r="D97" s="1" t="s">
        <v>8</v>
      </c>
      <c r="E97" s="1" t="s">
        <v>307</v>
      </c>
      <c r="F97" s="1" t="str">
        <f>IFERROR(__xludf.DUMMYFUNCTION("GOOGLETRANSLATE(A97, ""zh-CN"", ""ko"")"),"예")</f>
        <v>예</v>
      </c>
    </row>
    <row r="98" ht="15.75" customHeight="1">
      <c r="A98" s="1" t="s">
        <v>308</v>
      </c>
      <c r="B98" s="1">
        <v>1.0</v>
      </c>
      <c r="C98" s="1" t="s">
        <v>309</v>
      </c>
      <c r="D98" s="1" t="s">
        <v>16</v>
      </c>
      <c r="E98" s="1" t="s">
        <v>310</v>
      </c>
      <c r="F98" s="1" t="str">
        <f>IFERROR(__xludf.DUMMYFUNCTION("GOOGLETRANSLATE(A98, ""zh-CN"", ""ko"")"),"책")</f>
        <v>책</v>
      </c>
    </row>
    <row r="99" ht="15.75" customHeight="1">
      <c r="A99" s="1" t="s">
        <v>311</v>
      </c>
      <c r="B99" s="1">
        <v>1.0</v>
      </c>
      <c r="C99" s="1" t="s">
        <v>312</v>
      </c>
      <c r="D99" s="1" t="s">
        <v>16</v>
      </c>
      <c r="E99" s="1" t="s">
        <v>313</v>
      </c>
      <c r="F99" s="1" t="str">
        <f>IFERROR(__xludf.DUMMYFUNCTION("GOOGLETRANSLATE(A99, ""zh-CN"", ""ko"")"),"물")</f>
        <v>물</v>
      </c>
    </row>
    <row r="100" ht="15.75" customHeight="1">
      <c r="A100" s="1" t="s">
        <v>314</v>
      </c>
      <c r="B100" s="1">
        <v>1.0</v>
      </c>
      <c r="C100" s="1" t="s">
        <v>315</v>
      </c>
      <c r="D100" s="1" t="s">
        <v>16</v>
      </c>
      <c r="E100" s="1" t="s">
        <v>316</v>
      </c>
      <c r="F100" s="1" t="str">
        <f>IFERROR(__xludf.DUMMYFUNCTION("GOOGLETRANSLATE(A100, ""zh-CN"", ""ko"")"),"과일")</f>
        <v>과일</v>
      </c>
    </row>
    <row r="101" ht="15.75" customHeight="1">
      <c r="A101" s="1" t="s">
        <v>317</v>
      </c>
      <c r="B101" s="1">
        <v>1.0</v>
      </c>
      <c r="C101" s="1" t="s">
        <v>318</v>
      </c>
      <c r="D101" s="1" t="s">
        <v>8</v>
      </c>
      <c r="E101" s="1" t="s">
        <v>319</v>
      </c>
      <c r="F101" s="1" t="str">
        <f>IFERROR(__xludf.DUMMYFUNCTION("GOOGLETRANSLATE(A101, ""zh-CN"", ""ko"")"),"잠")</f>
        <v>잠</v>
      </c>
    </row>
    <row r="102" ht="15.75" customHeight="1">
      <c r="A102" s="1" t="s">
        <v>320</v>
      </c>
      <c r="B102" s="1">
        <v>1.0</v>
      </c>
      <c r="C102" s="1" t="s">
        <v>321</v>
      </c>
      <c r="D102" s="1" t="s">
        <v>8</v>
      </c>
      <c r="E102" s="1" t="s">
        <v>322</v>
      </c>
      <c r="F102" s="1" t="str">
        <f>IFERROR(__xludf.DUMMYFUNCTION("GOOGLETRANSLATE(A102, ""zh-CN"", ""ko"")"),"설명하다")</f>
        <v>설명하다</v>
      </c>
    </row>
    <row r="103" ht="15.75" customHeight="1">
      <c r="A103" s="1" t="s">
        <v>323</v>
      </c>
      <c r="B103" s="1">
        <v>1.0</v>
      </c>
      <c r="C103" s="1" t="s">
        <v>324</v>
      </c>
      <c r="D103" s="1" t="s">
        <v>12</v>
      </c>
      <c r="E103" s="1" t="s">
        <v>325</v>
      </c>
      <c r="F103" s="1" t="str">
        <f>IFERROR(__xludf.DUMMYFUNCTION("GOOGLETRANSLATE(A103, ""zh-CN"", ""ko"")"),"넷")</f>
        <v>넷</v>
      </c>
    </row>
    <row r="104" ht="15.75" customHeight="1">
      <c r="A104" s="1" t="s">
        <v>326</v>
      </c>
      <c r="B104" s="1">
        <v>1.0</v>
      </c>
      <c r="C104" s="1" t="s">
        <v>327</v>
      </c>
      <c r="D104" s="1" t="s">
        <v>26</v>
      </c>
      <c r="E104" s="1" t="s">
        <v>328</v>
      </c>
      <c r="F104" s="1" t="str">
        <f>IFERROR(__xludf.DUMMYFUNCTION("GOOGLETRANSLATE(A104, ""zh-CN"", ""ko"")"),"나이")</f>
        <v>나이</v>
      </c>
    </row>
    <row r="105" ht="15.75" customHeight="1">
      <c r="A105" s="1" t="s">
        <v>329</v>
      </c>
      <c r="B105" s="1">
        <v>1.0</v>
      </c>
      <c r="C105" s="1" t="s">
        <v>330</v>
      </c>
      <c r="D105" s="1" t="s">
        <v>88</v>
      </c>
      <c r="E105" s="1" t="s">
        <v>331</v>
      </c>
      <c r="F105" s="1" t="str">
        <f>IFERROR(__xludf.DUMMYFUNCTION("GOOGLETRANSLATE(A105, ""zh-CN"", ""ko"")"),"그")</f>
        <v>그</v>
      </c>
    </row>
    <row r="106" ht="15.75" customHeight="1">
      <c r="A106" s="1" t="s">
        <v>332</v>
      </c>
      <c r="B106" s="1">
        <v>1.0</v>
      </c>
      <c r="C106" s="1" t="s">
        <v>330</v>
      </c>
      <c r="D106" s="1" t="s">
        <v>88</v>
      </c>
      <c r="E106" s="1" t="s">
        <v>333</v>
      </c>
      <c r="F106" s="1" t="str">
        <f>IFERROR(__xludf.DUMMYFUNCTION("GOOGLETRANSLATE(A106, ""zh-CN"", ""ko"")"),"그녀")</f>
        <v>그녀</v>
      </c>
    </row>
    <row r="107" ht="15.75" customHeight="1">
      <c r="A107" s="1" t="s">
        <v>334</v>
      </c>
      <c r="B107" s="1">
        <v>1.0</v>
      </c>
      <c r="C107" s="1" t="s">
        <v>335</v>
      </c>
      <c r="D107" s="1" t="s">
        <v>33</v>
      </c>
      <c r="E107" s="1" t="s">
        <v>136</v>
      </c>
      <c r="F107" s="1" t="str">
        <f>IFERROR(__xludf.DUMMYFUNCTION("GOOGLETRANSLATE(A107, ""zh-CN"", ""ko"")"),"~도")</f>
        <v>~도</v>
      </c>
    </row>
    <row r="108" ht="15.75" customHeight="1">
      <c r="A108" s="1" t="s">
        <v>336</v>
      </c>
      <c r="B108" s="1">
        <v>1.0</v>
      </c>
      <c r="C108" s="1" t="s">
        <v>337</v>
      </c>
      <c r="D108" s="1" t="s">
        <v>16</v>
      </c>
      <c r="E108" s="1" t="s">
        <v>338</v>
      </c>
      <c r="F108" s="1" t="str">
        <f>IFERROR(__xludf.DUMMYFUNCTION("GOOGLETRANSLATE(A108, ""zh-CN"", ""ko"")"),"날씨")</f>
        <v>날씨</v>
      </c>
    </row>
    <row r="109" ht="15.75" customHeight="1">
      <c r="A109" s="1" t="s">
        <v>339</v>
      </c>
      <c r="B109" s="1">
        <v>1.0</v>
      </c>
      <c r="C109" s="1" t="s">
        <v>340</v>
      </c>
      <c r="D109" s="1" t="s">
        <v>8</v>
      </c>
      <c r="E109" s="1" t="s">
        <v>341</v>
      </c>
      <c r="F109" s="1" t="str">
        <f>IFERROR(__xludf.DUMMYFUNCTION("GOOGLETRANSLATE(A109, ""zh-CN"", ""ko"")"),"듣다")</f>
        <v>듣다</v>
      </c>
    </row>
    <row r="110" ht="15.75" customHeight="1">
      <c r="A110" s="1" t="s">
        <v>342</v>
      </c>
      <c r="B110" s="1">
        <v>1.0</v>
      </c>
      <c r="C110" s="1" t="s">
        <v>343</v>
      </c>
      <c r="D110" s="1" t="s">
        <v>16</v>
      </c>
      <c r="E110" s="1" t="s">
        <v>344</v>
      </c>
      <c r="F110" s="1" t="str">
        <f>IFERROR(__xludf.DUMMYFUNCTION("GOOGLETRANSLATE(A110, ""zh-CN"", ""ko"")"),"동급생")</f>
        <v>동급생</v>
      </c>
    </row>
    <row r="111" ht="15.75" customHeight="1">
      <c r="A111" s="1" t="s">
        <v>345</v>
      </c>
      <c r="B111" s="1">
        <v>6.0</v>
      </c>
      <c r="C111" s="1" t="s">
        <v>346</v>
      </c>
      <c r="D111" s="1" t="s">
        <v>8</v>
      </c>
      <c r="E111" s="1" t="s">
        <v>347</v>
      </c>
      <c r="F111" s="1" t="str">
        <f>IFERROR(__xludf.DUMMYFUNCTION("GOOGLETRANSLATE(A111, ""zh-CN"", ""ko"")"),"안녕하세요")</f>
        <v>안녕하세요</v>
      </c>
    </row>
    <row r="112" ht="15.75" customHeight="1">
      <c r="A112" s="1" t="s">
        <v>348</v>
      </c>
      <c r="B112" s="1">
        <v>1.0</v>
      </c>
      <c r="C112" s="1" t="s">
        <v>349</v>
      </c>
      <c r="D112" s="1" t="s">
        <v>88</v>
      </c>
      <c r="E112" s="1" t="s">
        <v>350</v>
      </c>
      <c r="F112" s="1" t="str">
        <f>IFERROR(__xludf.DUMMYFUNCTION("GOOGLETRANSLATE(A112, ""zh-CN"", ""ko"")"),"나")</f>
        <v>나</v>
      </c>
    </row>
    <row r="113" ht="15.75" customHeight="1">
      <c r="A113" s="1" t="s">
        <v>351</v>
      </c>
      <c r="B113" s="1">
        <v>1.0</v>
      </c>
      <c r="C113" s="1" t="s">
        <v>352</v>
      </c>
      <c r="D113" s="1" t="s">
        <v>88</v>
      </c>
      <c r="E113" s="1" t="s">
        <v>353</v>
      </c>
      <c r="F113" s="1" t="str">
        <f>IFERROR(__xludf.DUMMYFUNCTION("GOOGLETRANSLATE(A113, ""zh-CN"", ""ko"")"),"우리를")</f>
        <v>우리를</v>
      </c>
    </row>
    <row r="114" ht="15.75" customHeight="1">
      <c r="A114" s="1" t="s">
        <v>354</v>
      </c>
      <c r="B114" s="1">
        <v>1.0</v>
      </c>
      <c r="C114" s="1" t="s">
        <v>355</v>
      </c>
      <c r="D114" s="1" t="s">
        <v>12</v>
      </c>
      <c r="E114" s="1" t="s">
        <v>356</v>
      </c>
      <c r="F114" s="1" t="str">
        <f>IFERROR(__xludf.DUMMYFUNCTION("GOOGLETRANSLATE(A114, ""zh-CN"", ""ko"")"),"다섯")</f>
        <v>다섯</v>
      </c>
    </row>
    <row r="115" ht="15.75" customHeight="1">
      <c r="A115" s="1" t="s">
        <v>357</v>
      </c>
      <c r="B115" s="1">
        <v>1.0</v>
      </c>
      <c r="C115" s="1" t="s">
        <v>358</v>
      </c>
      <c r="D115" s="1" t="s">
        <v>8</v>
      </c>
      <c r="E115" s="1" t="s">
        <v>359</v>
      </c>
      <c r="F115" s="1" t="str">
        <f>IFERROR(__xludf.DUMMYFUNCTION("GOOGLETRANSLATE(A115, ""zh-CN"", ""ko"")"),"좋다")</f>
        <v>좋다</v>
      </c>
    </row>
    <row r="116" ht="15.75" customHeight="1">
      <c r="A116" s="1" t="s">
        <v>360</v>
      </c>
      <c r="B116" s="1">
        <v>1.0</v>
      </c>
      <c r="C116" s="1" t="s">
        <v>361</v>
      </c>
      <c r="D116" s="1" t="s">
        <v>16</v>
      </c>
      <c r="E116" s="1" t="s">
        <v>362</v>
      </c>
      <c r="F116" s="1" t="str">
        <f>IFERROR(__xludf.DUMMYFUNCTION("GOOGLETRANSLATE(A116, ""zh-CN"", ""ko"")"),"아래에")</f>
        <v>아래에</v>
      </c>
    </row>
    <row r="117" ht="15.75" customHeight="1">
      <c r="A117" s="1" t="s">
        <v>363</v>
      </c>
      <c r="B117" s="1">
        <v>1.0</v>
      </c>
      <c r="C117" s="1" t="s">
        <v>364</v>
      </c>
      <c r="D117" s="1" t="s">
        <v>16</v>
      </c>
      <c r="E117" s="1" t="s">
        <v>365</v>
      </c>
      <c r="F117" s="1" t="str">
        <f>IFERROR(__xludf.DUMMYFUNCTION("GOOGLETRANSLATE(A117, ""zh-CN"", ""ko"")"),"오후")</f>
        <v>오후</v>
      </c>
    </row>
    <row r="118" ht="15.75" customHeight="1">
      <c r="A118" s="1" t="s">
        <v>366</v>
      </c>
      <c r="B118" s="1">
        <v>1.0</v>
      </c>
      <c r="C118" s="1" t="s">
        <v>367</v>
      </c>
      <c r="D118" s="1" t="s">
        <v>8</v>
      </c>
      <c r="E118" s="1" t="s">
        <v>368</v>
      </c>
      <c r="F118" s="1" t="str">
        <f>IFERROR(__xludf.DUMMYFUNCTION("GOOGLETRANSLATE(A118, ""zh-CN"", ""ko"")"),"비")</f>
        <v>비</v>
      </c>
    </row>
    <row r="119" ht="15.75" customHeight="1">
      <c r="A119" s="1" t="s">
        <v>369</v>
      </c>
      <c r="B119" s="1">
        <v>1.0</v>
      </c>
      <c r="C119" s="1" t="s">
        <v>370</v>
      </c>
      <c r="D119" s="1" t="s">
        <v>16</v>
      </c>
      <c r="E119" s="1" t="s">
        <v>371</v>
      </c>
      <c r="F119" s="1" t="str">
        <f>IFERROR(__xludf.DUMMYFUNCTION("GOOGLETRANSLATE(A119, ""zh-CN"", ""ko"")"),"신사")</f>
        <v>신사</v>
      </c>
    </row>
    <row r="120" ht="15.75" customHeight="1">
      <c r="A120" s="1" t="s">
        <v>372</v>
      </c>
      <c r="B120" s="1">
        <v>1.0</v>
      </c>
      <c r="C120" s="1" t="s">
        <v>373</v>
      </c>
      <c r="D120" s="1" t="s">
        <v>16</v>
      </c>
      <c r="E120" s="1" t="s">
        <v>374</v>
      </c>
      <c r="F120" s="1" t="str">
        <f>IFERROR(__xludf.DUMMYFUNCTION("GOOGLETRANSLATE(A120, ""zh-CN"", ""ko"")"),"지금")</f>
        <v>지금</v>
      </c>
    </row>
    <row r="121" ht="15.75" customHeight="1">
      <c r="A121" s="1" t="s">
        <v>375</v>
      </c>
      <c r="B121" s="1">
        <v>1.0</v>
      </c>
      <c r="C121" s="1" t="s">
        <v>376</v>
      </c>
      <c r="D121" s="1" t="s">
        <v>8</v>
      </c>
      <c r="E121" s="1" t="s">
        <v>377</v>
      </c>
      <c r="F121" s="1" t="str">
        <f>IFERROR(__xludf.DUMMYFUNCTION("GOOGLETRANSLATE(A121, ""zh-CN"", ""ko"")"),"생각하다")</f>
        <v>생각하다</v>
      </c>
    </row>
    <row r="122" ht="15.75" customHeight="1">
      <c r="A122" s="1" t="s">
        <v>378</v>
      </c>
      <c r="B122" s="1">
        <v>1.0</v>
      </c>
      <c r="C122" s="1" t="s">
        <v>379</v>
      </c>
      <c r="D122" s="1" t="s">
        <v>52</v>
      </c>
      <c r="E122" s="1" t="s">
        <v>380</v>
      </c>
      <c r="F122" s="1" t="str">
        <f>IFERROR(__xludf.DUMMYFUNCTION("GOOGLETRANSLATE(A122, ""zh-CN"", ""ko"")"),"작은")</f>
        <v>작은</v>
      </c>
    </row>
    <row r="123" ht="15.75" customHeight="1">
      <c r="A123" s="1" t="s">
        <v>381</v>
      </c>
      <c r="B123" s="1">
        <v>1.0</v>
      </c>
      <c r="C123" s="1" t="s">
        <v>382</v>
      </c>
      <c r="D123" s="1" t="s">
        <v>16</v>
      </c>
      <c r="E123" s="1" t="s">
        <v>383</v>
      </c>
      <c r="F123" s="1" t="str">
        <f>IFERROR(__xludf.DUMMYFUNCTION("GOOGLETRANSLATE(A123, ""zh-CN"", ""ko"")"),"놓치다")</f>
        <v>놓치다</v>
      </c>
    </row>
    <row r="124" ht="15.75" customHeight="1">
      <c r="A124" s="1" t="s">
        <v>384</v>
      </c>
      <c r="B124" s="1">
        <v>1.0</v>
      </c>
      <c r="C124" s="1" t="s">
        <v>385</v>
      </c>
      <c r="D124" s="1" t="s">
        <v>26</v>
      </c>
      <c r="E124" s="1" t="s">
        <v>386</v>
      </c>
      <c r="F124" s="1" t="str">
        <f>IFERROR(__xludf.DUMMYFUNCTION("GOOGLETRANSLATE(A124, ""zh-CN"", ""ko"")"),"일부")</f>
        <v>일부</v>
      </c>
    </row>
    <row r="125" ht="15.75" customHeight="1">
      <c r="A125" s="1" t="s">
        <v>387</v>
      </c>
      <c r="B125" s="1">
        <v>1.0</v>
      </c>
      <c r="C125" s="1" t="s">
        <v>388</v>
      </c>
      <c r="D125" s="1" t="s">
        <v>8</v>
      </c>
      <c r="E125" s="1" t="s">
        <v>389</v>
      </c>
      <c r="F125" s="1" t="str">
        <f>IFERROR(__xludf.DUMMYFUNCTION("GOOGLETRANSLATE(A125, ""zh-CN"", ""ko"")"),"쓰다")</f>
        <v>쓰다</v>
      </c>
    </row>
    <row r="126" ht="15.75" customHeight="1">
      <c r="A126" s="1" t="s">
        <v>390</v>
      </c>
      <c r="B126" s="1">
        <v>1.0</v>
      </c>
      <c r="C126" s="1" t="s">
        <v>391</v>
      </c>
      <c r="D126" s="1" t="s">
        <v>8</v>
      </c>
      <c r="E126" s="1" t="s">
        <v>392</v>
      </c>
      <c r="F126" s="1" t="str">
        <f>IFERROR(__xludf.DUMMYFUNCTION("GOOGLETRANSLATE(A126, ""zh-CN"", ""ko"")"),"감사해요")</f>
        <v>감사해요</v>
      </c>
    </row>
    <row r="127" ht="15.75" customHeight="1">
      <c r="A127" s="1" t="s">
        <v>393</v>
      </c>
      <c r="B127" s="1">
        <v>1.0</v>
      </c>
      <c r="C127" s="1" t="s">
        <v>394</v>
      </c>
      <c r="D127" s="1" t="s">
        <v>16</v>
      </c>
      <c r="E127" s="1" t="s">
        <v>395</v>
      </c>
      <c r="F127" s="1" t="str">
        <f>IFERROR(__xludf.DUMMYFUNCTION("GOOGLETRANSLATE(A127, ""zh-CN"", ""ko"")"),"주")</f>
        <v>주</v>
      </c>
    </row>
    <row r="128" ht="15.75" customHeight="1">
      <c r="A128" s="1" t="s">
        <v>396</v>
      </c>
      <c r="B128" s="1">
        <v>1.0</v>
      </c>
      <c r="C128" s="1" t="s">
        <v>397</v>
      </c>
      <c r="D128" s="1" t="s">
        <v>16</v>
      </c>
      <c r="E128" s="1" t="s">
        <v>398</v>
      </c>
      <c r="F128" s="1" t="str">
        <f>IFERROR(__xludf.DUMMYFUNCTION("GOOGLETRANSLATE(A128, ""zh-CN"", ""ko"")"),"학생")</f>
        <v>학생</v>
      </c>
    </row>
    <row r="129" ht="15.75" customHeight="1">
      <c r="A129" s="1" t="s">
        <v>399</v>
      </c>
      <c r="B129" s="1">
        <v>1.0</v>
      </c>
      <c r="C129" s="1" t="s">
        <v>400</v>
      </c>
      <c r="D129" s="1" t="s">
        <v>8</v>
      </c>
      <c r="E129" s="1" t="s">
        <v>401</v>
      </c>
      <c r="F129" s="1" t="str">
        <f>IFERROR(__xludf.DUMMYFUNCTION("GOOGLETRANSLATE(A129, ""zh-CN"", ""ko"")"),"공부하다")</f>
        <v>공부하다</v>
      </c>
    </row>
    <row r="130" ht="15.75" customHeight="1">
      <c r="A130" s="1" t="s">
        <v>402</v>
      </c>
      <c r="B130" s="1">
        <v>1.0</v>
      </c>
      <c r="C130" s="1" t="s">
        <v>403</v>
      </c>
      <c r="D130" s="1" t="s">
        <v>16</v>
      </c>
      <c r="E130" s="1" t="s">
        <v>404</v>
      </c>
      <c r="F130" s="1" t="str">
        <f>IFERROR(__xludf.DUMMYFUNCTION("GOOGLETRANSLATE(A130, ""zh-CN"", ""ko"")"),"학교")</f>
        <v>학교</v>
      </c>
    </row>
    <row r="131" ht="15.75" customHeight="1">
      <c r="A131" s="1" t="s">
        <v>405</v>
      </c>
      <c r="B131" s="1">
        <v>1.0</v>
      </c>
      <c r="C131" s="1" t="s">
        <v>406</v>
      </c>
      <c r="D131" s="1" t="s">
        <v>12</v>
      </c>
      <c r="E131" s="1" t="s">
        <v>407</v>
      </c>
      <c r="F131" s="1" t="str">
        <f>IFERROR(__xludf.DUMMYFUNCTION("GOOGLETRANSLATE(A131, ""zh-CN"", ""ko"")"),"하나")</f>
        <v>하나</v>
      </c>
    </row>
    <row r="132" ht="15.75" customHeight="1">
      <c r="A132" s="1" t="s">
        <v>408</v>
      </c>
      <c r="B132" s="1">
        <v>1.0</v>
      </c>
      <c r="C132" s="1" t="s">
        <v>409</v>
      </c>
      <c r="D132" s="1" t="s">
        <v>410</v>
      </c>
      <c r="E132" s="1" t="s">
        <v>411</v>
      </c>
      <c r="F132" s="1" t="str">
        <f>IFERROR(__xludf.DUMMYFUNCTION("GOOGLETRANSLATE(A132, ""zh-CN"", ""ko"")"),"조금")</f>
        <v>조금</v>
      </c>
    </row>
    <row r="133" ht="15.75" customHeight="1">
      <c r="A133" s="1" t="s">
        <v>412</v>
      </c>
      <c r="B133" s="1">
        <v>1.0</v>
      </c>
      <c r="C133" s="1" t="s">
        <v>413</v>
      </c>
      <c r="D133" s="1" t="s">
        <v>16</v>
      </c>
      <c r="E133" s="1" t="s">
        <v>414</v>
      </c>
      <c r="F133" s="1" t="str">
        <f>IFERROR(__xludf.DUMMYFUNCTION("GOOGLETRANSLATE(A133, ""zh-CN"", ""ko"")"),"의류")</f>
        <v>의류</v>
      </c>
    </row>
    <row r="134" ht="15.75" customHeight="1">
      <c r="A134" s="1" t="s">
        <v>415</v>
      </c>
      <c r="B134" s="1">
        <v>1.0</v>
      </c>
      <c r="C134" s="1" t="s">
        <v>416</v>
      </c>
      <c r="D134" s="1" t="s">
        <v>16</v>
      </c>
      <c r="E134" s="1" t="s">
        <v>417</v>
      </c>
      <c r="F134" s="1" t="str">
        <f>IFERROR(__xludf.DUMMYFUNCTION("GOOGLETRANSLATE(A134, ""zh-CN"", ""ko"")"),"의사")</f>
        <v>의사</v>
      </c>
    </row>
    <row r="135" ht="15.75" customHeight="1">
      <c r="A135" s="1" t="s">
        <v>418</v>
      </c>
      <c r="B135" s="1">
        <v>1.0</v>
      </c>
      <c r="C135" s="1" t="s">
        <v>419</v>
      </c>
      <c r="D135" s="1" t="s">
        <v>16</v>
      </c>
      <c r="E135" s="1" t="s">
        <v>420</v>
      </c>
      <c r="F135" s="1" t="str">
        <f>IFERROR(__xludf.DUMMYFUNCTION("GOOGLETRANSLATE(A135, ""zh-CN"", ""ko"")"),"병원")</f>
        <v>병원</v>
      </c>
    </row>
    <row r="136" ht="15.75" customHeight="1">
      <c r="A136" s="1" t="s">
        <v>421</v>
      </c>
      <c r="B136" s="1">
        <v>1.0</v>
      </c>
      <c r="C136" s="1" t="s">
        <v>422</v>
      </c>
      <c r="D136" s="1" t="s">
        <v>16</v>
      </c>
      <c r="E136" s="1" t="s">
        <v>423</v>
      </c>
      <c r="F136" s="1" t="str">
        <f>IFERROR(__xludf.DUMMYFUNCTION("GOOGLETRANSLATE(A136, ""zh-CN"", ""ko"")"),"의자")</f>
        <v>의자</v>
      </c>
    </row>
    <row r="137" ht="15.75" customHeight="1">
      <c r="A137" s="1" t="s">
        <v>424</v>
      </c>
      <c r="B137" s="1">
        <v>1.0</v>
      </c>
      <c r="C137" s="1" t="s">
        <v>425</v>
      </c>
      <c r="D137" s="1" t="s">
        <v>8</v>
      </c>
      <c r="E137" s="1" t="s">
        <v>426</v>
      </c>
      <c r="F137" s="1" t="str">
        <f>IFERROR(__xludf.DUMMYFUNCTION("GOOGLETRANSLATE(A137, ""zh-CN"", ""ko"")"),"가지다")</f>
        <v>가지다</v>
      </c>
    </row>
    <row r="138" ht="15.75" customHeight="1">
      <c r="A138" s="1" t="s">
        <v>427</v>
      </c>
      <c r="B138" s="1">
        <v>1.0</v>
      </c>
      <c r="C138" s="1" t="s">
        <v>428</v>
      </c>
      <c r="D138" s="1" t="s">
        <v>16</v>
      </c>
      <c r="E138" s="1" t="s">
        <v>429</v>
      </c>
      <c r="F138" s="1" t="str">
        <f>IFERROR(__xludf.DUMMYFUNCTION("GOOGLETRANSLATE(A138, ""zh-CN"", ""ko"")"),"달")</f>
        <v>달</v>
      </c>
    </row>
    <row r="139" ht="15.75" customHeight="1">
      <c r="A139" s="1" t="s">
        <v>430</v>
      </c>
      <c r="B139" s="1">
        <v>1.0</v>
      </c>
      <c r="C139" s="1" t="s">
        <v>431</v>
      </c>
      <c r="D139" s="1" t="s">
        <v>432</v>
      </c>
      <c r="E139" s="1" t="s">
        <v>433</v>
      </c>
      <c r="F139" s="1" t="str">
        <f>IFERROR(__xludf.DUMMYFUNCTION("GOOGLETRANSLATE(A139, ""zh-CN"", ""ko"")"),"존재하다")</f>
        <v>존재하다</v>
      </c>
    </row>
    <row r="140" ht="15.75" customHeight="1">
      <c r="A140" s="1" t="s">
        <v>434</v>
      </c>
      <c r="B140" s="1">
        <v>1.0</v>
      </c>
      <c r="C140" s="1" t="s">
        <v>435</v>
      </c>
      <c r="D140" s="1" t="s">
        <v>8</v>
      </c>
      <c r="E140" s="1" t="s">
        <v>436</v>
      </c>
      <c r="F140" s="1" t="str">
        <f>IFERROR(__xludf.DUMMYFUNCTION("GOOGLETRANSLATE(A140, ""zh-CN"", ""ko"")"),"안녕히 가세요")</f>
        <v>안녕히 가세요</v>
      </c>
    </row>
    <row r="141" ht="15.75" customHeight="1">
      <c r="A141" s="1" t="s">
        <v>437</v>
      </c>
      <c r="B141" s="1">
        <v>1.0</v>
      </c>
      <c r="C141" s="1" t="s">
        <v>438</v>
      </c>
      <c r="D141" s="1" t="s">
        <v>88</v>
      </c>
      <c r="E141" s="1" t="s">
        <v>439</v>
      </c>
      <c r="F141" s="1" t="str">
        <f>IFERROR(__xludf.DUMMYFUNCTION("GOOGLETRANSLATE(A141, ""zh-CN"", ""ko"")"),"어떻게")</f>
        <v>어떻게</v>
      </c>
    </row>
    <row r="142" ht="15.75" customHeight="1">
      <c r="A142" s="1" t="s">
        <v>440</v>
      </c>
      <c r="B142" s="1">
        <v>1.0</v>
      </c>
      <c r="C142" s="1" t="s">
        <v>441</v>
      </c>
      <c r="D142" s="1" t="s">
        <v>88</v>
      </c>
      <c r="E142" s="1" t="s">
        <v>442</v>
      </c>
      <c r="F142" s="1" t="str">
        <f>IFERROR(__xludf.DUMMYFUNCTION("GOOGLETRANSLATE(A142, ""zh-CN"", ""ko"")"),"어때요?")</f>
        <v>어때요?</v>
      </c>
    </row>
    <row r="143" ht="15.75" customHeight="1">
      <c r="A143" s="1" t="s">
        <v>443</v>
      </c>
      <c r="B143" s="1">
        <v>1.0</v>
      </c>
      <c r="C143" s="1" t="s">
        <v>444</v>
      </c>
      <c r="D143" s="1" t="s">
        <v>88</v>
      </c>
      <c r="E143" s="1" t="s">
        <v>445</v>
      </c>
      <c r="F143" s="1" t="str">
        <f>IFERROR(__xludf.DUMMYFUNCTION("GOOGLETRANSLATE(A143, ""zh-CN"", ""ko"")"),"이것")</f>
        <v>이것</v>
      </c>
    </row>
    <row r="144" ht="15.75" customHeight="1">
      <c r="A144" s="1" t="s">
        <v>446</v>
      </c>
      <c r="B144" s="1">
        <v>1.0</v>
      </c>
      <c r="C144" s="1" t="s">
        <v>447</v>
      </c>
      <c r="D144" s="1" t="s">
        <v>16</v>
      </c>
      <c r="E144" s="1" t="s">
        <v>448</v>
      </c>
      <c r="F144" s="1" t="str">
        <f>IFERROR(__xludf.DUMMYFUNCTION("GOOGLETRANSLATE(A144, ""zh-CN"", ""ko"")"),"중국")</f>
        <v>중국</v>
      </c>
    </row>
    <row r="145" ht="15.75" customHeight="1">
      <c r="A145" s="1" t="s">
        <v>449</v>
      </c>
      <c r="B145" s="1">
        <v>1.0</v>
      </c>
      <c r="C145" s="1" t="s">
        <v>450</v>
      </c>
      <c r="D145" s="1" t="s">
        <v>16</v>
      </c>
      <c r="E145" s="1" t="s">
        <v>451</v>
      </c>
      <c r="F145" s="1" t="str">
        <f>IFERROR(__xludf.DUMMYFUNCTION("GOOGLETRANSLATE(A145, ""zh-CN"", ""ko"")"),"정오")</f>
        <v>정오</v>
      </c>
    </row>
    <row r="146" ht="15.75" customHeight="1">
      <c r="A146" s="1" t="s">
        <v>452</v>
      </c>
      <c r="B146" s="1">
        <v>1.0</v>
      </c>
      <c r="C146" s="1" t="s">
        <v>453</v>
      </c>
      <c r="D146" s="1" t="s">
        <v>8</v>
      </c>
      <c r="E146" s="1" t="s">
        <v>454</v>
      </c>
      <c r="F146" s="1" t="str">
        <f>IFERROR(__xludf.DUMMYFUNCTION("GOOGLETRANSLATE(A146, ""zh-CN"", ""ko"")"),"살다")</f>
        <v>살다</v>
      </c>
    </row>
    <row r="147" ht="15.75" customHeight="1">
      <c r="A147" s="1" t="s">
        <v>455</v>
      </c>
      <c r="B147" s="1">
        <v>1.0</v>
      </c>
      <c r="C147" s="1" t="s">
        <v>456</v>
      </c>
      <c r="D147" s="1" t="s">
        <v>16</v>
      </c>
      <c r="E147" s="1" t="s">
        <v>457</v>
      </c>
      <c r="F147" s="1" t="str">
        <f>IFERROR(__xludf.DUMMYFUNCTION("GOOGLETRANSLATE(A147, ""zh-CN"", ""ko"")"),"테이블")</f>
        <v>테이블</v>
      </c>
    </row>
    <row r="148" ht="15.75" customHeight="1">
      <c r="A148" s="1" t="s">
        <v>458</v>
      </c>
      <c r="B148" s="1">
        <v>1.0</v>
      </c>
      <c r="C148" s="1" t="s">
        <v>459</v>
      </c>
      <c r="D148" s="1" t="s">
        <v>16</v>
      </c>
      <c r="E148" s="1" t="s">
        <v>460</v>
      </c>
      <c r="F148" s="1" t="str">
        <f>IFERROR(__xludf.DUMMYFUNCTION("GOOGLETRANSLATE(A148, ""zh-CN"", ""ko"")"),"성격")</f>
        <v>성격</v>
      </c>
    </row>
    <row r="149" ht="15.75" customHeight="1">
      <c r="A149" s="1" t="s">
        <v>461</v>
      </c>
      <c r="B149" s="1">
        <v>1.0</v>
      </c>
      <c r="C149" s="1" t="s">
        <v>462</v>
      </c>
      <c r="D149" s="1" t="s">
        <v>16</v>
      </c>
      <c r="E149" s="1" t="s">
        <v>463</v>
      </c>
      <c r="F149" s="1" t="str">
        <f>IFERROR(__xludf.DUMMYFUNCTION("GOOGLETRANSLATE(A149, ""zh-CN"", ""ko"")"),"어제")</f>
        <v>어제</v>
      </c>
    </row>
    <row r="150" ht="15.75" customHeight="1">
      <c r="A150" s="1" t="s">
        <v>464</v>
      </c>
      <c r="B150" s="1">
        <v>1.0</v>
      </c>
      <c r="C150" s="1" t="s">
        <v>465</v>
      </c>
      <c r="D150" s="1" t="s">
        <v>8</v>
      </c>
      <c r="E150" s="1" t="s">
        <v>466</v>
      </c>
      <c r="F150" s="1" t="str">
        <f>IFERROR(__xludf.DUMMYFUNCTION("GOOGLETRANSLATE(A150, ""zh-CN"", ""ko"")"),"앉다")</f>
        <v>앉다</v>
      </c>
    </row>
    <row r="151" ht="15.75" customHeight="1">
      <c r="A151" s="1" t="s">
        <v>467</v>
      </c>
      <c r="B151" s="1">
        <v>1.0</v>
      </c>
      <c r="C151" s="1" t="s">
        <v>465</v>
      </c>
      <c r="D151" s="1" t="s">
        <v>8</v>
      </c>
      <c r="E151" s="1" t="s">
        <v>468</v>
      </c>
      <c r="F151" s="1" t="str">
        <f>IFERROR(__xludf.DUMMYFUNCTION("GOOGLETRANSLATE(A151, ""zh-CN"", ""ko"")"),"하다")</f>
        <v>하다</v>
      </c>
    </row>
    <row r="152" ht="15.75" customHeight="1">
      <c r="A152" s="1" t="s">
        <v>469</v>
      </c>
      <c r="B152" s="1">
        <v>2.0</v>
      </c>
      <c r="C152" s="1" t="s">
        <v>470</v>
      </c>
      <c r="D152" s="1" t="s">
        <v>56</v>
      </c>
      <c r="E152" s="1" t="s">
        <v>471</v>
      </c>
      <c r="F152" s="1" t="str">
        <f>IFERROR(__xludf.DUMMYFUNCTION("GOOGLETRANSLATE(A152, ""zh-CN"", ""ko"")"),"술집")</f>
        <v>술집</v>
      </c>
    </row>
    <row r="153" ht="15.75" customHeight="1">
      <c r="A153" s="1" t="s">
        <v>472</v>
      </c>
      <c r="B153" s="1">
        <v>2.0</v>
      </c>
      <c r="C153" s="1" t="s">
        <v>473</v>
      </c>
      <c r="D153" s="1" t="s">
        <v>52</v>
      </c>
      <c r="E153" s="1" t="s">
        <v>474</v>
      </c>
      <c r="F153" s="1" t="str">
        <f>IFERROR(__xludf.DUMMYFUNCTION("GOOGLETRANSLATE(A153, ""zh-CN"", ""ko"")"),"하얀색")</f>
        <v>하얀색</v>
      </c>
    </row>
    <row r="154" ht="15.75" customHeight="1">
      <c r="A154" s="1" t="s">
        <v>475</v>
      </c>
      <c r="B154" s="1">
        <v>2.0</v>
      </c>
      <c r="C154" s="1" t="s">
        <v>476</v>
      </c>
      <c r="D154" s="1" t="s">
        <v>12</v>
      </c>
      <c r="E154" s="1" t="s">
        <v>477</v>
      </c>
      <c r="F154" s="1" t="str">
        <f>IFERROR(__xludf.DUMMYFUNCTION("GOOGLETRANSLATE(A154, ""zh-CN"", ""ko"")"),"백")</f>
        <v>백</v>
      </c>
    </row>
    <row r="155" ht="15.75" customHeight="1">
      <c r="A155" s="1" t="s">
        <v>478</v>
      </c>
      <c r="B155" s="1">
        <v>2.0</v>
      </c>
      <c r="C155" s="1" t="s">
        <v>479</v>
      </c>
      <c r="D155" s="1" t="s">
        <v>8</v>
      </c>
      <c r="E155" s="1" t="s">
        <v>480</v>
      </c>
      <c r="F155" s="1" t="str">
        <f>IFERROR(__xludf.DUMMYFUNCTION("GOOGLETRANSLATE(A155, ""zh-CN"", ""ko"")"),"돕다")</f>
        <v>돕다</v>
      </c>
    </row>
    <row r="156" ht="15.75" customHeight="1">
      <c r="A156" s="1" t="s">
        <v>481</v>
      </c>
      <c r="B156" s="1">
        <v>2.0</v>
      </c>
      <c r="C156" s="1" t="s">
        <v>482</v>
      </c>
      <c r="D156" s="1" t="s">
        <v>16</v>
      </c>
      <c r="E156" s="1" t="s">
        <v>483</v>
      </c>
      <c r="F156" s="1" t="str">
        <f>IFERROR(__xludf.DUMMYFUNCTION("GOOGLETRANSLATE(A156, ""zh-CN"", ""ko"")"),"신문")</f>
        <v>신문</v>
      </c>
    </row>
    <row r="157" ht="15.75" customHeight="1">
      <c r="A157" s="1" t="s">
        <v>484</v>
      </c>
      <c r="B157" s="1">
        <v>2.0</v>
      </c>
      <c r="C157" s="1" t="s">
        <v>485</v>
      </c>
      <c r="D157" s="1" t="s">
        <v>486</v>
      </c>
      <c r="E157" s="1" t="s">
        <v>487</v>
      </c>
      <c r="F157" s="1" t="str">
        <f>IFERROR(__xludf.DUMMYFUNCTION("GOOGLETRANSLATE(A157, ""zh-CN"", ""ko"")"),"비교하다")</f>
        <v>비교하다</v>
      </c>
    </row>
    <row r="158" ht="15.75" customHeight="1">
      <c r="A158" s="1" t="s">
        <v>488</v>
      </c>
      <c r="B158" s="1">
        <v>2.0</v>
      </c>
      <c r="C158" s="1" t="s">
        <v>489</v>
      </c>
      <c r="D158" s="1" t="s">
        <v>33</v>
      </c>
      <c r="E158" s="1" t="s">
        <v>490</v>
      </c>
      <c r="F158" s="1" t="str">
        <f>IFERROR(__xludf.DUMMYFUNCTION("GOOGLETRANSLATE(A158, ""zh-CN"", ""ko"")"),"하지 않다")</f>
        <v>하지 않다</v>
      </c>
    </row>
    <row r="159" ht="15.75" customHeight="1">
      <c r="A159" s="1" t="s">
        <v>491</v>
      </c>
      <c r="B159" s="1">
        <v>2.0</v>
      </c>
      <c r="C159" s="1" t="s">
        <v>492</v>
      </c>
      <c r="D159" s="1" t="s">
        <v>16</v>
      </c>
      <c r="E159" s="1" t="s">
        <v>493</v>
      </c>
      <c r="F159" s="1" t="str">
        <f>IFERROR(__xludf.DUMMYFUNCTION("GOOGLETRANSLATE(A159, ""zh-CN"", ""ko"")"),"호텔")</f>
        <v>호텔</v>
      </c>
    </row>
    <row r="160" ht="15.75" customHeight="1">
      <c r="A160" s="1" t="s">
        <v>494</v>
      </c>
      <c r="B160" s="1">
        <v>3.0</v>
      </c>
      <c r="C160" s="1" t="s">
        <v>495</v>
      </c>
      <c r="D160" s="1" t="s">
        <v>8</v>
      </c>
      <c r="E160" s="1" t="s">
        <v>496</v>
      </c>
      <c r="F160" s="1" t="str">
        <f>IFERROR(__xludf.DUMMYFUNCTION("GOOGLETRANSLATE(A160, ""zh-CN"", ""ko"")"),"긴")</f>
        <v>긴</v>
      </c>
    </row>
    <row r="161" ht="15.75" customHeight="1">
      <c r="A161" s="1" t="s">
        <v>497</v>
      </c>
      <c r="B161" s="1">
        <v>2.0</v>
      </c>
      <c r="C161" s="1" t="s">
        <v>498</v>
      </c>
      <c r="D161" s="1" t="s">
        <v>8</v>
      </c>
      <c r="E161" s="1" t="s">
        <v>499</v>
      </c>
      <c r="F161" s="1" t="str">
        <f>IFERROR(__xludf.DUMMYFUNCTION("GOOGLETRANSLATE(A161, ""zh-CN"", ""ko"")"),"노래하다")</f>
        <v>노래하다</v>
      </c>
    </row>
    <row r="162" ht="15.75" customHeight="1">
      <c r="A162" s="1" t="s">
        <v>500</v>
      </c>
      <c r="B162" s="1">
        <v>2.0</v>
      </c>
      <c r="C162" s="1" t="s">
        <v>501</v>
      </c>
      <c r="D162" s="1" t="s">
        <v>8</v>
      </c>
      <c r="E162" s="1" t="s">
        <v>502</v>
      </c>
      <c r="F162" s="1" t="str">
        <f>IFERROR(__xludf.DUMMYFUNCTION("GOOGLETRANSLATE(A162, ""zh-CN"", ""ko"")"),"밖으로")</f>
        <v>밖으로</v>
      </c>
    </row>
    <row r="163" ht="15.75" customHeight="1">
      <c r="A163" s="1" t="s">
        <v>503</v>
      </c>
      <c r="B163" s="1">
        <v>2.0</v>
      </c>
      <c r="C163" s="1" t="s">
        <v>504</v>
      </c>
      <c r="D163" s="1" t="s">
        <v>8</v>
      </c>
      <c r="E163" s="1" t="s">
        <v>505</v>
      </c>
      <c r="F163" s="1" t="str">
        <f>IFERROR(__xludf.DUMMYFUNCTION("GOOGLETRANSLATE(A163, ""zh-CN"", ""ko"")"),"입다")</f>
        <v>입다</v>
      </c>
    </row>
    <row r="164" ht="15.75" customHeight="1">
      <c r="A164" s="1" t="s">
        <v>506</v>
      </c>
      <c r="B164" s="1">
        <v>2.0</v>
      </c>
      <c r="C164" s="1" t="s">
        <v>507</v>
      </c>
      <c r="D164" s="1" t="s">
        <v>16</v>
      </c>
      <c r="E164" s="1" t="s">
        <v>508</v>
      </c>
      <c r="F164" s="1" t="str">
        <f>IFERROR(__xludf.DUMMYFUNCTION("GOOGLETRANSLATE(A164, ""zh-CN"", ""ko"")"),"이류")</f>
        <v>이류</v>
      </c>
    </row>
    <row r="165" ht="15.75" customHeight="1">
      <c r="A165" s="1" t="s">
        <v>509</v>
      </c>
      <c r="B165" s="1">
        <v>2.0</v>
      </c>
      <c r="C165" s="1" t="s">
        <v>510</v>
      </c>
      <c r="D165" s="1" t="s">
        <v>486</v>
      </c>
      <c r="E165" s="1" t="s">
        <v>511</v>
      </c>
      <c r="F165" s="1" t="str">
        <f>IFERROR(__xludf.DUMMYFUNCTION("GOOGLETRANSLATE(A165, ""zh-CN"", ""ko"")"),"~에서")</f>
        <v>~에서</v>
      </c>
    </row>
    <row r="166" ht="15.75" customHeight="1">
      <c r="A166" s="1" t="s">
        <v>512</v>
      </c>
      <c r="B166" s="1">
        <v>2.0</v>
      </c>
      <c r="C166" s="1" t="s">
        <v>513</v>
      </c>
      <c r="D166" s="1" t="s">
        <v>52</v>
      </c>
      <c r="E166" s="1" t="s">
        <v>514</v>
      </c>
      <c r="F166" s="1" t="str">
        <f>IFERROR(__xludf.DUMMYFUNCTION("GOOGLETRANSLATE(A166, ""zh-CN"", ""ko"")"),"잘못된")</f>
        <v>잘못된</v>
      </c>
    </row>
    <row r="167" ht="15.75" customHeight="1">
      <c r="A167" s="1" t="s">
        <v>515</v>
      </c>
      <c r="B167" s="1">
        <v>2.0</v>
      </c>
      <c r="C167" s="1" t="s">
        <v>516</v>
      </c>
      <c r="E167" s="1" t="s">
        <v>517</v>
      </c>
      <c r="F167" s="1" t="str">
        <f>IFERROR(__xludf.DUMMYFUNCTION("GOOGLETRANSLATE(A167, ""zh-CN"", ""ko"")"),"농구하기")</f>
        <v>농구하기</v>
      </c>
    </row>
    <row r="168" ht="15.75" customHeight="1">
      <c r="A168" s="1" t="s">
        <v>518</v>
      </c>
      <c r="B168" s="1">
        <v>2.0</v>
      </c>
      <c r="C168" s="1" t="s">
        <v>519</v>
      </c>
      <c r="D168" s="1" t="s">
        <v>16</v>
      </c>
      <c r="E168" s="1" t="s">
        <v>520</v>
      </c>
      <c r="F168" s="1" t="str">
        <f>IFERROR(__xludf.DUMMYFUNCTION("GOOGLETRANSLATE(A168, ""zh-CN"", ""ko"")"),"모든 사람")</f>
        <v>모든 사람</v>
      </c>
    </row>
    <row r="169" ht="15.75" customHeight="1">
      <c r="A169" s="1" t="s">
        <v>521</v>
      </c>
      <c r="B169" s="1">
        <v>2.0</v>
      </c>
      <c r="C169" s="1" t="s">
        <v>522</v>
      </c>
      <c r="D169" s="1" t="s">
        <v>8</v>
      </c>
      <c r="E169" s="1" t="s">
        <v>523</v>
      </c>
      <c r="F169" s="1" t="str">
        <f>IFERROR(__xludf.DUMMYFUNCTION("GOOGLETRANSLATE(A169, ""zh-CN"", ""ko"")"),"도착하다")</f>
        <v>도착하다</v>
      </c>
    </row>
    <row r="170" ht="15.75" customHeight="1">
      <c r="A170" s="1" t="s">
        <v>524</v>
      </c>
      <c r="B170" s="1">
        <v>4.0</v>
      </c>
      <c r="C170" s="1" t="s">
        <v>55</v>
      </c>
      <c r="D170" s="1" t="s">
        <v>525</v>
      </c>
      <c r="E170" s="1" t="s">
        <v>526</v>
      </c>
      <c r="F170" s="1" t="str">
        <f>IFERROR(__xludf.DUMMYFUNCTION("GOOGLETRANSLATE(A170, ""zh-CN"", ""ko"")"),"해야 한다")</f>
        <v>해야 한다</v>
      </c>
    </row>
    <row r="171" ht="15.75" customHeight="1">
      <c r="A171" s="1" t="s">
        <v>527</v>
      </c>
      <c r="B171" s="1">
        <v>4.0</v>
      </c>
      <c r="C171" s="1" t="s">
        <v>528</v>
      </c>
      <c r="D171" s="1" t="s">
        <v>56</v>
      </c>
      <c r="E171" s="1" t="s">
        <v>529</v>
      </c>
      <c r="F171" s="1" t="str">
        <f>IFERROR(__xludf.DUMMYFUNCTION("GOOGLETRANSLATE(A171, ""zh-CN"", ""ko"")"),"기다리다")</f>
        <v>기다리다</v>
      </c>
    </row>
    <row r="172" ht="15.75" customHeight="1">
      <c r="A172" s="1" t="s">
        <v>530</v>
      </c>
      <c r="B172" s="1">
        <v>2.0</v>
      </c>
      <c r="C172" s="1" t="s">
        <v>531</v>
      </c>
      <c r="D172" s="1" t="s">
        <v>16</v>
      </c>
      <c r="E172" s="1" t="s">
        <v>532</v>
      </c>
      <c r="F172" s="1" t="str">
        <f>IFERROR(__xludf.DUMMYFUNCTION("GOOGLETRANSLATE(A172, ""zh-CN"", ""ko"")"),"남동생")</f>
        <v>남동생</v>
      </c>
    </row>
    <row r="173" ht="15.75" customHeight="1">
      <c r="A173" s="1" t="s">
        <v>533</v>
      </c>
      <c r="B173" s="1">
        <v>2.0</v>
      </c>
      <c r="C173" s="1" t="s">
        <v>534</v>
      </c>
      <c r="D173" s="1" t="s">
        <v>12</v>
      </c>
      <c r="E173" s="1" t="s">
        <v>535</v>
      </c>
      <c r="F173" s="1" t="str">
        <f>IFERROR(__xludf.DUMMYFUNCTION("GOOGLETRANSLATE(A173, ""zh-CN"", ""ko"")"),"첫 번째")</f>
        <v>첫 번째</v>
      </c>
    </row>
    <row r="174" ht="15.75" customHeight="1">
      <c r="A174" s="1" t="s">
        <v>536</v>
      </c>
      <c r="B174" s="1">
        <v>2.0</v>
      </c>
      <c r="C174" s="1" t="s">
        <v>537</v>
      </c>
      <c r="D174" s="1" t="s">
        <v>8</v>
      </c>
      <c r="E174" s="1" t="s">
        <v>538</v>
      </c>
      <c r="F174" s="1" t="str">
        <f>IFERROR(__xludf.DUMMYFUNCTION("GOOGLETRANSLATE(A174, ""zh-CN"", ""ko"")"),"이해하다")</f>
        <v>이해하다</v>
      </c>
    </row>
    <row r="175" ht="15.75" customHeight="1">
      <c r="A175" s="1" t="s">
        <v>539</v>
      </c>
      <c r="B175" s="1">
        <v>2.0</v>
      </c>
      <c r="C175" s="1" t="s">
        <v>540</v>
      </c>
      <c r="D175" s="1" t="s">
        <v>541</v>
      </c>
      <c r="E175" s="1" t="s">
        <v>542</v>
      </c>
      <c r="F175" s="1" t="str">
        <f>IFERROR(__xludf.DUMMYFUNCTION("GOOGLETRANSLATE(A175, ""zh-CN"", ""ko"")"),"오른쪽")</f>
        <v>오른쪽</v>
      </c>
    </row>
    <row r="176" ht="15.75" customHeight="1">
      <c r="A176" s="1" t="s">
        <v>543</v>
      </c>
      <c r="B176" s="1">
        <v>2.0</v>
      </c>
      <c r="C176" s="1" t="s">
        <v>544</v>
      </c>
      <c r="D176" s="1" t="s">
        <v>16</v>
      </c>
      <c r="E176" s="1" t="s">
        <v>545</v>
      </c>
      <c r="F176" s="1" t="str">
        <f>IFERROR(__xludf.DUMMYFUNCTION("GOOGLETRANSLATE(A176, ""zh-CN"", ""ko"")"),"방")</f>
        <v>방</v>
      </c>
    </row>
    <row r="177" ht="15.75" customHeight="1">
      <c r="A177" s="1" t="s">
        <v>546</v>
      </c>
      <c r="B177" s="1">
        <v>2.0</v>
      </c>
      <c r="C177" s="1" t="s">
        <v>547</v>
      </c>
      <c r="D177" s="1" t="s">
        <v>33</v>
      </c>
      <c r="E177" s="1" t="s">
        <v>548</v>
      </c>
      <c r="F177" s="1" t="str">
        <f>IFERROR(__xludf.DUMMYFUNCTION("GOOGLETRANSLATE(A177, ""zh-CN"", ""ko"")"),"매우")</f>
        <v>매우</v>
      </c>
    </row>
    <row r="178" ht="15.75" customHeight="1">
      <c r="A178" s="1" t="s">
        <v>549</v>
      </c>
      <c r="B178" s="1">
        <v>2.0</v>
      </c>
      <c r="C178" s="1" t="s">
        <v>550</v>
      </c>
      <c r="D178" s="1" t="s">
        <v>16</v>
      </c>
      <c r="E178" s="1" t="s">
        <v>551</v>
      </c>
      <c r="F178" s="1" t="str">
        <f>IFERROR(__xludf.DUMMYFUNCTION("GOOGLETRANSLATE(A178, ""zh-CN"", ""ko"")"),"웨이터")</f>
        <v>웨이터</v>
      </c>
    </row>
    <row r="179" ht="15.75" customHeight="1">
      <c r="A179" s="1" t="s">
        <v>552</v>
      </c>
      <c r="B179" s="1">
        <v>2.0</v>
      </c>
      <c r="C179" s="1" t="s">
        <v>553</v>
      </c>
      <c r="D179" s="1" t="s">
        <v>52</v>
      </c>
      <c r="E179" s="1" t="s">
        <v>554</v>
      </c>
      <c r="F179" s="1" t="str">
        <f>IFERROR(__xludf.DUMMYFUNCTION("GOOGLETRANSLATE(A179, ""zh-CN"", ""ko"")"),"높은")</f>
        <v>높은</v>
      </c>
    </row>
    <row r="180" ht="15.75" customHeight="1">
      <c r="A180" s="1" t="s">
        <v>555</v>
      </c>
      <c r="B180" s="1">
        <v>2.0</v>
      </c>
      <c r="C180" s="1" t="s">
        <v>556</v>
      </c>
      <c r="D180" s="1" t="s">
        <v>8</v>
      </c>
      <c r="E180" s="1" t="s">
        <v>557</v>
      </c>
      <c r="F180" s="1" t="str">
        <f>IFERROR(__xludf.DUMMYFUNCTION("GOOGLETRANSLATE(A180, ""zh-CN"", ""ko"")"),"말하다")</f>
        <v>말하다</v>
      </c>
    </row>
    <row r="181" ht="15.75" customHeight="1">
      <c r="A181" s="1" t="s">
        <v>558</v>
      </c>
      <c r="B181" s="1">
        <v>2.0</v>
      </c>
      <c r="C181" s="1" t="s">
        <v>559</v>
      </c>
      <c r="D181" s="1" t="s">
        <v>16</v>
      </c>
      <c r="E181" s="1" t="s">
        <v>560</v>
      </c>
      <c r="F181" s="1" t="str">
        <f>IFERROR(__xludf.DUMMYFUNCTION("GOOGLETRANSLATE(A181, ""zh-CN"", ""ko"")"),"형")</f>
        <v>형</v>
      </c>
    </row>
    <row r="182" ht="15.75" customHeight="1">
      <c r="A182" s="1" t="s">
        <v>561</v>
      </c>
      <c r="B182" s="1">
        <v>2.0</v>
      </c>
      <c r="C182" s="1" t="s">
        <v>562</v>
      </c>
      <c r="D182" s="1" t="s">
        <v>8</v>
      </c>
      <c r="E182" s="1" t="s">
        <v>563</v>
      </c>
      <c r="F182" s="1" t="str">
        <f>IFERROR(__xludf.DUMMYFUNCTION("GOOGLETRANSLATE(A182, ""zh-CN"", ""ko"")"),"주다")</f>
        <v>주다</v>
      </c>
    </row>
    <row r="183" ht="15.75" customHeight="1">
      <c r="A183" s="1" t="s">
        <v>564</v>
      </c>
      <c r="B183" s="1">
        <v>2.0</v>
      </c>
      <c r="C183" s="1" t="s">
        <v>565</v>
      </c>
      <c r="D183" s="1" t="s">
        <v>16</v>
      </c>
      <c r="E183" s="1" t="s">
        <v>566</v>
      </c>
      <c r="F183" s="1" t="str">
        <f>IFERROR(__xludf.DUMMYFUNCTION("GOOGLETRANSLATE(A183, ""zh-CN"", ""ko"")"),"버스")</f>
        <v>버스</v>
      </c>
    </row>
    <row r="184" ht="15.75" customHeight="1">
      <c r="A184" s="1" t="s">
        <v>567</v>
      </c>
      <c r="B184" s="1">
        <v>2.0</v>
      </c>
      <c r="C184" s="1" t="s">
        <v>568</v>
      </c>
      <c r="D184" s="1" t="s">
        <v>16</v>
      </c>
      <c r="E184" s="1" t="s">
        <v>569</v>
      </c>
      <c r="F184" s="1" t="str">
        <f>IFERROR(__xludf.DUMMYFUNCTION("GOOGLETRANSLATE(A184, ""zh-CN"", ""ko"")"),"회사")</f>
        <v>회사</v>
      </c>
    </row>
    <row r="185" ht="15.75" customHeight="1">
      <c r="A185" s="1" t="s">
        <v>570</v>
      </c>
      <c r="B185" s="1">
        <v>2.0</v>
      </c>
      <c r="C185" s="1" t="s">
        <v>571</v>
      </c>
      <c r="D185" s="1" t="s">
        <v>52</v>
      </c>
      <c r="E185" s="1" t="s">
        <v>572</v>
      </c>
      <c r="F185" s="1" t="str">
        <f>IFERROR(__xludf.DUMMYFUNCTION("GOOGLETRANSLATE(A185, ""zh-CN"", ""ko"")"),"값비싼")</f>
        <v>값비싼</v>
      </c>
    </row>
    <row r="186" ht="15.75" customHeight="1">
      <c r="A186" s="1" t="s">
        <v>573</v>
      </c>
      <c r="B186" s="1">
        <v>3.0</v>
      </c>
      <c r="C186" s="1" t="s">
        <v>574</v>
      </c>
      <c r="D186" s="1" t="s">
        <v>8</v>
      </c>
      <c r="E186" s="1" t="s">
        <v>575</v>
      </c>
      <c r="F186" s="1" t="str">
        <f>IFERROR(__xludf.DUMMYFUNCTION("GOOGLETRANSLATE(A186, ""zh-CN"", ""ko"")"),"통과하다")</f>
        <v>통과하다</v>
      </c>
    </row>
    <row r="187" ht="15.75" customHeight="1">
      <c r="A187" s="1" t="s">
        <v>576</v>
      </c>
      <c r="B187" s="1">
        <v>3.0</v>
      </c>
      <c r="C187" s="1" t="s">
        <v>577</v>
      </c>
      <c r="D187" s="1" t="s">
        <v>8</v>
      </c>
      <c r="E187" s="1" t="s">
        <v>142</v>
      </c>
      <c r="F187" s="1" t="str">
        <f>IFERROR(__xludf.DUMMYFUNCTION("GOOGLETRANSLATE(A187, ""zh-CN"", ""ko"")"),"반품")</f>
        <v>반품</v>
      </c>
    </row>
    <row r="188" ht="15.75" customHeight="1">
      <c r="A188" s="1" t="s">
        <v>578</v>
      </c>
      <c r="B188" s="1">
        <v>2.0</v>
      </c>
      <c r="C188" s="1" t="s">
        <v>579</v>
      </c>
      <c r="D188" s="1" t="s">
        <v>16</v>
      </c>
      <c r="E188" s="1" t="s">
        <v>580</v>
      </c>
      <c r="F188" s="1" t="str">
        <f>IFERROR(__xludf.DUMMYFUNCTION("GOOGLETRANSLATE(A188, ""zh-CN"", ""ko"")"),"어린이")</f>
        <v>어린이</v>
      </c>
    </row>
    <row r="189" ht="15.75" customHeight="1">
      <c r="A189" s="1" t="s">
        <v>581</v>
      </c>
      <c r="B189" s="1">
        <v>2.0</v>
      </c>
      <c r="C189" s="1" t="s">
        <v>582</v>
      </c>
      <c r="D189" s="1" t="s">
        <v>52</v>
      </c>
      <c r="E189" s="1" t="s">
        <v>583</v>
      </c>
      <c r="F189" s="1" t="str">
        <f>IFERROR(__xludf.DUMMYFUNCTION("GOOGLETRANSLATE(A189, ""zh-CN"", ""ko"")"),"맛있는")</f>
        <v>맛있는</v>
      </c>
    </row>
    <row r="190" ht="15.75" customHeight="1">
      <c r="A190" s="1" t="s">
        <v>584</v>
      </c>
      <c r="B190" s="1">
        <v>2.0</v>
      </c>
      <c r="C190" s="1" t="s">
        <v>585</v>
      </c>
      <c r="D190" s="1" t="s">
        <v>52</v>
      </c>
      <c r="E190" s="1" t="s">
        <v>586</v>
      </c>
      <c r="F190" s="1" t="str">
        <f>IFERROR(__xludf.DUMMYFUNCTION("GOOGLETRANSLATE(A190, ""zh-CN"", ""ko"")"),"검은색")</f>
        <v>검은색</v>
      </c>
    </row>
    <row r="191" ht="15.75" customHeight="1">
      <c r="A191" s="1" t="s">
        <v>587</v>
      </c>
      <c r="B191" s="1">
        <v>2.0</v>
      </c>
      <c r="C191" s="1" t="s">
        <v>588</v>
      </c>
      <c r="D191" s="1" t="s">
        <v>52</v>
      </c>
      <c r="E191" s="1" t="s">
        <v>589</v>
      </c>
      <c r="F191" s="1" t="str">
        <f>IFERROR(__xludf.DUMMYFUNCTION("GOOGLETRANSLATE(A191, ""zh-CN"", ""ko"")"),"빨간색")</f>
        <v>빨간색</v>
      </c>
    </row>
    <row r="192" ht="15.75" customHeight="1">
      <c r="A192" s="1" t="s">
        <v>590</v>
      </c>
      <c r="B192" s="1">
        <v>2.0</v>
      </c>
      <c r="C192" s="1" t="s">
        <v>591</v>
      </c>
      <c r="D192" s="1" t="s">
        <v>16</v>
      </c>
      <c r="E192" s="1" t="s">
        <v>592</v>
      </c>
      <c r="F192" s="1" t="str">
        <f>IFERROR(__xludf.DUMMYFUNCTION("GOOGLETRANSLATE(A192, ""zh-CN"", ""ko"")"),"기차역")</f>
        <v>기차역</v>
      </c>
    </row>
    <row r="193" ht="15.75" customHeight="1">
      <c r="A193" s="1" t="s">
        <v>593</v>
      </c>
      <c r="B193" s="1">
        <v>2.0</v>
      </c>
      <c r="C193" s="1" t="s">
        <v>594</v>
      </c>
      <c r="D193" s="1" t="s">
        <v>16</v>
      </c>
      <c r="E193" s="1" t="s">
        <v>595</v>
      </c>
      <c r="F193" s="1" t="str">
        <f>IFERROR(__xludf.DUMMYFUNCTION("GOOGLETRANSLATE(A193, ""zh-CN"", ""ko"")"),"공항")</f>
        <v>공항</v>
      </c>
    </row>
    <row r="194" ht="15.75" customHeight="1">
      <c r="A194" s="1" t="s">
        <v>596</v>
      </c>
      <c r="B194" s="1">
        <v>2.0</v>
      </c>
      <c r="C194" s="1" t="s">
        <v>597</v>
      </c>
      <c r="D194" s="1" t="s">
        <v>16</v>
      </c>
      <c r="E194" s="1" t="s">
        <v>598</v>
      </c>
      <c r="F194" s="1" t="str">
        <f>IFERROR(__xludf.DUMMYFUNCTION("GOOGLETRANSLATE(A194, ""zh-CN"", ""ko"")"),"계란")</f>
        <v>계란</v>
      </c>
    </row>
    <row r="195" ht="15.75" customHeight="1">
      <c r="A195" s="1" t="s">
        <v>599</v>
      </c>
      <c r="B195" s="1">
        <v>2.0</v>
      </c>
      <c r="C195" s="1" t="s">
        <v>600</v>
      </c>
      <c r="D195" s="1" t="s">
        <v>26</v>
      </c>
      <c r="E195" s="1" t="s">
        <v>601</v>
      </c>
      <c r="F195" s="1" t="str">
        <f>IFERROR(__xludf.DUMMYFUNCTION("GOOGLETRANSLATE(A195, ""zh-CN"", ""ko"")"),"목")</f>
        <v>목</v>
      </c>
    </row>
    <row r="196" ht="15.75" customHeight="1">
      <c r="A196" s="1" t="s">
        <v>602</v>
      </c>
      <c r="B196" s="1">
        <v>2.0</v>
      </c>
      <c r="C196" s="1" t="s">
        <v>603</v>
      </c>
      <c r="D196" s="1" t="s">
        <v>16</v>
      </c>
      <c r="E196" s="1" t="s">
        <v>604</v>
      </c>
      <c r="F196" s="1" t="str">
        <f>IFERROR(__xludf.DUMMYFUNCTION("GOOGLETRANSLATE(A196, ""zh-CN"", ""ko"")"),"교실")</f>
        <v>교실</v>
      </c>
    </row>
    <row r="197" ht="15.75" customHeight="1">
      <c r="A197" s="1" t="s">
        <v>605</v>
      </c>
      <c r="B197" s="1">
        <v>2.0</v>
      </c>
      <c r="C197" s="1" t="s">
        <v>606</v>
      </c>
      <c r="D197" s="1" t="s">
        <v>16</v>
      </c>
      <c r="E197" s="1" t="s">
        <v>607</v>
      </c>
      <c r="F197" s="1" t="str">
        <f>IFERROR(__xludf.DUMMYFUNCTION("GOOGLETRANSLATE(A197, ""zh-CN"", ""ko"")"),"언니")</f>
        <v>언니</v>
      </c>
    </row>
    <row r="198" ht="15.75" customHeight="1">
      <c r="A198" s="1" t="s">
        <v>608</v>
      </c>
      <c r="B198" s="1">
        <v>2.0</v>
      </c>
      <c r="C198" s="1" t="s">
        <v>609</v>
      </c>
      <c r="D198" s="1" t="s">
        <v>8</v>
      </c>
      <c r="E198" s="1" t="s">
        <v>610</v>
      </c>
      <c r="F198" s="1" t="str">
        <f>IFERROR(__xludf.DUMMYFUNCTION("GOOGLETRANSLATE(A198, ""zh-CN"", ""ko"")"),"소개하다")</f>
        <v>소개하다</v>
      </c>
    </row>
    <row r="199" ht="15.75" customHeight="1">
      <c r="A199" s="1" t="s">
        <v>611</v>
      </c>
      <c r="B199" s="1">
        <v>2.0</v>
      </c>
      <c r="C199" s="1" t="s">
        <v>612</v>
      </c>
      <c r="D199" s="1" t="s">
        <v>52</v>
      </c>
      <c r="E199" s="1" t="s">
        <v>613</v>
      </c>
      <c r="F199" s="1" t="str">
        <f>IFERROR(__xludf.DUMMYFUNCTION("GOOGLETRANSLATE(A199, ""zh-CN"", ""ko"")"),"닫다")</f>
        <v>닫다</v>
      </c>
    </row>
    <row r="200" ht="15.75" customHeight="1">
      <c r="A200" s="1" t="s">
        <v>614</v>
      </c>
      <c r="B200" s="1">
        <v>2.0</v>
      </c>
      <c r="C200" s="1" t="s">
        <v>612</v>
      </c>
      <c r="D200" s="1" t="s">
        <v>8</v>
      </c>
      <c r="E200" s="1" t="s">
        <v>615</v>
      </c>
      <c r="F200" s="1" t="str">
        <f>IFERROR(__xludf.DUMMYFUNCTION("GOOGLETRANSLATE(A200, ""zh-CN"", ""ko"")"),"입력하다")</f>
        <v>입력하다</v>
      </c>
    </row>
    <row r="201" ht="15.75" customHeight="1">
      <c r="A201" s="1" t="s">
        <v>616</v>
      </c>
      <c r="B201" s="1">
        <v>2.0</v>
      </c>
      <c r="C201" s="1" t="s">
        <v>617</v>
      </c>
      <c r="D201" s="1" t="s">
        <v>33</v>
      </c>
      <c r="E201" s="1" t="s">
        <v>618</v>
      </c>
      <c r="F201" s="1" t="str">
        <f>IFERROR(__xludf.DUMMYFUNCTION("GOOGLETRANSLATE(A201, ""zh-CN"", ""ko"")"),"즉시")</f>
        <v>즉시</v>
      </c>
    </row>
    <row r="202" ht="15.75" customHeight="1">
      <c r="A202" s="1" t="s">
        <v>619</v>
      </c>
      <c r="B202" s="1">
        <v>2.0</v>
      </c>
      <c r="C202" s="1" t="s">
        <v>620</v>
      </c>
      <c r="D202" s="1" t="s">
        <v>8</v>
      </c>
      <c r="E202" s="1" t="s">
        <v>621</v>
      </c>
      <c r="F202" s="1" t="str">
        <f>IFERROR(__xludf.DUMMYFUNCTION("GOOGLETRANSLATE(A202, ""zh-CN"", ""ko"")"),"느끼다")</f>
        <v>느끼다</v>
      </c>
    </row>
    <row r="203" ht="15.75" customHeight="1">
      <c r="A203" s="1" t="s">
        <v>622</v>
      </c>
      <c r="B203" s="1">
        <v>2.0</v>
      </c>
      <c r="C203" s="1" t="s">
        <v>623</v>
      </c>
      <c r="D203" s="1" t="s">
        <v>16</v>
      </c>
      <c r="E203" s="1" t="s">
        <v>624</v>
      </c>
      <c r="F203" s="1" t="str">
        <f>IFERROR(__xludf.DUMMYFUNCTION("GOOGLETRANSLATE(A203, ""zh-CN"", ""ko"")"),"커피")</f>
        <v>커피</v>
      </c>
    </row>
    <row r="204" ht="15.75" customHeight="1">
      <c r="A204" s="1" t="s">
        <v>625</v>
      </c>
      <c r="B204" s="1">
        <v>2.0</v>
      </c>
      <c r="C204" s="1" t="s">
        <v>626</v>
      </c>
      <c r="D204" s="1" t="s">
        <v>8</v>
      </c>
      <c r="E204" s="1" t="s">
        <v>627</v>
      </c>
      <c r="F204" s="1" t="str">
        <f>IFERROR(__xludf.DUMMYFUNCTION("GOOGLETRANSLATE(A204, ""zh-CN"", ""ko"")"),"시작")</f>
        <v>시작</v>
      </c>
    </row>
    <row r="205" ht="15.75" customHeight="1">
      <c r="A205" s="1" t="s">
        <v>628</v>
      </c>
      <c r="B205" s="1">
        <v>2.0</v>
      </c>
      <c r="C205" s="1" t="s">
        <v>629</v>
      </c>
      <c r="D205" s="1" t="s">
        <v>8</v>
      </c>
      <c r="E205" s="1" t="s">
        <v>630</v>
      </c>
      <c r="F205" s="1" t="str">
        <f>IFERROR(__xludf.DUMMYFUNCTION("GOOGLETRANSLATE(A205, ""zh-CN"", ""ko"")"),"시험을 치르다")</f>
        <v>시험을 치르다</v>
      </c>
    </row>
    <row r="206" ht="15.75" customHeight="1">
      <c r="A206" s="1" t="s">
        <v>631</v>
      </c>
      <c r="B206" s="1">
        <v>2.0</v>
      </c>
      <c r="C206" s="1" t="s">
        <v>632</v>
      </c>
      <c r="D206" s="1" t="s">
        <v>8</v>
      </c>
      <c r="E206" s="1" t="s">
        <v>633</v>
      </c>
      <c r="F206" s="1" t="str">
        <f>IFERROR(__xludf.DUMMYFUNCTION("GOOGLETRANSLATE(A206, ""zh-CN"", ""ko"")"),"가능한")</f>
        <v>가능한</v>
      </c>
    </row>
    <row r="207" ht="15.75" customHeight="1">
      <c r="A207" s="1" t="s">
        <v>634</v>
      </c>
      <c r="B207" s="1">
        <v>2.0</v>
      </c>
      <c r="C207" s="1" t="s">
        <v>635</v>
      </c>
      <c r="D207" s="1" t="s">
        <v>8</v>
      </c>
      <c r="E207" s="1" t="s">
        <v>636</v>
      </c>
      <c r="F207" s="1" t="str">
        <f>IFERROR(__xludf.DUMMYFUNCTION("GOOGLETRANSLATE(A207, ""zh-CN"", ""ko"")"),"할 수 있다")</f>
        <v>할 수 있다</v>
      </c>
    </row>
    <row r="208" ht="15.75" customHeight="1">
      <c r="A208" s="1" t="s">
        <v>637</v>
      </c>
      <c r="B208" s="1">
        <v>2.0</v>
      </c>
      <c r="C208" s="1" t="s">
        <v>638</v>
      </c>
      <c r="D208" s="1" t="s">
        <v>16</v>
      </c>
      <c r="E208" s="1" t="s">
        <v>639</v>
      </c>
      <c r="F208" s="1" t="str">
        <f>IFERROR(__xludf.DUMMYFUNCTION("GOOGLETRANSLATE(A208, ""zh-CN"", ""ko"")"),"수업")</f>
        <v>수업</v>
      </c>
    </row>
    <row r="209" ht="15.75" customHeight="1">
      <c r="A209" s="1" t="s">
        <v>640</v>
      </c>
      <c r="B209" s="1">
        <v>2.0</v>
      </c>
      <c r="C209" s="1" t="s">
        <v>172</v>
      </c>
      <c r="D209" s="1" t="s">
        <v>52</v>
      </c>
      <c r="E209" s="1" t="s">
        <v>641</v>
      </c>
      <c r="F209" s="1" t="str">
        <f>IFERROR(__xludf.DUMMYFUNCTION("GOOGLETRANSLATE(A209, ""zh-CN"", ""ko"")"),"빠른")</f>
        <v>빠른</v>
      </c>
    </row>
    <row r="210" ht="15.75" customHeight="1">
      <c r="A210" s="1" t="s">
        <v>642</v>
      </c>
      <c r="B210" s="1">
        <v>2.0</v>
      </c>
      <c r="C210" s="1" t="s">
        <v>643</v>
      </c>
      <c r="D210" s="1" t="s">
        <v>52</v>
      </c>
      <c r="E210" s="1" t="s">
        <v>644</v>
      </c>
      <c r="F210" s="1" t="str">
        <f>IFERROR(__xludf.DUMMYFUNCTION("GOOGLETRANSLATE(A210, ""zh-CN"", ""ko"")"),"행복")</f>
        <v>행복</v>
      </c>
    </row>
    <row r="211" ht="15.75" customHeight="1">
      <c r="A211" s="1" t="s">
        <v>645</v>
      </c>
      <c r="B211" s="1">
        <v>2.0</v>
      </c>
      <c r="C211" s="1" t="s">
        <v>646</v>
      </c>
      <c r="D211" s="1" t="s">
        <v>52</v>
      </c>
      <c r="E211" s="1" t="s">
        <v>647</v>
      </c>
      <c r="F211" s="1" t="str">
        <f>IFERROR(__xludf.DUMMYFUNCTION("GOOGLETRANSLATE(A211, ""zh-CN"", ""ko"")"),"피곤한")</f>
        <v>피곤한</v>
      </c>
    </row>
    <row r="212" ht="15.75" customHeight="1">
      <c r="A212" s="1" t="s">
        <v>648</v>
      </c>
      <c r="B212" s="1">
        <v>2.0</v>
      </c>
      <c r="C212" s="1" t="s">
        <v>649</v>
      </c>
      <c r="D212" s="1" t="s">
        <v>8</v>
      </c>
      <c r="E212" s="1" t="s">
        <v>650</v>
      </c>
      <c r="F212" s="1" t="str">
        <f>IFERROR(__xludf.DUMMYFUNCTION("GOOGLETRANSLATE(A212, ""zh-CN"", ""ko"")"),"떠나다")</f>
        <v>떠나다</v>
      </c>
    </row>
    <row r="213" ht="15.75" customHeight="1">
      <c r="A213" s="1" t="s">
        <v>651</v>
      </c>
      <c r="B213" s="1">
        <v>2.0</v>
      </c>
      <c r="C213" s="1" t="s">
        <v>652</v>
      </c>
      <c r="D213" s="1" t="s">
        <v>12</v>
      </c>
      <c r="E213" s="1" t="s">
        <v>653</v>
      </c>
      <c r="F213" s="1" t="str">
        <f>IFERROR(__xludf.DUMMYFUNCTION("GOOGLETRANSLATE(A213, ""zh-CN"", ""ko"")"),"둘")</f>
        <v>둘</v>
      </c>
    </row>
    <row r="214" ht="15.75" customHeight="1">
      <c r="A214" s="1" t="s">
        <v>654</v>
      </c>
      <c r="B214" s="1">
        <v>2.0</v>
      </c>
      <c r="C214" s="1" t="s">
        <v>655</v>
      </c>
      <c r="D214" s="1" t="s">
        <v>12</v>
      </c>
      <c r="E214" s="1" t="s">
        <v>656</v>
      </c>
      <c r="F214" s="1" t="str">
        <f>IFERROR(__xludf.DUMMYFUNCTION("GOOGLETRANSLATE(A214, ""zh-CN"", ""ko"")"),"영")</f>
        <v>영</v>
      </c>
    </row>
    <row r="215" ht="15.75" customHeight="1">
      <c r="A215" s="1" t="s">
        <v>657</v>
      </c>
      <c r="B215" s="1">
        <v>2.0</v>
      </c>
      <c r="C215" s="1" t="s">
        <v>658</v>
      </c>
      <c r="D215" s="1" t="s">
        <v>16</v>
      </c>
      <c r="E215" s="1" t="s">
        <v>659</v>
      </c>
      <c r="F215" s="1" t="str">
        <f>IFERROR(__xludf.DUMMYFUNCTION("GOOGLETRANSLATE(A215, ""zh-CN"", ""ko"")"),"도로")</f>
        <v>도로</v>
      </c>
    </row>
    <row r="216" ht="15.75" customHeight="1">
      <c r="A216" s="1" t="s">
        <v>660</v>
      </c>
      <c r="B216" s="1">
        <v>2.0</v>
      </c>
      <c r="C216" s="1" t="s">
        <v>661</v>
      </c>
      <c r="D216" s="1" t="s">
        <v>8</v>
      </c>
      <c r="E216" s="1" t="s">
        <v>662</v>
      </c>
      <c r="F216" s="1" t="str">
        <f>IFERROR(__xludf.DUMMYFUNCTION("GOOGLETRANSLATE(A216, ""zh-CN"", ""ko"")"),"여행하다")</f>
        <v>여행하다</v>
      </c>
    </row>
    <row r="217" ht="15.75" customHeight="1">
      <c r="A217" s="1" t="s">
        <v>663</v>
      </c>
      <c r="B217" s="1">
        <v>2.0</v>
      </c>
      <c r="C217" s="1" t="s">
        <v>664</v>
      </c>
      <c r="D217" s="1" t="s">
        <v>8</v>
      </c>
      <c r="E217" s="1" t="s">
        <v>665</v>
      </c>
      <c r="F217" s="1" t="str">
        <f>IFERROR(__xludf.DUMMYFUNCTION("GOOGLETRANSLATE(A217, ""zh-CN"", ""ko"")"),"팔다")</f>
        <v>팔다</v>
      </c>
    </row>
    <row r="218" ht="15.75" customHeight="1">
      <c r="A218" s="1" t="s">
        <v>666</v>
      </c>
      <c r="B218" s="1">
        <v>2.0</v>
      </c>
      <c r="C218" s="1" t="s">
        <v>667</v>
      </c>
      <c r="D218" s="1" t="s">
        <v>52</v>
      </c>
      <c r="E218" s="1" t="s">
        <v>668</v>
      </c>
      <c r="F218" s="1" t="str">
        <f>IFERROR(__xludf.DUMMYFUNCTION("GOOGLETRANSLATE(A218, ""zh-CN"", ""ko"")"),"느린")</f>
        <v>느린</v>
      </c>
    </row>
    <row r="219" ht="15.75" customHeight="1">
      <c r="A219" s="1" t="s">
        <v>669</v>
      </c>
      <c r="B219" s="1">
        <v>2.0</v>
      </c>
      <c r="C219" s="1" t="s">
        <v>670</v>
      </c>
      <c r="D219" s="1" t="s">
        <v>52</v>
      </c>
      <c r="E219" s="1" t="s">
        <v>671</v>
      </c>
      <c r="F219" s="1" t="str">
        <f>IFERROR(__xludf.DUMMYFUNCTION("GOOGLETRANSLATE(A219, ""zh-CN"", ""ko"")"),"바쁘다")</f>
        <v>바쁘다</v>
      </c>
    </row>
    <row r="220" ht="15.75" customHeight="1">
      <c r="A220" s="1" t="s">
        <v>672</v>
      </c>
      <c r="B220" s="1">
        <v>2.0</v>
      </c>
      <c r="C220" s="1" t="s">
        <v>673</v>
      </c>
      <c r="D220" s="1" t="s">
        <v>88</v>
      </c>
      <c r="E220" s="1" t="s">
        <v>674</v>
      </c>
      <c r="F220" s="1" t="str">
        <f>IFERROR(__xludf.DUMMYFUNCTION("GOOGLETRANSLATE(A220, ""zh-CN"", ""ko"")"),"모든")</f>
        <v>모든</v>
      </c>
    </row>
    <row r="221" ht="15.75" customHeight="1">
      <c r="A221" s="1" t="s">
        <v>675</v>
      </c>
      <c r="B221" s="1">
        <v>2.0</v>
      </c>
      <c r="C221" s="1" t="s">
        <v>676</v>
      </c>
      <c r="D221" s="1" t="s">
        <v>16</v>
      </c>
      <c r="E221" s="1" t="s">
        <v>677</v>
      </c>
      <c r="F221" s="1" t="str">
        <f>IFERROR(__xludf.DUMMYFUNCTION("GOOGLETRANSLATE(A221, ""zh-CN"", ""ko"")"),"여동생")</f>
        <v>여동생</v>
      </c>
    </row>
    <row r="222" ht="15.75" customHeight="1">
      <c r="A222" s="1" t="s">
        <v>678</v>
      </c>
      <c r="B222" s="1">
        <v>2.0</v>
      </c>
      <c r="C222" s="1" t="s">
        <v>679</v>
      </c>
      <c r="D222" s="1" t="s">
        <v>16</v>
      </c>
      <c r="E222" s="1" t="s">
        <v>680</v>
      </c>
      <c r="F222" s="1" t="str">
        <f>IFERROR(__xludf.DUMMYFUNCTION("GOOGLETRANSLATE(A222, ""zh-CN"", ""ko"")"),"문")</f>
        <v>문</v>
      </c>
    </row>
    <row r="223" ht="15.75" customHeight="1">
      <c r="A223" s="1" t="s">
        <v>681</v>
      </c>
      <c r="B223" s="1">
        <v>2.0</v>
      </c>
      <c r="C223" s="1" t="s">
        <v>682</v>
      </c>
      <c r="E223" s="1" t="s">
        <v>683</v>
      </c>
      <c r="F223" s="1" t="str">
        <f>IFERROR(__xludf.DUMMYFUNCTION("GOOGLETRANSLATE(A223, ""zh-CN"", ""ko"")"),"누들")</f>
        <v>누들</v>
      </c>
    </row>
    <row r="224" ht="15.75" customHeight="1">
      <c r="A224" s="1" t="s">
        <v>684</v>
      </c>
      <c r="B224" s="1">
        <v>2.0</v>
      </c>
      <c r="C224" s="1" t="s">
        <v>685</v>
      </c>
      <c r="D224" s="1" t="s">
        <v>686</v>
      </c>
      <c r="E224" s="1" t="s">
        <v>687</v>
      </c>
      <c r="F224" s="1" t="str">
        <f>IFERROR(__xludf.DUMMYFUNCTION("GOOGLETRANSLATE(A224, ""zh-CN"", ""ko"")"),"남성")</f>
        <v>남성</v>
      </c>
    </row>
    <row r="225" ht="15.75" customHeight="1">
      <c r="A225" s="1" t="s">
        <v>688</v>
      </c>
      <c r="B225" s="1">
        <v>2.0</v>
      </c>
      <c r="C225" s="1" t="s">
        <v>689</v>
      </c>
      <c r="D225" s="1" t="s">
        <v>88</v>
      </c>
      <c r="E225" s="1" t="s">
        <v>690</v>
      </c>
      <c r="F225" s="1" t="str">
        <f>IFERROR(__xludf.DUMMYFUNCTION("GOOGLETRANSLATE(A225, ""zh-CN"", ""ko"")"),"너")</f>
        <v>너</v>
      </c>
    </row>
    <row r="226" ht="15.75" customHeight="1">
      <c r="A226" s="1" t="s">
        <v>691</v>
      </c>
      <c r="B226" s="1">
        <v>2.0</v>
      </c>
      <c r="C226" s="1" t="s">
        <v>692</v>
      </c>
      <c r="D226" s="1" t="s">
        <v>16</v>
      </c>
      <c r="E226" s="1" t="s">
        <v>693</v>
      </c>
      <c r="F226" s="1" t="str">
        <f>IFERROR(__xludf.DUMMYFUNCTION("GOOGLETRANSLATE(A226, ""zh-CN"", ""ko"")"),"우유")</f>
        <v>우유</v>
      </c>
    </row>
    <row r="227" ht="15.75" customHeight="1">
      <c r="A227" s="1" t="s">
        <v>694</v>
      </c>
      <c r="B227" s="1">
        <v>2.0</v>
      </c>
      <c r="C227" s="1" t="s">
        <v>695</v>
      </c>
      <c r="D227" s="1" t="s">
        <v>686</v>
      </c>
      <c r="E227" s="1" t="s">
        <v>696</v>
      </c>
      <c r="F227" s="1" t="str">
        <f>IFERROR(__xludf.DUMMYFUNCTION("GOOGLETRANSLATE(A227, ""zh-CN"", ""ko"")"),"여성")</f>
        <v>여성</v>
      </c>
    </row>
    <row r="228" ht="15.75" customHeight="1">
      <c r="A228" s="1" t="s">
        <v>697</v>
      </c>
      <c r="B228" s="1">
        <v>2.0</v>
      </c>
      <c r="C228" s="1" t="s">
        <v>698</v>
      </c>
      <c r="D228" s="1" t="s">
        <v>16</v>
      </c>
      <c r="E228" s="1" t="s">
        <v>699</v>
      </c>
      <c r="F228" s="1" t="str">
        <f>IFERROR(__xludf.DUMMYFUNCTION("GOOGLETRANSLATE(A228, ""zh-CN"", ""ko"")"),"옆에")</f>
        <v>옆에</v>
      </c>
    </row>
    <row r="229" ht="15.75" customHeight="1">
      <c r="A229" s="1" t="s">
        <v>700</v>
      </c>
      <c r="B229" s="1">
        <v>2.0</v>
      </c>
      <c r="C229" s="1" t="s">
        <v>701</v>
      </c>
      <c r="D229" s="1" t="s">
        <v>8</v>
      </c>
      <c r="E229" s="1" t="s">
        <v>702</v>
      </c>
      <c r="F229" s="1" t="str">
        <f>IFERROR(__xludf.DUMMYFUNCTION("GOOGLETRANSLATE(A229, ""zh-CN"", ""ko"")"),"달리기")</f>
        <v>달리기</v>
      </c>
    </row>
    <row r="230" ht="15.75" customHeight="1">
      <c r="A230" s="1" t="s">
        <v>703</v>
      </c>
      <c r="B230" s="1">
        <v>2.0</v>
      </c>
      <c r="C230" s="1" t="s">
        <v>704</v>
      </c>
      <c r="D230" s="1" t="s">
        <v>52</v>
      </c>
      <c r="E230" s="1" t="s">
        <v>705</v>
      </c>
      <c r="F230" s="1" t="str">
        <f>IFERROR(__xludf.DUMMYFUNCTION("GOOGLETRANSLATE(A230, ""zh-CN"", ""ko"")"),"값이 싼")</f>
        <v>값이 싼</v>
      </c>
    </row>
    <row r="231" ht="15.75" customHeight="1">
      <c r="A231" s="1" t="s">
        <v>706</v>
      </c>
      <c r="B231" s="1">
        <v>2.0</v>
      </c>
      <c r="C231" s="1" t="s">
        <v>707</v>
      </c>
      <c r="D231" s="1" t="s">
        <v>16</v>
      </c>
      <c r="E231" s="1" t="s">
        <v>708</v>
      </c>
      <c r="F231" s="1" t="str">
        <f>IFERROR(__xludf.DUMMYFUNCTION("GOOGLETRANSLATE(A231, ""zh-CN"", ""ko"")"),"표")</f>
        <v>표</v>
      </c>
    </row>
    <row r="232" ht="15.75" customHeight="1">
      <c r="A232" s="1" t="s">
        <v>709</v>
      </c>
      <c r="B232" s="1">
        <v>2.0</v>
      </c>
      <c r="C232" s="1" t="s">
        <v>710</v>
      </c>
      <c r="D232" s="1" t="s">
        <v>16</v>
      </c>
      <c r="E232" s="1" t="s">
        <v>711</v>
      </c>
      <c r="F232" s="1" t="str">
        <f>IFERROR(__xludf.DUMMYFUNCTION("GOOGLETRANSLATE(A232, ""zh-CN"", ""ko"")"),"부인")</f>
        <v>부인</v>
      </c>
    </row>
    <row r="233" ht="15.75" customHeight="1">
      <c r="A233" s="1" t="s">
        <v>712</v>
      </c>
      <c r="B233" s="1">
        <v>2.0</v>
      </c>
      <c r="C233" s="1" t="s">
        <v>713</v>
      </c>
      <c r="D233" s="1" t="s">
        <v>8</v>
      </c>
      <c r="E233" s="1" t="s">
        <v>714</v>
      </c>
      <c r="F233" s="1" t="str">
        <f>IFERROR(__xludf.DUMMYFUNCTION("GOOGLETRANSLATE(A233, ""zh-CN"", ""ko"")"),"일어나다")</f>
        <v>일어나다</v>
      </c>
    </row>
    <row r="234" ht="15.75" customHeight="1">
      <c r="A234" s="1" t="s">
        <v>715</v>
      </c>
      <c r="B234" s="1">
        <v>2.0</v>
      </c>
      <c r="C234" s="1" t="s">
        <v>716</v>
      </c>
      <c r="D234" s="1" t="s">
        <v>12</v>
      </c>
      <c r="E234" s="1" t="s">
        <v>717</v>
      </c>
      <c r="F234" s="1" t="str">
        <f>IFERROR(__xludf.DUMMYFUNCTION("GOOGLETRANSLATE(A234, ""zh-CN"", ""ko"")"),"천")</f>
        <v>천</v>
      </c>
    </row>
    <row r="235" ht="15.75" customHeight="1">
      <c r="A235" s="1" t="s">
        <v>718</v>
      </c>
      <c r="B235" s="1">
        <v>2.0</v>
      </c>
      <c r="C235" s="1" t="s">
        <v>719</v>
      </c>
      <c r="D235" s="1" t="s">
        <v>16</v>
      </c>
      <c r="E235" s="1" t="s">
        <v>720</v>
      </c>
      <c r="F235" s="1" t="str">
        <f>IFERROR(__xludf.DUMMYFUNCTION("GOOGLETRANSLATE(A235, ""zh-CN"", ""ko"")"),"연필")</f>
        <v>연필</v>
      </c>
    </row>
    <row r="236" ht="15.75" customHeight="1">
      <c r="A236" s="1" t="s">
        <v>721</v>
      </c>
      <c r="B236" s="1">
        <v>2.0</v>
      </c>
      <c r="C236" s="1" t="s">
        <v>722</v>
      </c>
      <c r="D236" s="1" t="s">
        <v>52</v>
      </c>
      <c r="E236" s="1" t="s">
        <v>723</v>
      </c>
      <c r="F236" s="1" t="str">
        <f>IFERROR(__xludf.DUMMYFUNCTION("GOOGLETRANSLATE(A236, ""zh-CN"", ""ko"")"),"분명한")</f>
        <v>분명한</v>
      </c>
    </row>
    <row r="237" ht="15.75" customHeight="1">
      <c r="A237" s="1" t="s">
        <v>724</v>
      </c>
      <c r="B237" s="1">
        <v>2.0</v>
      </c>
      <c r="C237" s="1" t="s">
        <v>725</v>
      </c>
      <c r="D237" s="1" t="s">
        <v>16</v>
      </c>
      <c r="E237" s="1" t="s">
        <v>726</v>
      </c>
      <c r="F237" s="1" t="str">
        <f>IFERROR(__xludf.DUMMYFUNCTION("GOOGLETRANSLATE(A237, ""zh-CN"", ""ko"")"),"작년")</f>
        <v>작년</v>
      </c>
    </row>
    <row r="238" ht="15.75" customHeight="1">
      <c r="A238" s="1" t="s">
        <v>727</v>
      </c>
      <c r="B238" s="1">
        <v>2.0</v>
      </c>
      <c r="C238" s="1" t="s">
        <v>728</v>
      </c>
      <c r="D238" s="1" t="s">
        <v>8</v>
      </c>
      <c r="E238" s="1" t="s">
        <v>729</v>
      </c>
      <c r="F238" s="1" t="str">
        <f>IFERROR(__xludf.DUMMYFUNCTION("GOOGLETRANSLATE(A238, ""zh-CN"", ""ko"")"),"허락하다")</f>
        <v>허락하다</v>
      </c>
    </row>
    <row r="239" ht="15.75" customHeight="1">
      <c r="A239" s="1" t="s">
        <v>730</v>
      </c>
      <c r="B239" s="1">
        <v>2.0</v>
      </c>
      <c r="C239" s="1" t="s">
        <v>731</v>
      </c>
      <c r="D239" s="1" t="s">
        <v>26</v>
      </c>
      <c r="E239" s="1" t="s">
        <v>732</v>
      </c>
      <c r="F239" s="1" t="str">
        <f>IFERROR(__xludf.DUMMYFUNCTION("GOOGLETRANSLATE(A239, ""zh-CN"", ""ko"")"),"낮")</f>
        <v>낮</v>
      </c>
    </row>
    <row r="240" ht="15.75" customHeight="1">
      <c r="A240" s="1" t="s">
        <v>733</v>
      </c>
      <c r="B240" s="1">
        <v>2.0</v>
      </c>
      <c r="C240" s="1" t="s">
        <v>734</v>
      </c>
      <c r="D240" s="1" t="s">
        <v>8</v>
      </c>
      <c r="E240" s="1" t="s">
        <v>735</v>
      </c>
      <c r="F240" s="1" t="str">
        <f>IFERROR(__xludf.DUMMYFUNCTION("GOOGLETRANSLATE(A240, ""zh-CN"", ""ko"")"),"일하다")</f>
        <v>일하다</v>
      </c>
    </row>
    <row r="241" ht="15.75" customHeight="1">
      <c r="A241" s="1" t="s">
        <v>736</v>
      </c>
      <c r="B241" s="1">
        <v>2.0</v>
      </c>
      <c r="C241" s="1" t="s">
        <v>737</v>
      </c>
      <c r="D241" s="1" t="s">
        <v>16</v>
      </c>
      <c r="E241" s="1" t="s">
        <v>738</v>
      </c>
      <c r="F241" s="1" t="str">
        <f>IFERROR(__xludf.DUMMYFUNCTION("GOOGLETRANSLATE(A241, ""zh-CN"", ""ko"")"),"몸")</f>
        <v>몸</v>
      </c>
    </row>
    <row r="242" ht="15.75" customHeight="1">
      <c r="A242" s="1" t="s">
        <v>739</v>
      </c>
      <c r="B242" s="1">
        <v>2.0</v>
      </c>
      <c r="C242" s="1" t="s">
        <v>740</v>
      </c>
      <c r="D242" s="1" t="s">
        <v>8</v>
      </c>
      <c r="E242" s="1" t="s">
        <v>741</v>
      </c>
      <c r="F242" s="1" t="str">
        <f>IFERROR(__xludf.DUMMYFUNCTION("GOOGLETRANSLATE(A242, ""zh-CN"", ""ko"")"),"아프다")</f>
        <v>아프다</v>
      </c>
    </row>
    <row r="243" ht="15.75" customHeight="1">
      <c r="A243" s="1" t="s">
        <v>742</v>
      </c>
      <c r="B243" s="1">
        <v>2.0</v>
      </c>
      <c r="C243" s="1" t="s">
        <v>743</v>
      </c>
      <c r="D243" s="1" t="s">
        <v>16</v>
      </c>
      <c r="E243" s="1" t="s">
        <v>744</v>
      </c>
      <c r="F243" s="1" t="str">
        <f>IFERROR(__xludf.DUMMYFUNCTION("GOOGLETRANSLATE(A243, ""zh-CN"", ""ko"")"),"생일")</f>
        <v>생일</v>
      </c>
    </row>
    <row r="244" ht="15.75" customHeight="1">
      <c r="A244" s="1" t="s">
        <v>745</v>
      </c>
      <c r="B244" s="1">
        <v>2.0</v>
      </c>
      <c r="C244" s="1" t="s">
        <v>746</v>
      </c>
      <c r="D244" s="1" t="s">
        <v>16</v>
      </c>
      <c r="E244" s="1" t="s">
        <v>508</v>
      </c>
      <c r="F244" s="1" t="str">
        <f>IFERROR(__xludf.DUMMYFUNCTION("GOOGLETRANSLATE(A244, ""zh-CN"", ""ko"")"),"시간")</f>
        <v>시간</v>
      </c>
    </row>
    <row r="245" ht="15.75" customHeight="1">
      <c r="A245" s="1" t="s">
        <v>747</v>
      </c>
      <c r="B245" s="1">
        <v>2.0</v>
      </c>
      <c r="C245" s="1" t="s">
        <v>748</v>
      </c>
      <c r="D245" s="1" t="s">
        <v>16</v>
      </c>
      <c r="E245" s="1" t="s">
        <v>749</v>
      </c>
      <c r="F245" s="1" t="str">
        <f>IFERROR(__xludf.DUMMYFUNCTION("GOOGLETRANSLATE(A245, ""zh-CN"", ""ko"")"),"문제")</f>
        <v>문제</v>
      </c>
    </row>
    <row r="246" ht="15.75" customHeight="1">
      <c r="A246" s="1" t="s">
        <v>750</v>
      </c>
      <c r="B246" s="1">
        <v>2.0</v>
      </c>
      <c r="C246" s="1" t="s">
        <v>751</v>
      </c>
      <c r="D246" s="1" t="s">
        <v>16</v>
      </c>
      <c r="E246" s="1" t="s">
        <v>752</v>
      </c>
      <c r="F246" s="1" t="str">
        <f>IFERROR(__xludf.DUMMYFUNCTION("GOOGLETRANSLATE(A246, ""zh-CN"", ""ko"")"),"보다")</f>
        <v>보다</v>
      </c>
    </row>
    <row r="247" ht="15.75" customHeight="1">
      <c r="A247" s="1" t="s">
        <v>753</v>
      </c>
      <c r="B247" s="1">
        <v>2.0</v>
      </c>
      <c r="C247" s="1" t="s">
        <v>754</v>
      </c>
      <c r="D247" s="1" t="s">
        <v>16</v>
      </c>
      <c r="E247" s="1" t="s">
        <v>755</v>
      </c>
      <c r="F247" s="1" t="str">
        <f>IFERROR(__xludf.DUMMYFUNCTION("GOOGLETRANSLATE(A247, ""zh-CN"", ""ko"")"),"휴대폰")</f>
        <v>휴대폰</v>
      </c>
    </row>
    <row r="248" ht="15.75" customHeight="1">
      <c r="A248" s="1" t="s">
        <v>756</v>
      </c>
      <c r="B248" s="1">
        <v>2.0</v>
      </c>
      <c r="C248" s="1" t="s">
        <v>757</v>
      </c>
      <c r="D248" s="1" t="s">
        <v>8</v>
      </c>
      <c r="E248" s="1" t="s">
        <v>322</v>
      </c>
      <c r="F248" s="1" t="str">
        <f>IFERROR(__xludf.DUMMYFUNCTION("GOOGLETRANSLATE(A248, ""zh-CN"", ""ko"")"),"말하다")</f>
        <v>말하다</v>
      </c>
    </row>
    <row r="249" ht="15.75" customHeight="1">
      <c r="A249" s="1" t="s">
        <v>758</v>
      </c>
      <c r="B249" s="1">
        <v>2.0</v>
      </c>
      <c r="C249" s="1" t="s">
        <v>759</v>
      </c>
      <c r="D249" s="1" t="s">
        <v>8</v>
      </c>
      <c r="E249" s="1" t="s">
        <v>760</v>
      </c>
      <c r="F249" s="1" t="str">
        <f>IFERROR(__xludf.DUMMYFUNCTION("GOOGLETRANSLATE(A249, ""zh-CN"", ""ko"")"),"배달하다")</f>
        <v>배달하다</v>
      </c>
    </row>
    <row r="250" ht="15.75" customHeight="1">
      <c r="A250" s="1" t="s">
        <v>761</v>
      </c>
      <c r="B250" s="1">
        <v>2.0</v>
      </c>
      <c r="C250" s="1" t="s">
        <v>762</v>
      </c>
      <c r="D250" s="1" t="s">
        <v>763</v>
      </c>
      <c r="E250" s="1" t="s">
        <v>764</v>
      </c>
      <c r="F250" s="1" t="str">
        <f>IFERROR(__xludf.DUMMYFUNCTION("GOOGLETRANSLATE(A250, ""zh-CN"", ""ko"")"),"비록…하지만…")</f>
        <v>비록…하지만…</v>
      </c>
    </row>
    <row r="251" ht="15.75" customHeight="1">
      <c r="A251" s="1" t="s">
        <v>765</v>
      </c>
      <c r="B251" s="1">
        <v>2.0</v>
      </c>
      <c r="C251" s="1" t="s">
        <v>330</v>
      </c>
      <c r="D251" s="1" t="s">
        <v>88</v>
      </c>
      <c r="E251" s="1" t="s">
        <v>766</v>
      </c>
      <c r="F251" s="1" t="str">
        <f>IFERROR(__xludf.DUMMYFUNCTION("GOOGLETRANSLATE(A251, ""zh-CN"", ""ko"")"),"그것")</f>
        <v>그것</v>
      </c>
    </row>
    <row r="252" ht="15.75" customHeight="1">
      <c r="A252" s="1" t="s">
        <v>767</v>
      </c>
      <c r="B252" s="1">
        <v>2.0</v>
      </c>
      <c r="C252" s="1" t="s">
        <v>768</v>
      </c>
      <c r="E252" s="1" t="s">
        <v>769</v>
      </c>
      <c r="F252" s="1" t="str">
        <f>IFERROR(__xludf.DUMMYFUNCTION("GOOGLETRANSLATE(A252, ""zh-CN"", ""ko"")"),"축구를 하다")</f>
        <v>축구를 하다</v>
      </c>
    </row>
    <row r="253" ht="15.75" customHeight="1">
      <c r="A253" s="1" t="s">
        <v>770</v>
      </c>
      <c r="B253" s="1">
        <v>2.0</v>
      </c>
      <c r="C253" s="1" t="s">
        <v>771</v>
      </c>
      <c r="D253" s="1" t="s">
        <v>16</v>
      </c>
      <c r="E253" s="1" t="s">
        <v>772</v>
      </c>
      <c r="F253" s="1" t="str">
        <f>IFERROR(__xludf.DUMMYFUNCTION("GOOGLETRANSLATE(A253, ""zh-CN"", ""ko"")"),"질문")</f>
        <v>질문</v>
      </c>
    </row>
    <row r="254" ht="15.75" customHeight="1">
      <c r="A254" s="1" t="s">
        <v>773</v>
      </c>
      <c r="B254" s="1">
        <v>2.0</v>
      </c>
      <c r="C254" s="1" t="s">
        <v>774</v>
      </c>
      <c r="D254" s="1" t="s">
        <v>8</v>
      </c>
      <c r="E254" s="1" t="s">
        <v>775</v>
      </c>
      <c r="F254" s="1" t="str">
        <f>IFERROR(__xludf.DUMMYFUNCTION("GOOGLETRANSLATE(A254, ""zh-CN"", ""ko"")"),"춤")</f>
        <v>춤</v>
      </c>
    </row>
    <row r="255" ht="15.75" customHeight="1">
      <c r="A255" s="1" t="s">
        <v>776</v>
      </c>
      <c r="B255" s="1">
        <v>2.0</v>
      </c>
      <c r="C255" s="1" t="s">
        <v>777</v>
      </c>
      <c r="D255" s="1" t="s">
        <v>16</v>
      </c>
      <c r="E255" s="1" t="s">
        <v>778</v>
      </c>
      <c r="F255" s="1" t="str">
        <f>IFERROR(__xludf.DUMMYFUNCTION("GOOGLETRANSLATE(A255, ""zh-CN"", ""ko"")"),"밖의")</f>
        <v>밖의</v>
      </c>
    </row>
    <row r="256" ht="15.75" customHeight="1">
      <c r="A256" s="1" t="s">
        <v>779</v>
      </c>
      <c r="B256" s="1">
        <v>2.0</v>
      </c>
      <c r="C256" s="1" t="s">
        <v>780</v>
      </c>
      <c r="D256" s="1" t="s">
        <v>8</v>
      </c>
      <c r="E256" s="1" t="s">
        <v>781</v>
      </c>
      <c r="F256" s="1" t="str">
        <f>IFERROR(__xludf.DUMMYFUNCTION("GOOGLETRANSLATE(A256, ""zh-CN"", ""ko"")"),"~ 위에")</f>
        <v>~ 위에</v>
      </c>
    </row>
    <row r="257" ht="15.75" customHeight="1">
      <c r="A257" s="1" t="s">
        <v>782</v>
      </c>
      <c r="B257" s="1">
        <v>2.0</v>
      </c>
      <c r="C257" s="1" t="s">
        <v>780</v>
      </c>
      <c r="D257" s="1" t="s">
        <v>8</v>
      </c>
      <c r="E257" s="1" t="s">
        <v>783</v>
      </c>
      <c r="F257" s="1" t="str">
        <f>IFERROR(__xludf.DUMMYFUNCTION("GOOGLETRANSLATE(A257, ""zh-CN"", ""ko"")"),"놀다")</f>
        <v>놀다</v>
      </c>
    </row>
    <row r="258" ht="15.75" customHeight="1">
      <c r="A258" s="1" t="s">
        <v>784</v>
      </c>
      <c r="B258" s="1">
        <v>2.0</v>
      </c>
      <c r="C258" s="1" t="s">
        <v>785</v>
      </c>
      <c r="D258" s="1" t="s">
        <v>16</v>
      </c>
      <c r="E258" s="1" t="s">
        <v>786</v>
      </c>
      <c r="F258" s="1" t="str">
        <f>IFERROR(__xludf.DUMMYFUNCTION("GOOGLETRANSLATE(A258, ""zh-CN"", ""ko"")"),"밤")</f>
        <v>밤</v>
      </c>
    </row>
    <row r="259" ht="15.75" customHeight="1">
      <c r="A259" s="1" t="s">
        <v>787</v>
      </c>
      <c r="B259" s="1">
        <v>2.0</v>
      </c>
      <c r="C259" s="1" t="s">
        <v>788</v>
      </c>
      <c r="D259" s="1" t="s">
        <v>486</v>
      </c>
      <c r="E259" s="1" t="s">
        <v>789</v>
      </c>
      <c r="F259" s="1" t="str">
        <f>IFERROR(__xludf.DUMMYFUNCTION("GOOGLETRANSLATE(A259, ""zh-CN"", ""ko"")"),"과거")</f>
        <v>과거</v>
      </c>
    </row>
    <row r="260" ht="15.75" customHeight="1">
      <c r="A260" s="1" t="s">
        <v>790</v>
      </c>
      <c r="B260" s="1">
        <v>2.0</v>
      </c>
      <c r="C260" s="1" t="s">
        <v>791</v>
      </c>
      <c r="E260" s="1" t="s">
        <v>792</v>
      </c>
      <c r="F260" s="1" t="str">
        <f>IFERROR(__xludf.DUMMYFUNCTION("GOOGLETRANSLATE(A260, ""zh-CN"", ""ko"")"),"왜")</f>
        <v>왜</v>
      </c>
    </row>
    <row r="261" ht="15.75" customHeight="1">
      <c r="A261" s="1" t="s">
        <v>793</v>
      </c>
      <c r="B261" s="1">
        <v>2.0</v>
      </c>
      <c r="C261" s="1" t="s">
        <v>794</v>
      </c>
      <c r="D261" s="1" t="s">
        <v>8</v>
      </c>
      <c r="E261" s="1" t="s">
        <v>795</v>
      </c>
      <c r="F261" s="1" t="str">
        <f>IFERROR(__xludf.DUMMYFUNCTION("GOOGLETRANSLATE(A261, ""zh-CN"", ""ko"")"),"묻다")</f>
        <v>묻다</v>
      </c>
    </row>
    <row r="262" ht="15.75" customHeight="1">
      <c r="A262" s="1" t="s">
        <v>796</v>
      </c>
      <c r="B262" s="1">
        <v>2.0</v>
      </c>
      <c r="C262" s="1" t="s">
        <v>797</v>
      </c>
      <c r="D262" s="1" t="s">
        <v>16</v>
      </c>
      <c r="E262" s="1" t="s">
        <v>798</v>
      </c>
      <c r="F262" s="1" t="str">
        <f>IFERROR(__xludf.DUMMYFUNCTION("GOOGLETRANSLATE(A262, ""zh-CN"", ""ko"")"),"질문")</f>
        <v>질문</v>
      </c>
    </row>
    <row r="263" ht="15.75" customHeight="1">
      <c r="A263" s="1" t="s">
        <v>799</v>
      </c>
      <c r="B263" s="1">
        <v>2.0</v>
      </c>
      <c r="C263" s="1" t="s">
        <v>800</v>
      </c>
      <c r="D263" s="1" t="s">
        <v>16</v>
      </c>
      <c r="E263" s="1" t="s">
        <v>801</v>
      </c>
      <c r="F263" s="1" t="str">
        <f>IFERROR(__xludf.DUMMYFUNCTION("GOOGLETRANSLATE(A263, ""zh-CN"", ""ko"")"),"수박")</f>
        <v>수박</v>
      </c>
    </row>
    <row r="264" ht="15.75" customHeight="1">
      <c r="A264" s="1" t="s">
        <v>802</v>
      </c>
      <c r="B264" s="1">
        <v>2.0</v>
      </c>
      <c r="C264" s="1" t="s">
        <v>803</v>
      </c>
      <c r="D264" s="1" t="s">
        <v>16</v>
      </c>
      <c r="E264" s="1" t="s">
        <v>804</v>
      </c>
      <c r="F264" s="1" t="str">
        <f>IFERROR(__xludf.DUMMYFUNCTION("GOOGLETRANSLATE(A264, ""zh-CN"", ""ko"")"),"희망")</f>
        <v>희망</v>
      </c>
    </row>
    <row r="265" ht="15.75" customHeight="1">
      <c r="A265" s="1" t="s">
        <v>805</v>
      </c>
      <c r="B265" s="1">
        <v>2.0</v>
      </c>
      <c r="C265" s="1" t="s">
        <v>806</v>
      </c>
      <c r="D265" s="1" t="s">
        <v>8</v>
      </c>
      <c r="E265" s="1" t="s">
        <v>807</v>
      </c>
      <c r="F265" s="1" t="str">
        <f>IFERROR(__xludf.DUMMYFUNCTION("GOOGLETRANSLATE(A265, ""zh-CN"", ""ko"")"),"씻다")</f>
        <v>씻다</v>
      </c>
    </row>
    <row r="266" ht="15.75" customHeight="1">
      <c r="A266" s="1" t="s">
        <v>808</v>
      </c>
      <c r="B266" s="1">
        <v>2.0</v>
      </c>
      <c r="C266" s="1" t="s">
        <v>809</v>
      </c>
      <c r="D266" s="1" t="s">
        <v>16</v>
      </c>
      <c r="E266" s="1" t="s">
        <v>810</v>
      </c>
      <c r="F266" s="1" t="str">
        <f>IFERROR(__xludf.DUMMYFUNCTION("GOOGLETRANSLATE(A266, ""zh-CN"", ""ko"")"),"시간")</f>
        <v>시간</v>
      </c>
    </row>
    <row r="267" ht="15.75" customHeight="1">
      <c r="A267" s="1" t="s">
        <v>811</v>
      </c>
      <c r="B267" s="1">
        <v>2.0</v>
      </c>
      <c r="C267" s="1" t="s">
        <v>812</v>
      </c>
      <c r="D267" s="1" t="s">
        <v>8</v>
      </c>
      <c r="E267" s="1" t="s">
        <v>813</v>
      </c>
      <c r="F267" s="1" t="str">
        <f>IFERROR(__xludf.DUMMYFUNCTION("GOOGLETRANSLATE(A267, ""zh-CN"", ""ko"")"),"웃다")</f>
        <v>웃다</v>
      </c>
    </row>
    <row r="268" ht="15.75" customHeight="1">
      <c r="A268" s="1" t="s">
        <v>814</v>
      </c>
      <c r="B268" s="1">
        <v>2.0</v>
      </c>
      <c r="C268" s="1" t="s">
        <v>815</v>
      </c>
      <c r="D268" s="1" t="s">
        <v>52</v>
      </c>
      <c r="E268" s="1" t="s">
        <v>816</v>
      </c>
      <c r="F268" s="1" t="str">
        <f>IFERROR(__xludf.DUMMYFUNCTION("GOOGLETRANSLATE(A268, ""zh-CN"", ""ko"")"),"새로운")</f>
        <v>새로운</v>
      </c>
    </row>
    <row r="269" ht="15.75" customHeight="1">
      <c r="A269" s="1" t="s">
        <v>817</v>
      </c>
      <c r="B269" s="1">
        <v>2.0</v>
      </c>
      <c r="C269" s="1" t="s">
        <v>818</v>
      </c>
      <c r="D269" s="1" t="s">
        <v>8</v>
      </c>
      <c r="E269" s="1" t="s">
        <v>819</v>
      </c>
      <c r="F269" s="1" t="str">
        <f>IFERROR(__xludf.DUMMYFUNCTION("GOOGLETRANSLATE(A269, ""zh-CN"", ""ko"")"),"성")</f>
        <v>성</v>
      </c>
    </row>
    <row r="270" ht="15.75" customHeight="1">
      <c r="A270" s="1" t="s">
        <v>820</v>
      </c>
      <c r="B270" s="1">
        <v>2.0</v>
      </c>
      <c r="C270" s="1" t="s">
        <v>821</v>
      </c>
      <c r="D270" s="1" t="s">
        <v>8</v>
      </c>
      <c r="E270" s="1" t="s">
        <v>822</v>
      </c>
      <c r="F270" s="1" t="str">
        <f>IFERROR(__xludf.DUMMYFUNCTION("GOOGLETRANSLATE(A270, ""zh-CN"", ""ko"")"),"나머지")</f>
        <v>나머지</v>
      </c>
    </row>
    <row r="271" ht="15.75" customHeight="1">
      <c r="A271" s="1" t="s">
        <v>823</v>
      </c>
      <c r="B271" s="1">
        <v>2.0</v>
      </c>
      <c r="C271" s="1" t="s">
        <v>824</v>
      </c>
      <c r="D271" s="1" t="s">
        <v>16</v>
      </c>
      <c r="E271" s="1" t="s">
        <v>825</v>
      </c>
      <c r="F271" s="1" t="str">
        <f>IFERROR(__xludf.DUMMYFUNCTION("GOOGLETRANSLATE(A271, ""zh-CN"", ""ko"")"),"눈")</f>
        <v>눈</v>
      </c>
    </row>
    <row r="272" ht="15.75" customHeight="1">
      <c r="A272" s="1" t="s">
        <v>826</v>
      </c>
      <c r="B272" s="1">
        <v>2.0</v>
      </c>
      <c r="C272" s="1" t="s">
        <v>827</v>
      </c>
      <c r="D272" s="1" t="s">
        <v>16</v>
      </c>
      <c r="E272" s="1" t="s">
        <v>828</v>
      </c>
      <c r="F272" s="1" t="str">
        <f>IFERROR(__xludf.DUMMYFUNCTION("GOOGLETRANSLATE(A272, ""zh-CN"", ""ko"")"),"색상")</f>
        <v>색상</v>
      </c>
    </row>
    <row r="273" ht="15.75" customHeight="1">
      <c r="A273" s="1" t="s">
        <v>829</v>
      </c>
      <c r="B273" s="1">
        <v>2.0</v>
      </c>
      <c r="C273" s="1" t="s">
        <v>830</v>
      </c>
      <c r="D273" s="1" t="s">
        <v>16</v>
      </c>
      <c r="E273" s="1" t="s">
        <v>831</v>
      </c>
      <c r="F273" s="1" t="str">
        <f>IFERROR(__xludf.DUMMYFUNCTION("GOOGLETRANSLATE(A273, ""zh-CN"", ""ko"")"),"눈")</f>
        <v>눈</v>
      </c>
    </row>
    <row r="274" ht="15.75" customHeight="1">
      <c r="A274" s="1" t="s">
        <v>832</v>
      </c>
      <c r="B274" s="1">
        <v>2.0</v>
      </c>
      <c r="C274" s="1" t="s">
        <v>833</v>
      </c>
      <c r="D274" s="1" t="s">
        <v>16</v>
      </c>
      <c r="E274" s="1" t="s">
        <v>834</v>
      </c>
      <c r="F274" s="1" t="str">
        <f>IFERROR(__xludf.DUMMYFUNCTION("GOOGLETRANSLATE(A274, ""zh-CN"", ""ko"")"),"양고기")</f>
        <v>양고기</v>
      </c>
    </row>
    <row r="275" ht="15.75" customHeight="1">
      <c r="A275" s="1" t="s">
        <v>835</v>
      </c>
      <c r="B275" s="1">
        <v>2.0</v>
      </c>
      <c r="C275" s="1" t="s">
        <v>836</v>
      </c>
      <c r="D275" s="1" t="s">
        <v>8</v>
      </c>
      <c r="E275" s="1" t="s">
        <v>837</v>
      </c>
      <c r="F275" s="1" t="str">
        <f>IFERROR(__xludf.DUMMYFUNCTION("GOOGLETRANSLATE(A275, ""zh-CN"", ""ko"")"),"원하다")</f>
        <v>원하다</v>
      </c>
    </row>
    <row r="276" ht="15.75" customHeight="1">
      <c r="A276" s="1" t="s">
        <v>838</v>
      </c>
      <c r="B276" s="1">
        <v>2.0</v>
      </c>
      <c r="C276" s="1" t="s">
        <v>836</v>
      </c>
      <c r="D276" s="1" t="s">
        <v>16</v>
      </c>
      <c r="E276" s="1" t="s">
        <v>839</v>
      </c>
      <c r="F276" s="1" t="str">
        <f>IFERROR(__xludf.DUMMYFUNCTION("GOOGLETRANSLATE(A276, ""zh-CN"", ""ko"")"),"약")</f>
        <v>약</v>
      </c>
    </row>
    <row r="277" ht="15.75" customHeight="1">
      <c r="A277" s="1" t="s">
        <v>840</v>
      </c>
      <c r="B277" s="1">
        <v>2.0</v>
      </c>
      <c r="C277" s="1" t="s">
        <v>841</v>
      </c>
      <c r="D277" s="1" t="s">
        <v>33</v>
      </c>
      <c r="E277" s="1" t="s">
        <v>842</v>
      </c>
      <c r="F277" s="1" t="str">
        <f>IFERROR(__xludf.DUMMYFUNCTION("GOOGLETRANSLATE(A277, ""zh-CN"", ""ko"")"),"또한")</f>
        <v>또한</v>
      </c>
    </row>
    <row r="278" ht="15.75" customHeight="1">
      <c r="A278" s="1" t="s">
        <v>843</v>
      </c>
      <c r="B278" s="1">
        <v>2.0</v>
      </c>
      <c r="C278" s="1" t="s">
        <v>844</v>
      </c>
      <c r="D278" s="1" t="s">
        <v>410</v>
      </c>
      <c r="E278" s="1" t="s">
        <v>845</v>
      </c>
      <c r="F278" s="1" t="str">
        <f>IFERROR(__xludf.DUMMYFUNCTION("GOOGLETRANSLATE(A278, ""zh-CN"", ""ko"")"),"일회")</f>
        <v>일회</v>
      </c>
    </row>
    <row r="279" ht="15.75" customHeight="1">
      <c r="A279" s="1" t="s">
        <v>846</v>
      </c>
      <c r="B279" s="1">
        <v>2.0</v>
      </c>
      <c r="C279" s="1" t="s">
        <v>847</v>
      </c>
      <c r="D279" s="1" t="s">
        <v>33</v>
      </c>
      <c r="E279" s="1" t="s">
        <v>848</v>
      </c>
      <c r="F279" s="1" t="str">
        <f>IFERROR(__xludf.DUMMYFUNCTION("GOOGLETRANSLATE(A279, ""zh-CN"", ""ko"")"),"이미")</f>
        <v>이미</v>
      </c>
    </row>
    <row r="280" ht="15.75" customHeight="1">
      <c r="A280" s="1" t="s">
        <v>849</v>
      </c>
      <c r="B280" s="1">
        <v>2.0</v>
      </c>
      <c r="C280" s="1" t="s">
        <v>850</v>
      </c>
      <c r="D280" s="1" t="s">
        <v>33</v>
      </c>
      <c r="E280" s="1" t="s">
        <v>851</v>
      </c>
      <c r="F280" s="1" t="str">
        <f>IFERROR(__xludf.DUMMYFUNCTION("GOOGLETRANSLATE(A280, ""zh-CN"", ""ko"")"),"함께")</f>
        <v>함께</v>
      </c>
    </row>
    <row r="281" ht="15.75" customHeight="1">
      <c r="A281" s="1" t="s">
        <v>852</v>
      </c>
      <c r="B281" s="1">
        <v>2.0</v>
      </c>
      <c r="C281" s="1" t="s">
        <v>853</v>
      </c>
      <c r="D281" s="1" t="s">
        <v>16</v>
      </c>
      <c r="E281" s="1" t="s">
        <v>854</v>
      </c>
      <c r="F281" s="1" t="str">
        <f>IFERROR(__xludf.DUMMYFUNCTION("GOOGLETRANSLATE(A281, ""zh-CN"", ""ko"")"),"평균")</f>
        <v>평균</v>
      </c>
    </row>
    <row r="282" ht="15.75" customHeight="1">
      <c r="A282" s="1" t="s">
        <v>855</v>
      </c>
      <c r="B282" s="1">
        <v>2.0</v>
      </c>
      <c r="C282" s="1" t="s">
        <v>856</v>
      </c>
      <c r="D282" s="1" t="s">
        <v>52</v>
      </c>
      <c r="E282" s="1" t="s">
        <v>857</v>
      </c>
      <c r="F282" s="1" t="str">
        <f>IFERROR(__xludf.DUMMYFUNCTION("GOOGLETRANSLATE(A282, ""zh-CN"", ""ko"")"),"부정적인")</f>
        <v>부정적인</v>
      </c>
    </row>
    <row r="283" ht="15.75" customHeight="1">
      <c r="A283" s="1" t="s">
        <v>858</v>
      </c>
      <c r="B283" s="1">
        <v>2.0</v>
      </c>
      <c r="C283" s="1" t="s">
        <v>859</v>
      </c>
      <c r="D283" s="1" t="s">
        <v>763</v>
      </c>
      <c r="E283" s="1" t="s">
        <v>860</v>
      </c>
      <c r="F283" s="1" t="str">
        <f>IFERROR(__xludf.DUMMYFUNCTION("GOOGLETRANSLATE(A283, ""zh-CN"", ""ko"")"),"왜냐하면…그러므로…")</f>
        <v>왜냐하면…그러므로…</v>
      </c>
    </row>
    <row r="284" ht="15.75" customHeight="1">
      <c r="A284" s="1" t="s">
        <v>861</v>
      </c>
      <c r="B284" s="1">
        <v>2.0</v>
      </c>
      <c r="C284" s="1" t="s">
        <v>862</v>
      </c>
      <c r="D284" s="1" t="s">
        <v>8</v>
      </c>
      <c r="E284" s="1" t="s">
        <v>863</v>
      </c>
      <c r="F284" s="1" t="str">
        <f>IFERROR(__xludf.DUMMYFUNCTION("GOOGLETRANSLATE(A284, ""zh-CN"", ""ko"")"),"헤엄")</f>
        <v>헤엄</v>
      </c>
    </row>
    <row r="285" ht="15.75" customHeight="1">
      <c r="A285" s="1" t="s">
        <v>864</v>
      </c>
      <c r="B285" s="1">
        <v>2.0</v>
      </c>
      <c r="C285" s="1" t="s">
        <v>865</v>
      </c>
      <c r="D285" s="1" t="s">
        <v>16</v>
      </c>
      <c r="E285" s="1" t="s">
        <v>866</v>
      </c>
      <c r="F285" s="1" t="str">
        <f>IFERROR(__xludf.DUMMYFUNCTION("GOOGLETRANSLATE(A285, ""zh-CN"", ""ko"")"),"오른쪽")</f>
        <v>오른쪽</v>
      </c>
    </row>
    <row r="286" ht="15.75" customHeight="1">
      <c r="A286" s="1" t="s">
        <v>867</v>
      </c>
      <c r="B286" s="1">
        <v>2.0</v>
      </c>
      <c r="C286" s="1" t="s">
        <v>868</v>
      </c>
      <c r="D286" s="1" t="s">
        <v>16</v>
      </c>
      <c r="E286" s="1" t="s">
        <v>869</v>
      </c>
      <c r="F286" s="1" t="str">
        <f>IFERROR(__xludf.DUMMYFUNCTION("GOOGLETRANSLATE(A286, ""zh-CN"", ""ko"")"),"물고기")</f>
        <v>물고기</v>
      </c>
    </row>
    <row r="287" ht="15.75" customHeight="1">
      <c r="A287" s="1" t="s">
        <v>870</v>
      </c>
      <c r="B287" s="1">
        <v>2.0</v>
      </c>
      <c r="C287" s="1" t="s">
        <v>871</v>
      </c>
      <c r="D287" s="1" t="s">
        <v>52</v>
      </c>
      <c r="E287" s="1" t="s">
        <v>872</v>
      </c>
      <c r="F287" s="1" t="str">
        <f>IFERROR(__xludf.DUMMYFUNCTION("GOOGLETRANSLATE(A287, ""zh-CN"", ""ko"")"),"멀리")</f>
        <v>멀리</v>
      </c>
    </row>
    <row r="288" ht="15.75" customHeight="1">
      <c r="A288" s="1" t="s">
        <v>873</v>
      </c>
      <c r="B288" s="1">
        <v>2.0</v>
      </c>
      <c r="C288" s="1" t="s">
        <v>874</v>
      </c>
      <c r="D288" s="1" t="s">
        <v>875</v>
      </c>
      <c r="E288" s="1" t="s">
        <v>876</v>
      </c>
      <c r="F288" s="1" t="str">
        <f>IFERROR(__xludf.DUMMYFUNCTION("GOOGLETRANSLATE(A288, ""zh-CN"", ""ko"")"),"스포츠")</f>
        <v>스포츠</v>
      </c>
    </row>
    <row r="289" ht="15.75" customHeight="1">
      <c r="A289" s="1" t="s">
        <v>877</v>
      </c>
      <c r="B289" s="1">
        <v>2.0</v>
      </c>
      <c r="C289" s="1" t="s">
        <v>431</v>
      </c>
      <c r="D289" s="1" t="s">
        <v>33</v>
      </c>
      <c r="E289" s="1" t="s">
        <v>878</v>
      </c>
      <c r="F289" s="1" t="str">
        <f>IFERROR(__xludf.DUMMYFUNCTION("GOOGLETRANSLATE(A289, ""zh-CN"", ""ko"")"),"다시")</f>
        <v>다시</v>
      </c>
    </row>
    <row r="290" ht="15.75" customHeight="1">
      <c r="A290" s="1" t="s">
        <v>879</v>
      </c>
      <c r="B290" s="1">
        <v>2.0</v>
      </c>
      <c r="C290" s="1" t="s">
        <v>880</v>
      </c>
      <c r="D290" s="1" t="s">
        <v>16</v>
      </c>
      <c r="E290" s="1" t="s">
        <v>881</v>
      </c>
      <c r="F290" s="1" t="str">
        <f>IFERROR(__xludf.DUMMYFUNCTION("GOOGLETRANSLATE(A290, ""zh-CN"", ""ko"")"),"아침")</f>
        <v>아침</v>
      </c>
    </row>
    <row r="291" ht="15.75" customHeight="1">
      <c r="A291" s="1" t="s">
        <v>882</v>
      </c>
      <c r="B291" s="1">
        <v>2.0</v>
      </c>
      <c r="C291" s="1" t="s">
        <v>883</v>
      </c>
      <c r="D291" s="1" t="s">
        <v>16</v>
      </c>
      <c r="E291" s="1" t="s">
        <v>884</v>
      </c>
      <c r="F291" s="1" t="str">
        <f>IFERROR(__xludf.DUMMYFUNCTION("GOOGLETRANSLATE(A291, ""zh-CN"", ""ko"")"),"남편")</f>
        <v>남편</v>
      </c>
    </row>
    <row r="292" ht="15.75" customHeight="1">
      <c r="A292" s="1" t="s">
        <v>885</v>
      </c>
      <c r="B292" s="1">
        <v>2.0</v>
      </c>
      <c r="C292" s="1" t="s">
        <v>886</v>
      </c>
      <c r="D292" s="1" t="s">
        <v>8</v>
      </c>
      <c r="E292" s="1" t="s">
        <v>887</v>
      </c>
      <c r="F292" s="1" t="str">
        <f>IFERROR(__xludf.DUMMYFUNCTION("GOOGLETRANSLATE(A292, ""zh-CN"", ""ko"")"),"찾아보려고 노력해 보세요")</f>
        <v>찾아보려고 노력해 보세요</v>
      </c>
    </row>
    <row r="293" ht="15.75" customHeight="1">
      <c r="A293" s="1" t="s">
        <v>888</v>
      </c>
      <c r="B293" s="1">
        <v>2.0</v>
      </c>
      <c r="C293" s="1" t="s">
        <v>889</v>
      </c>
      <c r="D293" s="1" t="s">
        <v>56</v>
      </c>
      <c r="E293" s="1" t="s">
        <v>890</v>
      </c>
      <c r="F293" s="1" t="str">
        <f>IFERROR(__xludf.DUMMYFUNCTION("GOOGLETRANSLATE(A293, ""zh-CN"", ""ko"")"),"착용")</f>
        <v>착용</v>
      </c>
    </row>
    <row r="294" ht="15.75" customHeight="1">
      <c r="A294" s="1" t="s">
        <v>891</v>
      </c>
      <c r="B294" s="1">
        <v>2.0</v>
      </c>
      <c r="C294" s="1" t="s">
        <v>892</v>
      </c>
      <c r="D294" s="1" t="s">
        <v>33</v>
      </c>
      <c r="E294" s="1" t="s">
        <v>893</v>
      </c>
      <c r="F294" s="1" t="str">
        <f>IFERROR(__xludf.DUMMYFUNCTION("GOOGLETRANSLATE(A294, ""zh-CN"", ""ko"")"),"진짜")</f>
        <v>진짜</v>
      </c>
    </row>
    <row r="295" ht="15.75" customHeight="1">
      <c r="A295" s="1" t="s">
        <v>894</v>
      </c>
      <c r="B295" s="1">
        <v>2.0</v>
      </c>
      <c r="C295" s="1" t="s">
        <v>895</v>
      </c>
      <c r="D295" s="1" t="s">
        <v>33</v>
      </c>
      <c r="E295" s="1" t="s">
        <v>896</v>
      </c>
      <c r="F295" s="1" t="str">
        <f>IFERROR(__xludf.DUMMYFUNCTION("GOOGLETRANSLATE(A295, ""zh-CN"", ""ko"")"),"진행 중")</f>
        <v>진행 중</v>
      </c>
    </row>
    <row r="296" ht="15.75" customHeight="1">
      <c r="A296" s="1" t="s">
        <v>897</v>
      </c>
      <c r="B296" s="1">
        <v>3.0</v>
      </c>
      <c r="C296" s="1" t="s">
        <v>898</v>
      </c>
      <c r="D296" s="1" t="s">
        <v>33</v>
      </c>
      <c r="E296" s="1" t="s">
        <v>899</v>
      </c>
      <c r="F296" s="1" t="str">
        <f>IFERROR(__xludf.DUMMYFUNCTION("GOOGLETRANSLATE(A296, ""zh-CN"", ""ko"")"),"오직")</f>
        <v>오직</v>
      </c>
    </row>
    <row r="297" ht="15.75" customHeight="1">
      <c r="A297" s="1" t="s">
        <v>900</v>
      </c>
      <c r="B297" s="1">
        <v>2.0</v>
      </c>
      <c r="C297" s="1" t="s">
        <v>901</v>
      </c>
      <c r="D297" s="1" t="s">
        <v>8</v>
      </c>
      <c r="E297" s="1" t="s">
        <v>902</v>
      </c>
      <c r="F297" s="1" t="str">
        <f>IFERROR(__xludf.DUMMYFUNCTION("GOOGLETRANSLATE(A297, ""zh-CN"", ""ko"")"),"알다")</f>
        <v>알다</v>
      </c>
    </row>
    <row r="298" ht="15.75" customHeight="1">
      <c r="A298" s="1" t="s">
        <v>903</v>
      </c>
      <c r="B298" s="1">
        <v>2.0</v>
      </c>
      <c r="C298" s="1" t="s">
        <v>904</v>
      </c>
      <c r="D298" s="1" t="s">
        <v>8</v>
      </c>
      <c r="E298" s="1" t="s">
        <v>905</v>
      </c>
      <c r="F298" s="1" t="str">
        <f>IFERROR(__xludf.DUMMYFUNCTION("GOOGLETRANSLATE(A298, ""zh-CN"", ""ko"")"),"준비하다")</f>
        <v>준비하다</v>
      </c>
    </row>
    <row r="299" ht="15.75" customHeight="1">
      <c r="A299" s="1" t="s">
        <v>906</v>
      </c>
      <c r="B299" s="1">
        <v>2.0</v>
      </c>
      <c r="C299" s="1" t="s">
        <v>907</v>
      </c>
      <c r="D299" s="1" t="s">
        <v>8</v>
      </c>
      <c r="E299" s="1" t="s">
        <v>908</v>
      </c>
      <c r="F299" s="1" t="str">
        <f>IFERROR(__xludf.DUMMYFUNCTION("GOOGLETRANSLATE(A299, ""zh-CN"", ""ko"")"),"걷다")</f>
        <v>걷다</v>
      </c>
    </row>
    <row r="300" ht="15.75" customHeight="1">
      <c r="A300" s="1" t="s">
        <v>909</v>
      </c>
      <c r="B300" s="1">
        <v>2.0</v>
      </c>
      <c r="C300" s="1" t="s">
        <v>910</v>
      </c>
      <c r="D300" s="1" t="s">
        <v>33</v>
      </c>
      <c r="E300" s="1" t="s">
        <v>911</v>
      </c>
      <c r="F300" s="1" t="str">
        <f>IFERROR(__xludf.DUMMYFUNCTION("GOOGLETRANSLATE(A300, ""zh-CN"", ""ko"")"),"최대")</f>
        <v>최대</v>
      </c>
    </row>
    <row r="301" ht="15.75" customHeight="1">
      <c r="A301" s="1" t="s">
        <v>912</v>
      </c>
      <c r="B301" s="1">
        <v>2.0</v>
      </c>
      <c r="C301" s="1" t="s">
        <v>913</v>
      </c>
      <c r="D301" s="1" t="s">
        <v>16</v>
      </c>
      <c r="E301" s="1" t="s">
        <v>914</v>
      </c>
      <c r="F301" s="1" t="str">
        <f>IFERROR(__xludf.DUMMYFUNCTION("GOOGLETRANSLATE(A301, ""zh-CN"", ""ko"")"),"왼쪽")</f>
        <v>왼쪽</v>
      </c>
    </row>
    <row r="302" ht="15.75" customHeight="1">
      <c r="A302" s="1" t="s">
        <v>915</v>
      </c>
      <c r="B302" s="1">
        <v>3.0</v>
      </c>
      <c r="C302" s="1" t="s">
        <v>916</v>
      </c>
      <c r="D302" s="1" t="s">
        <v>16</v>
      </c>
      <c r="E302" s="1" t="s">
        <v>917</v>
      </c>
      <c r="F302" s="1" t="str">
        <f>IFERROR(__xludf.DUMMYFUNCTION("GOOGLETRANSLATE(A302, ""zh-CN"", ""ko"")"),"이모")</f>
        <v>이모</v>
      </c>
    </row>
    <row r="303" ht="15.75" customHeight="1">
      <c r="A303" s="1" t="s">
        <v>918</v>
      </c>
      <c r="B303" s="1">
        <v>3.0</v>
      </c>
      <c r="C303" s="1" t="s">
        <v>919</v>
      </c>
      <c r="D303" s="1" t="s">
        <v>56</v>
      </c>
      <c r="E303" s="1" t="s">
        <v>920</v>
      </c>
      <c r="F303" s="1" t="str">
        <f>IFERROR(__xludf.DUMMYFUNCTION("GOOGLETRANSLATE(A303, ""zh-CN"", ""ko"")"),"아")</f>
        <v>아</v>
      </c>
    </row>
    <row r="304" ht="15.75" customHeight="1">
      <c r="A304" s="1" t="s">
        <v>921</v>
      </c>
      <c r="B304" s="1">
        <v>3.0</v>
      </c>
      <c r="C304" s="1" t="s">
        <v>922</v>
      </c>
      <c r="D304" s="1" t="s">
        <v>52</v>
      </c>
      <c r="E304" s="1" t="s">
        <v>923</v>
      </c>
      <c r="F304" s="1" t="str">
        <f>IFERROR(__xludf.DUMMYFUNCTION("GOOGLETRANSLATE(A304, ""zh-CN"", ""ko"")"),"짧은")</f>
        <v>짧은</v>
      </c>
    </row>
    <row r="305" ht="15.75" customHeight="1">
      <c r="A305" s="1" t="s">
        <v>924</v>
      </c>
      <c r="B305" s="1">
        <v>3.0</v>
      </c>
      <c r="C305" s="1" t="s">
        <v>925</v>
      </c>
      <c r="D305" s="1" t="s">
        <v>16</v>
      </c>
      <c r="E305" s="1" t="s">
        <v>926</v>
      </c>
      <c r="F305" s="1" t="str">
        <f>IFERROR(__xludf.DUMMYFUNCTION("GOOGLETRANSLATE(A305, ""zh-CN"", ""ko"")"),"취미")</f>
        <v>취미</v>
      </c>
    </row>
    <row r="306" ht="15.75" customHeight="1">
      <c r="A306" s="1" t="s">
        <v>927</v>
      </c>
      <c r="B306" s="1">
        <v>3.0</v>
      </c>
      <c r="C306" s="1" t="s">
        <v>928</v>
      </c>
      <c r="D306" s="1" t="s">
        <v>8</v>
      </c>
      <c r="E306" s="1" t="s">
        <v>929</v>
      </c>
      <c r="F306" s="1" t="str">
        <f>IFERROR(__xludf.DUMMYFUNCTION("GOOGLETRANSLATE(A306, ""zh-CN"", ""ko"")"),"조용한")</f>
        <v>조용한</v>
      </c>
    </row>
    <row r="307" ht="15.75" customHeight="1">
      <c r="A307" s="1" t="s">
        <v>930</v>
      </c>
      <c r="B307" s="1">
        <v>3.0</v>
      </c>
      <c r="C307" s="1" t="s">
        <v>931</v>
      </c>
      <c r="D307" s="1" t="s">
        <v>486</v>
      </c>
      <c r="E307" s="1" t="s">
        <v>932</v>
      </c>
      <c r="F307" s="1" t="str">
        <f>IFERROR(__xludf.DUMMYFUNCTION("GOOGLETRANSLATE(A307, ""zh-CN"", ""ko"")"),"묶음")</f>
        <v>묶음</v>
      </c>
    </row>
    <row r="308" ht="15.75" customHeight="1">
      <c r="A308" s="1" t="s">
        <v>933</v>
      </c>
      <c r="B308" s="1">
        <v>3.0</v>
      </c>
      <c r="C308" s="1" t="s">
        <v>934</v>
      </c>
      <c r="D308" s="1" t="s">
        <v>8</v>
      </c>
      <c r="E308" s="1" t="s">
        <v>935</v>
      </c>
      <c r="F308" s="1" t="str">
        <f>IFERROR(__xludf.DUMMYFUNCTION("GOOGLETRANSLATE(A308, ""zh-CN"", ""ko"")"),"이동하다")</f>
        <v>이동하다</v>
      </c>
    </row>
    <row r="309" ht="15.75" customHeight="1">
      <c r="A309" s="1" t="s">
        <v>936</v>
      </c>
      <c r="B309" s="1">
        <v>3.0</v>
      </c>
      <c r="C309" s="1" t="s">
        <v>934</v>
      </c>
      <c r="D309" s="1" t="s">
        <v>16</v>
      </c>
      <c r="E309" s="1" t="s">
        <v>937</v>
      </c>
      <c r="F309" s="1" t="str">
        <f>IFERROR(__xludf.DUMMYFUNCTION("GOOGLETRANSLATE(A309, ""zh-CN"", ""ko"")"),"수업")</f>
        <v>수업</v>
      </c>
    </row>
    <row r="310" ht="15.75" customHeight="1">
      <c r="A310" s="1" t="s">
        <v>938</v>
      </c>
      <c r="B310" s="1">
        <v>3.0</v>
      </c>
      <c r="C310" s="1" t="s">
        <v>939</v>
      </c>
      <c r="D310" s="1" t="s">
        <v>12</v>
      </c>
      <c r="E310" s="1" t="s">
        <v>940</v>
      </c>
      <c r="F310" s="1" t="str">
        <f>IFERROR(__xludf.DUMMYFUNCTION("GOOGLETRANSLATE(A310, ""zh-CN"", ""ko"")"),"반")</f>
        <v>반</v>
      </c>
    </row>
    <row r="311" ht="15.75" customHeight="1">
      <c r="A311" s="1" t="s">
        <v>941</v>
      </c>
      <c r="B311" s="1">
        <v>3.0</v>
      </c>
      <c r="C311" s="1" t="s">
        <v>942</v>
      </c>
      <c r="D311" s="1" t="s">
        <v>16</v>
      </c>
      <c r="E311" s="1" t="s">
        <v>943</v>
      </c>
      <c r="F311" s="1" t="str">
        <f>IFERROR(__xludf.DUMMYFUNCTION("GOOGLETRANSLATE(A311, ""zh-CN"", ""ko"")"),"방법")</f>
        <v>방법</v>
      </c>
    </row>
    <row r="312" ht="15.75" customHeight="1">
      <c r="A312" s="1" t="s">
        <v>944</v>
      </c>
      <c r="B312" s="1">
        <v>3.0</v>
      </c>
      <c r="C312" s="1" t="s">
        <v>945</v>
      </c>
      <c r="D312" s="1" t="s">
        <v>16</v>
      </c>
      <c r="E312" s="1" t="s">
        <v>946</v>
      </c>
      <c r="F312" s="1" t="str">
        <f>IFERROR(__xludf.DUMMYFUNCTION("GOOGLETRANSLATE(A312, ""zh-CN"", ""ko"")"),"사무실")</f>
        <v>사무실</v>
      </c>
    </row>
    <row r="313" ht="15.75" customHeight="1">
      <c r="A313" s="1" t="s">
        <v>947</v>
      </c>
      <c r="B313" s="1">
        <v>3.0</v>
      </c>
      <c r="C313" s="1" t="s">
        <v>948</v>
      </c>
      <c r="D313" s="1" t="s">
        <v>8</v>
      </c>
      <c r="E313" s="1" t="s">
        <v>949</v>
      </c>
      <c r="F313" s="1" t="str">
        <f>IFERROR(__xludf.DUMMYFUNCTION("GOOGLETRANSLATE(A313, ""zh-CN"", ""ko"")"),"돕다")</f>
        <v>돕다</v>
      </c>
    </row>
    <row r="314" ht="15.75" customHeight="1">
      <c r="A314" s="1" t="s">
        <v>950</v>
      </c>
      <c r="B314" s="1">
        <v>3.0</v>
      </c>
      <c r="C314" s="1" t="s">
        <v>951</v>
      </c>
      <c r="D314" s="1" t="s">
        <v>16</v>
      </c>
      <c r="E314" s="1" t="s">
        <v>952</v>
      </c>
      <c r="F314" s="1" t="str">
        <f>IFERROR(__xludf.DUMMYFUNCTION("GOOGLETRANSLATE(A314, ""zh-CN"", ""ko"")"),"가방")</f>
        <v>가방</v>
      </c>
    </row>
    <row r="315" ht="15.75" customHeight="1">
      <c r="A315" s="1" t="s">
        <v>953</v>
      </c>
      <c r="B315" s="1">
        <v>3.0</v>
      </c>
      <c r="C315" s="1" t="s">
        <v>954</v>
      </c>
      <c r="D315" s="1" t="s">
        <v>52</v>
      </c>
      <c r="E315" s="1" t="s">
        <v>955</v>
      </c>
      <c r="F315" s="1" t="str">
        <f>IFERROR(__xludf.DUMMYFUNCTION("GOOGLETRANSLATE(A315, ""zh-CN"", ""ko"")"),"가득한")</f>
        <v>가득한</v>
      </c>
    </row>
    <row r="316" ht="15.75" customHeight="1">
      <c r="A316" s="1" t="s">
        <v>956</v>
      </c>
      <c r="B316" s="1">
        <v>3.0</v>
      </c>
      <c r="C316" s="1" t="s">
        <v>957</v>
      </c>
      <c r="D316" s="1" t="s">
        <v>16</v>
      </c>
      <c r="E316" s="1" t="s">
        <v>958</v>
      </c>
      <c r="F316" s="1" t="str">
        <f>IFERROR(__xludf.DUMMYFUNCTION("GOOGLETRANSLATE(A316, ""zh-CN"", ""ko"")"),"북쪽")</f>
        <v>북쪽</v>
      </c>
    </row>
    <row r="317" ht="15.75" customHeight="1">
      <c r="A317" s="1" t="s">
        <v>959</v>
      </c>
      <c r="B317" s="1">
        <v>3.0</v>
      </c>
      <c r="C317" s="1" t="s">
        <v>960</v>
      </c>
      <c r="D317" s="1" t="s">
        <v>486</v>
      </c>
      <c r="E317" s="1" t="s">
        <v>961</v>
      </c>
      <c r="F317" s="1" t="str">
        <f>IFERROR(__xludf.DUMMYFUNCTION("GOOGLETRANSLATE(A317, ""zh-CN"", ""ko"")"),"이불")</f>
        <v>이불</v>
      </c>
    </row>
    <row r="318" ht="15.75" customHeight="1">
      <c r="A318" s="1" t="s">
        <v>962</v>
      </c>
      <c r="B318" s="1">
        <v>3.0</v>
      </c>
      <c r="C318" s="1" t="s">
        <v>963</v>
      </c>
      <c r="D318" s="1" t="s">
        <v>16</v>
      </c>
      <c r="E318" s="1" t="s">
        <v>964</v>
      </c>
      <c r="F318" s="1" t="str">
        <f>IFERROR(__xludf.DUMMYFUNCTION("GOOGLETRANSLATE(A318, ""zh-CN"", ""ko"")"),"코")</f>
        <v>코</v>
      </c>
    </row>
    <row r="319" ht="15.75" customHeight="1">
      <c r="A319" s="1" t="s">
        <v>965</v>
      </c>
      <c r="B319" s="1">
        <v>3.0</v>
      </c>
      <c r="C319" s="1" t="s">
        <v>966</v>
      </c>
      <c r="D319" s="1" t="s">
        <v>16</v>
      </c>
      <c r="E319" s="1" t="s">
        <v>967</v>
      </c>
      <c r="F319" s="1" t="str">
        <f>IFERROR(__xludf.DUMMYFUNCTION("GOOGLETRANSLATE(A319, ""zh-CN"", ""ko"")"),"공책")</f>
        <v>공책</v>
      </c>
    </row>
    <row r="320" ht="15.75" customHeight="1">
      <c r="A320" s="1" t="s">
        <v>968</v>
      </c>
      <c r="B320" s="1">
        <v>3.0</v>
      </c>
      <c r="C320" s="1" t="s">
        <v>969</v>
      </c>
      <c r="D320" s="1" t="s">
        <v>33</v>
      </c>
      <c r="E320" s="1" t="s">
        <v>970</v>
      </c>
      <c r="F320" s="1" t="str">
        <f>IFERROR(__xludf.DUMMYFUNCTION("GOOGLETRANSLATE(A320, ""zh-CN"", ""ko"")"),"비교하다")</f>
        <v>비교하다</v>
      </c>
    </row>
    <row r="321" ht="15.75" customHeight="1">
      <c r="A321" s="1" t="s">
        <v>971</v>
      </c>
      <c r="B321" s="1">
        <v>3.0</v>
      </c>
      <c r="C321" s="1" t="s">
        <v>972</v>
      </c>
      <c r="D321" s="1" t="s">
        <v>16</v>
      </c>
      <c r="E321" s="1" t="s">
        <v>973</v>
      </c>
      <c r="F321" s="1" t="str">
        <f>IFERROR(__xludf.DUMMYFUNCTION("GOOGLETRANSLATE(A321, ""zh-CN"", ""ko"")"),"경쟁")</f>
        <v>경쟁</v>
      </c>
    </row>
    <row r="322" ht="15.75" customHeight="1">
      <c r="A322" s="1" t="s">
        <v>974</v>
      </c>
      <c r="B322" s="1">
        <v>3.0</v>
      </c>
      <c r="C322" s="1" t="s">
        <v>975</v>
      </c>
      <c r="D322" s="1" t="s">
        <v>33</v>
      </c>
      <c r="E322" s="1" t="s">
        <v>976</v>
      </c>
      <c r="F322" s="1" t="str">
        <f>IFERROR(__xludf.DUMMYFUNCTION("GOOGLETRANSLATE(A322, ""zh-CN"", ""ko"")"),"~ 해야 하다")</f>
        <v>~ 해야 하다</v>
      </c>
    </row>
    <row r="323" ht="15.75" customHeight="1">
      <c r="A323" s="1" t="s">
        <v>977</v>
      </c>
      <c r="B323" s="1">
        <v>3.0</v>
      </c>
      <c r="C323" s="1" t="s">
        <v>978</v>
      </c>
      <c r="D323" s="1" t="s">
        <v>113</v>
      </c>
      <c r="E323" s="1" t="s">
        <v>979</v>
      </c>
      <c r="F323" s="1" t="str">
        <f>IFERROR(__xludf.DUMMYFUNCTION("GOOGLETRANSLATE(A323, ""zh-CN"", ""ko"")"),"변화")</f>
        <v>변화</v>
      </c>
    </row>
    <row r="324" ht="15.75" customHeight="1">
      <c r="A324" s="1" t="s">
        <v>980</v>
      </c>
      <c r="B324" s="1">
        <v>3.0</v>
      </c>
      <c r="C324" s="1" t="s">
        <v>981</v>
      </c>
      <c r="D324" s="1" t="s">
        <v>88</v>
      </c>
      <c r="E324" s="1" t="s">
        <v>982</v>
      </c>
      <c r="F324" s="1" t="str">
        <f>IFERROR(__xludf.DUMMYFUNCTION("GOOGLETRANSLATE(A324, ""zh-CN"", ""ko"")"),"다른 사람들")</f>
        <v>다른 사람들</v>
      </c>
    </row>
    <row r="325" ht="15.75" customHeight="1">
      <c r="A325" s="1" t="s">
        <v>983</v>
      </c>
      <c r="B325" s="1">
        <v>3.0</v>
      </c>
      <c r="C325" s="1" t="s">
        <v>984</v>
      </c>
      <c r="D325" s="1" t="s">
        <v>16</v>
      </c>
      <c r="E325" s="1" t="s">
        <v>985</v>
      </c>
      <c r="F325" s="1" t="str">
        <f>IFERROR(__xludf.DUMMYFUNCTION("GOOGLETRANSLATE(A325, ""zh-CN"", ""ko"")"),"냉장고")</f>
        <v>냉장고</v>
      </c>
    </row>
    <row r="326" ht="15.75" customHeight="1">
      <c r="A326" s="1" t="s">
        <v>986</v>
      </c>
      <c r="B326" s="1">
        <v>3.0</v>
      </c>
      <c r="C326" s="1" t="s">
        <v>987</v>
      </c>
      <c r="D326" s="1" t="s">
        <v>763</v>
      </c>
      <c r="E326" s="1" t="s">
        <v>988</v>
      </c>
      <c r="F326" s="1" t="str">
        <f>IFERROR(__xludf.DUMMYFUNCTION("GOOGLETRANSLATE(A326, ""zh-CN"", ""ko"")"),"뿐만 아니라... 또한...")</f>
        <v>뿐만 아니라... 또한...</v>
      </c>
    </row>
    <row r="327" ht="15.75" customHeight="1">
      <c r="A327" s="1" t="s">
        <v>989</v>
      </c>
      <c r="B327" s="1">
        <v>3.0</v>
      </c>
      <c r="C327" s="1" t="s">
        <v>990</v>
      </c>
      <c r="D327" s="1" t="s">
        <v>16</v>
      </c>
      <c r="E327" s="1" t="s">
        <v>991</v>
      </c>
      <c r="F327" s="1" t="str">
        <f>IFERROR(__xludf.DUMMYFUNCTION("GOOGLETRANSLATE(A327, ""zh-CN"", ""ko"")"),"메뉴")</f>
        <v>메뉴</v>
      </c>
    </row>
    <row r="328" ht="15.75" customHeight="1">
      <c r="A328" s="1" t="s">
        <v>992</v>
      </c>
      <c r="B328" s="1">
        <v>3.0</v>
      </c>
      <c r="C328" s="1" t="s">
        <v>993</v>
      </c>
      <c r="D328" s="1" t="s">
        <v>8</v>
      </c>
      <c r="E328" s="1" t="s">
        <v>994</v>
      </c>
      <c r="F328" s="1" t="str">
        <f>IFERROR(__xludf.DUMMYFUNCTION("GOOGLETRANSLATE(A328, ""zh-CN"", ""ko"")"),"가입하다")</f>
        <v>가입하다</v>
      </c>
    </row>
    <row r="329" ht="15.75" customHeight="1">
      <c r="A329" s="1" t="s">
        <v>995</v>
      </c>
      <c r="B329" s="1">
        <v>3.0</v>
      </c>
      <c r="C329" s="1" t="s">
        <v>996</v>
      </c>
      <c r="D329" s="1" t="s">
        <v>16</v>
      </c>
      <c r="E329" s="1" t="s">
        <v>997</v>
      </c>
      <c r="F329" s="1" t="str">
        <f>IFERROR(__xludf.DUMMYFUNCTION("GOOGLETRANSLATE(A329, ""zh-CN"", ""ko"")"),"잔디")</f>
        <v>잔디</v>
      </c>
    </row>
    <row r="330" ht="15.75" customHeight="1">
      <c r="A330" s="1" t="s">
        <v>998</v>
      </c>
      <c r="B330" s="1">
        <v>3.0</v>
      </c>
      <c r="C330" s="1" t="s">
        <v>999</v>
      </c>
      <c r="D330" s="1" t="s">
        <v>26</v>
      </c>
      <c r="E330" s="1" t="s">
        <v>1000</v>
      </c>
      <c r="F330" s="1" t="str">
        <f>IFERROR(__xludf.DUMMYFUNCTION("GOOGLETRANSLATE(A330, ""zh-CN"", ""ko"")"),"층")</f>
        <v>층</v>
      </c>
    </row>
    <row r="331" ht="15.75" customHeight="1">
      <c r="A331" s="1" t="s">
        <v>1001</v>
      </c>
      <c r="B331" s="1">
        <v>3.0</v>
      </c>
      <c r="C331" s="1" t="s">
        <v>1002</v>
      </c>
      <c r="D331" s="1" t="s">
        <v>1003</v>
      </c>
      <c r="E331" s="1" t="s">
        <v>1004</v>
      </c>
      <c r="F331" s="1" t="str">
        <f>IFERROR(__xludf.DUMMYFUNCTION("GOOGLETRANSLATE(A331, ""zh-CN"", ""ko"")"),"차이점")</f>
        <v>차이점</v>
      </c>
    </row>
    <row r="332" ht="15.75" customHeight="1">
      <c r="A332" s="1" t="s">
        <v>1005</v>
      </c>
      <c r="B332" s="1">
        <v>3.0</v>
      </c>
      <c r="C332" s="1" t="s">
        <v>1006</v>
      </c>
      <c r="D332" s="1" t="s">
        <v>8</v>
      </c>
      <c r="E332" s="1" t="s">
        <v>1007</v>
      </c>
      <c r="F332" s="1" t="str">
        <f>IFERROR(__xludf.DUMMYFUNCTION("GOOGLETRANSLATE(A332, ""zh-CN"", ""ko"")"),"맛")</f>
        <v>맛</v>
      </c>
    </row>
    <row r="333" ht="15.75" customHeight="1">
      <c r="A333" s="1" t="s">
        <v>1008</v>
      </c>
      <c r="B333" s="1">
        <v>3.0</v>
      </c>
      <c r="C333" s="1" t="s">
        <v>1009</v>
      </c>
      <c r="D333" s="1" t="s">
        <v>16</v>
      </c>
      <c r="E333" s="1" t="s">
        <v>1010</v>
      </c>
      <c r="F333" s="1" t="str">
        <f>IFERROR(__xludf.DUMMYFUNCTION("GOOGLETRANSLATE(A333, ""zh-CN"", ""ko"")"),"슈퍼마켓")</f>
        <v>슈퍼마켓</v>
      </c>
    </row>
    <row r="334" ht="15.75" customHeight="1">
      <c r="A334" s="1" t="s">
        <v>1011</v>
      </c>
      <c r="B334" s="1">
        <v>3.0</v>
      </c>
      <c r="C334" s="1" t="s">
        <v>1012</v>
      </c>
      <c r="D334" s="1" t="s">
        <v>16</v>
      </c>
      <c r="E334" s="1" t="s">
        <v>1013</v>
      </c>
      <c r="F334" s="1" t="str">
        <f>IFERROR(__xludf.DUMMYFUNCTION("GOOGLETRANSLATE(A334, ""zh-CN"", ""ko"")"),"셔츠")</f>
        <v>셔츠</v>
      </c>
    </row>
    <row r="335" ht="15.75" customHeight="1">
      <c r="A335" s="1" t="s">
        <v>1014</v>
      </c>
      <c r="B335" s="1">
        <v>3.0</v>
      </c>
      <c r="C335" s="1" t="s">
        <v>1015</v>
      </c>
      <c r="D335" s="1" t="s">
        <v>16</v>
      </c>
      <c r="E335" s="1" t="s">
        <v>1016</v>
      </c>
      <c r="F335" s="1" t="str">
        <f>IFERROR(__xludf.DUMMYFUNCTION("GOOGLETRANSLATE(A335, ""zh-CN"", ""ko"")"),"점수")</f>
        <v>점수</v>
      </c>
    </row>
    <row r="336" ht="15.75" customHeight="1">
      <c r="A336" s="1" t="s">
        <v>1017</v>
      </c>
      <c r="B336" s="1">
        <v>3.0</v>
      </c>
      <c r="C336" s="1" t="s">
        <v>1018</v>
      </c>
      <c r="D336" s="1" t="s">
        <v>16</v>
      </c>
      <c r="E336" s="1" t="s">
        <v>1019</v>
      </c>
      <c r="F336" s="1" t="str">
        <f>IFERROR(__xludf.DUMMYFUNCTION("GOOGLETRANSLATE(A336, ""zh-CN"", ""ko"")"),"도시")</f>
        <v>도시</v>
      </c>
    </row>
    <row r="337" ht="15.75" customHeight="1">
      <c r="A337" s="1" t="s">
        <v>1020</v>
      </c>
      <c r="B337" s="1">
        <v>3.0</v>
      </c>
      <c r="C337" s="1" t="s">
        <v>1021</v>
      </c>
      <c r="D337" s="1" t="s">
        <v>8</v>
      </c>
      <c r="E337" s="1" t="s">
        <v>1022</v>
      </c>
      <c r="F337" s="1" t="str">
        <f>IFERROR(__xludf.DUMMYFUNCTION("GOOGLETRANSLATE(A337, ""zh-CN"", ""ko"")"),"늦다")</f>
        <v>늦다</v>
      </c>
    </row>
    <row r="338" ht="15.75" customHeight="1">
      <c r="A338" s="1" t="s">
        <v>1023</v>
      </c>
      <c r="B338" s="1">
        <v>3.0</v>
      </c>
      <c r="C338" s="1" t="s">
        <v>1024</v>
      </c>
      <c r="D338" s="1" t="s">
        <v>486</v>
      </c>
      <c r="E338" s="1" t="s">
        <v>1025</v>
      </c>
      <c r="F338" s="1" t="str">
        <f>IFERROR(__xludf.DUMMYFUNCTION("GOOGLETRANSLATE(A338, ""zh-CN"", ""ko"")"),"~을 제외하고")</f>
        <v>~을 제외하고</v>
      </c>
    </row>
    <row r="339" ht="15.75" customHeight="1">
      <c r="A339" s="1" t="s">
        <v>1026</v>
      </c>
      <c r="B339" s="1">
        <v>3.0</v>
      </c>
      <c r="C339" s="1" t="s">
        <v>1027</v>
      </c>
      <c r="D339" s="1" t="s">
        <v>16</v>
      </c>
      <c r="E339" s="1" t="s">
        <v>1028</v>
      </c>
      <c r="F339" s="1" t="str">
        <f>IFERROR(__xludf.DUMMYFUNCTION("GOOGLETRANSLATE(A339, ""zh-CN"", ""ko"")"),"보트")</f>
        <v>보트</v>
      </c>
    </row>
    <row r="340" ht="15.75" customHeight="1">
      <c r="A340" s="1" t="s">
        <v>1029</v>
      </c>
      <c r="B340" s="1">
        <v>3.0</v>
      </c>
      <c r="C340" s="1" t="s">
        <v>1030</v>
      </c>
      <c r="D340" s="1" t="s">
        <v>16</v>
      </c>
      <c r="E340" s="1" t="s">
        <v>1031</v>
      </c>
      <c r="F340" s="1" t="str">
        <f>IFERROR(__xludf.DUMMYFUNCTION("GOOGLETRANSLATE(A340, ""zh-CN"", ""ko"")"),"봄")</f>
        <v>봄</v>
      </c>
    </row>
    <row r="341" ht="15.75" customHeight="1">
      <c r="A341" s="1" t="s">
        <v>1032</v>
      </c>
      <c r="B341" s="1">
        <v>3.0</v>
      </c>
      <c r="C341" s="1" t="s">
        <v>1033</v>
      </c>
      <c r="D341" s="1" t="s">
        <v>16</v>
      </c>
      <c r="E341" s="1" t="s">
        <v>1034</v>
      </c>
      <c r="F341" s="1" t="str">
        <f>IFERROR(__xludf.DUMMYFUNCTION("GOOGLETRANSLATE(A341, ""zh-CN"", ""ko"")"),"사전")</f>
        <v>사전</v>
      </c>
    </row>
    <row r="342" ht="15.75" customHeight="1">
      <c r="A342" s="1" t="s">
        <v>1035</v>
      </c>
      <c r="B342" s="1">
        <v>3.0</v>
      </c>
      <c r="C342" s="1" t="s">
        <v>1036</v>
      </c>
      <c r="D342" s="1" t="s">
        <v>52</v>
      </c>
      <c r="E342" s="1" t="s">
        <v>1037</v>
      </c>
      <c r="F342" s="1" t="str">
        <f>IFERROR(__xludf.DUMMYFUNCTION("GOOGLETRANSLATE(A342, ""zh-CN"", ""ko"")"),"영리한")</f>
        <v>영리한</v>
      </c>
    </row>
    <row r="343" ht="15.75" customHeight="1">
      <c r="A343" s="1" t="s">
        <v>1038</v>
      </c>
      <c r="B343" s="1">
        <v>3.0</v>
      </c>
      <c r="C343" s="1" t="s">
        <v>1039</v>
      </c>
      <c r="D343" s="1" t="s">
        <v>8</v>
      </c>
      <c r="E343" s="1" t="s">
        <v>1040</v>
      </c>
      <c r="F343" s="1" t="str">
        <f>IFERROR(__xludf.DUMMYFUNCTION("GOOGLETRANSLATE(A343, ""zh-CN"", ""ko"")"),"깨끗한")</f>
        <v>깨끗한</v>
      </c>
    </row>
    <row r="344" ht="15.75" customHeight="1">
      <c r="A344" s="1" t="s">
        <v>1041</v>
      </c>
      <c r="B344" s="1">
        <v>3.0</v>
      </c>
      <c r="C344" s="1" t="s">
        <v>1042</v>
      </c>
      <c r="D344" s="1" t="s">
        <v>8</v>
      </c>
      <c r="E344" s="1" t="s">
        <v>1043</v>
      </c>
      <c r="F344" s="1" t="str">
        <f>IFERROR(__xludf.DUMMYFUNCTION("GOOGLETRANSLATE(A344, ""zh-CN"", ""ko"")"),"의도하다")</f>
        <v>의도하다</v>
      </c>
    </row>
    <row r="345" ht="15.75" customHeight="1">
      <c r="A345" s="1" t="s">
        <v>1044</v>
      </c>
      <c r="B345" s="1">
        <v>3.0</v>
      </c>
      <c r="C345" s="1" t="s">
        <v>1045</v>
      </c>
      <c r="D345" s="1" t="s">
        <v>8</v>
      </c>
      <c r="E345" s="1" t="s">
        <v>1046</v>
      </c>
      <c r="F345" s="1" t="str">
        <f>IFERROR(__xludf.DUMMYFUNCTION("GOOGLETRANSLATE(A345, ""zh-CN"", ""ko"")"),"가져오다")</f>
        <v>가져오다</v>
      </c>
    </row>
    <row r="346" ht="15.75" customHeight="1">
      <c r="A346" s="1" t="s">
        <v>1047</v>
      </c>
      <c r="B346" s="1">
        <v>3.0</v>
      </c>
      <c r="C346" s="1" t="s">
        <v>1048</v>
      </c>
      <c r="D346" s="1" t="s">
        <v>8</v>
      </c>
      <c r="E346" s="1" t="s">
        <v>1049</v>
      </c>
      <c r="F346" s="1" t="str">
        <f>IFERROR(__xludf.DUMMYFUNCTION("GOOGLETRANSLATE(A346, ""zh-CN"", ""ko"")"),"걱정하다")</f>
        <v>걱정하다</v>
      </c>
    </row>
    <row r="347" ht="15.75" customHeight="1">
      <c r="A347" s="1" t="s">
        <v>1050</v>
      </c>
      <c r="B347" s="1">
        <v>3.0</v>
      </c>
      <c r="C347" s="1" t="s">
        <v>1051</v>
      </c>
      <c r="D347" s="1" t="s">
        <v>16</v>
      </c>
      <c r="E347" s="1" t="s">
        <v>1052</v>
      </c>
      <c r="F347" s="1" t="str">
        <f>IFERROR(__xludf.DUMMYFUNCTION("GOOGLETRANSLATE(A347, ""zh-CN"", ""ko"")"),"케이크")</f>
        <v>케이크</v>
      </c>
    </row>
    <row r="348" ht="15.75" customHeight="1">
      <c r="A348" s="1" t="s">
        <v>1053</v>
      </c>
      <c r="B348" s="1">
        <v>3.0</v>
      </c>
      <c r="C348" s="1" t="s">
        <v>1054</v>
      </c>
      <c r="D348" s="1" t="s">
        <v>33</v>
      </c>
      <c r="E348" s="1" t="s">
        <v>1055</v>
      </c>
      <c r="F348" s="1" t="str">
        <f>IFERROR(__xludf.DUMMYFUNCTION("GOOGLETRANSLATE(A348, ""zh-CN"", ""ko"")"),"틀림없이")</f>
        <v>틀림없이</v>
      </c>
    </row>
    <row r="349" ht="15.75" customHeight="1">
      <c r="A349" s="1" t="s">
        <v>1056</v>
      </c>
      <c r="B349" s="1">
        <v>3.0</v>
      </c>
      <c r="C349" s="1" t="s">
        <v>55</v>
      </c>
      <c r="D349" s="1" t="s">
        <v>56</v>
      </c>
      <c r="E349" s="1" t="s">
        <v>1057</v>
      </c>
      <c r="F349" s="1" t="str">
        <f>IFERROR(__xludf.DUMMYFUNCTION("GOOGLETRANSLATE(A349, ""zh-CN"", ""ko"")"),"땅")</f>
        <v>땅</v>
      </c>
    </row>
    <row r="350" ht="15.75" customHeight="1">
      <c r="A350" s="1" t="s">
        <v>1058</v>
      </c>
      <c r="B350" s="1">
        <v>3.0</v>
      </c>
      <c r="C350" s="1" t="s">
        <v>1059</v>
      </c>
      <c r="D350" s="1" t="s">
        <v>16</v>
      </c>
      <c r="E350" s="1" t="s">
        <v>1060</v>
      </c>
      <c r="F350" s="1" t="str">
        <f>IFERROR(__xludf.DUMMYFUNCTION("GOOGLETRANSLATE(A350, ""zh-CN"", ""ko"")"),"램프")</f>
        <v>램프</v>
      </c>
    </row>
    <row r="351" ht="15.75" customHeight="1">
      <c r="A351" s="1" t="s">
        <v>1061</v>
      </c>
      <c r="B351" s="1">
        <v>3.0</v>
      </c>
      <c r="C351" s="1" t="s">
        <v>1062</v>
      </c>
      <c r="D351" s="1" t="s">
        <v>16</v>
      </c>
      <c r="E351" s="1" t="s">
        <v>1063</v>
      </c>
      <c r="F351" s="1" t="str">
        <f>IFERROR(__xludf.DUMMYFUNCTION("GOOGLETRANSLATE(A351, ""zh-CN"", ""ko"")"),"장소")</f>
        <v>장소</v>
      </c>
    </row>
    <row r="352" ht="15.75" customHeight="1">
      <c r="A352" s="1" t="s">
        <v>1064</v>
      </c>
      <c r="B352" s="1">
        <v>3.0</v>
      </c>
      <c r="C352" s="1" t="s">
        <v>1065</v>
      </c>
      <c r="D352" s="1" t="s">
        <v>16</v>
      </c>
      <c r="E352" s="1" t="s">
        <v>1066</v>
      </c>
      <c r="F352" s="1" t="str">
        <f>IFERROR(__xludf.DUMMYFUNCTION("GOOGLETRANSLATE(A352, ""zh-CN"", ""ko"")"),"지하철")</f>
        <v>지하철</v>
      </c>
    </row>
    <row r="353" ht="15.75" customHeight="1">
      <c r="A353" s="1" t="s">
        <v>1067</v>
      </c>
      <c r="B353" s="1">
        <v>3.0</v>
      </c>
      <c r="C353" s="1" t="s">
        <v>1068</v>
      </c>
      <c r="D353" s="1" t="s">
        <v>16</v>
      </c>
      <c r="E353" s="1" t="s">
        <v>1069</v>
      </c>
      <c r="F353" s="1" t="str">
        <f>IFERROR(__xludf.DUMMYFUNCTION("GOOGLETRANSLATE(A353, ""zh-CN"", ""ko"")"),"지도")</f>
        <v>지도</v>
      </c>
    </row>
    <row r="354" ht="15.75" customHeight="1">
      <c r="A354" s="1" t="s">
        <v>1070</v>
      </c>
      <c r="B354" s="1">
        <v>3.0</v>
      </c>
      <c r="C354" s="1" t="s">
        <v>1071</v>
      </c>
      <c r="D354" s="1" t="s">
        <v>16</v>
      </c>
      <c r="E354" s="1" t="s">
        <v>1072</v>
      </c>
      <c r="F354" s="1" t="str">
        <f>IFERROR(__xludf.DUMMYFUNCTION("GOOGLETRANSLATE(A354, ""zh-CN"", ""ko"")"),"엘리베이터")</f>
        <v>엘리베이터</v>
      </c>
    </row>
    <row r="355" ht="15.75" customHeight="1">
      <c r="A355" s="1" t="s">
        <v>1073</v>
      </c>
      <c r="B355" s="1">
        <v>3.0</v>
      </c>
      <c r="C355" s="1" t="s">
        <v>1074</v>
      </c>
      <c r="E355" s="1" t="s">
        <v>1075</v>
      </c>
      <c r="F355" s="1" t="str">
        <f>IFERROR(__xludf.DUMMYFUNCTION("GOOGLETRANSLATE(A355, ""zh-CN"", ""ko"")"),"이메일")</f>
        <v>이메일</v>
      </c>
    </row>
    <row r="356" ht="15.75" customHeight="1">
      <c r="A356" s="1" t="s">
        <v>1076</v>
      </c>
      <c r="B356" s="1">
        <v>3.0</v>
      </c>
      <c r="C356" s="1" t="s">
        <v>1077</v>
      </c>
      <c r="D356" s="1" t="s">
        <v>16</v>
      </c>
      <c r="E356" s="1" t="s">
        <v>1078</v>
      </c>
      <c r="F356" s="1" t="str">
        <f>IFERROR(__xludf.DUMMYFUNCTION("GOOGLETRANSLATE(A356, ""zh-CN"", ""ko"")"),"동쪽")</f>
        <v>동쪽</v>
      </c>
    </row>
    <row r="357" ht="15.75" customHeight="1">
      <c r="A357" s="1" t="s">
        <v>1079</v>
      </c>
      <c r="B357" s="1">
        <v>3.0</v>
      </c>
      <c r="C357" s="1" t="s">
        <v>1077</v>
      </c>
      <c r="D357" s="1" t="s">
        <v>16</v>
      </c>
      <c r="E357" s="1" t="s">
        <v>1080</v>
      </c>
      <c r="F357" s="1" t="str">
        <f>IFERROR(__xludf.DUMMYFUNCTION("GOOGLETRANSLATE(A357, ""zh-CN"", ""ko"")"),"겨울")</f>
        <v>겨울</v>
      </c>
    </row>
    <row r="358" ht="15.75" customHeight="1">
      <c r="A358" s="1" t="s">
        <v>1081</v>
      </c>
      <c r="B358" s="1">
        <v>3.0</v>
      </c>
      <c r="C358" s="1" t="s">
        <v>1082</v>
      </c>
      <c r="D358" s="1" t="s">
        <v>16</v>
      </c>
      <c r="E358" s="1" t="s">
        <v>1083</v>
      </c>
      <c r="F358" s="1" t="str">
        <f>IFERROR(__xludf.DUMMYFUNCTION("GOOGLETRANSLATE(A358, ""zh-CN"", ""ko"")"),"동물")</f>
        <v>동물</v>
      </c>
    </row>
    <row r="359" ht="15.75" customHeight="1">
      <c r="A359" s="1" t="s">
        <v>1084</v>
      </c>
      <c r="B359" s="1">
        <v>3.0</v>
      </c>
      <c r="C359" s="1" t="s">
        <v>1085</v>
      </c>
      <c r="D359" s="1" t="s">
        <v>52</v>
      </c>
      <c r="E359" s="1" t="s">
        <v>1086</v>
      </c>
      <c r="F359" s="1" t="str">
        <f>IFERROR(__xludf.DUMMYFUNCTION("GOOGLETRANSLATE(A359, ""zh-CN"", ""ko"")"),"짧은")</f>
        <v>짧은</v>
      </c>
    </row>
    <row r="360" ht="15.75" customHeight="1">
      <c r="A360" s="1" t="s">
        <v>1087</v>
      </c>
      <c r="B360" s="1">
        <v>3.0</v>
      </c>
      <c r="C360" s="1" t="s">
        <v>1088</v>
      </c>
      <c r="D360" s="1" t="s">
        <v>26</v>
      </c>
      <c r="E360" s="1" t="s">
        <v>1089</v>
      </c>
      <c r="F360" s="1" t="str">
        <f>IFERROR(__xludf.DUMMYFUNCTION("GOOGLETRANSLATE(A360, ""zh-CN"", ""ko"")"),"부분")</f>
        <v>부분</v>
      </c>
    </row>
    <row r="361" ht="15.75" customHeight="1">
      <c r="A361" s="1" t="s">
        <v>1090</v>
      </c>
      <c r="B361" s="1">
        <v>3.0</v>
      </c>
      <c r="C361" s="1" t="s">
        <v>1091</v>
      </c>
      <c r="D361" s="1" t="s">
        <v>8</v>
      </c>
      <c r="E361" s="1" t="s">
        <v>1092</v>
      </c>
      <c r="F361" s="1" t="str">
        <f>IFERROR(__xludf.DUMMYFUNCTION("GOOGLETRANSLATE(A361, ""zh-CN"", ""ko"")"),"운동")</f>
        <v>운동</v>
      </c>
    </row>
    <row r="362" ht="15.75" customHeight="1">
      <c r="A362" s="1" t="s">
        <v>1093</v>
      </c>
      <c r="B362" s="1">
        <v>3.0</v>
      </c>
      <c r="C362" s="1" t="s">
        <v>1094</v>
      </c>
      <c r="D362" s="1" t="s">
        <v>33</v>
      </c>
      <c r="E362" s="1" t="s">
        <v>1095</v>
      </c>
      <c r="F362" s="1" t="str">
        <f>IFERROR(__xludf.DUMMYFUNCTION("GOOGLETRANSLATE(A362, ""zh-CN"", ""ko"")"),"어떻게")</f>
        <v>어떻게</v>
      </c>
    </row>
    <row r="363" ht="15.75" customHeight="1">
      <c r="A363" s="1" t="s">
        <v>1096</v>
      </c>
      <c r="B363" s="1">
        <v>3.0</v>
      </c>
      <c r="C363" s="1" t="s">
        <v>1097</v>
      </c>
      <c r="D363" s="1" t="s">
        <v>52</v>
      </c>
      <c r="E363" s="1" t="s">
        <v>1098</v>
      </c>
      <c r="F363" s="1" t="str">
        <f>IFERROR(__xludf.DUMMYFUNCTION("GOOGLETRANSLATE(A363, ""zh-CN"", ""ko"")"),"배고픈")</f>
        <v>배고픈</v>
      </c>
    </row>
    <row r="364" ht="15.75" customHeight="1">
      <c r="A364" s="1" t="s">
        <v>1099</v>
      </c>
      <c r="B364" s="1">
        <v>3.0</v>
      </c>
      <c r="C364" s="1" t="s">
        <v>1100</v>
      </c>
      <c r="D364" s="1" t="s">
        <v>16</v>
      </c>
      <c r="E364" s="1" t="s">
        <v>1101</v>
      </c>
      <c r="F364" s="1" t="str">
        <f>IFERROR(__xludf.DUMMYFUNCTION("GOOGLETRANSLATE(A364, ""zh-CN"", ""ko"")"),"귀")</f>
        <v>귀</v>
      </c>
    </row>
    <row r="365" ht="15.75" customHeight="1">
      <c r="A365" s="1" t="s">
        <v>1102</v>
      </c>
      <c r="B365" s="1">
        <v>3.0</v>
      </c>
      <c r="C365" s="1" t="s">
        <v>1103</v>
      </c>
      <c r="D365" s="1" t="s">
        <v>8</v>
      </c>
      <c r="E365" s="1" t="s">
        <v>1104</v>
      </c>
      <c r="F365" s="1" t="str">
        <f>IFERROR(__xludf.DUMMYFUNCTION("GOOGLETRANSLATE(A365, ""zh-CN"", ""ko"")"),"머리카락")</f>
        <v>머리카락</v>
      </c>
    </row>
    <row r="366" ht="15.75" customHeight="1">
      <c r="A366" s="1" t="s">
        <v>1105</v>
      </c>
      <c r="B366" s="1">
        <v>3.0</v>
      </c>
      <c r="C366" s="1" t="s">
        <v>1106</v>
      </c>
      <c r="D366" s="1" t="s">
        <v>8</v>
      </c>
      <c r="E366" s="1" t="s">
        <v>1107</v>
      </c>
      <c r="F366" s="1" t="str">
        <f>IFERROR(__xludf.DUMMYFUNCTION("GOOGLETRANSLATE(A366, ""zh-CN"", ""ko"")"),"발열")</f>
        <v>발열</v>
      </c>
    </row>
    <row r="367" ht="15.75" customHeight="1">
      <c r="A367" s="1" t="s">
        <v>1108</v>
      </c>
      <c r="B367" s="1">
        <v>3.0</v>
      </c>
      <c r="C367" s="1" t="s">
        <v>1109</v>
      </c>
      <c r="D367" s="1" t="s">
        <v>8</v>
      </c>
      <c r="E367" s="1" t="s">
        <v>1110</v>
      </c>
      <c r="F367" s="1" t="str">
        <f>IFERROR(__xludf.DUMMYFUNCTION("GOOGLETRANSLATE(A367, ""zh-CN"", ""ko"")"),"발견하다")</f>
        <v>발견하다</v>
      </c>
    </row>
    <row r="368" ht="15.75" customHeight="1">
      <c r="A368" s="1" t="s">
        <v>1111</v>
      </c>
      <c r="B368" s="1">
        <v>3.0</v>
      </c>
      <c r="C368" s="1" t="s">
        <v>1112</v>
      </c>
      <c r="D368" s="1" t="s">
        <v>52</v>
      </c>
      <c r="E368" s="1" t="s">
        <v>1113</v>
      </c>
      <c r="F368" s="1" t="str">
        <f>IFERROR(__xludf.DUMMYFUNCTION("GOOGLETRANSLATE(A368, ""zh-CN"", ""ko"")"),"편리한")</f>
        <v>편리한</v>
      </c>
    </row>
    <row r="369" ht="15.75" customHeight="1">
      <c r="A369" s="1" t="s">
        <v>1114</v>
      </c>
      <c r="B369" s="1">
        <v>3.0</v>
      </c>
      <c r="C369" s="1" t="s">
        <v>1115</v>
      </c>
      <c r="D369" s="1" t="s">
        <v>8</v>
      </c>
      <c r="E369" s="1" t="s">
        <v>1116</v>
      </c>
      <c r="F369" s="1" t="str">
        <f>IFERROR(__xludf.DUMMYFUNCTION("GOOGLETRANSLATE(A369, ""zh-CN"", ""ko"")"),"놓다")</f>
        <v>놓다</v>
      </c>
    </row>
    <row r="370" ht="15.75" customHeight="1">
      <c r="A370" s="1" t="s">
        <v>1117</v>
      </c>
      <c r="B370" s="1">
        <v>3.0</v>
      </c>
      <c r="C370" s="1" t="s">
        <v>1118</v>
      </c>
      <c r="D370" s="1" t="s">
        <v>8</v>
      </c>
      <c r="E370" s="1" t="s">
        <v>1119</v>
      </c>
      <c r="F370" s="1" t="str">
        <f>IFERROR(__xludf.DUMMYFUNCTION("GOOGLETRANSLATE(A370, ""zh-CN"", ""ko"")"),"안심하세요")</f>
        <v>안심하세요</v>
      </c>
    </row>
    <row r="371" ht="15.75" customHeight="1">
      <c r="A371" s="1" t="s">
        <v>1120</v>
      </c>
      <c r="B371" s="1">
        <v>3.0</v>
      </c>
      <c r="C371" s="1" t="s">
        <v>1121</v>
      </c>
      <c r="D371" s="1" t="s">
        <v>1122</v>
      </c>
      <c r="E371" s="1" t="s">
        <v>104</v>
      </c>
      <c r="F371" s="1" t="str">
        <f>IFERROR(__xludf.DUMMYFUNCTION("GOOGLETRANSLATE(A371, ""zh-CN"", ""ko"")"),"가리키다")</f>
        <v>가리키다</v>
      </c>
    </row>
    <row r="372" ht="15.75" customHeight="1">
      <c r="A372" s="1" t="s">
        <v>1123</v>
      </c>
      <c r="B372" s="1">
        <v>3.0</v>
      </c>
      <c r="C372" s="1" t="s">
        <v>1124</v>
      </c>
      <c r="D372" s="1" t="s">
        <v>16</v>
      </c>
      <c r="E372" s="1" t="s">
        <v>1125</v>
      </c>
      <c r="F372" s="1" t="str">
        <f>IFERROR(__xludf.DUMMYFUNCTION("GOOGLETRANSLATE(A372, ""zh-CN"", ""ko"")"),"가까운")</f>
        <v>가까운</v>
      </c>
    </row>
    <row r="373" ht="15.75" customHeight="1">
      <c r="A373" s="1" t="s">
        <v>1126</v>
      </c>
      <c r="B373" s="1">
        <v>3.0</v>
      </c>
      <c r="C373" s="1" t="s">
        <v>1127</v>
      </c>
      <c r="D373" s="1" t="s">
        <v>8</v>
      </c>
      <c r="E373" s="1" t="s">
        <v>1128</v>
      </c>
      <c r="F373" s="1" t="str">
        <f>IFERROR(__xludf.DUMMYFUNCTION("GOOGLETRANSLATE(A373, ""zh-CN"", ""ko"")"),"검토")</f>
        <v>검토</v>
      </c>
    </row>
    <row r="374" ht="15.75" customHeight="1">
      <c r="A374" s="1" t="s">
        <v>1129</v>
      </c>
      <c r="B374" s="1">
        <v>3.0</v>
      </c>
      <c r="C374" s="1" t="s">
        <v>1130</v>
      </c>
      <c r="D374" s="1" t="s">
        <v>52</v>
      </c>
      <c r="E374" s="1" t="s">
        <v>1131</v>
      </c>
      <c r="F374" s="1" t="str">
        <f>IFERROR(__xludf.DUMMYFUNCTION("GOOGLETRANSLATE(A374, ""zh-CN"", ""ko"")"),"깨끗한")</f>
        <v>깨끗한</v>
      </c>
    </row>
    <row r="375" ht="15.75" customHeight="1">
      <c r="A375" s="1" t="s">
        <v>1132</v>
      </c>
      <c r="B375" s="1">
        <v>3.0</v>
      </c>
      <c r="C375" s="1" t="s">
        <v>1133</v>
      </c>
      <c r="D375" s="1" t="s">
        <v>8</v>
      </c>
      <c r="E375" s="1" t="s">
        <v>1134</v>
      </c>
      <c r="F375" s="1" t="str">
        <f>IFERROR(__xludf.DUMMYFUNCTION("GOOGLETRANSLATE(A375, ""zh-CN"", ""ko"")"),"추운")</f>
        <v>추운</v>
      </c>
    </row>
    <row r="376" ht="15.75" customHeight="1">
      <c r="A376" s="1" t="s">
        <v>1135</v>
      </c>
      <c r="B376" s="1">
        <v>3.0</v>
      </c>
      <c r="C376" s="1" t="s">
        <v>1136</v>
      </c>
      <c r="D376" s="1" t="s">
        <v>8</v>
      </c>
      <c r="E376" s="1" t="s">
        <v>1137</v>
      </c>
      <c r="F376" s="1" t="str">
        <f>IFERROR(__xludf.DUMMYFUNCTION("GOOGLETRANSLATE(A376, ""zh-CN"", ""ko"")"),"관심 있는")</f>
        <v>관심 있는</v>
      </c>
    </row>
    <row r="377" ht="15.75" customHeight="1">
      <c r="A377" s="1" t="s">
        <v>1138</v>
      </c>
      <c r="B377" s="1">
        <v>3.0</v>
      </c>
      <c r="C377" s="1" t="s">
        <v>1139</v>
      </c>
      <c r="D377" s="1" t="s">
        <v>16</v>
      </c>
      <c r="E377" s="1" t="s">
        <v>1140</v>
      </c>
      <c r="F377" s="1" t="str">
        <f>IFERROR(__xludf.DUMMYFUNCTION("GOOGLETRANSLATE(A377, ""zh-CN"", ""ko"")"),"방금")</f>
        <v>방금</v>
      </c>
    </row>
    <row r="378" ht="15.75" customHeight="1">
      <c r="A378" s="1" t="s">
        <v>1141</v>
      </c>
      <c r="B378" s="1">
        <v>3.0</v>
      </c>
      <c r="C378" s="1" t="s">
        <v>1142</v>
      </c>
      <c r="D378" s="1" t="s">
        <v>16</v>
      </c>
      <c r="E378" s="1" t="s">
        <v>1143</v>
      </c>
      <c r="F378" s="1" t="str">
        <f>IFERROR(__xludf.DUMMYFUNCTION("GOOGLETRANSLATE(A378, ""zh-CN"", ""ko"")"),"키")</f>
        <v>키</v>
      </c>
    </row>
    <row r="379" ht="15.75" customHeight="1">
      <c r="A379" s="1" t="s">
        <v>1144</v>
      </c>
      <c r="B379" s="1">
        <v>3.0</v>
      </c>
      <c r="C379" s="1" t="s">
        <v>1145</v>
      </c>
      <c r="D379" s="1" t="s">
        <v>486</v>
      </c>
      <c r="E379" s="1" t="s">
        <v>1146</v>
      </c>
      <c r="F379" s="1" t="str">
        <f>IFERROR(__xludf.DUMMYFUNCTION("GOOGLETRANSLATE(A379, ""zh-CN"", ""ko"")"),"그리고")</f>
        <v>그리고</v>
      </c>
    </row>
    <row r="380" ht="15.75" customHeight="1">
      <c r="A380" s="1" t="s">
        <v>1147</v>
      </c>
      <c r="B380" s="1">
        <v>3.0</v>
      </c>
      <c r="C380" s="1" t="s">
        <v>1148</v>
      </c>
      <c r="D380" s="1" t="s">
        <v>1149</v>
      </c>
      <c r="E380" s="1" t="s">
        <v>1150</v>
      </c>
      <c r="F380" s="1" t="str">
        <f>IFERROR(__xludf.DUMMYFUNCTION("GOOGLETRANSLATE(A380, ""zh-CN"", ""ko"")"),"~에 따르면")</f>
        <v>~에 따르면</v>
      </c>
    </row>
    <row r="381" ht="15.75" customHeight="1">
      <c r="A381" s="1" t="s">
        <v>1151</v>
      </c>
      <c r="B381" s="1">
        <v>3.0</v>
      </c>
      <c r="C381" s="1" t="s">
        <v>1152</v>
      </c>
      <c r="D381" s="1" t="s">
        <v>33</v>
      </c>
      <c r="E381" s="1" t="s">
        <v>1153</v>
      </c>
      <c r="F381" s="1" t="str">
        <f>IFERROR(__xludf.DUMMYFUNCTION("GOOGLETRANSLATE(A381, ""zh-CN"", ""ko"")"),"심지어")</f>
        <v>심지어</v>
      </c>
    </row>
    <row r="382" ht="15.75" customHeight="1">
      <c r="A382" s="1" t="s">
        <v>1154</v>
      </c>
      <c r="B382" s="1">
        <v>3.0</v>
      </c>
      <c r="C382" s="1" t="s">
        <v>1155</v>
      </c>
      <c r="D382" s="1" t="s">
        <v>26</v>
      </c>
      <c r="E382" s="1" t="s">
        <v>1156</v>
      </c>
      <c r="F382" s="1" t="str">
        <f>IFERROR(__xludf.DUMMYFUNCTION("GOOGLETRANSLATE(A382, ""zh-CN"", ""ko"")"),"킬로그램")</f>
        <v>킬로그램</v>
      </c>
    </row>
    <row r="383" ht="15.75" customHeight="1">
      <c r="A383" s="1" t="s">
        <v>1157</v>
      </c>
      <c r="B383" s="1">
        <v>3.0</v>
      </c>
      <c r="C383" s="1" t="s">
        <v>1158</v>
      </c>
      <c r="D383" s="1" t="s">
        <v>16</v>
      </c>
      <c r="E383" s="1" t="s">
        <v>1159</v>
      </c>
      <c r="F383" s="1" t="str">
        <f>IFERROR(__xludf.DUMMYFUNCTION("GOOGLETRANSLATE(A383, ""zh-CN"", ""ko"")"),"정원")</f>
        <v>정원</v>
      </c>
    </row>
    <row r="384" ht="15.75" customHeight="1">
      <c r="A384" s="1" t="s">
        <v>1160</v>
      </c>
      <c r="B384" s="1">
        <v>3.0</v>
      </c>
      <c r="C384" s="1" t="s">
        <v>1161</v>
      </c>
      <c r="D384" s="1" t="s">
        <v>16</v>
      </c>
      <c r="E384" s="1" t="s">
        <v>1162</v>
      </c>
      <c r="F384" s="1" t="str">
        <f>IFERROR(__xludf.DUMMYFUNCTION("GOOGLETRANSLATE(A384, ""zh-CN"", ""ko"")"),"이야기")</f>
        <v>이야기</v>
      </c>
    </row>
    <row r="385" ht="15.75" customHeight="1">
      <c r="A385" s="1" t="s">
        <v>1163</v>
      </c>
      <c r="B385" s="1">
        <v>3.0</v>
      </c>
      <c r="C385" s="1" t="s">
        <v>1164</v>
      </c>
      <c r="D385" s="1" t="s">
        <v>8</v>
      </c>
      <c r="E385" s="1" t="s">
        <v>1165</v>
      </c>
      <c r="F385" s="1" t="str">
        <f>IFERROR(__xludf.DUMMYFUNCTION("GOOGLETRANSLATE(A385, ""zh-CN"", ""ko"")"),"바람")</f>
        <v>바람</v>
      </c>
    </row>
    <row r="386" ht="15.75" customHeight="1">
      <c r="A386" s="1" t="s">
        <v>1166</v>
      </c>
      <c r="B386" s="1">
        <v>3.0</v>
      </c>
      <c r="C386" s="1" t="s">
        <v>1167</v>
      </c>
      <c r="D386" s="1" t="s">
        <v>8</v>
      </c>
      <c r="E386" s="1" t="s">
        <v>1168</v>
      </c>
      <c r="F386" s="1" t="str">
        <f>IFERROR(__xludf.DUMMYFUNCTION("GOOGLETRANSLATE(A386, ""zh-CN"", ""ko"")"),"닫다")</f>
        <v>닫다</v>
      </c>
    </row>
    <row r="387" ht="15.75" customHeight="1">
      <c r="A387" s="1" t="s">
        <v>1169</v>
      </c>
      <c r="B387" s="1">
        <v>3.0</v>
      </c>
      <c r="C387" s="1" t="s">
        <v>1170</v>
      </c>
      <c r="D387" s="1" t="s">
        <v>16</v>
      </c>
      <c r="E387" s="1" t="s">
        <v>1171</v>
      </c>
      <c r="F387" s="1" t="str">
        <f>IFERROR(__xludf.DUMMYFUNCTION("GOOGLETRANSLATE(A387, ""zh-CN"", ""ko"")"),"관계")</f>
        <v>관계</v>
      </c>
    </row>
    <row r="388" ht="15.75" customHeight="1">
      <c r="A388" s="1" t="s">
        <v>1172</v>
      </c>
      <c r="B388" s="1">
        <v>3.0</v>
      </c>
      <c r="C388" s="1" t="s">
        <v>1173</v>
      </c>
      <c r="D388" s="1" t="s">
        <v>8</v>
      </c>
      <c r="E388" s="1" t="s">
        <v>1174</v>
      </c>
      <c r="F388" s="1" t="str">
        <f>IFERROR(__xludf.DUMMYFUNCTION("GOOGLETRANSLATE(A388, ""zh-CN"", ""ko"")"),"케어")</f>
        <v>케어</v>
      </c>
    </row>
    <row r="389" ht="15.75" customHeight="1">
      <c r="A389" s="1" t="s">
        <v>1175</v>
      </c>
      <c r="B389" s="1">
        <v>3.0</v>
      </c>
      <c r="C389" s="1" t="s">
        <v>1176</v>
      </c>
      <c r="D389" s="1" t="s">
        <v>486</v>
      </c>
      <c r="E389" s="1" t="s">
        <v>1177</v>
      </c>
      <c r="F389" s="1" t="str">
        <f>IFERROR(__xludf.DUMMYFUNCTION("GOOGLETRANSLATE(A389, ""zh-CN"", ""ko"")"),"~에 대한")</f>
        <v>~에 대한</v>
      </c>
    </row>
    <row r="390" ht="15.75" customHeight="1">
      <c r="A390" s="1" t="s">
        <v>1178</v>
      </c>
      <c r="B390" s="1">
        <v>3.0</v>
      </c>
      <c r="C390" s="1" t="s">
        <v>1179</v>
      </c>
      <c r="D390" s="1" t="s">
        <v>16</v>
      </c>
      <c r="E390" s="1" t="s">
        <v>1180</v>
      </c>
      <c r="F390" s="1" t="str">
        <f>IFERROR(__xludf.DUMMYFUNCTION("GOOGLETRANSLATE(A390, ""zh-CN"", ""ko"")"),"국가")</f>
        <v>국가</v>
      </c>
    </row>
    <row r="391" ht="15.75" customHeight="1">
      <c r="A391" s="1" t="s">
        <v>1181</v>
      </c>
      <c r="B391" s="1">
        <v>3.0</v>
      </c>
      <c r="C391" s="1" t="s">
        <v>1182</v>
      </c>
      <c r="D391" s="1" t="s">
        <v>16</v>
      </c>
      <c r="E391" s="1" t="s">
        <v>1183</v>
      </c>
      <c r="F391" s="1" t="str">
        <f>IFERROR(__xludf.DUMMYFUNCTION("GOOGLETRANSLATE(A391, ""zh-CN"", ""ko"")"),"과거")</f>
        <v>과거</v>
      </c>
    </row>
    <row r="392" ht="15.75" customHeight="1">
      <c r="A392" s="1" t="s">
        <v>1184</v>
      </c>
      <c r="B392" s="1">
        <v>3.0</v>
      </c>
      <c r="C392" s="1" t="s">
        <v>1185</v>
      </c>
      <c r="D392" s="1" t="s">
        <v>1186</v>
      </c>
      <c r="E392" s="1" t="s">
        <v>1187</v>
      </c>
      <c r="F392" s="1" t="str">
        <f>IFERROR(__xludf.DUMMYFUNCTION("GOOGLETRANSLATE(A392, ""zh-CN"", ""ko"")"),"아직")</f>
        <v>아직</v>
      </c>
    </row>
    <row r="393" ht="15.75" customHeight="1">
      <c r="A393" s="1" t="s">
        <v>1188</v>
      </c>
      <c r="B393" s="1">
        <v>3.0</v>
      </c>
      <c r="C393" s="1" t="s">
        <v>1189</v>
      </c>
      <c r="D393" s="1" t="s">
        <v>8</v>
      </c>
      <c r="E393" s="1" t="s">
        <v>1190</v>
      </c>
      <c r="F393" s="1" t="str">
        <f>IFERROR(__xludf.DUMMYFUNCTION("GOOGLETRANSLATE(A393, ""zh-CN"", ""ko"")"),"두려움")</f>
        <v>두려움</v>
      </c>
    </row>
    <row r="394" ht="15.75" customHeight="1">
      <c r="A394" s="1" t="s">
        <v>1191</v>
      </c>
      <c r="B394" s="1">
        <v>3.0</v>
      </c>
      <c r="C394" s="1" t="s">
        <v>1192</v>
      </c>
      <c r="D394" s="1" t="s">
        <v>16</v>
      </c>
      <c r="E394" s="1" t="s">
        <v>1193</v>
      </c>
      <c r="F394" s="1" t="str">
        <f>IFERROR(__xludf.DUMMYFUNCTION("GOOGLETRANSLATE(A394, ""zh-CN"", ""ko"")"),"칠판")</f>
        <v>칠판</v>
      </c>
    </row>
    <row r="395" ht="15.75" customHeight="1">
      <c r="A395" s="1" t="s">
        <v>1194</v>
      </c>
      <c r="B395" s="1">
        <v>3.0</v>
      </c>
      <c r="C395" s="1" t="s">
        <v>1195</v>
      </c>
      <c r="D395" s="1" t="s">
        <v>16</v>
      </c>
      <c r="E395" s="1" t="s">
        <v>1196</v>
      </c>
      <c r="F395" s="1" t="str">
        <f>IFERROR(__xludf.DUMMYFUNCTION("GOOGLETRANSLATE(A395, ""zh-CN"", ""ko"")"),"나중에")</f>
        <v>나중에</v>
      </c>
    </row>
    <row r="396" ht="15.75" customHeight="1">
      <c r="A396" s="1" t="s">
        <v>1197</v>
      </c>
      <c r="B396" s="1">
        <v>3.0</v>
      </c>
      <c r="C396" s="1" t="s">
        <v>1198</v>
      </c>
      <c r="D396" s="1" t="s">
        <v>16</v>
      </c>
      <c r="E396" s="1" t="s">
        <v>1199</v>
      </c>
      <c r="F396" s="1" t="str">
        <f>IFERROR(__xludf.DUMMYFUNCTION("GOOGLETRANSLATE(A396, ""zh-CN"", ""ko"")"),"여권")</f>
        <v>여권</v>
      </c>
    </row>
    <row r="397" ht="15.75" customHeight="1">
      <c r="A397" s="1" t="s">
        <v>1200</v>
      </c>
      <c r="B397" s="1">
        <v>3.0</v>
      </c>
      <c r="C397" s="1" t="s">
        <v>1201</v>
      </c>
      <c r="D397" s="1" t="s">
        <v>8</v>
      </c>
      <c r="E397" s="1" t="s">
        <v>1202</v>
      </c>
      <c r="F397" s="1" t="str">
        <f>IFERROR(__xludf.DUMMYFUNCTION("GOOGLETRANSLATE(A397, ""zh-CN"", ""ko"")"),"꽃")</f>
        <v>꽃</v>
      </c>
    </row>
    <row r="398" ht="15.75" customHeight="1">
      <c r="A398" s="1" t="s">
        <v>1203</v>
      </c>
      <c r="B398" s="1">
        <v>3.0</v>
      </c>
      <c r="C398" s="1" t="s">
        <v>1204</v>
      </c>
      <c r="D398" s="1" t="s">
        <v>113</v>
      </c>
      <c r="E398" s="1" t="s">
        <v>1205</v>
      </c>
      <c r="F398" s="1" t="str">
        <f>IFERROR(__xludf.DUMMYFUNCTION("GOOGLETRANSLATE(A398, ""zh-CN"", ""ko"")"),"그림")</f>
        <v>그림</v>
      </c>
    </row>
    <row r="399" ht="15.75" customHeight="1">
      <c r="A399" s="1" t="s">
        <v>1206</v>
      </c>
      <c r="B399" s="1">
        <v>3.0</v>
      </c>
      <c r="C399" s="1" t="s">
        <v>1207</v>
      </c>
      <c r="D399" s="1" t="s">
        <v>52</v>
      </c>
      <c r="E399" s="1" t="s">
        <v>1208</v>
      </c>
      <c r="F399" s="1" t="str">
        <f>IFERROR(__xludf.DUMMYFUNCTION("GOOGLETRANSLATE(A399, ""zh-CN"", ""ko"")"),"나쁜")</f>
        <v>나쁜</v>
      </c>
    </row>
    <row r="400" ht="15.75" customHeight="1">
      <c r="A400" s="1" t="s">
        <v>1209</v>
      </c>
      <c r="B400" s="1">
        <v>3.0</v>
      </c>
      <c r="C400" s="1" t="s">
        <v>1210</v>
      </c>
      <c r="D400" s="1" t="s">
        <v>8</v>
      </c>
      <c r="E400" s="1" t="s">
        <v>1211</v>
      </c>
      <c r="F400" s="1" t="str">
        <f>IFERROR(__xludf.DUMMYFUNCTION("GOOGLETRANSLATE(A400, ""zh-CN"", ""ko"")"),"환영")</f>
        <v>환영</v>
      </c>
    </row>
    <row r="401" ht="15.75" customHeight="1">
      <c r="A401" s="1" t="s">
        <v>1212</v>
      </c>
      <c r="B401" s="1">
        <v>3.0</v>
      </c>
      <c r="C401" s="1" t="s">
        <v>1213</v>
      </c>
      <c r="D401" s="1" t="s">
        <v>16</v>
      </c>
      <c r="E401" s="1" t="s">
        <v>1214</v>
      </c>
      <c r="F401" s="1" t="str">
        <f>IFERROR(__xludf.DUMMYFUNCTION("GOOGLETRANSLATE(A401, ""zh-CN"", ""ko"")"),"환경")</f>
        <v>환경</v>
      </c>
    </row>
    <row r="402" ht="15.75" customHeight="1">
      <c r="A402" s="1" t="s">
        <v>1215</v>
      </c>
      <c r="B402" s="1">
        <v>3.0</v>
      </c>
      <c r="C402" s="1" t="s">
        <v>1216</v>
      </c>
      <c r="D402" s="1" t="s">
        <v>8</v>
      </c>
      <c r="E402" s="1" t="s">
        <v>1217</v>
      </c>
      <c r="F402" s="1" t="str">
        <f>IFERROR(__xludf.DUMMYFUNCTION("GOOGLETRANSLATE(A402, ""zh-CN"", ""ko"")"),"변화")</f>
        <v>변화</v>
      </c>
    </row>
    <row r="403" ht="15.75" customHeight="1">
      <c r="A403" s="1" t="s">
        <v>1218</v>
      </c>
      <c r="B403" s="1">
        <v>3.0</v>
      </c>
      <c r="C403" s="1" t="s">
        <v>1219</v>
      </c>
      <c r="D403" s="1" t="s">
        <v>16</v>
      </c>
      <c r="E403" s="1" t="s">
        <v>1220</v>
      </c>
      <c r="F403" s="1" t="str">
        <f>IFERROR(__xludf.DUMMYFUNCTION("GOOGLETRANSLATE(A403, ""zh-CN"", ""ko"")"),"황하")</f>
        <v>황하</v>
      </c>
    </row>
    <row r="404" ht="15.75" customHeight="1">
      <c r="A404" s="1" t="s">
        <v>1221</v>
      </c>
      <c r="B404" s="1">
        <v>3.0</v>
      </c>
      <c r="C404" s="1" t="s">
        <v>1222</v>
      </c>
      <c r="D404" s="1" t="s">
        <v>8</v>
      </c>
      <c r="E404" s="1" t="s">
        <v>1223</v>
      </c>
      <c r="F404" s="1" t="str">
        <f>IFERROR(__xludf.DUMMYFUNCTION("GOOGLETRANSLATE(A404, ""zh-CN"", ""ko"")"),"답변")</f>
        <v>답변</v>
      </c>
    </row>
    <row r="405" ht="15.75" customHeight="1">
      <c r="A405" s="1" t="s">
        <v>1224</v>
      </c>
      <c r="B405" s="1">
        <v>3.0</v>
      </c>
      <c r="C405" s="1" t="s">
        <v>1225</v>
      </c>
      <c r="D405" s="1" t="s">
        <v>16</v>
      </c>
      <c r="E405" s="1" t="s">
        <v>1226</v>
      </c>
      <c r="F405" s="1" t="str">
        <f>IFERROR(__xludf.DUMMYFUNCTION("GOOGLETRANSLATE(A405, ""zh-CN"", ""ko"")"),"회의")</f>
        <v>회의</v>
      </c>
    </row>
    <row r="406" ht="15.75" customHeight="1">
      <c r="A406" s="1" t="s">
        <v>1227</v>
      </c>
      <c r="B406" s="1">
        <v>3.0</v>
      </c>
      <c r="C406" s="1" t="s">
        <v>1228</v>
      </c>
      <c r="D406" s="1" t="s">
        <v>33</v>
      </c>
      <c r="E406" s="1" t="s">
        <v>1229</v>
      </c>
      <c r="F406" s="1" t="str">
        <f>IFERROR(__xludf.DUMMYFUNCTION("GOOGLETRANSLATE(A406, ""zh-CN"", ""ko"")"),"또는")</f>
        <v>또는</v>
      </c>
    </row>
    <row r="407" ht="15.75" customHeight="1">
      <c r="A407" s="1" t="s">
        <v>1230</v>
      </c>
      <c r="B407" s="1">
        <v>3.0</v>
      </c>
      <c r="C407" s="1" t="s">
        <v>1231</v>
      </c>
      <c r="D407" s="1" t="s">
        <v>33</v>
      </c>
      <c r="E407" s="1" t="s">
        <v>1232</v>
      </c>
      <c r="F407" s="1" t="str">
        <f>IFERROR(__xludf.DUMMYFUNCTION("GOOGLETRANSLATE(A407, ""zh-CN"", ""ko"")"),"거의")</f>
        <v>거의</v>
      </c>
    </row>
    <row r="408" ht="15.75" customHeight="1">
      <c r="A408" s="1" t="s">
        <v>1233</v>
      </c>
      <c r="B408" s="1">
        <v>3.0</v>
      </c>
      <c r="C408" s="1" t="s">
        <v>1234</v>
      </c>
      <c r="D408" s="1" t="s">
        <v>16</v>
      </c>
      <c r="E408" s="1" t="s">
        <v>1235</v>
      </c>
      <c r="F408" s="1" t="str">
        <f>IFERROR(__xludf.DUMMYFUNCTION("GOOGLETRANSLATE(A408, ""zh-CN"", ""ko"")"),"가능성")</f>
        <v>가능성</v>
      </c>
    </row>
    <row r="409" ht="15.75" customHeight="1">
      <c r="A409" s="1" t="s">
        <v>1236</v>
      </c>
      <c r="B409" s="1">
        <v>3.0</v>
      </c>
      <c r="C409" s="1" t="s">
        <v>1237</v>
      </c>
      <c r="D409" s="1" t="s">
        <v>33</v>
      </c>
      <c r="E409" s="1" t="s">
        <v>1238</v>
      </c>
      <c r="F409" s="1" t="str">
        <f>IFERROR(__xludf.DUMMYFUNCTION("GOOGLETRANSLATE(A409, ""zh-CN"", ""ko"")"),"폴")</f>
        <v>폴</v>
      </c>
    </row>
    <row r="410" ht="15.75" customHeight="1">
      <c r="A410" s="1" t="s">
        <v>1239</v>
      </c>
      <c r="B410" s="1">
        <v>3.0</v>
      </c>
      <c r="C410" s="1" t="s">
        <v>1240</v>
      </c>
      <c r="D410" s="1" t="s">
        <v>8</v>
      </c>
      <c r="E410" s="1" t="s">
        <v>1241</v>
      </c>
      <c r="F410" s="1" t="str">
        <f>IFERROR(__xludf.DUMMYFUNCTION("GOOGLETRANSLATE(A410, ""zh-CN"", ""ko"")"),"기억하다")</f>
        <v>기억하다</v>
      </c>
    </row>
    <row r="411" ht="15.75" customHeight="1">
      <c r="A411" s="1" t="s">
        <v>1242</v>
      </c>
      <c r="B411" s="1">
        <v>3.0</v>
      </c>
      <c r="C411" s="1" t="s">
        <v>1243</v>
      </c>
      <c r="D411" s="1" t="s">
        <v>16</v>
      </c>
      <c r="E411" s="1" t="s">
        <v>1244</v>
      </c>
      <c r="F411" s="1" t="str">
        <f>IFERROR(__xludf.DUMMYFUNCTION("GOOGLETRANSLATE(A411, ""zh-CN"", ""ko"")"),"계절")</f>
        <v>계절</v>
      </c>
    </row>
    <row r="412" ht="15.75" customHeight="1">
      <c r="A412" s="1" t="s">
        <v>1245</v>
      </c>
      <c r="B412" s="1">
        <v>3.0</v>
      </c>
      <c r="C412" s="1" t="s">
        <v>1246</v>
      </c>
      <c r="D412" s="1" t="s">
        <v>8</v>
      </c>
      <c r="E412" s="1" t="s">
        <v>1247</v>
      </c>
      <c r="F412" s="1" t="str">
        <f>IFERROR(__xludf.DUMMYFUNCTION("GOOGLETRANSLATE(A412, ""zh-CN"", ""ko"")"),"조사하다")</f>
        <v>조사하다</v>
      </c>
    </row>
    <row r="413" ht="15.75" customHeight="1">
      <c r="A413" s="1" t="s">
        <v>1248</v>
      </c>
      <c r="B413" s="1">
        <v>3.0</v>
      </c>
      <c r="C413" s="1" t="s">
        <v>1249</v>
      </c>
      <c r="D413" s="1" t="s">
        <v>52</v>
      </c>
      <c r="E413" s="1" t="s">
        <v>1250</v>
      </c>
      <c r="F413" s="1" t="str">
        <f>IFERROR(__xludf.DUMMYFUNCTION("GOOGLETRANSLATE(A413, ""zh-CN"", ""ko"")"),"단순한")</f>
        <v>단순한</v>
      </c>
    </row>
    <row r="414" ht="15.75" customHeight="1">
      <c r="A414" s="1" t="s">
        <v>1251</v>
      </c>
      <c r="B414" s="1">
        <v>3.0</v>
      </c>
      <c r="C414" s="1" t="s">
        <v>1252</v>
      </c>
      <c r="D414" s="1" t="s">
        <v>52</v>
      </c>
      <c r="E414" s="1" t="s">
        <v>1253</v>
      </c>
      <c r="F414" s="1" t="str">
        <f>IFERROR(__xludf.DUMMYFUNCTION("GOOGLETRANSLATE(A414, ""zh-CN"", ""ko"")"),"건강한")</f>
        <v>건강한</v>
      </c>
    </row>
    <row r="415" ht="15.75" customHeight="1">
      <c r="A415" s="1" t="s">
        <v>1254</v>
      </c>
      <c r="B415" s="1">
        <v>3.0</v>
      </c>
      <c r="C415" s="1" t="s">
        <v>1255</v>
      </c>
      <c r="D415" s="1" t="s">
        <v>8</v>
      </c>
      <c r="E415" s="1" t="s">
        <v>1256</v>
      </c>
      <c r="F415" s="1" t="str">
        <f>IFERROR(__xludf.DUMMYFUNCTION("GOOGLETRANSLATE(A415, ""zh-CN"", ""ko"")"),"만나다")</f>
        <v>만나다</v>
      </c>
    </row>
    <row r="416" ht="15.75" customHeight="1">
      <c r="A416" s="1" t="s">
        <v>1257</v>
      </c>
      <c r="B416" s="1">
        <v>3.0</v>
      </c>
      <c r="C416" s="1" t="s">
        <v>1258</v>
      </c>
      <c r="D416" s="1" t="s">
        <v>8</v>
      </c>
      <c r="E416" s="1" t="s">
        <v>322</v>
      </c>
      <c r="F416" s="1" t="str">
        <f>IFERROR(__xludf.DUMMYFUNCTION("GOOGLETRANSLATE(A416, ""zh-CN"", ""ko"")"),"말하다")</f>
        <v>말하다</v>
      </c>
    </row>
    <row r="417" ht="15.75" customHeight="1">
      <c r="A417" s="1" t="s">
        <v>1259</v>
      </c>
      <c r="B417" s="1">
        <v>3.0</v>
      </c>
      <c r="C417" s="1" t="s">
        <v>1260</v>
      </c>
      <c r="D417" s="1" t="s">
        <v>8</v>
      </c>
      <c r="E417" s="1" t="s">
        <v>1261</v>
      </c>
      <c r="F417" s="1" t="str">
        <f>IFERROR(__xludf.DUMMYFUNCTION("GOOGLETRANSLATE(A417, ""zh-CN"", ""ko"")"),"가르치다")</f>
        <v>가르치다</v>
      </c>
    </row>
    <row r="418" ht="15.75" customHeight="1">
      <c r="A418" s="1" t="s">
        <v>1262</v>
      </c>
      <c r="B418" s="1">
        <v>3.0</v>
      </c>
      <c r="C418" s="1" t="s">
        <v>1263</v>
      </c>
      <c r="D418" s="1" t="s">
        <v>16</v>
      </c>
      <c r="E418" s="1" t="s">
        <v>1264</v>
      </c>
      <c r="F418" s="1" t="str">
        <f>IFERROR(__xludf.DUMMYFUNCTION("GOOGLETRANSLATE(A418, ""zh-CN"", ""ko"")"),"발")</f>
        <v>발</v>
      </c>
    </row>
    <row r="419" ht="15.75" customHeight="1">
      <c r="A419" s="1" t="s">
        <v>1265</v>
      </c>
      <c r="B419" s="1">
        <v>3.0</v>
      </c>
      <c r="C419" s="1" t="s">
        <v>1263</v>
      </c>
      <c r="D419" s="1" t="s">
        <v>26</v>
      </c>
      <c r="E419" s="1" t="s">
        <v>1266</v>
      </c>
      <c r="F419" s="1" t="str">
        <f>IFERROR(__xludf.DUMMYFUNCTION("GOOGLETRANSLATE(A419, ""zh-CN"", ""ko"")"),"뿔")</f>
        <v>뿔</v>
      </c>
    </row>
    <row r="420" ht="15.75" customHeight="1">
      <c r="A420" s="1" t="s">
        <v>1267</v>
      </c>
      <c r="B420" s="1">
        <v>3.0</v>
      </c>
      <c r="C420" s="1" t="s">
        <v>1268</v>
      </c>
      <c r="D420" s="1" t="s">
        <v>8</v>
      </c>
      <c r="E420" s="1" t="s">
        <v>1269</v>
      </c>
      <c r="F420" s="1" t="str">
        <f>IFERROR(__xludf.DUMMYFUNCTION("GOOGLETRANSLATE(A420, ""zh-CN"", ""ko"")"),"잡다")</f>
        <v>잡다</v>
      </c>
    </row>
    <row r="421" ht="15.75" customHeight="1">
      <c r="A421" s="1" t="s">
        <v>1270</v>
      </c>
      <c r="B421" s="1">
        <v>3.0</v>
      </c>
      <c r="C421" s="1" t="s">
        <v>1271</v>
      </c>
      <c r="D421" s="1" t="s">
        <v>16</v>
      </c>
      <c r="E421" s="1" t="s">
        <v>1272</v>
      </c>
      <c r="F421" s="1" t="str">
        <f>IFERROR(__xludf.DUMMYFUNCTION("GOOGLETRANSLATE(A421, ""zh-CN"", ""ko"")"),"거리")</f>
        <v>거리</v>
      </c>
    </row>
    <row r="422" ht="15.75" customHeight="1">
      <c r="A422" s="1" t="s">
        <v>1273</v>
      </c>
      <c r="B422" s="1">
        <v>3.0</v>
      </c>
      <c r="C422" s="1" t="s">
        <v>1274</v>
      </c>
      <c r="D422" s="1" t="s">
        <v>8</v>
      </c>
      <c r="E422" s="1" t="s">
        <v>1275</v>
      </c>
      <c r="F422" s="1" t="str">
        <f>IFERROR(__xludf.DUMMYFUNCTION("GOOGLETRANSLATE(A422, ""zh-CN"", ""ko"")"),"결혼하다")</f>
        <v>결혼하다</v>
      </c>
    </row>
    <row r="423" ht="15.75" customHeight="1">
      <c r="A423" s="1" t="s">
        <v>1276</v>
      </c>
      <c r="B423" s="1">
        <v>3.0</v>
      </c>
      <c r="C423" s="1" t="s">
        <v>1277</v>
      </c>
      <c r="D423" s="1" t="s">
        <v>16</v>
      </c>
      <c r="E423" s="1" t="s">
        <v>1278</v>
      </c>
      <c r="F423" s="1" t="str">
        <f>IFERROR(__xludf.DUMMYFUNCTION("GOOGLETRANSLATE(A423, ""zh-CN"", ""ko"")"),"프로그램")</f>
        <v>프로그램</v>
      </c>
    </row>
    <row r="424" ht="15.75" customHeight="1">
      <c r="A424" s="1" t="s">
        <v>1279</v>
      </c>
      <c r="B424" s="1">
        <v>3.0</v>
      </c>
      <c r="C424" s="1" t="s">
        <v>1280</v>
      </c>
      <c r="D424" s="1" t="s">
        <v>16</v>
      </c>
      <c r="E424" s="1" t="s">
        <v>1281</v>
      </c>
      <c r="F424" s="1" t="str">
        <f>IFERROR(__xludf.DUMMYFUNCTION("GOOGLETRANSLATE(A424, ""zh-CN"", ""ko"")"),"제전")</f>
        <v>제전</v>
      </c>
    </row>
    <row r="425" ht="15.75" customHeight="1">
      <c r="A425" s="1" t="s">
        <v>1282</v>
      </c>
      <c r="B425" s="1">
        <v>3.0</v>
      </c>
      <c r="C425" s="1" t="s">
        <v>1283</v>
      </c>
      <c r="D425" s="1" t="s">
        <v>8</v>
      </c>
      <c r="E425" s="1" t="s">
        <v>1284</v>
      </c>
      <c r="F425" s="1" t="str">
        <f>IFERROR(__xludf.DUMMYFUNCTION("GOOGLETRANSLATE(A425, ""zh-CN"", ""ko"")"),"마치다")</f>
        <v>마치다</v>
      </c>
    </row>
    <row r="426" ht="15.75" customHeight="1">
      <c r="A426" s="1" t="s">
        <v>1285</v>
      </c>
      <c r="B426" s="1">
        <v>3.0</v>
      </c>
      <c r="C426" s="1" t="s">
        <v>1286</v>
      </c>
      <c r="D426" s="1" t="s">
        <v>8</v>
      </c>
      <c r="E426" s="1" t="s">
        <v>1287</v>
      </c>
      <c r="F426" s="1" t="str">
        <f>IFERROR(__xludf.DUMMYFUNCTION("GOOGLETRANSLATE(A426, ""zh-CN"", ""ko"")"),"해결하다")</f>
        <v>해결하다</v>
      </c>
    </row>
    <row r="427" ht="15.75" customHeight="1">
      <c r="A427" s="1" t="s">
        <v>1288</v>
      </c>
      <c r="B427" s="1">
        <v>3.0</v>
      </c>
      <c r="C427" s="1" t="s">
        <v>1289</v>
      </c>
      <c r="D427" s="1" t="s">
        <v>8</v>
      </c>
      <c r="E427" s="1" t="s">
        <v>1290</v>
      </c>
      <c r="F427" s="1" t="str">
        <f>IFERROR(__xludf.DUMMYFUNCTION("GOOGLETRANSLATE(A427, ""zh-CN"", ""ko"")"),"빌리다")</f>
        <v>빌리다</v>
      </c>
    </row>
    <row r="428" ht="15.75" customHeight="1">
      <c r="A428" s="1" t="s">
        <v>1291</v>
      </c>
      <c r="B428" s="1">
        <v>3.0</v>
      </c>
      <c r="C428" s="1" t="s">
        <v>1292</v>
      </c>
      <c r="D428" s="1" t="s">
        <v>33</v>
      </c>
      <c r="E428" s="1" t="s">
        <v>1293</v>
      </c>
      <c r="F428" s="1" t="str">
        <f>IFERROR(__xludf.DUMMYFUNCTION("GOOGLETRANSLATE(A428, ""zh-CN"", ""ko"")"),"자주")</f>
        <v>자주</v>
      </c>
    </row>
    <row r="429" ht="15.75" customHeight="1">
      <c r="A429" s="1" t="s">
        <v>1294</v>
      </c>
      <c r="B429" s="1">
        <v>3.0</v>
      </c>
      <c r="C429" s="1" t="s">
        <v>1295</v>
      </c>
      <c r="D429" s="1" t="s">
        <v>8</v>
      </c>
      <c r="E429" s="1" t="s">
        <v>1296</v>
      </c>
      <c r="F429" s="1" t="str">
        <f>IFERROR(__xludf.DUMMYFUNCTION("GOOGLETRANSLATE(A429, ""zh-CN"", ""ko"")"),"통과하다")</f>
        <v>통과하다</v>
      </c>
    </row>
    <row r="430" ht="15.75" customHeight="1">
      <c r="A430" s="1" t="s">
        <v>1297</v>
      </c>
      <c r="B430" s="1">
        <v>3.0</v>
      </c>
      <c r="C430" s="1" t="s">
        <v>1298</v>
      </c>
      <c r="D430" s="1" t="s">
        <v>16</v>
      </c>
      <c r="E430" s="1" t="s">
        <v>1299</v>
      </c>
      <c r="F430" s="1" t="str">
        <f>IFERROR(__xludf.DUMMYFUNCTION("GOOGLETRANSLATE(A430, ""zh-CN"", ""ko"")"),"관리자")</f>
        <v>관리자</v>
      </c>
    </row>
    <row r="431" ht="15.75" customHeight="1">
      <c r="A431" s="1" t="s">
        <v>1300</v>
      </c>
      <c r="B431" s="1">
        <v>3.0</v>
      </c>
      <c r="C431" s="1" t="s">
        <v>160</v>
      </c>
      <c r="D431" s="1" t="s">
        <v>52</v>
      </c>
      <c r="E431" s="1" t="s">
        <v>1301</v>
      </c>
      <c r="F431" s="1" t="str">
        <f>IFERROR(__xludf.DUMMYFUNCTION("GOOGLETRANSLATE(A431, ""zh-CN"", ""ko"")"),"긴")</f>
        <v>긴</v>
      </c>
    </row>
    <row r="432" ht="15.75" customHeight="1">
      <c r="A432" s="1" t="s">
        <v>1302</v>
      </c>
      <c r="B432" s="1">
        <v>3.0</v>
      </c>
      <c r="C432" s="1" t="s">
        <v>617</v>
      </c>
      <c r="D432" s="1" t="s">
        <v>52</v>
      </c>
      <c r="E432" s="1" t="s">
        <v>1303</v>
      </c>
      <c r="F432" s="1" t="str">
        <f>IFERROR(__xludf.DUMMYFUNCTION("GOOGLETRANSLATE(A432, ""zh-CN"", ""ko"")"),"오래된")</f>
        <v>오래된</v>
      </c>
    </row>
    <row r="433" ht="15.75" customHeight="1">
      <c r="A433" s="1" t="s">
        <v>1304</v>
      </c>
      <c r="B433" s="1">
        <v>3.0</v>
      </c>
      <c r="C433" s="1" t="s">
        <v>1305</v>
      </c>
      <c r="D433" s="1" t="s">
        <v>16</v>
      </c>
      <c r="E433" s="1" t="s">
        <v>1306</v>
      </c>
      <c r="F433" s="1" t="str">
        <f>IFERROR(__xludf.DUMMYFUNCTION("GOOGLETRANSLATE(A433, ""zh-CN"", ""ko"")"),"문장")</f>
        <v>문장</v>
      </c>
    </row>
    <row r="434" ht="15.75" customHeight="1">
      <c r="A434" s="1" t="s">
        <v>1307</v>
      </c>
      <c r="B434" s="1">
        <v>3.0</v>
      </c>
      <c r="C434" s="1" t="s">
        <v>1308</v>
      </c>
      <c r="D434" s="1" t="s">
        <v>8</v>
      </c>
      <c r="E434" s="1" t="s">
        <v>1309</v>
      </c>
      <c r="F434" s="1" t="str">
        <f>IFERROR(__xludf.DUMMYFUNCTION("GOOGLETRANSLATE(A434, ""zh-CN"", ""ko"")"),"결정하다")</f>
        <v>결정하다</v>
      </c>
    </row>
    <row r="435" ht="15.75" customHeight="1">
      <c r="A435" s="1" t="s">
        <v>1310</v>
      </c>
      <c r="B435" s="1">
        <v>3.0</v>
      </c>
      <c r="C435" s="1" t="s">
        <v>1311</v>
      </c>
      <c r="D435" s="1" t="s">
        <v>52</v>
      </c>
      <c r="E435" s="1" t="s">
        <v>1312</v>
      </c>
      <c r="F435" s="1" t="str">
        <f>IFERROR(__xludf.DUMMYFUNCTION("GOOGLETRANSLATE(A435, ""zh-CN"", ""ko"")"),"목마른")</f>
        <v>목마른</v>
      </c>
    </row>
    <row r="436" ht="15.75" customHeight="1">
      <c r="A436" s="1" t="s">
        <v>1313</v>
      </c>
      <c r="B436" s="1">
        <v>3.0</v>
      </c>
      <c r="C436" s="1" t="s">
        <v>1314</v>
      </c>
      <c r="D436" s="1" t="s">
        <v>52</v>
      </c>
      <c r="E436" s="1" t="s">
        <v>1315</v>
      </c>
      <c r="F436" s="1" t="str">
        <f>IFERROR(__xludf.DUMMYFUNCTION("GOOGLETRANSLATE(A436, ""zh-CN"", ""ko"")"),"귀여운")</f>
        <v>귀여운</v>
      </c>
    </row>
    <row r="437" ht="15.75" customHeight="1">
      <c r="A437" s="1" t="s">
        <v>1316</v>
      </c>
      <c r="B437" s="1">
        <v>3.0</v>
      </c>
      <c r="C437" s="1" t="s">
        <v>638</v>
      </c>
      <c r="D437" s="1" t="s">
        <v>26</v>
      </c>
      <c r="E437" s="1" t="s">
        <v>1317</v>
      </c>
      <c r="F437" s="1" t="str">
        <f>IFERROR(__xludf.DUMMYFUNCTION("GOOGLETRANSLATE(A437, ""zh-CN"", ""ko"")"),"새기다")</f>
        <v>새기다</v>
      </c>
    </row>
    <row r="438" ht="15.75" customHeight="1">
      <c r="A438" s="1" t="s">
        <v>1318</v>
      </c>
      <c r="B438" s="1">
        <v>3.0</v>
      </c>
      <c r="C438" s="1" t="s">
        <v>1319</v>
      </c>
      <c r="D438" s="1" t="s">
        <v>16</v>
      </c>
      <c r="E438" s="1" t="s">
        <v>1320</v>
      </c>
      <c r="F438" s="1" t="str">
        <f>IFERROR(__xludf.DUMMYFUNCTION("GOOGLETRANSLATE(A438, ""zh-CN"", ""ko"")"),"손님")</f>
        <v>손님</v>
      </c>
    </row>
    <row r="439" ht="15.75" customHeight="1">
      <c r="A439" s="1" t="s">
        <v>1321</v>
      </c>
      <c r="B439" s="1">
        <v>3.0</v>
      </c>
      <c r="C439" s="1" t="s">
        <v>1322</v>
      </c>
      <c r="D439" s="1" t="s">
        <v>16</v>
      </c>
      <c r="E439" s="1" t="s">
        <v>1323</v>
      </c>
      <c r="F439" s="1" t="str">
        <f>IFERROR(__xludf.DUMMYFUNCTION("GOOGLETRANSLATE(A439, ""zh-CN"", ""ko"")"),"에어컨")</f>
        <v>에어컨</v>
      </c>
    </row>
    <row r="440" ht="15.75" customHeight="1">
      <c r="A440" s="1" t="s">
        <v>1324</v>
      </c>
      <c r="B440" s="1">
        <v>3.0</v>
      </c>
      <c r="C440" s="1" t="s">
        <v>1325</v>
      </c>
      <c r="D440" s="1" t="s">
        <v>16</v>
      </c>
      <c r="E440" s="1" t="s">
        <v>1326</v>
      </c>
      <c r="F440" s="1" t="str">
        <f>IFERROR(__xludf.DUMMYFUNCTION("GOOGLETRANSLATE(A440, ""zh-CN"", ""ko"")"),"입")</f>
        <v>입</v>
      </c>
    </row>
    <row r="441" ht="15.75" customHeight="1">
      <c r="A441" s="1" t="s">
        <v>1327</v>
      </c>
      <c r="B441" s="1">
        <v>3.0</v>
      </c>
      <c r="C441" s="1" t="s">
        <v>1328</v>
      </c>
      <c r="D441" s="1" t="s">
        <v>8</v>
      </c>
      <c r="E441" s="1" t="s">
        <v>1329</v>
      </c>
      <c r="F441" s="1" t="str">
        <f>IFERROR(__xludf.DUMMYFUNCTION("GOOGLETRANSLATE(A441, ""zh-CN"", ""ko"")"),"울다")</f>
        <v>울다</v>
      </c>
    </row>
    <row r="442" ht="15.75" customHeight="1">
      <c r="A442" s="1" t="s">
        <v>1330</v>
      </c>
      <c r="B442" s="1">
        <v>3.0</v>
      </c>
      <c r="C442" s="1" t="s">
        <v>1331</v>
      </c>
      <c r="D442" s="1" t="s">
        <v>16</v>
      </c>
      <c r="E442" s="1" t="s">
        <v>1332</v>
      </c>
      <c r="F442" s="1" t="str">
        <f>IFERROR(__xludf.DUMMYFUNCTION("GOOGLETRANSLATE(A442, ""zh-CN"", ""ko"")"),"바지")</f>
        <v>바지</v>
      </c>
    </row>
    <row r="443" ht="15.75" customHeight="1">
      <c r="A443" s="1" t="s">
        <v>1333</v>
      </c>
      <c r="B443" s="1">
        <v>3.0</v>
      </c>
      <c r="C443" s="1" t="s">
        <v>1334</v>
      </c>
      <c r="D443" s="1" t="s">
        <v>16</v>
      </c>
      <c r="E443" s="1" t="s">
        <v>1335</v>
      </c>
      <c r="F443" s="1" t="str">
        <f>IFERROR(__xludf.DUMMYFUNCTION("GOOGLETRANSLATE(A443, ""zh-CN"", ""ko"")"),"젓가락")</f>
        <v>젓가락</v>
      </c>
    </row>
    <row r="444" ht="15.75" customHeight="1">
      <c r="A444" s="1" t="s">
        <v>1336</v>
      </c>
      <c r="B444" s="1">
        <v>3.0</v>
      </c>
      <c r="C444" s="1" t="s">
        <v>1337</v>
      </c>
      <c r="D444" s="1" t="s">
        <v>52</v>
      </c>
      <c r="E444" s="1" t="s">
        <v>1338</v>
      </c>
      <c r="F444" s="1" t="str">
        <f>IFERROR(__xludf.DUMMYFUNCTION("GOOGLETRANSLATE(A444, ""zh-CN"", ""ko"")"),"파란색")</f>
        <v>파란색</v>
      </c>
    </row>
    <row r="445" ht="15.75" customHeight="1">
      <c r="A445" s="1" t="s">
        <v>1339</v>
      </c>
      <c r="B445" s="1">
        <v>3.0</v>
      </c>
      <c r="C445" s="1" t="s">
        <v>1340</v>
      </c>
      <c r="D445" s="1" t="s">
        <v>52</v>
      </c>
      <c r="E445" s="1" t="s">
        <v>1341</v>
      </c>
      <c r="F445" s="1" t="str">
        <f>IFERROR(__xludf.DUMMYFUNCTION("GOOGLETRANSLATE(A445, ""zh-CN"", ""ko"")"),"오래된")</f>
        <v>오래된</v>
      </c>
    </row>
    <row r="446" ht="15.75" customHeight="1">
      <c r="A446" s="1" t="s">
        <v>1342</v>
      </c>
      <c r="B446" s="1">
        <v>3.0</v>
      </c>
      <c r="C446" s="1" t="s">
        <v>1343</v>
      </c>
      <c r="D446" s="1" t="s">
        <v>8</v>
      </c>
      <c r="E446" s="1" t="s">
        <v>1344</v>
      </c>
      <c r="F446" s="1" t="str">
        <f>IFERROR(__xludf.DUMMYFUNCTION("GOOGLETRANSLATE(A446, ""zh-CN"", ""ko"")"),"떠나다")</f>
        <v>떠나다</v>
      </c>
    </row>
    <row r="447" ht="15.75" customHeight="1">
      <c r="A447" s="1" t="s">
        <v>1345</v>
      </c>
      <c r="B447" s="1">
        <v>3.0</v>
      </c>
      <c r="C447" s="1" t="s">
        <v>1346</v>
      </c>
      <c r="D447" s="1" t="s">
        <v>16</v>
      </c>
      <c r="E447" s="1" t="s">
        <v>1347</v>
      </c>
      <c r="F447" s="1" t="str">
        <f>IFERROR(__xludf.DUMMYFUNCTION("GOOGLETRANSLATE(A447, ""zh-CN"", ""ko"")"),"선물")</f>
        <v>선물</v>
      </c>
    </row>
    <row r="448" ht="15.75" customHeight="1">
      <c r="A448" s="1" t="s">
        <v>1348</v>
      </c>
      <c r="B448" s="1">
        <v>3.0</v>
      </c>
      <c r="C448" s="1" t="s">
        <v>1349</v>
      </c>
      <c r="D448" s="1" t="s">
        <v>16</v>
      </c>
      <c r="E448" s="1" t="s">
        <v>1350</v>
      </c>
      <c r="F448" s="1" t="str">
        <f>IFERROR(__xludf.DUMMYFUNCTION("GOOGLETRANSLATE(A448, ""zh-CN"", ""ko"")"),"역사")</f>
        <v>역사</v>
      </c>
    </row>
    <row r="449" ht="15.75" customHeight="1">
      <c r="A449" s="1" t="s">
        <v>1351</v>
      </c>
      <c r="B449" s="1">
        <v>3.0</v>
      </c>
      <c r="C449" s="1" t="s">
        <v>1352</v>
      </c>
      <c r="D449" s="1" t="s">
        <v>16</v>
      </c>
      <c r="E449" s="1" t="s">
        <v>1353</v>
      </c>
      <c r="F449" s="1" t="str">
        <f>IFERROR(__xludf.DUMMYFUNCTION("GOOGLETRANSLATE(A449, ""zh-CN"", ""ko"")"),"얼굴")</f>
        <v>얼굴</v>
      </c>
    </row>
    <row r="450" ht="15.75" customHeight="1">
      <c r="A450" s="1" t="s">
        <v>1354</v>
      </c>
      <c r="B450" s="1">
        <v>3.0</v>
      </c>
      <c r="C450" s="1" t="s">
        <v>1355</v>
      </c>
      <c r="D450" s="1" t="s">
        <v>875</v>
      </c>
      <c r="E450" s="1" t="s">
        <v>1356</v>
      </c>
      <c r="F450" s="1" t="str">
        <f>IFERROR(__xludf.DUMMYFUNCTION("GOOGLETRANSLATE(A450, ""zh-CN"", ""ko"")"),"관행")</f>
        <v>관행</v>
      </c>
    </row>
    <row r="451" ht="15.75" customHeight="1">
      <c r="A451" s="1" t="s">
        <v>1357</v>
      </c>
      <c r="B451" s="1">
        <v>3.0</v>
      </c>
      <c r="C451" s="1" t="s">
        <v>1358</v>
      </c>
      <c r="D451" s="1" t="s">
        <v>26</v>
      </c>
      <c r="E451" s="1" t="s">
        <v>1359</v>
      </c>
      <c r="F451" s="1" t="str">
        <f>IFERROR(__xludf.DUMMYFUNCTION("GOOGLETRANSLATE(A451, ""zh-CN"", ""ko"")"),"차량")</f>
        <v>차량</v>
      </c>
    </row>
    <row r="452" ht="15.75" customHeight="1">
      <c r="A452" s="1" t="s">
        <v>1360</v>
      </c>
      <c r="B452" s="1">
        <v>3.0</v>
      </c>
      <c r="C452" s="1" t="s">
        <v>1361</v>
      </c>
      <c r="D452" s="1" t="s">
        <v>8</v>
      </c>
      <c r="E452" s="1" t="s">
        <v>1362</v>
      </c>
      <c r="F452" s="1" t="str">
        <f>IFERROR(__xludf.DUMMYFUNCTION("GOOGLETRANSLATE(A452, ""zh-CN"", ""ko"")"),"채팅")</f>
        <v>채팅</v>
      </c>
    </row>
    <row r="453" ht="15.75" customHeight="1">
      <c r="A453" s="1" t="s">
        <v>1363</v>
      </c>
      <c r="B453" s="1">
        <v>3.0</v>
      </c>
      <c r="C453" s="1" t="s">
        <v>1364</v>
      </c>
      <c r="D453" s="1" t="s">
        <v>8</v>
      </c>
      <c r="E453" s="1" t="s">
        <v>1365</v>
      </c>
      <c r="F453" s="1" t="str">
        <f>IFERROR(__xludf.DUMMYFUNCTION("GOOGLETRANSLATE(A453, ""zh-CN"", ""ko"")"),"배우다")</f>
        <v>배우다</v>
      </c>
    </row>
    <row r="454" ht="15.75" customHeight="1">
      <c r="A454" s="1" t="s">
        <v>1366</v>
      </c>
      <c r="B454" s="1">
        <v>3.0</v>
      </c>
      <c r="C454" s="1" t="s">
        <v>1367</v>
      </c>
      <c r="D454" s="1" t="s">
        <v>16</v>
      </c>
      <c r="E454" s="1" t="s">
        <v>1368</v>
      </c>
      <c r="F454" s="1" t="str">
        <f>IFERROR(__xludf.DUMMYFUNCTION("GOOGLETRANSLATE(A454, ""zh-CN"", ""ko"")"),"이웃")</f>
        <v>이웃</v>
      </c>
    </row>
    <row r="455" ht="15.75" customHeight="1">
      <c r="A455" s="1" t="s">
        <v>1369</v>
      </c>
      <c r="B455" s="1">
        <v>3.0</v>
      </c>
      <c r="C455" s="1" t="s">
        <v>1370</v>
      </c>
      <c r="D455" s="1" t="s">
        <v>8</v>
      </c>
      <c r="E455" s="1" t="s">
        <v>1371</v>
      </c>
      <c r="F455" s="1" t="str">
        <f>IFERROR(__xludf.DUMMYFUNCTION("GOOGLETRANSLATE(A455, ""zh-CN"", ""ko"")"),"해외 유학")</f>
        <v>해외 유학</v>
      </c>
    </row>
    <row r="456" ht="15.75" customHeight="1">
      <c r="A456" s="1" t="s">
        <v>1372</v>
      </c>
      <c r="B456" s="1">
        <v>3.0</v>
      </c>
      <c r="C456" s="1" t="s">
        <v>1373</v>
      </c>
      <c r="D456" s="1" t="s">
        <v>16</v>
      </c>
      <c r="E456" s="1" t="s">
        <v>1374</v>
      </c>
      <c r="F456" s="1" t="str">
        <f>IFERROR(__xludf.DUMMYFUNCTION("GOOGLETRANSLATE(A456, ""zh-CN"", ""ko"")"),"건물")</f>
        <v>건물</v>
      </c>
    </row>
    <row r="457" ht="15.75" customHeight="1">
      <c r="A457" s="1" t="s">
        <v>1375</v>
      </c>
      <c r="B457" s="1">
        <v>3.0</v>
      </c>
      <c r="C457" s="1" t="s">
        <v>1376</v>
      </c>
      <c r="D457" s="1" t="s">
        <v>52</v>
      </c>
      <c r="E457" s="1" t="s">
        <v>1377</v>
      </c>
      <c r="F457" s="1" t="str">
        <f>IFERROR(__xludf.DUMMYFUNCTION("GOOGLETRANSLATE(A457, ""zh-CN"", ""ko"")"),"녹색")</f>
        <v>녹색</v>
      </c>
    </row>
    <row r="458" ht="15.75" customHeight="1">
      <c r="A458" s="1" t="s">
        <v>1378</v>
      </c>
      <c r="B458" s="1">
        <v>3.0</v>
      </c>
      <c r="C458" s="1" t="s">
        <v>1379</v>
      </c>
      <c r="D458" s="1" t="s">
        <v>16</v>
      </c>
      <c r="E458" s="1" t="s">
        <v>1380</v>
      </c>
      <c r="F458" s="1" t="str">
        <f>IFERROR(__xludf.DUMMYFUNCTION("GOOGLETRANSLATE(A458, ""zh-CN"", ""ko"")"),"말")</f>
        <v>말</v>
      </c>
    </row>
    <row r="459" ht="15.75" customHeight="1">
      <c r="A459" s="1" t="s">
        <v>1381</v>
      </c>
      <c r="B459" s="1">
        <v>3.0</v>
      </c>
      <c r="C459" s="1" t="s">
        <v>1382</v>
      </c>
      <c r="D459" s="1" t="s">
        <v>33</v>
      </c>
      <c r="E459" s="1" t="s">
        <v>1383</v>
      </c>
      <c r="F459" s="1" t="str">
        <f>IFERROR(__xludf.DUMMYFUNCTION("GOOGLETRANSLATE(A459, ""zh-CN"", ""ko"")"),"즉시")</f>
        <v>즉시</v>
      </c>
    </row>
    <row r="460" ht="15.75" customHeight="1">
      <c r="A460" s="1" t="s">
        <v>1384</v>
      </c>
      <c r="B460" s="1">
        <v>3.0</v>
      </c>
      <c r="C460" s="1" t="s">
        <v>1385</v>
      </c>
      <c r="D460" s="1" t="s">
        <v>8</v>
      </c>
      <c r="E460" s="1" t="s">
        <v>1386</v>
      </c>
      <c r="F460" s="1" t="str">
        <f>IFERROR(__xludf.DUMMYFUNCTION("GOOGLETRANSLATE(A460, ""zh-CN"", ""ko"")"),"풀다")</f>
        <v>풀다</v>
      </c>
    </row>
    <row r="461" ht="15.75" customHeight="1">
      <c r="A461" s="1" t="s">
        <v>1387</v>
      </c>
      <c r="B461" s="1">
        <v>3.0</v>
      </c>
      <c r="C461" s="1" t="s">
        <v>1388</v>
      </c>
      <c r="D461" s="1" t="s">
        <v>16</v>
      </c>
      <c r="E461" s="1" t="s">
        <v>1389</v>
      </c>
      <c r="F461" s="1" t="str">
        <f>IFERROR(__xludf.DUMMYFUNCTION("GOOGLETRANSLATE(A461, ""zh-CN"", ""ko"")"),"모자")</f>
        <v>모자</v>
      </c>
    </row>
    <row r="462" ht="15.75" customHeight="1">
      <c r="A462" s="1" t="s">
        <v>1390</v>
      </c>
      <c r="B462" s="1">
        <v>3.0</v>
      </c>
      <c r="C462" s="1" t="s">
        <v>1391</v>
      </c>
      <c r="D462" s="1" t="s">
        <v>26</v>
      </c>
      <c r="E462" s="1" t="s">
        <v>1392</v>
      </c>
      <c r="F462" s="1" t="str">
        <f>IFERROR(__xludf.DUMMYFUNCTION("GOOGLETRANSLATE(A462, ""zh-CN"", ""ko"")"),"쌀")</f>
        <v>쌀</v>
      </c>
    </row>
    <row r="463" ht="15.75" customHeight="1">
      <c r="A463" s="1" t="s">
        <v>1393</v>
      </c>
      <c r="B463" s="1">
        <v>3.0</v>
      </c>
      <c r="C463" s="1" t="s">
        <v>1394</v>
      </c>
      <c r="D463" s="1" t="s">
        <v>16</v>
      </c>
      <c r="E463" s="1" t="s">
        <v>1395</v>
      </c>
      <c r="F463" s="1" t="str">
        <f>IFERROR(__xludf.DUMMYFUNCTION("GOOGLETRANSLATE(A463, ""zh-CN"", ""ko"")"),"빵")</f>
        <v>빵</v>
      </c>
    </row>
    <row r="464" ht="15.75" customHeight="1">
      <c r="A464" s="1" t="s">
        <v>1396</v>
      </c>
      <c r="B464" s="1">
        <v>3.0</v>
      </c>
      <c r="C464" s="1" t="s">
        <v>1397</v>
      </c>
      <c r="D464" s="1" t="s">
        <v>1003</v>
      </c>
      <c r="E464" s="1" t="s">
        <v>538</v>
      </c>
      <c r="F464" s="1" t="str">
        <f>IFERROR(__xludf.DUMMYFUNCTION("GOOGLETRANSLATE(A464, ""zh-CN"", ""ko"")"),"분명한")</f>
        <v>분명한</v>
      </c>
    </row>
    <row r="465" ht="15.75" customHeight="1">
      <c r="A465" s="1" t="s">
        <v>1398</v>
      </c>
      <c r="B465" s="1">
        <v>3.0</v>
      </c>
      <c r="C465" s="1" t="s">
        <v>1399</v>
      </c>
      <c r="D465" s="1" t="s">
        <v>8</v>
      </c>
      <c r="E465" s="1" t="s">
        <v>1400</v>
      </c>
      <c r="F465" s="1" t="str">
        <f>IFERROR(__xludf.DUMMYFUNCTION("GOOGLETRANSLATE(A465, ""zh-CN"", ""ko"")"),"가져가다")</f>
        <v>가져가다</v>
      </c>
    </row>
    <row r="466" ht="15.75" customHeight="1">
      <c r="A466" s="1" t="s">
        <v>1401</v>
      </c>
      <c r="B466" s="1">
        <v>3.0</v>
      </c>
      <c r="C466" s="1" t="s">
        <v>1402</v>
      </c>
      <c r="D466" s="1" t="s">
        <v>16</v>
      </c>
      <c r="E466" s="1" t="s">
        <v>1403</v>
      </c>
      <c r="F466" s="1" t="str">
        <f>IFERROR(__xludf.DUMMYFUNCTION("GOOGLETRANSLATE(A466, ""zh-CN"", ""ko"")"),"할머니")</f>
        <v>할머니</v>
      </c>
    </row>
    <row r="467" ht="15.75" customHeight="1">
      <c r="A467" s="1" t="s">
        <v>1404</v>
      </c>
      <c r="B467" s="1">
        <v>3.0</v>
      </c>
      <c r="C467" s="1" t="s">
        <v>685</v>
      </c>
      <c r="D467" s="1" t="s">
        <v>52</v>
      </c>
      <c r="E467" s="1" t="s">
        <v>1405</v>
      </c>
      <c r="F467" s="1" t="str">
        <f>IFERROR(__xludf.DUMMYFUNCTION("GOOGLETRANSLATE(A467, ""zh-CN"", ""ko"")"),"재해")</f>
        <v>재해</v>
      </c>
    </row>
    <row r="468" ht="15.75" customHeight="1">
      <c r="A468" s="1" t="s">
        <v>1406</v>
      </c>
      <c r="B468" s="1">
        <v>3.0</v>
      </c>
      <c r="C468" s="1" t="s">
        <v>685</v>
      </c>
      <c r="D468" s="1" t="s">
        <v>16</v>
      </c>
      <c r="E468" s="1" t="s">
        <v>1407</v>
      </c>
      <c r="F468" s="1" t="str">
        <f>IFERROR(__xludf.DUMMYFUNCTION("GOOGLETRANSLATE(A468, ""zh-CN"", ""ko"")"),"남쪽")</f>
        <v>남쪽</v>
      </c>
    </row>
    <row r="469" ht="15.75" customHeight="1">
      <c r="A469" s="1" t="s">
        <v>1408</v>
      </c>
      <c r="B469" s="1">
        <v>3.0</v>
      </c>
      <c r="C469" s="1" t="s">
        <v>1409</v>
      </c>
      <c r="D469" s="1" t="s">
        <v>52</v>
      </c>
      <c r="E469" s="1" t="s">
        <v>1410</v>
      </c>
      <c r="F469" s="1" t="str">
        <f>IFERROR(__xludf.DUMMYFUNCTION("GOOGLETRANSLATE(A469, ""zh-CN"", ""ko"")"),"슬픈")</f>
        <v>슬픈</v>
      </c>
    </row>
    <row r="470" ht="15.75" customHeight="1">
      <c r="A470" s="1" t="s">
        <v>1411</v>
      </c>
      <c r="B470" s="1">
        <v>3.0</v>
      </c>
      <c r="C470" s="1" t="s">
        <v>1412</v>
      </c>
      <c r="D470" s="1" t="s">
        <v>16</v>
      </c>
      <c r="E470" s="1" t="s">
        <v>1413</v>
      </c>
      <c r="F470" s="1" t="str">
        <f>IFERROR(__xludf.DUMMYFUNCTION("GOOGLETRANSLATE(A470, ""zh-CN"", ""ko"")"),"등급")</f>
        <v>등급</v>
      </c>
    </row>
    <row r="471" ht="15.75" customHeight="1">
      <c r="A471" s="1" t="s">
        <v>1414</v>
      </c>
      <c r="B471" s="1">
        <v>3.0</v>
      </c>
      <c r="C471" s="1" t="s">
        <v>1415</v>
      </c>
      <c r="D471" s="1" t="s">
        <v>52</v>
      </c>
      <c r="E471" s="1" t="s">
        <v>1416</v>
      </c>
      <c r="F471" s="1" t="str">
        <f>IFERROR(__xludf.DUMMYFUNCTION("GOOGLETRANSLATE(A471, ""zh-CN"", ""ko"")"),"어린")</f>
        <v>어린</v>
      </c>
    </row>
    <row r="472" ht="15.75" customHeight="1">
      <c r="A472" s="1" t="s">
        <v>1417</v>
      </c>
      <c r="B472" s="1">
        <v>3.0</v>
      </c>
      <c r="C472" s="1" t="s">
        <v>1418</v>
      </c>
      <c r="D472" s="1" t="s">
        <v>16</v>
      </c>
      <c r="E472" s="1" t="s">
        <v>1419</v>
      </c>
      <c r="F472" s="1" t="str">
        <f>IFERROR(__xludf.DUMMYFUNCTION("GOOGLETRANSLATE(A472, ""zh-CN"", ""ko"")"),"새")</f>
        <v>새</v>
      </c>
    </row>
    <row r="473" ht="15.75" customHeight="1">
      <c r="A473" s="1" t="s">
        <v>1420</v>
      </c>
      <c r="B473" s="1">
        <v>3.0</v>
      </c>
      <c r="C473" s="1" t="s">
        <v>1421</v>
      </c>
      <c r="D473" s="1" t="s">
        <v>52</v>
      </c>
      <c r="E473" s="1" t="s">
        <v>1422</v>
      </c>
      <c r="F473" s="1" t="str">
        <f>IFERROR(__xludf.DUMMYFUNCTION("GOOGLETRANSLATE(A473, ""zh-CN"", ""ko"")"),"노력")</f>
        <v>노력</v>
      </c>
    </row>
    <row r="474" ht="15.75" customHeight="1">
      <c r="A474" s="1" t="s">
        <v>1423</v>
      </c>
      <c r="B474" s="1">
        <v>3.0</v>
      </c>
      <c r="C474" s="1" t="s">
        <v>1424</v>
      </c>
      <c r="D474" s="1" t="s">
        <v>8</v>
      </c>
      <c r="E474" s="1" t="s">
        <v>1425</v>
      </c>
      <c r="F474" s="1" t="str">
        <f>IFERROR(__xludf.DUMMYFUNCTION("GOOGLETRANSLATE(A474, ""zh-CN"", ""ko"")"),"산을 오르다")</f>
        <v>산을 오르다</v>
      </c>
    </row>
    <row r="475" ht="15.75" customHeight="1">
      <c r="A475" s="1" t="s">
        <v>1426</v>
      </c>
      <c r="B475" s="1">
        <v>3.0</v>
      </c>
      <c r="C475" s="1" t="s">
        <v>1427</v>
      </c>
      <c r="D475" s="1" t="s">
        <v>16</v>
      </c>
      <c r="E475" s="1" t="s">
        <v>1428</v>
      </c>
      <c r="F475" s="1" t="str">
        <f>IFERROR(__xludf.DUMMYFUNCTION("GOOGLETRANSLATE(A475, ""zh-CN"", ""ko"")"),"그릇")</f>
        <v>그릇</v>
      </c>
    </row>
    <row r="476" ht="15.75" customHeight="1">
      <c r="A476" s="1" t="s">
        <v>1429</v>
      </c>
      <c r="B476" s="1">
        <v>3.0</v>
      </c>
      <c r="C476" s="1" t="s">
        <v>1430</v>
      </c>
      <c r="D476" s="1" t="s">
        <v>16</v>
      </c>
      <c r="E476" s="1" t="s">
        <v>1431</v>
      </c>
      <c r="F476" s="1" t="str">
        <f>IFERROR(__xludf.DUMMYFUNCTION("GOOGLETRANSLATE(A476, ""zh-CN"", ""ko"")"),"지방")</f>
        <v>지방</v>
      </c>
    </row>
    <row r="477" ht="15.75" customHeight="1">
      <c r="A477" s="1" t="s">
        <v>1432</v>
      </c>
      <c r="B477" s="1">
        <v>3.0</v>
      </c>
      <c r="C477" s="1" t="s">
        <v>1433</v>
      </c>
      <c r="D477" s="1" t="s">
        <v>16</v>
      </c>
      <c r="E477" s="1" t="s">
        <v>1434</v>
      </c>
      <c r="F477" s="1" t="str">
        <f>IFERROR(__xludf.DUMMYFUNCTION("GOOGLETRANSLATE(A477, ""zh-CN"", ""ko"")"),"맥주")</f>
        <v>맥주</v>
      </c>
    </row>
    <row r="478" ht="15.75" customHeight="1">
      <c r="A478" s="1" t="s">
        <v>1435</v>
      </c>
      <c r="B478" s="1">
        <v>3.0</v>
      </c>
      <c r="C478" s="1" t="s">
        <v>1436</v>
      </c>
      <c r="D478" s="1" t="s">
        <v>16</v>
      </c>
      <c r="E478" s="1" t="s">
        <v>1437</v>
      </c>
      <c r="F478" s="1" t="str">
        <f>IFERROR(__xludf.DUMMYFUNCTION("GOOGLETRANSLATE(A478, ""zh-CN"", ""ko"")"),"가죽 신발")</f>
        <v>가죽 신발</v>
      </c>
    </row>
    <row r="479" ht="15.75" customHeight="1">
      <c r="A479" s="1" t="s">
        <v>1438</v>
      </c>
      <c r="B479" s="1">
        <v>3.0</v>
      </c>
      <c r="C479" s="1" t="s">
        <v>1439</v>
      </c>
      <c r="D479" s="1" t="s">
        <v>16</v>
      </c>
      <c r="E479" s="1" t="s">
        <v>1440</v>
      </c>
      <c r="F479" s="1" t="str">
        <f>IFERROR(__xludf.DUMMYFUNCTION("GOOGLETRANSLATE(A479, ""zh-CN"", ""ko"")"),"병")</f>
        <v>병</v>
      </c>
    </row>
    <row r="480" ht="15.75" customHeight="1">
      <c r="A480" s="1" t="s">
        <v>1441</v>
      </c>
      <c r="B480" s="1">
        <v>3.0</v>
      </c>
      <c r="C480" s="1" t="s">
        <v>1442</v>
      </c>
      <c r="D480" s="1" t="s">
        <v>8</v>
      </c>
      <c r="E480" s="1" t="s">
        <v>1443</v>
      </c>
      <c r="F480" s="1" t="str">
        <f>IFERROR(__xludf.DUMMYFUNCTION("GOOGLETRANSLATE(A480, ""zh-CN"", ""ko"")"),"타다")</f>
        <v>타다</v>
      </c>
    </row>
    <row r="481" ht="15.75" customHeight="1">
      <c r="A481" s="1" t="s">
        <v>1444</v>
      </c>
      <c r="B481" s="1">
        <v>3.0</v>
      </c>
      <c r="C481" s="1" t="s">
        <v>1445</v>
      </c>
      <c r="D481" s="1" t="s">
        <v>52</v>
      </c>
      <c r="E481" s="1" t="s">
        <v>1446</v>
      </c>
      <c r="F481" s="1" t="str">
        <f>IFERROR(__xludf.DUMMYFUNCTION("GOOGLETRANSLATE(A481, ""zh-CN"", ""ko"")"),"기묘")</f>
        <v>기묘</v>
      </c>
    </row>
    <row r="482" ht="15.75" customHeight="1">
      <c r="A482" s="1" t="s">
        <v>1447</v>
      </c>
      <c r="B482" s="1">
        <v>3.0</v>
      </c>
      <c r="C482" s="1" t="s">
        <v>1448</v>
      </c>
      <c r="D482" s="1" t="s">
        <v>33</v>
      </c>
      <c r="E482" s="1" t="s">
        <v>1449</v>
      </c>
      <c r="F482" s="1" t="str">
        <f>IFERROR(__xludf.DUMMYFUNCTION("GOOGLETRANSLATE(A482, ""zh-CN"", ""ko"")"),"실제로")</f>
        <v>실제로</v>
      </c>
    </row>
    <row r="483" ht="15.75" customHeight="1">
      <c r="A483" s="1" t="s">
        <v>1450</v>
      </c>
      <c r="B483" s="1">
        <v>3.0</v>
      </c>
      <c r="C483" s="1" t="s">
        <v>1451</v>
      </c>
      <c r="D483" s="1" t="s">
        <v>88</v>
      </c>
      <c r="E483" s="1" t="s">
        <v>1452</v>
      </c>
      <c r="F483" s="1" t="str">
        <f>IFERROR(__xludf.DUMMYFUNCTION("GOOGLETRANSLATE(A483, ""zh-CN"", ""ko"")"),"다른")</f>
        <v>다른</v>
      </c>
    </row>
    <row r="484" ht="15.75" customHeight="1">
      <c r="A484" s="1" t="s">
        <v>1453</v>
      </c>
      <c r="B484" s="1">
        <v>3.0</v>
      </c>
      <c r="C484" s="1" t="s">
        <v>1454</v>
      </c>
      <c r="D484" s="1" t="s">
        <v>8</v>
      </c>
      <c r="E484" s="1" t="s">
        <v>1455</v>
      </c>
      <c r="F484" s="1" t="str">
        <f>IFERROR(__xludf.DUMMYFUNCTION("GOOGLETRANSLATE(A484, ""zh-CN"", ""ko"")"),"이륙하다")</f>
        <v>이륙하다</v>
      </c>
    </row>
    <row r="485" ht="15.75" customHeight="1">
      <c r="A485" s="1" t="s">
        <v>1456</v>
      </c>
      <c r="B485" s="1">
        <v>3.0</v>
      </c>
      <c r="C485" s="1" t="s">
        <v>1457</v>
      </c>
      <c r="D485" s="1" t="s">
        <v>8</v>
      </c>
      <c r="E485" s="1" t="s">
        <v>1458</v>
      </c>
      <c r="F485" s="1" t="str">
        <f>IFERROR(__xludf.DUMMYFUNCTION("GOOGLETRANSLATE(A485, ""zh-CN"", ""ko"")"),"일어서다")</f>
        <v>일어서다</v>
      </c>
    </row>
    <row r="486" ht="15.75" customHeight="1">
      <c r="A486" s="1" t="s">
        <v>1459</v>
      </c>
      <c r="B486" s="1">
        <v>3.0</v>
      </c>
      <c r="C486" s="1" t="s">
        <v>1460</v>
      </c>
      <c r="D486" s="1" t="s">
        <v>52</v>
      </c>
      <c r="E486" s="1" t="s">
        <v>1461</v>
      </c>
      <c r="F486" s="1" t="str">
        <f>IFERROR(__xludf.DUMMYFUNCTION("GOOGLETRANSLATE(A486, ""zh-CN"", ""ko"")"),"분명한")</f>
        <v>분명한</v>
      </c>
    </row>
    <row r="487" ht="15.75" customHeight="1">
      <c r="A487" s="1" t="s">
        <v>1462</v>
      </c>
      <c r="B487" s="1">
        <v>3.0</v>
      </c>
      <c r="C487" s="1" t="s">
        <v>1463</v>
      </c>
      <c r="D487" s="1" t="s">
        <v>8</v>
      </c>
      <c r="E487" s="1" t="s">
        <v>1464</v>
      </c>
      <c r="F487" s="1" t="str">
        <f>IFERROR(__xludf.DUMMYFUNCTION("GOOGLETRANSLATE(A487, ""zh-CN"", ""ko"")"),"휴가를 요청하세요")</f>
        <v>휴가를 요청하세요</v>
      </c>
    </row>
    <row r="488" ht="15.75" customHeight="1">
      <c r="A488" s="1" t="s">
        <v>1465</v>
      </c>
      <c r="B488" s="1">
        <v>3.0</v>
      </c>
      <c r="C488" s="1" t="s">
        <v>1466</v>
      </c>
      <c r="D488" s="1" t="s">
        <v>16</v>
      </c>
      <c r="E488" s="1" t="s">
        <v>1467</v>
      </c>
      <c r="F488" s="1" t="str">
        <f>IFERROR(__xludf.DUMMYFUNCTION("GOOGLETRANSLATE(A488, ""zh-CN"", ""ko"")"),"가을")</f>
        <v>가을</v>
      </c>
    </row>
    <row r="489" ht="15.75" customHeight="1">
      <c r="A489" s="1" t="s">
        <v>1468</v>
      </c>
      <c r="B489" s="1">
        <v>3.0</v>
      </c>
      <c r="C489" s="1" t="s">
        <v>1469</v>
      </c>
      <c r="D489" s="1" t="s">
        <v>16</v>
      </c>
      <c r="E489" s="1" t="s">
        <v>1470</v>
      </c>
      <c r="F489" s="1" t="str">
        <f>IFERROR(__xludf.DUMMYFUNCTION("GOOGLETRANSLATE(A489, ""zh-CN"", ""ko"")"),"치마")</f>
        <v>치마</v>
      </c>
    </row>
    <row r="490" ht="15.75" customHeight="1">
      <c r="A490" s="1" t="s">
        <v>1471</v>
      </c>
      <c r="B490" s="1">
        <v>3.0</v>
      </c>
      <c r="C490" s="1" t="s">
        <v>1472</v>
      </c>
      <c r="D490" s="1" t="s">
        <v>1473</v>
      </c>
      <c r="E490" s="1" t="s">
        <v>1474</v>
      </c>
      <c r="F490" s="1" t="str">
        <f>IFERROR(__xludf.DUMMYFUNCTION("GOOGLETRANSLATE(A490, ""zh-CN"", ""ko"")"),"그 다음에")</f>
        <v>그 다음에</v>
      </c>
    </row>
    <row r="491" ht="15.75" customHeight="1">
      <c r="A491" s="1" t="s">
        <v>1475</v>
      </c>
      <c r="B491" s="1">
        <v>3.0</v>
      </c>
      <c r="C491" s="1" t="s">
        <v>1476</v>
      </c>
      <c r="D491" s="1" t="s">
        <v>52</v>
      </c>
      <c r="E491" s="1" t="s">
        <v>1477</v>
      </c>
      <c r="F491" s="1" t="str">
        <f>IFERROR(__xludf.DUMMYFUNCTION("GOOGLETRANSLATE(A491, ""zh-CN"", ""ko"")"),"열광")</f>
        <v>열광</v>
      </c>
    </row>
    <row r="492" ht="15.75" customHeight="1">
      <c r="A492" s="1" t="s">
        <v>1478</v>
      </c>
      <c r="B492" s="1">
        <v>3.0</v>
      </c>
      <c r="C492" s="1" t="s">
        <v>1479</v>
      </c>
      <c r="D492" s="1" t="s">
        <v>8</v>
      </c>
      <c r="E492" s="1" t="s">
        <v>1480</v>
      </c>
      <c r="F492" s="1" t="str">
        <f>IFERROR(__xludf.DUMMYFUNCTION("GOOGLETRANSLATE(A492, ""zh-CN"", ""ko"")"),"생각하다")</f>
        <v>생각하다</v>
      </c>
    </row>
    <row r="493" ht="15.75" customHeight="1">
      <c r="A493" s="1" t="s">
        <v>1481</v>
      </c>
      <c r="B493" s="1">
        <v>3.0</v>
      </c>
      <c r="C493" s="1" t="s">
        <v>1482</v>
      </c>
      <c r="D493" s="1" t="s">
        <v>52</v>
      </c>
      <c r="E493" s="1" t="s">
        <v>1483</v>
      </c>
      <c r="F493" s="1" t="str">
        <f>IFERROR(__xludf.DUMMYFUNCTION("GOOGLETRANSLATE(A493, ""zh-CN"", ""ko"")"),"심각한")</f>
        <v>심각한</v>
      </c>
    </row>
    <row r="494" ht="15.75" customHeight="1">
      <c r="A494" s="1" t="s">
        <v>1484</v>
      </c>
      <c r="B494" s="1">
        <v>3.0</v>
      </c>
      <c r="C494" s="1" t="s">
        <v>1485</v>
      </c>
      <c r="D494" s="1" t="s">
        <v>52</v>
      </c>
      <c r="E494" s="1" t="s">
        <v>1486</v>
      </c>
      <c r="F494" s="1" t="str">
        <f>IFERROR(__xludf.DUMMYFUNCTION("GOOGLETRANSLATE(A494, ""zh-CN"", ""ko"")"),"쉬운")</f>
        <v>쉬운</v>
      </c>
    </row>
    <row r="495" ht="15.75" customHeight="1">
      <c r="A495" s="1" t="s">
        <v>1487</v>
      </c>
      <c r="B495" s="1">
        <v>3.0</v>
      </c>
      <c r="C495" s="1" t="s">
        <v>1488</v>
      </c>
      <c r="D495" s="1" t="s">
        <v>1473</v>
      </c>
      <c r="E495" s="1" t="s">
        <v>1489</v>
      </c>
      <c r="F495" s="1" t="str">
        <f>IFERROR(__xludf.DUMMYFUNCTION("GOOGLETRANSLATE(A495, ""zh-CN"", ""ko"")"),"만약에")</f>
        <v>만약에</v>
      </c>
    </row>
    <row r="496" ht="15.75" customHeight="1">
      <c r="A496" s="1" t="s">
        <v>1490</v>
      </c>
      <c r="B496" s="1">
        <v>3.0</v>
      </c>
      <c r="C496" s="1" t="s">
        <v>1491</v>
      </c>
      <c r="D496" s="1" t="s">
        <v>16</v>
      </c>
      <c r="E496" s="1" t="s">
        <v>1492</v>
      </c>
      <c r="F496" s="1" t="str">
        <f>IFERROR(__xludf.DUMMYFUNCTION("GOOGLETRANSLATE(A496, ""zh-CN"", ""ko"")"),"우산")</f>
        <v>우산</v>
      </c>
    </row>
    <row r="497" ht="15.75" customHeight="1">
      <c r="A497" s="1" t="s">
        <v>1493</v>
      </c>
      <c r="B497" s="1">
        <v>3.0</v>
      </c>
      <c r="C497" s="1" t="s">
        <v>1494</v>
      </c>
      <c r="D497" s="1" t="s">
        <v>8</v>
      </c>
      <c r="E497" s="1" t="s">
        <v>1495</v>
      </c>
      <c r="F497" s="1" t="str">
        <f>IFERROR(__xludf.DUMMYFUNCTION("GOOGLETRANSLATE(A497, ""zh-CN"", ""ko"")"),"인터넷")</f>
        <v>인터넷</v>
      </c>
    </row>
    <row r="498" ht="15.75" customHeight="1">
      <c r="A498" s="1" t="s">
        <v>1496</v>
      </c>
      <c r="B498" s="1">
        <v>3.0</v>
      </c>
      <c r="C498" s="1" t="s">
        <v>1497</v>
      </c>
      <c r="D498" s="1" t="s">
        <v>8</v>
      </c>
      <c r="E498" s="1" t="s">
        <v>1498</v>
      </c>
      <c r="F498" s="1" t="str">
        <f>IFERROR(__xludf.DUMMYFUNCTION("GOOGLETRANSLATE(A498, ""zh-CN"", ""ko"")"),"화난")</f>
        <v>화난</v>
      </c>
    </row>
    <row r="499" ht="15.75" customHeight="1">
      <c r="A499" s="1" t="s">
        <v>1499</v>
      </c>
      <c r="B499" s="1">
        <v>3.0</v>
      </c>
      <c r="C499" s="1" t="s">
        <v>1500</v>
      </c>
      <c r="D499" s="1" t="s">
        <v>16</v>
      </c>
      <c r="E499" s="1" t="s">
        <v>1501</v>
      </c>
      <c r="F499" s="1" t="str">
        <f>IFERROR(__xludf.DUMMYFUNCTION("GOOGLETRANSLATE(A499, ""zh-CN"", ""ko"")"),"소리")</f>
        <v>소리</v>
      </c>
    </row>
    <row r="500" ht="15.75" customHeight="1">
      <c r="A500" s="1" t="s">
        <v>1502</v>
      </c>
      <c r="B500" s="1">
        <v>3.0</v>
      </c>
      <c r="C500" s="1" t="s">
        <v>306</v>
      </c>
      <c r="D500" s="1" t="s">
        <v>8</v>
      </c>
      <c r="E500" s="1" t="s">
        <v>1503</v>
      </c>
      <c r="F500" s="1" t="str">
        <f>IFERROR(__xludf.DUMMYFUNCTION("GOOGLETRANSLATE(A500, ""zh-CN"", ""ko"")"),"노력하다")</f>
        <v>노력하다</v>
      </c>
    </row>
    <row r="501" ht="15.75" customHeight="1">
      <c r="A501" s="1" t="s">
        <v>1504</v>
      </c>
      <c r="B501" s="1">
        <v>3.0</v>
      </c>
      <c r="C501" s="1" t="s">
        <v>1505</v>
      </c>
      <c r="D501" s="1" t="s">
        <v>16</v>
      </c>
      <c r="E501" s="1" t="s">
        <v>1506</v>
      </c>
      <c r="F501" s="1" t="str">
        <f>IFERROR(__xludf.DUMMYFUNCTION("GOOGLETRANSLATE(A501, ""zh-CN"", ""ko"")"),"세계")</f>
        <v>세계</v>
      </c>
    </row>
    <row r="502" ht="15.75" customHeight="1">
      <c r="A502" s="1" t="s">
        <v>1507</v>
      </c>
      <c r="B502" s="1">
        <v>3.0</v>
      </c>
      <c r="C502" s="1" t="s">
        <v>1508</v>
      </c>
      <c r="D502" s="1" t="s">
        <v>52</v>
      </c>
      <c r="E502" s="1" t="s">
        <v>1509</v>
      </c>
      <c r="F502" s="1" t="str">
        <f>IFERROR(__xludf.DUMMYFUNCTION("GOOGLETRANSLATE(A502, ""zh-CN"", ""ko"")"),"얇은")</f>
        <v>얇은</v>
      </c>
    </row>
    <row r="503" ht="15.75" customHeight="1">
      <c r="A503" s="1" t="s">
        <v>1510</v>
      </c>
      <c r="B503" s="1">
        <v>3.0</v>
      </c>
      <c r="C503" s="1" t="s">
        <v>1511</v>
      </c>
      <c r="D503" s="1" t="s">
        <v>52</v>
      </c>
      <c r="E503" s="1" t="s">
        <v>1512</v>
      </c>
      <c r="F503" s="1" t="str">
        <f>IFERROR(__xludf.DUMMYFUNCTION("GOOGLETRANSLATE(A503, ""zh-CN"", ""ko"")"),"편안한")</f>
        <v>편안한</v>
      </c>
    </row>
    <row r="504" ht="15.75" customHeight="1">
      <c r="A504" s="1" t="s">
        <v>1513</v>
      </c>
      <c r="B504" s="1">
        <v>3.0</v>
      </c>
      <c r="C504" s="1" t="s">
        <v>1514</v>
      </c>
      <c r="D504" s="1" t="s">
        <v>16</v>
      </c>
      <c r="E504" s="1" t="s">
        <v>1515</v>
      </c>
      <c r="F504" s="1" t="str">
        <f>IFERROR(__xludf.DUMMYFUNCTION("GOOGLETRANSLATE(A504, ""zh-CN"", ""ko"")"),"삼촌")</f>
        <v>삼촌</v>
      </c>
    </row>
    <row r="505" ht="15.75" customHeight="1">
      <c r="A505" s="1" t="s">
        <v>1516</v>
      </c>
      <c r="B505" s="1">
        <v>3.0</v>
      </c>
      <c r="C505" s="1" t="s">
        <v>1517</v>
      </c>
      <c r="D505" s="1" t="s">
        <v>16</v>
      </c>
      <c r="E505" s="1" t="s">
        <v>1518</v>
      </c>
      <c r="F505" s="1" t="str">
        <f>IFERROR(__xludf.DUMMYFUNCTION("GOOGLETRANSLATE(A505, ""zh-CN"", ""ko"")"),"나무")</f>
        <v>나무</v>
      </c>
    </row>
    <row r="506" ht="15.75" customHeight="1">
      <c r="A506" s="1" t="s">
        <v>1519</v>
      </c>
      <c r="B506" s="1">
        <v>3.0</v>
      </c>
      <c r="C506" s="1" t="s">
        <v>1520</v>
      </c>
      <c r="D506" s="1" t="s">
        <v>16</v>
      </c>
      <c r="E506" s="1" t="s">
        <v>1521</v>
      </c>
      <c r="F506" s="1" t="str">
        <f>IFERROR(__xludf.DUMMYFUNCTION("GOOGLETRANSLATE(A506, ""zh-CN"", ""ko"")"),"수학")</f>
        <v>수학</v>
      </c>
    </row>
    <row r="507" ht="15.75" customHeight="1">
      <c r="A507" s="1" t="s">
        <v>1522</v>
      </c>
      <c r="B507" s="1">
        <v>3.0</v>
      </c>
      <c r="C507" s="1" t="s">
        <v>1523</v>
      </c>
      <c r="D507" s="1" t="s">
        <v>8</v>
      </c>
      <c r="E507" s="1" t="s">
        <v>1524</v>
      </c>
      <c r="F507" s="1" t="str">
        <f>IFERROR(__xludf.DUMMYFUNCTION("GOOGLETRANSLATE(A507, ""zh-CN"", ""ko"")"),"양치질")</f>
        <v>양치질</v>
      </c>
    </row>
    <row r="508" ht="15.75" customHeight="1">
      <c r="A508" s="1" t="s">
        <v>1525</v>
      </c>
      <c r="B508" s="1">
        <v>3.0</v>
      </c>
      <c r="C508" s="1" t="s">
        <v>1526</v>
      </c>
      <c r="D508" s="1" t="s">
        <v>26</v>
      </c>
      <c r="E508" s="1" t="s">
        <v>1527</v>
      </c>
      <c r="F508" s="1" t="str">
        <f>IFERROR(__xludf.DUMMYFUNCTION("GOOGLETRANSLATE(A508, ""zh-CN"", ""ko"")"),"쌍")</f>
        <v>쌍</v>
      </c>
    </row>
    <row r="509" ht="15.75" customHeight="1">
      <c r="A509" s="1" t="s">
        <v>1528</v>
      </c>
      <c r="B509" s="1">
        <v>3.0</v>
      </c>
      <c r="C509" s="1" t="s">
        <v>1529</v>
      </c>
      <c r="D509" s="1" t="s">
        <v>16</v>
      </c>
      <c r="E509" s="1" t="s">
        <v>1</v>
      </c>
      <c r="F509" s="1" t="str">
        <f>IFERROR(__xludf.DUMMYFUNCTION("GOOGLETRANSLATE(A509, ""zh-CN"", ""ko"")"),"수준")</f>
        <v>수준</v>
      </c>
    </row>
    <row r="510" ht="15.75" customHeight="1">
      <c r="A510" s="1" t="s">
        <v>1530</v>
      </c>
      <c r="B510" s="1">
        <v>3.0</v>
      </c>
      <c r="C510" s="1" t="s">
        <v>1531</v>
      </c>
      <c r="D510" s="1" t="s">
        <v>16</v>
      </c>
      <c r="E510" s="1" t="s">
        <v>1532</v>
      </c>
      <c r="F510" s="1" t="str">
        <f>IFERROR(__xludf.DUMMYFUNCTION("GOOGLETRANSLATE(A510, ""zh-CN"", ""ko"")"),"운전사")</f>
        <v>운전사</v>
      </c>
    </row>
    <row r="511" ht="15.75" customHeight="1">
      <c r="A511" s="1" t="s">
        <v>1533</v>
      </c>
      <c r="B511" s="1">
        <v>3.0</v>
      </c>
      <c r="C511" s="1" t="s">
        <v>1534</v>
      </c>
      <c r="D511" s="1" t="s">
        <v>16</v>
      </c>
      <c r="E511" s="1" t="s">
        <v>1535</v>
      </c>
      <c r="F511" s="1" t="str">
        <f>IFERROR(__xludf.DUMMYFUNCTION("GOOGLETRANSLATE(A511, ""zh-CN"", ""ko"")"),"해")</f>
        <v>해</v>
      </c>
    </row>
    <row r="512" ht="15.75" customHeight="1">
      <c r="A512" s="1" t="s">
        <v>1536</v>
      </c>
      <c r="B512" s="1">
        <v>3.0</v>
      </c>
      <c r="C512" s="1" t="s">
        <v>1537</v>
      </c>
      <c r="D512" s="1" t="s">
        <v>1538</v>
      </c>
      <c r="E512" s="1" t="s">
        <v>1539</v>
      </c>
      <c r="F512" s="1" t="str">
        <f>IFERROR(__xludf.DUMMYFUNCTION("GOOGLETRANSLATE(A512, ""zh-CN"", ""ko"")"),"특별한")</f>
        <v>특별한</v>
      </c>
    </row>
    <row r="513" ht="15.75" customHeight="1">
      <c r="A513" s="1" t="s">
        <v>1540</v>
      </c>
      <c r="B513" s="1">
        <v>3.0</v>
      </c>
      <c r="C513" s="1" t="s">
        <v>1541</v>
      </c>
      <c r="D513" s="1" t="s">
        <v>52</v>
      </c>
      <c r="E513" s="1" t="s">
        <v>1542</v>
      </c>
      <c r="F513" s="1" t="str">
        <f>IFERROR(__xludf.DUMMYFUNCTION("GOOGLETRANSLATE(A513, ""zh-CN"", ""ko"")"),"통증")</f>
        <v>통증</v>
      </c>
    </row>
    <row r="514" ht="15.75" customHeight="1">
      <c r="A514" s="1" t="s">
        <v>1543</v>
      </c>
      <c r="B514" s="1">
        <v>3.0</v>
      </c>
      <c r="C514" s="1" t="s">
        <v>1544</v>
      </c>
      <c r="D514" s="1" t="s">
        <v>8</v>
      </c>
      <c r="E514" s="1" t="s">
        <v>1545</v>
      </c>
      <c r="F514" s="1" t="str">
        <f>IFERROR(__xludf.DUMMYFUNCTION("GOOGLETRANSLATE(A514, ""zh-CN"", ""ko"")"),"개선하다")</f>
        <v>개선하다</v>
      </c>
    </row>
    <row r="515" ht="15.75" customHeight="1">
      <c r="A515" s="1" t="s">
        <v>1546</v>
      </c>
      <c r="B515" s="1">
        <v>3.0</v>
      </c>
      <c r="C515" s="1" t="s">
        <v>1547</v>
      </c>
      <c r="D515" s="1" t="s">
        <v>16</v>
      </c>
      <c r="E515" s="1" t="s">
        <v>1548</v>
      </c>
      <c r="F515" s="1" t="str">
        <f>IFERROR(__xludf.DUMMYFUNCTION("GOOGLETRANSLATE(A515, ""zh-CN"", ""ko"")"),"체육")</f>
        <v>체육</v>
      </c>
    </row>
    <row r="516" ht="15.75" customHeight="1">
      <c r="A516" s="1" t="s">
        <v>1549</v>
      </c>
      <c r="B516" s="1">
        <v>3.0</v>
      </c>
      <c r="C516" s="1" t="s">
        <v>1550</v>
      </c>
      <c r="D516" s="1" t="s">
        <v>52</v>
      </c>
      <c r="E516" s="1" t="s">
        <v>1551</v>
      </c>
      <c r="F516" s="1" t="str">
        <f>IFERROR(__xludf.DUMMYFUNCTION("GOOGLETRANSLATE(A516, ""zh-CN"", ""ko"")"),"달콤한")</f>
        <v>달콤한</v>
      </c>
    </row>
    <row r="517" ht="15.75" customHeight="1">
      <c r="A517" s="1" t="s">
        <v>1552</v>
      </c>
      <c r="B517" s="1">
        <v>3.0</v>
      </c>
      <c r="C517" s="1" t="s">
        <v>1553</v>
      </c>
      <c r="D517" s="1" t="s">
        <v>26</v>
      </c>
      <c r="E517" s="1" t="s">
        <v>1554</v>
      </c>
      <c r="F517" s="1" t="str">
        <f>IFERROR(__xludf.DUMMYFUNCTION("GOOGLETRANSLATE(A517, ""zh-CN"", ""ko"")"),"조각")</f>
        <v>조각</v>
      </c>
    </row>
    <row r="518" ht="15.75" customHeight="1">
      <c r="A518" s="1" t="s">
        <v>1555</v>
      </c>
      <c r="B518" s="1">
        <v>3.0</v>
      </c>
      <c r="C518" s="1" t="s">
        <v>1556</v>
      </c>
      <c r="D518" s="1" t="s">
        <v>16</v>
      </c>
      <c r="E518" s="1" t="s">
        <v>1557</v>
      </c>
      <c r="F518" s="1" t="str">
        <f>IFERROR(__xludf.DUMMYFUNCTION("GOOGLETRANSLATE(A518, ""zh-CN"", ""ko"")"),"동료")</f>
        <v>동료</v>
      </c>
    </row>
    <row r="519" ht="15.75" customHeight="1">
      <c r="A519" s="1" t="s">
        <v>1558</v>
      </c>
      <c r="B519" s="1">
        <v>3.0</v>
      </c>
      <c r="C519" s="1" t="s">
        <v>1559</v>
      </c>
      <c r="D519" s="1" t="s">
        <v>8</v>
      </c>
      <c r="E519" s="1" t="s">
        <v>1560</v>
      </c>
      <c r="F519" s="1" t="str">
        <f>IFERROR(__xludf.DUMMYFUNCTION("GOOGLETRANSLATE(A519, ""zh-CN"", ""ko"")"),"동의하다")</f>
        <v>동의하다</v>
      </c>
    </row>
    <row r="520" ht="15.75" customHeight="1">
      <c r="A520" s="1" t="s">
        <v>1561</v>
      </c>
      <c r="B520" s="1">
        <v>3.0</v>
      </c>
      <c r="C520" s="1" t="s">
        <v>1562</v>
      </c>
      <c r="D520" s="1" t="s">
        <v>16</v>
      </c>
      <c r="E520" s="1" t="s">
        <v>1563</v>
      </c>
      <c r="F520" s="1" t="str">
        <f>IFERROR(__xludf.DUMMYFUNCTION("GOOGLETRANSLATE(A520, ""zh-CN"", ""ko"")"),"머리카락")</f>
        <v>머리카락</v>
      </c>
    </row>
    <row r="521" ht="15.75" customHeight="1">
      <c r="A521" s="1" t="s">
        <v>1564</v>
      </c>
      <c r="B521" s="1">
        <v>3.0</v>
      </c>
      <c r="C521" s="1" t="s">
        <v>1565</v>
      </c>
      <c r="D521" s="1" t="s">
        <v>52</v>
      </c>
      <c r="E521" s="1" t="s">
        <v>1566</v>
      </c>
      <c r="F521" s="1" t="str">
        <f>IFERROR(__xludf.DUMMYFUNCTION("GOOGLETRANSLATE(A521, ""zh-CN"", ""ko"")"),"갑작스러운")</f>
        <v>갑작스러운</v>
      </c>
    </row>
    <row r="522" ht="15.75" customHeight="1">
      <c r="A522" s="1" t="s">
        <v>1567</v>
      </c>
      <c r="B522" s="1">
        <v>3.0</v>
      </c>
      <c r="C522" s="1" t="s">
        <v>1568</v>
      </c>
      <c r="D522" s="1" t="s">
        <v>16</v>
      </c>
      <c r="E522" s="1" t="s">
        <v>1569</v>
      </c>
      <c r="F522" s="1" t="str">
        <f>IFERROR(__xludf.DUMMYFUNCTION("GOOGLETRANSLATE(A522, ""zh-CN"", ""ko"")"),"도서관")</f>
        <v>도서관</v>
      </c>
    </row>
    <row r="523" ht="15.75" customHeight="1">
      <c r="A523" s="1" t="s">
        <v>1570</v>
      </c>
      <c r="B523" s="1">
        <v>3.0</v>
      </c>
      <c r="C523" s="1" t="s">
        <v>1571</v>
      </c>
      <c r="D523" s="1" t="s">
        <v>16</v>
      </c>
      <c r="E523" s="1" t="s">
        <v>1572</v>
      </c>
      <c r="F523" s="1" t="str">
        <f>IFERROR(__xludf.DUMMYFUNCTION("GOOGLETRANSLATE(A523, ""zh-CN"", ""ko"")"),"다리")</f>
        <v>다리</v>
      </c>
    </row>
    <row r="524" ht="15.75" customHeight="1">
      <c r="A524" s="1" t="s">
        <v>1573</v>
      </c>
      <c r="B524" s="1">
        <v>3.0</v>
      </c>
      <c r="C524" s="1" t="s">
        <v>1574</v>
      </c>
      <c r="D524" s="1" t="s">
        <v>8</v>
      </c>
      <c r="E524" s="1" t="s">
        <v>1575</v>
      </c>
      <c r="F524" s="1" t="str">
        <f>IFERROR(__xludf.DUMMYFUNCTION("GOOGLETRANSLATE(A524, ""zh-CN"", ""ko"")"),"마치다")</f>
        <v>마치다</v>
      </c>
    </row>
    <row r="525" ht="15.75" customHeight="1">
      <c r="A525" s="1" t="s">
        <v>1576</v>
      </c>
      <c r="B525" s="1">
        <v>3.0</v>
      </c>
      <c r="C525" s="1" t="s">
        <v>1577</v>
      </c>
      <c r="D525" s="1" t="s">
        <v>16</v>
      </c>
      <c r="E525" s="1" t="s">
        <v>1578</v>
      </c>
      <c r="F525" s="1" t="str">
        <f>IFERROR(__xludf.DUMMYFUNCTION("GOOGLETRANSLATE(A525, ""zh-CN"", ""ko"")"),"그릇")</f>
        <v>그릇</v>
      </c>
    </row>
    <row r="526" ht="15.75" customHeight="1">
      <c r="A526" s="1" t="s">
        <v>1579</v>
      </c>
      <c r="B526" s="1">
        <v>3.0</v>
      </c>
      <c r="C526" s="1" t="s">
        <v>1580</v>
      </c>
      <c r="D526" s="1" t="s">
        <v>12</v>
      </c>
      <c r="E526" s="1" t="s">
        <v>1581</v>
      </c>
      <c r="F526" s="1" t="str">
        <f>IFERROR(__xludf.DUMMYFUNCTION("GOOGLETRANSLATE(A526, ""zh-CN"", ""ko"")"),"만")</f>
        <v>만</v>
      </c>
    </row>
    <row r="527" ht="15.75" customHeight="1">
      <c r="A527" s="1" t="s">
        <v>1582</v>
      </c>
      <c r="B527" s="1">
        <v>3.0</v>
      </c>
      <c r="C527" s="1" t="s">
        <v>1583</v>
      </c>
      <c r="D527" s="1" t="s">
        <v>8</v>
      </c>
      <c r="E527" s="1" t="s">
        <v>1584</v>
      </c>
      <c r="F527" s="1" t="str">
        <f>IFERROR(__xludf.DUMMYFUNCTION("GOOGLETRANSLATE(A527, ""zh-CN"", ""ko"")"),"잊다")</f>
        <v>잊다</v>
      </c>
    </row>
    <row r="528" ht="15.75" customHeight="1">
      <c r="A528" s="1" t="s">
        <v>1585</v>
      </c>
      <c r="B528" s="1">
        <v>3.0</v>
      </c>
      <c r="C528" s="1" t="s">
        <v>346</v>
      </c>
      <c r="D528" s="1" t="s">
        <v>26</v>
      </c>
      <c r="E528" s="1" t="s">
        <v>1586</v>
      </c>
      <c r="F528" s="1" t="str">
        <f>IFERROR(__xludf.DUMMYFUNCTION("GOOGLETRANSLATE(A528, ""zh-CN"", ""ko"")"),"조금")</f>
        <v>조금</v>
      </c>
    </row>
    <row r="529" ht="15.75" customHeight="1">
      <c r="A529" s="1" t="s">
        <v>1587</v>
      </c>
      <c r="B529" s="1">
        <v>3.0</v>
      </c>
      <c r="C529" s="1" t="s">
        <v>346</v>
      </c>
      <c r="D529" s="1" t="s">
        <v>486</v>
      </c>
      <c r="E529" s="1" t="s">
        <v>1588</v>
      </c>
      <c r="F529" s="1" t="str">
        <f>IFERROR(__xludf.DUMMYFUNCTION("GOOGLETRANSLATE(A529, ""zh-CN"", ""ko"")"),"~을 위한")</f>
        <v>~을 위한</v>
      </c>
    </row>
    <row r="530" ht="15.75" customHeight="1">
      <c r="A530" s="1" t="s">
        <v>1589</v>
      </c>
      <c r="B530" s="1">
        <v>3.0</v>
      </c>
      <c r="C530" s="1" t="s">
        <v>1590</v>
      </c>
      <c r="D530" s="1" t="s">
        <v>486</v>
      </c>
      <c r="E530" s="1" t="s">
        <v>1591</v>
      </c>
      <c r="F530" s="1" t="str">
        <f>IFERROR(__xludf.DUMMYFUNCTION("GOOGLETRANSLATE(A530, ""zh-CN"", ""ko"")"),"~을 위한")</f>
        <v>~을 위한</v>
      </c>
    </row>
    <row r="531" ht="15.75" customHeight="1">
      <c r="A531" s="1" t="s">
        <v>1592</v>
      </c>
      <c r="B531" s="1">
        <v>3.0</v>
      </c>
      <c r="C531" s="1" t="s">
        <v>1593</v>
      </c>
      <c r="D531" s="1" t="s">
        <v>16</v>
      </c>
      <c r="E531" s="1" t="s">
        <v>1594</v>
      </c>
      <c r="F531" s="1" t="str">
        <f>IFERROR(__xludf.DUMMYFUNCTION("GOOGLETRANSLATE(A531, ""zh-CN"", ""ko"")"),"문화")</f>
        <v>문화</v>
      </c>
    </row>
    <row r="532" ht="15.75" customHeight="1">
      <c r="A532" s="1" t="s">
        <v>1595</v>
      </c>
      <c r="B532" s="1">
        <v>3.0</v>
      </c>
      <c r="C532" s="1" t="s">
        <v>1596</v>
      </c>
      <c r="D532" s="1" t="s">
        <v>16</v>
      </c>
      <c r="E532" s="1" t="s">
        <v>1597</v>
      </c>
      <c r="F532" s="1" t="str">
        <f>IFERROR(__xludf.DUMMYFUNCTION("GOOGLETRANSLATE(A532, ""zh-CN"", ""ko"")"),"서쪽")</f>
        <v>서쪽</v>
      </c>
    </row>
    <row r="533" ht="15.75" customHeight="1">
      <c r="A533" s="1" t="s">
        <v>1598</v>
      </c>
      <c r="B533" s="1">
        <v>3.0</v>
      </c>
      <c r="C533" s="1" t="s">
        <v>1599</v>
      </c>
      <c r="D533" s="1" t="s">
        <v>875</v>
      </c>
      <c r="E533" s="1" t="s">
        <v>1600</v>
      </c>
      <c r="F533" s="1" t="str">
        <f>IFERROR(__xludf.DUMMYFUNCTION("GOOGLETRANSLATE(A533, ""zh-CN"", ""ko"")"),"습관")</f>
        <v>습관</v>
      </c>
    </row>
    <row r="534" ht="15.75" customHeight="1">
      <c r="A534" s="1" t="s">
        <v>1601</v>
      </c>
      <c r="B534" s="1">
        <v>3.0</v>
      </c>
      <c r="C534" s="1" t="s">
        <v>1602</v>
      </c>
      <c r="D534" s="1" t="s">
        <v>16</v>
      </c>
      <c r="E534" s="1" t="s">
        <v>1603</v>
      </c>
      <c r="F534" s="1" t="str">
        <f>IFERROR(__xludf.DUMMYFUNCTION("GOOGLETRANSLATE(A534, ""zh-CN"", ""ko"")"),"화장실")</f>
        <v>화장실</v>
      </c>
    </row>
    <row r="535" ht="15.75" customHeight="1">
      <c r="A535" s="1" t="s">
        <v>1604</v>
      </c>
      <c r="B535" s="1">
        <v>3.0</v>
      </c>
      <c r="C535" s="1" t="s">
        <v>1605</v>
      </c>
      <c r="D535" s="1" t="s">
        <v>8</v>
      </c>
      <c r="E535" s="1" t="s">
        <v>1606</v>
      </c>
      <c r="F535" s="1" t="str">
        <f>IFERROR(__xludf.DUMMYFUNCTION("GOOGLETRANSLATE(A535, ""zh-CN"", ""ko"")"),"욕조")</f>
        <v>욕조</v>
      </c>
    </row>
    <row r="536" ht="15.75" customHeight="1">
      <c r="A536" s="1" t="s">
        <v>1607</v>
      </c>
      <c r="B536" s="1">
        <v>3.0</v>
      </c>
      <c r="C536" s="1" t="s">
        <v>361</v>
      </c>
      <c r="D536" s="1" t="s">
        <v>16</v>
      </c>
      <c r="E536" s="1" t="s">
        <v>1608</v>
      </c>
      <c r="F536" s="1" t="str">
        <f>IFERROR(__xludf.DUMMYFUNCTION("GOOGLETRANSLATE(A536, ""zh-CN"", ""ko"")"),"여름")</f>
        <v>여름</v>
      </c>
    </row>
    <row r="537" ht="15.75" customHeight="1">
      <c r="A537" s="1" t="s">
        <v>1609</v>
      </c>
      <c r="B537" s="1">
        <v>3.0</v>
      </c>
      <c r="C537" s="1" t="s">
        <v>1610</v>
      </c>
      <c r="D537" s="1" t="s">
        <v>33</v>
      </c>
      <c r="E537" s="1" t="s">
        <v>1611</v>
      </c>
      <c r="F537" s="1" t="str">
        <f>IFERROR(__xludf.DUMMYFUNCTION("GOOGLETRANSLATE(A537, ""zh-CN"", ""ko"")"),"첫 번째")</f>
        <v>첫 번째</v>
      </c>
    </row>
    <row r="538" ht="15.75" customHeight="1">
      <c r="A538" s="1" t="s">
        <v>1612</v>
      </c>
      <c r="B538" s="1">
        <v>3.0</v>
      </c>
      <c r="C538" s="1" t="s">
        <v>1613</v>
      </c>
      <c r="D538" s="1" t="s">
        <v>16</v>
      </c>
      <c r="E538" s="1" t="s">
        <v>1614</v>
      </c>
      <c r="F538" s="1" t="str">
        <f>IFERROR(__xludf.DUMMYFUNCTION("GOOGLETRANSLATE(A538, ""zh-CN"", ""ko"")"),"바나나")</f>
        <v>바나나</v>
      </c>
    </row>
    <row r="539" ht="15.75" customHeight="1">
      <c r="A539" s="1" t="s">
        <v>1615</v>
      </c>
      <c r="B539" s="1">
        <v>3.0</v>
      </c>
      <c r="C539" s="1" t="s">
        <v>1616</v>
      </c>
      <c r="D539" s="1" t="s">
        <v>8</v>
      </c>
      <c r="E539" s="1" t="s">
        <v>1617</v>
      </c>
      <c r="F539" s="1" t="str">
        <f>IFERROR(__xludf.DUMMYFUNCTION("GOOGLETRANSLATE(A539, ""zh-CN"", ""ko"")"),"믿다")</f>
        <v>믿다</v>
      </c>
    </row>
    <row r="540" ht="15.75" customHeight="1">
      <c r="A540" s="1" t="s">
        <v>1618</v>
      </c>
      <c r="B540" s="1">
        <v>3.0</v>
      </c>
      <c r="C540" s="1" t="s">
        <v>1619</v>
      </c>
      <c r="D540" s="1" t="s">
        <v>8</v>
      </c>
      <c r="E540" s="1" t="s">
        <v>1620</v>
      </c>
      <c r="F540" s="1" t="str">
        <f>IFERROR(__xludf.DUMMYFUNCTION("GOOGLETRANSLATE(A540, ""zh-CN"", ""ko"")"),"그림")</f>
        <v>그림</v>
      </c>
    </row>
    <row r="541" ht="15.75" customHeight="1">
      <c r="A541" s="1" t="s">
        <v>1621</v>
      </c>
      <c r="B541" s="1">
        <v>3.0</v>
      </c>
      <c r="C541" s="1" t="s">
        <v>1619</v>
      </c>
      <c r="D541" s="1" t="s">
        <v>486</v>
      </c>
      <c r="E541" s="1" t="s">
        <v>789</v>
      </c>
      <c r="F541" s="1" t="str">
        <f>IFERROR(__xludf.DUMMYFUNCTION("GOOGLETRANSLATE(A541, ""zh-CN"", ""ko"")"),"쪽으로")</f>
        <v>쪽으로</v>
      </c>
    </row>
    <row r="542" ht="15.75" customHeight="1">
      <c r="A542" s="1" t="s">
        <v>1622</v>
      </c>
      <c r="B542" s="1">
        <v>3.0</v>
      </c>
      <c r="C542" s="1" t="s">
        <v>1623</v>
      </c>
      <c r="D542" s="1" t="s">
        <v>1624</v>
      </c>
      <c r="E542" s="1" t="s">
        <v>1625</v>
      </c>
      <c r="F542" s="1" t="str">
        <f>IFERROR(__xludf.DUMMYFUNCTION("GOOGLETRANSLATE(A542, ""zh-CN"", ""ko"")"),"주의 깊은")</f>
        <v>주의 깊은</v>
      </c>
    </row>
    <row r="543" ht="15.75" customHeight="1">
      <c r="A543" s="1" t="s">
        <v>1626</v>
      </c>
      <c r="B543" s="1">
        <v>3.0</v>
      </c>
      <c r="C543" s="1" t="s">
        <v>1627</v>
      </c>
      <c r="D543" s="1" t="s">
        <v>16</v>
      </c>
      <c r="E543" s="1" t="s">
        <v>1628</v>
      </c>
      <c r="F543" s="1" t="str">
        <f>IFERROR(__xludf.DUMMYFUNCTION("GOOGLETRANSLATE(A543, ""zh-CN"", ""ko"")"),"교장")</f>
        <v>교장</v>
      </c>
    </row>
    <row r="544" ht="15.75" customHeight="1">
      <c r="A544" s="1" t="s">
        <v>1629</v>
      </c>
      <c r="B544" s="1">
        <v>3.0</v>
      </c>
      <c r="C544" s="1" t="s">
        <v>1630</v>
      </c>
      <c r="D544" s="1" t="s">
        <v>16</v>
      </c>
      <c r="E544" s="1" t="s">
        <v>1631</v>
      </c>
      <c r="F544" s="1" t="str">
        <f>IFERROR(__xludf.DUMMYFUNCTION("GOOGLETRANSLATE(A544, ""zh-CN"", ""ko"")"),"소식")</f>
        <v>소식</v>
      </c>
    </row>
    <row r="545" ht="15.75" customHeight="1">
      <c r="A545" s="1" t="s">
        <v>1632</v>
      </c>
      <c r="B545" s="1">
        <v>3.0</v>
      </c>
      <c r="C545" s="1" t="s">
        <v>1633</v>
      </c>
      <c r="D545" s="1" t="s">
        <v>52</v>
      </c>
      <c r="E545" s="1" t="s">
        <v>1634</v>
      </c>
      <c r="F545" s="1" t="str">
        <f>IFERROR(__xludf.DUMMYFUNCTION("GOOGLETRANSLATE(A545, ""zh-CN"", ""ko"")"),"신선한")</f>
        <v>신선한</v>
      </c>
    </row>
    <row r="546" ht="15.75" customHeight="1">
      <c r="A546" s="1" t="s">
        <v>1635</v>
      </c>
      <c r="B546" s="1">
        <v>3.0</v>
      </c>
      <c r="C546" s="1" t="s">
        <v>1636</v>
      </c>
      <c r="D546" s="1" t="s">
        <v>16</v>
      </c>
      <c r="E546" s="1" t="s">
        <v>1637</v>
      </c>
      <c r="F546" s="1" t="str">
        <f>IFERROR(__xludf.DUMMYFUNCTION("GOOGLETRANSLATE(A546, ""zh-CN"", ""ko"")"),"신용카드")</f>
        <v>신용카드</v>
      </c>
    </row>
    <row r="547" ht="15.75" customHeight="1">
      <c r="A547" s="1" t="s">
        <v>1638</v>
      </c>
      <c r="B547" s="1">
        <v>3.0</v>
      </c>
      <c r="C547" s="1" t="s">
        <v>1639</v>
      </c>
      <c r="D547" s="1" t="s">
        <v>16</v>
      </c>
      <c r="E547" s="1" t="s">
        <v>1640</v>
      </c>
      <c r="F547" s="1" t="str">
        <f>IFERROR(__xludf.DUMMYFUNCTION("GOOGLETRANSLATE(A547, ""zh-CN"", ""ko"")"),"여행 가방")</f>
        <v>여행 가방</v>
      </c>
    </row>
    <row r="548" ht="15.75" customHeight="1">
      <c r="A548" s="1" t="s">
        <v>1641</v>
      </c>
      <c r="B548" s="1">
        <v>3.0</v>
      </c>
      <c r="C548" s="1" t="s">
        <v>1642</v>
      </c>
      <c r="D548" s="1" t="s">
        <v>16</v>
      </c>
      <c r="E548" s="1" t="s">
        <v>1643</v>
      </c>
      <c r="F548" s="1" t="str">
        <f>IFERROR(__xludf.DUMMYFUNCTION("GOOGLETRANSLATE(A548, ""zh-CN"", ""ko"")"),"팬더")</f>
        <v>팬더</v>
      </c>
    </row>
    <row r="549" ht="15.75" customHeight="1">
      <c r="A549" s="1" t="s">
        <v>1644</v>
      </c>
      <c r="B549" s="1">
        <v>3.0</v>
      </c>
      <c r="C549" s="1" t="s">
        <v>1645</v>
      </c>
      <c r="D549" s="1" t="s">
        <v>8</v>
      </c>
      <c r="E549" s="1" t="s">
        <v>1646</v>
      </c>
      <c r="F549" s="1" t="str">
        <f>IFERROR(__xludf.DUMMYFUNCTION("GOOGLETRANSLATE(A549, ""zh-CN"", ""ko"")"),"필요")</f>
        <v>필요</v>
      </c>
    </row>
    <row r="550" ht="15.75" customHeight="1">
      <c r="A550" s="1" t="s">
        <v>1647</v>
      </c>
      <c r="B550" s="1">
        <v>3.0</v>
      </c>
      <c r="C550" s="1" t="s">
        <v>1648</v>
      </c>
      <c r="D550" s="1" t="s">
        <v>8</v>
      </c>
      <c r="E550" s="1" t="s">
        <v>1649</v>
      </c>
      <c r="F550" s="1" t="str">
        <f>IFERROR(__xludf.DUMMYFUNCTION("GOOGLETRANSLATE(A550, ""zh-CN"", ""ko"")"),"선택하다")</f>
        <v>선택하다</v>
      </c>
    </row>
    <row r="551" ht="15.75" customHeight="1">
      <c r="A551" s="1" t="s">
        <v>1650</v>
      </c>
      <c r="B551" s="1">
        <v>3.0</v>
      </c>
      <c r="C551" s="1" t="s">
        <v>428</v>
      </c>
      <c r="D551" s="1" t="s">
        <v>33</v>
      </c>
      <c r="E551" s="1" t="s">
        <v>1651</v>
      </c>
      <c r="F551" s="1" t="str">
        <f>IFERROR(__xludf.DUMMYFUNCTION("GOOGLETRANSLATE(A551, ""zh-CN"", ""ko"")"),"십자가")</f>
        <v>십자가</v>
      </c>
    </row>
    <row r="552" ht="15.75" customHeight="1">
      <c r="A552" s="1" t="s">
        <v>1652</v>
      </c>
      <c r="B552" s="1">
        <v>3.0</v>
      </c>
      <c r="C552" s="1" t="s">
        <v>1653</v>
      </c>
      <c r="D552" s="1" t="s">
        <v>875</v>
      </c>
      <c r="E552" s="1" t="s">
        <v>1654</v>
      </c>
      <c r="F552" s="1" t="str">
        <f>IFERROR(__xludf.DUMMYFUNCTION("GOOGLETRANSLATE(A552, ""zh-CN"", ""ko"")"),"필요하다")</f>
        <v>필요하다</v>
      </c>
    </row>
    <row r="553" ht="15.75" customHeight="1">
      <c r="A553" s="1" t="s">
        <v>1655</v>
      </c>
      <c r="B553" s="1">
        <v>3.0</v>
      </c>
      <c r="C553" s="1" t="s">
        <v>1656</v>
      </c>
      <c r="D553" s="1" t="s">
        <v>16</v>
      </c>
      <c r="E553" s="1" t="s">
        <v>1657</v>
      </c>
      <c r="F553" s="1" t="str">
        <f>IFERROR(__xludf.DUMMYFUNCTION("GOOGLETRANSLATE(A553, ""zh-CN"", ""ko"")"),"할아버지")</f>
        <v>할아버지</v>
      </c>
    </row>
    <row r="554" ht="15.75" customHeight="1">
      <c r="A554" s="1" t="s">
        <v>1658</v>
      </c>
      <c r="B554" s="1">
        <v>3.0</v>
      </c>
      <c r="C554" s="1" t="s">
        <v>1659</v>
      </c>
      <c r="D554" s="1" t="s">
        <v>52</v>
      </c>
      <c r="E554" s="1" t="s">
        <v>1660</v>
      </c>
      <c r="F554" s="1" t="str">
        <f>IFERROR(__xludf.DUMMYFUNCTION("GOOGLETRANSLATE(A554, ""zh-CN"", ""ko"")"),"일반적으로")</f>
        <v>일반적으로</v>
      </c>
    </row>
    <row r="555" ht="15.75" customHeight="1">
      <c r="A555" s="1" t="s">
        <v>1661</v>
      </c>
      <c r="B555" s="1">
        <v>3.0</v>
      </c>
      <c r="C555" s="1" t="s">
        <v>1662</v>
      </c>
      <c r="D555" s="1" t="s">
        <v>33</v>
      </c>
      <c r="E555" s="1" t="s">
        <v>1663</v>
      </c>
      <c r="F555" s="1" t="str">
        <f>IFERROR(__xludf.DUMMYFUNCTION("GOOGLETRANSLATE(A555, ""zh-CN"", ""ko"")"),"한편")</f>
        <v>한편</v>
      </c>
    </row>
    <row r="556" ht="15.75" customHeight="1">
      <c r="A556" s="1" t="s">
        <v>1664</v>
      </c>
      <c r="B556" s="1">
        <v>3.0</v>
      </c>
      <c r="C556" s="1" t="s">
        <v>1665</v>
      </c>
      <c r="D556" s="1" t="s">
        <v>1538</v>
      </c>
      <c r="E556" s="1" t="s">
        <v>1666</v>
      </c>
      <c r="F556" s="1" t="str">
        <f>IFERROR(__xludf.DUMMYFUNCTION("GOOGLETRANSLATE(A556, ""zh-CN"", ""ko"")"),"~ 해야 하다")</f>
        <v>~ 해야 하다</v>
      </c>
    </row>
    <row r="557" ht="15.75" customHeight="1">
      <c r="A557" s="1" t="s">
        <v>1667</v>
      </c>
      <c r="B557" s="1">
        <v>3.0</v>
      </c>
      <c r="C557" s="1" t="s">
        <v>1668</v>
      </c>
      <c r="D557" s="1" t="s">
        <v>33</v>
      </c>
      <c r="E557" s="1" t="s">
        <v>1669</v>
      </c>
      <c r="F557" s="1" t="str">
        <f>IFERROR(__xludf.DUMMYFUNCTION("GOOGLETRANSLATE(A557, ""zh-CN"", ""ko"")"),"총")</f>
        <v>총</v>
      </c>
    </row>
    <row r="558" ht="15.75" customHeight="1">
      <c r="A558" s="1" t="s">
        <v>1670</v>
      </c>
      <c r="B558" s="1">
        <v>3.0</v>
      </c>
      <c r="C558" s="1" t="s">
        <v>1671</v>
      </c>
      <c r="D558" s="1" t="s">
        <v>410</v>
      </c>
      <c r="E558" s="1" t="s">
        <v>1672</v>
      </c>
      <c r="F558" s="1" t="str">
        <f>IFERROR(__xludf.DUMMYFUNCTION("GOOGLETRANSLATE(A558, ""zh-CN"", ""ko"")"),"잠시 동안")</f>
        <v>잠시 동안</v>
      </c>
    </row>
    <row r="559" ht="15.75" customHeight="1">
      <c r="A559" s="1" t="s">
        <v>1673</v>
      </c>
      <c r="B559" s="1">
        <v>3.0</v>
      </c>
      <c r="C559" s="1" t="s">
        <v>1674</v>
      </c>
      <c r="D559" s="1" t="s">
        <v>52</v>
      </c>
      <c r="E559" s="1" t="s">
        <v>1675</v>
      </c>
      <c r="F559" s="1" t="str">
        <f>IFERROR(__xludf.DUMMYFUNCTION("GOOGLETRANSLATE(A559, ""zh-CN"", ""ko"")"),"같은")</f>
        <v>같은</v>
      </c>
    </row>
    <row r="560" ht="15.75" customHeight="1">
      <c r="A560" s="1" t="s">
        <v>1676</v>
      </c>
      <c r="B560" s="1">
        <v>3.0</v>
      </c>
      <c r="C560" s="1" t="s">
        <v>1677</v>
      </c>
      <c r="D560" s="1" t="s">
        <v>33</v>
      </c>
      <c r="E560" s="1" t="s">
        <v>1678</v>
      </c>
      <c r="F560" s="1" t="str">
        <f>IFERROR(__xludf.DUMMYFUNCTION("GOOGLETRANSLATE(A560, ""zh-CN"", ""ko"")"),"언제나")</f>
        <v>언제나</v>
      </c>
    </row>
    <row r="561" ht="15.75" customHeight="1">
      <c r="A561" s="1" t="s">
        <v>1679</v>
      </c>
      <c r="B561" s="1">
        <v>3.0</v>
      </c>
      <c r="C561" s="1" t="s">
        <v>1680</v>
      </c>
      <c r="D561" s="1" t="s">
        <v>16</v>
      </c>
      <c r="E561" s="1" t="s">
        <v>1681</v>
      </c>
      <c r="F561" s="1" t="str">
        <f>IFERROR(__xludf.DUMMYFUNCTION("GOOGLETRANSLATE(A561, ""zh-CN"", ""ko"")"),"~ 전에")</f>
        <v>~ 전에</v>
      </c>
    </row>
    <row r="562" ht="15.75" customHeight="1">
      <c r="A562" s="1" t="s">
        <v>1682</v>
      </c>
      <c r="B562" s="1">
        <v>3.0</v>
      </c>
      <c r="C562" s="1" t="s">
        <v>1683</v>
      </c>
      <c r="D562" s="1" t="s">
        <v>16</v>
      </c>
      <c r="E562" s="1" t="s">
        <v>1684</v>
      </c>
      <c r="F562" s="1" t="str">
        <f>IFERROR(__xludf.DUMMYFUNCTION("GOOGLETRANSLATE(A562, ""zh-CN"", ""ko"")"),"음악")</f>
        <v>음악</v>
      </c>
    </row>
    <row r="563" ht="15.75" customHeight="1">
      <c r="A563" s="1" t="s">
        <v>1685</v>
      </c>
      <c r="B563" s="1">
        <v>3.0</v>
      </c>
      <c r="C563" s="1" t="s">
        <v>1686</v>
      </c>
      <c r="D563" s="1" t="s">
        <v>16</v>
      </c>
      <c r="E563" s="1" t="s">
        <v>1687</v>
      </c>
      <c r="F563" s="1" t="str">
        <f>IFERROR(__xludf.DUMMYFUNCTION("GOOGLETRANSLATE(A563, ""zh-CN"", ""ko"")"),"은행")</f>
        <v>은행</v>
      </c>
    </row>
    <row r="564" ht="15.75" customHeight="1">
      <c r="A564" s="1" t="s">
        <v>1688</v>
      </c>
      <c r="B564" s="1">
        <v>3.0</v>
      </c>
      <c r="C564" s="1" t="s">
        <v>1689</v>
      </c>
      <c r="D564" s="1" t="s">
        <v>16</v>
      </c>
      <c r="E564" s="1" t="s">
        <v>1690</v>
      </c>
      <c r="F564" s="1" t="str">
        <f>IFERROR(__xludf.DUMMYFUNCTION("GOOGLETRANSLATE(A564, ""zh-CN"", ""ko"")"),"음료수")</f>
        <v>음료수</v>
      </c>
    </row>
    <row r="565" ht="15.75" customHeight="1">
      <c r="A565" s="1" t="s">
        <v>1691</v>
      </c>
      <c r="B565" s="1">
        <v>3.0</v>
      </c>
      <c r="C565" s="1" t="s">
        <v>1692</v>
      </c>
      <c r="D565" s="1" t="s">
        <v>8</v>
      </c>
      <c r="E565" s="1" t="s">
        <v>1693</v>
      </c>
      <c r="F565" s="1" t="str">
        <f>IFERROR(__xludf.DUMMYFUNCTION("GOOGLETRANSLATE(A565, ""zh-CN"", ""ko"")"),"~해야 한다")</f>
        <v>~해야 한다</v>
      </c>
    </row>
    <row r="566" ht="15.75" customHeight="1">
      <c r="A566" s="1" t="s">
        <v>1694</v>
      </c>
      <c r="B566" s="1">
        <v>3.0</v>
      </c>
      <c r="C566" s="1" t="s">
        <v>1695</v>
      </c>
      <c r="D566" s="1" t="s">
        <v>875</v>
      </c>
      <c r="E566" s="1" t="s">
        <v>1696</v>
      </c>
      <c r="F566" s="1" t="str">
        <f>IFERROR(__xludf.DUMMYFUNCTION("GOOGLETRANSLATE(A566, ""zh-CN"", ""ko"")"),"영향")</f>
        <v>영향</v>
      </c>
    </row>
    <row r="567" ht="15.75" customHeight="1">
      <c r="A567" s="1" t="s">
        <v>1697</v>
      </c>
      <c r="B567" s="1">
        <v>3.0</v>
      </c>
      <c r="C567" s="1" t="s">
        <v>1698</v>
      </c>
      <c r="D567" s="1" t="s">
        <v>8</v>
      </c>
      <c r="E567" s="1" t="s">
        <v>1699</v>
      </c>
      <c r="F567" s="1" t="str">
        <f>IFERROR(__xludf.DUMMYFUNCTION("GOOGLETRANSLATE(A567, ""zh-CN"", ""ko"")"),"사용")</f>
        <v>사용</v>
      </c>
    </row>
    <row r="568" ht="15.75" customHeight="1">
      <c r="A568" s="1" t="s">
        <v>1700</v>
      </c>
      <c r="B568" s="1">
        <v>3.0</v>
      </c>
      <c r="C568" s="1" t="s">
        <v>1701</v>
      </c>
      <c r="D568" s="1" t="s">
        <v>16</v>
      </c>
      <c r="E568" s="1" t="s">
        <v>1702</v>
      </c>
      <c r="F568" s="1" t="str">
        <f>IFERROR(__xludf.DUMMYFUNCTION("GOOGLETRANSLATE(A568, ""zh-CN"", ""ko"")"),"게임")</f>
        <v>게임</v>
      </c>
    </row>
    <row r="569" ht="15.75" customHeight="1">
      <c r="A569" s="1" t="s">
        <v>1703</v>
      </c>
      <c r="B569" s="1">
        <v>3.0</v>
      </c>
      <c r="C569" s="1" t="s">
        <v>1704</v>
      </c>
      <c r="D569" s="1" t="s">
        <v>52</v>
      </c>
      <c r="E569" s="1" t="s">
        <v>1705</v>
      </c>
      <c r="F569" s="1" t="str">
        <f>IFERROR(__xludf.DUMMYFUNCTION("GOOGLETRANSLATE(A569, ""zh-CN"", ""ko"")"),"유명한")</f>
        <v>유명한</v>
      </c>
    </row>
    <row r="570" ht="15.75" customHeight="1">
      <c r="A570" s="1" t="s">
        <v>1706</v>
      </c>
      <c r="B570" s="1">
        <v>3.0</v>
      </c>
      <c r="C570" s="1" t="s">
        <v>1707</v>
      </c>
      <c r="D570" s="1" t="s">
        <v>33</v>
      </c>
      <c r="E570" s="1" t="s">
        <v>878</v>
      </c>
      <c r="F570" s="1" t="str">
        <f>IFERROR(__xludf.DUMMYFUNCTION("GOOGLETRANSLATE(A570, ""zh-CN"", ""ko"")"),"다시")</f>
        <v>다시</v>
      </c>
    </row>
    <row r="571" ht="15.75" customHeight="1">
      <c r="A571" s="1" t="s">
        <v>1708</v>
      </c>
      <c r="B571" s="1">
        <v>3.0</v>
      </c>
      <c r="C571" s="1" t="s">
        <v>1709</v>
      </c>
      <c r="D571" s="1" t="s">
        <v>8</v>
      </c>
      <c r="E571" s="1" t="s">
        <v>1256</v>
      </c>
      <c r="F571" s="1" t="str">
        <f>IFERROR(__xludf.DUMMYFUNCTION("GOOGLETRANSLATE(A571, ""zh-CN"", ""ko"")"),"만나다")</f>
        <v>만나다</v>
      </c>
    </row>
    <row r="572" ht="15.75" customHeight="1">
      <c r="A572" s="1" t="s">
        <v>1710</v>
      </c>
      <c r="B572" s="1">
        <v>3.0</v>
      </c>
      <c r="C572" s="1" t="s">
        <v>1711</v>
      </c>
      <c r="D572" s="1" t="s">
        <v>26</v>
      </c>
      <c r="E572" s="1" t="s">
        <v>1712</v>
      </c>
      <c r="F572" s="1" t="str">
        <f>IFERROR(__xludf.DUMMYFUNCTION("GOOGLETRANSLATE(A572, ""zh-CN"", ""ko"")"),"원")</f>
        <v>원</v>
      </c>
    </row>
    <row r="573" ht="15.75" customHeight="1">
      <c r="A573" s="1" t="s">
        <v>1713</v>
      </c>
      <c r="B573" s="1">
        <v>3.0</v>
      </c>
      <c r="C573" s="1" t="s">
        <v>1714</v>
      </c>
      <c r="D573" s="1" t="s">
        <v>8</v>
      </c>
      <c r="E573" s="1" t="s">
        <v>1715</v>
      </c>
      <c r="F573" s="1" t="str">
        <f>IFERROR(__xludf.DUMMYFUNCTION("GOOGLETRANSLATE(A573, ""zh-CN"", ""ko"")"),"자발적인")</f>
        <v>자발적인</v>
      </c>
    </row>
    <row r="574" ht="15.75" customHeight="1">
      <c r="A574" s="1" t="s">
        <v>1716</v>
      </c>
      <c r="B574" s="1">
        <v>3.0</v>
      </c>
      <c r="C574" s="1" t="s">
        <v>1717</v>
      </c>
      <c r="D574" s="1" t="s">
        <v>16</v>
      </c>
      <c r="E574" s="1" t="s">
        <v>1718</v>
      </c>
      <c r="F574" s="1" t="str">
        <f>IFERROR(__xludf.DUMMYFUNCTION("GOOGLETRANSLATE(A574, ""zh-CN"", ""ko"")"),"달")</f>
        <v>달</v>
      </c>
    </row>
    <row r="575" ht="15.75" customHeight="1">
      <c r="A575" s="1" t="s">
        <v>1719</v>
      </c>
      <c r="B575" s="1">
        <v>3.0</v>
      </c>
      <c r="C575" s="1" t="s">
        <v>1720</v>
      </c>
      <c r="D575" s="1" t="s">
        <v>8</v>
      </c>
      <c r="E575" s="1" t="s">
        <v>1721</v>
      </c>
      <c r="F575" s="1" t="str">
        <f>IFERROR(__xludf.DUMMYFUNCTION("GOOGLETRANSLATE(A575, ""zh-CN"", ""ko"")"),"서다")</f>
        <v>서다</v>
      </c>
    </row>
    <row r="576" ht="15.75" customHeight="1">
      <c r="A576" s="1" t="s">
        <v>1722</v>
      </c>
      <c r="B576" s="1">
        <v>3.0</v>
      </c>
      <c r="C576" s="1" t="s">
        <v>1723</v>
      </c>
      <c r="D576" s="1" t="s">
        <v>26</v>
      </c>
      <c r="E576" s="1" t="s">
        <v>1724</v>
      </c>
      <c r="F576" s="1" t="str">
        <f>IFERROR(__xludf.DUMMYFUNCTION("GOOGLETRANSLATE(A576, ""zh-CN"", ""ko"")"),"열려 있는")</f>
        <v>열려 있는</v>
      </c>
    </row>
    <row r="577" ht="15.75" customHeight="1">
      <c r="A577" s="1" t="s">
        <v>1725</v>
      </c>
      <c r="B577" s="1">
        <v>3.0</v>
      </c>
      <c r="C577" s="1" t="s">
        <v>1726</v>
      </c>
      <c r="D577" s="1" t="s">
        <v>52</v>
      </c>
      <c r="E577" s="1" t="s">
        <v>1727</v>
      </c>
      <c r="F577" s="1" t="str">
        <f>IFERROR(__xludf.DUMMYFUNCTION("GOOGLETRANSLATE(A577, ""zh-CN"", ""ko"")"),"급하게")</f>
        <v>급하게</v>
      </c>
    </row>
    <row r="578" ht="15.75" customHeight="1">
      <c r="A578" s="1" t="s">
        <v>1728</v>
      </c>
      <c r="B578" s="1">
        <v>3.0</v>
      </c>
      <c r="C578" s="1" t="s">
        <v>1729</v>
      </c>
      <c r="D578" s="1" t="s">
        <v>8</v>
      </c>
      <c r="E578" s="1" t="s">
        <v>1730</v>
      </c>
      <c r="F578" s="1" t="str">
        <f>IFERROR(__xludf.DUMMYFUNCTION("GOOGLETRANSLATE(A578, ""zh-CN"", ""ko"")"),"돌보다")</f>
        <v>돌보다</v>
      </c>
    </row>
    <row r="579" ht="15.75" customHeight="1">
      <c r="A579" s="1" t="s">
        <v>1731</v>
      </c>
      <c r="B579" s="1">
        <v>3.0</v>
      </c>
      <c r="C579" s="1" t="s">
        <v>1732</v>
      </c>
      <c r="D579" s="1" t="s">
        <v>16</v>
      </c>
      <c r="E579" s="1" t="s">
        <v>1733</v>
      </c>
      <c r="F579" s="1" t="str">
        <f>IFERROR(__xludf.DUMMYFUNCTION("GOOGLETRANSLATE(A579, ""zh-CN"", ""ko"")"),"사진")</f>
        <v>사진</v>
      </c>
    </row>
    <row r="580" ht="15.75" customHeight="1">
      <c r="A580" s="1" t="s">
        <v>1734</v>
      </c>
      <c r="B580" s="1">
        <v>3.0</v>
      </c>
      <c r="C580" s="1" t="s">
        <v>1735</v>
      </c>
      <c r="D580" s="1" t="s">
        <v>16</v>
      </c>
      <c r="E580" s="1" t="s">
        <v>1736</v>
      </c>
      <c r="F580" s="1" t="str">
        <f>IFERROR(__xludf.DUMMYFUNCTION("GOOGLETRANSLATE(A580, ""zh-CN"", ""ko"")"),"카메라")</f>
        <v>카메라</v>
      </c>
    </row>
    <row r="581" ht="15.75" customHeight="1">
      <c r="A581" s="1" t="s">
        <v>1737</v>
      </c>
      <c r="B581" s="1">
        <v>3.0</v>
      </c>
      <c r="C581" s="1" t="s">
        <v>1738</v>
      </c>
      <c r="D581" s="1" t="s">
        <v>763</v>
      </c>
      <c r="E581" s="1" t="s">
        <v>1739</v>
      </c>
      <c r="F581" s="1" t="str">
        <f>IFERROR(__xludf.DUMMYFUNCTION("GOOGLETRANSLATE(A581, ""zh-CN"", ""ko"")"),"만약…라면…")</f>
        <v>만약…라면…</v>
      </c>
    </row>
    <row r="582" ht="15.75" customHeight="1">
      <c r="A582" s="1" t="s">
        <v>1740</v>
      </c>
      <c r="B582" s="1">
        <v>3.0</v>
      </c>
      <c r="C582" s="1" t="s">
        <v>1741</v>
      </c>
      <c r="D582" s="1" t="s">
        <v>16</v>
      </c>
      <c r="E582" s="1" t="s">
        <v>1742</v>
      </c>
      <c r="F582" s="1" t="str">
        <f>IFERROR(__xludf.DUMMYFUNCTION("GOOGLETRANSLATE(A582, ""zh-CN"", ""ko"")"),"가운데")</f>
        <v>가운데</v>
      </c>
    </row>
    <row r="583" ht="15.75" customHeight="1">
      <c r="A583" s="1" t="s">
        <v>1743</v>
      </c>
      <c r="B583" s="1">
        <v>3.0</v>
      </c>
      <c r="C583" s="1" t="s">
        <v>1744</v>
      </c>
      <c r="D583" s="1" t="s">
        <v>16</v>
      </c>
      <c r="E583" s="1" t="s">
        <v>1745</v>
      </c>
      <c r="F583" s="1" t="str">
        <f>IFERROR(__xludf.DUMMYFUNCTION("GOOGLETRANSLATE(A583, ""zh-CN"", ""ko"")"),"중국인")</f>
        <v>중국인</v>
      </c>
    </row>
    <row r="584" ht="15.75" customHeight="1">
      <c r="A584" s="1" t="s">
        <v>1746</v>
      </c>
      <c r="B584" s="1">
        <v>3.0</v>
      </c>
      <c r="C584" s="1" t="s">
        <v>1747</v>
      </c>
      <c r="D584" s="1" t="s">
        <v>33</v>
      </c>
      <c r="E584" s="1" t="s">
        <v>1748</v>
      </c>
      <c r="F584" s="1" t="str">
        <f>IFERROR(__xludf.DUMMYFUNCTION("GOOGLETRANSLATE(A584, ""zh-CN"", ""ko"")"),"마지막으로")</f>
        <v>마지막으로</v>
      </c>
    </row>
    <row r="585" ht="15.75" customHeight="1">
      <c r="A585" s="1" t="s">
        <v>1749</v>
      </c>
      <c r="B585" s="1">
        <v>3.0</v>
      </c>
      <c r="C585" s="1" t="s">
        <v>1750</v>
      </c>
      <c r="D585" s="1" t="s">
        <v>26</v>
      </c>
      <c r="E585" s="1" t="s">
        <v>1751</v>
      </c>
      <c r="F585" s="1" t="str">
        <f>IFERROR(__xludf.DUMMYFUNCTION("GOOGLETRANSLATE(A585, ""zh-CN"", ""ko"")"),"친절한")</f>
        <v>친절한</v>
      </c>
    </row>
    <row r="586" ht="15.75" customHeight="1">
      <c r="A586" s="1" t="s">
        <v>1752</v>
      </c>
      <c r="B586" s="1">
        <v>3.0</v>
      </c>
      <c r="C586" s="1" t="s">
        <v>1753</v>
      </c>
      <c r="D586" s="1" t="s">
        <v>52</v>
      </c>
      <c r="E586" s="1" t="s">
        <v>1754</v>
      </c>
      <c r="F586" s="1" t="str">
        <f>IFERROR(__xludf.DUMMYFUNCTION("GOOGLETRANSLATE(A586, ""zh-CN"", ""ko"")"),"중요한")</f>
        <v>중요한</v>
      </c>
    </row>
    <row r="587" ht="15.75" customHeight="1">
      <c r="A587" s="1" t="s">
        <v>1755</v>
      </c>
      <c r="B587" s="1">
        <v>3.0</v>
      </c>
      <c r="C587" s="1" t="s">
        <v>1756</v>
      </c>
      <c r="D587" s="1" t="s">
        <v>16</v>
      </c>
      <c r="E587" s="1" t="s">
        <v>1757</v>
      </c>
      <c r="F587" s="1" t="str">
        <f>IFERROR(__xludf.DUMMYFUNCTION("GOOGLETRANSLATE(A587, ""zh-CN"", ""ko"")"),"주말")</f>
        <v>주말</v>
      </c>
    </row>
    <row r="588" ht="15.75" customHeight="1">
      <c r="A588" s="1" t="s">
        <v>1758</v>
      </c>
      <c r="B588" s="1">
        <v>3.0</v>
      </c>
      <c r="C588" s="1" t="s">
        <v>1759</v>
      </c>
      <c r="D588" s="1" t="s">
        <v>52</v>
      </c>
      <c r="E588" s="1" t="s">
        <v>1760</v>
      </c>
      <c r="F588" s="1" t="str">
        <f>IFERROR(__xludf.DUMMYFUNCTION("GOOGLETRANSLATE(A588, ""zh-CN"", ""ko"")"),"기본")</f>
        <v>기본</v>
      </c>
    </row>
    <row r="589" ht="15.75" customHeight="1">
      <c r="A589" s="1" t="s">
        <v>1761</v>
      </c>
      <c r="B589" s="1">
        <v>3.0</v>
      </c>
      <c r="C589" s="1" t="s">
        <v>1762</v>
      </c>
      <c r="D589" s="1" t="s">
        <v>8</v>
      </c>
      <c r="E589" s="1" t="s">
        <v>1763</v>
      </c>
      <c r="F589" s="1" t="str">
        <f>IFERROR(__xludf.DUMMYFUNCTION("GOOGLETRANSLATE(A589, ""zh-CN"", ""ko"")"),"알아채다")</f>
        <v>알아채다</v>
      </c>
    </row>
    <row r="590" ht="15.75" customHeight="1">
      <c r="A590" s="1" t="s">
        <v>1764</v>
      </c>
      <c r="B590" s="1">
        <v>3.0</v>
      </c>
      <c r="C590" s="1" t="s">
        <v>1765</v>
      </c>
      <c r="D590" s="1" t="s">
        <v>88</v>
      </c>
      <c r="E590" s="1" t="s">
        <v>1766</v>
      </c>
      <c r="F590" s="1" t="str">
        <f>IFERROR(__xludf.DUMMYFUNCTION("GOOGLETRANSLATE(A590, ""zh-CN"", ""ko"")"),"소유하다")</f>
        <v>소유하다</v>
      </c>
    </row>
    <row r="591" ht="15.75" customHeight="1">
      <c r="A591" s="1" t="s">
        <v>1767</v>
      </c>
      <c r="B591" s="1">
        <v>3.0</v>
      </c>
      <c r="C591" s="1" t="s">
        <v>1768</v>
      </c>
      <c r="D591" s="1" t="s">
        <v>16</v>
      </c>
      <c r="E591" s="1" t="s">
        <v>1769</v>
      </c>
      <c r="F591" s="1" t="str">
        <f>IFERROR(__xludf.DUMMYFUNCTION("GOOGLETRANSLATE(A591, ""zh-CN"", ""ko"")"),"자전거")</f>
        <v>자전거</v>
      </c>
    </row>
    <row r="592" ht="15.75" customHeight="1">
      <c r="A592" s="1" t="s">
        <v>1770</v>
      </c>
      <c r="B592" s="1">
        <v>3.0</v>
      </c>
      <c r="C592" s="1" t="s">
        <v>1771</v>
      </c>
      <c r="D592" s="1" t="s">
        <v>33</v>
      </c>
      <c r="E592" s="1" t="s">
        <v>1772</v>
      </c>
      <c r="F592" s="1" t="str">
        <f>IFERROR(__xludf.DUMMYFUNCTION("GOOGLETRANSLATE(A592, ""zh-CN"", ""ko"")"),"언제나")</f>
        <v>언제나</v>
      </c>
    </row>
    <row r="593" ht="15.75" customHeight="1">
      <c r="A593" s="1" t="s">
        <v>1773</v>
      </c>
      <c r="B593" s="1">
        <v>3.0</v>
      </c>
      <c r="C593" s="1" t="s">
        <v>1774</v>
      </c>
      <c r="D593" s="1" t="s">
        <v>16</v>
      </c>
      <c r="E593" s="1" t="s">
        <v>1775</v>
      </c>
      <c r="F593" s="1" t="str">
        <f>IFERROR(__xludf.DUMMYFUNCTION("GOOGLETRANSLATE(A593, ""zh-CN"", ""ko"")"),"입")</f>
        <v>입</v>
      </c>
    </row>
    <row r="594" ht="15.75" customHeight="1">
      <c r="A594" s="1" t="s">
        <v>1776</v>
      </c>
      <c r="B594" s="1">
        <v>3.0</v>
      </c>
      <c r="C594" s="1" t="s">
        <v>1777</v>
      </c>
      <c r="D594" s="1" t="s">
        <v>16</v>
      </c>
      <c r="E594" s="1" t="s">
        <v>1778</v>
      </c>
      <c r="F594" s="1" t="str">
        <f>IFERROR(__xludf.DUMMYFUNCTION("GOOGLETRANSLATE(A594, ""zh-CN"", ""ko"")"),"마침내")</f>
        <v>마침내</v>
      </c>
    </row>
    <row r="595" ht="15.75" customHeight="1">
      <c r="A595" s="1" t="s">
        <v>1779</v>
      </c>
      <c r="B595" s="1">
        <v>3.0</v>
      </c>
      <c r="C595" s="1" t="s">
        <v>1780</v>
      </c>
      <c r="D595" s="1" t="s">
        <v>16</v>
      </c>
      <c r="E595" s="1" t="s">
        <v>1781</v>
      </c>
      <c r="F595" s="1" t="str">
        <f>IFERROR(__xludf.DUMMYFUNCTION("GOOGLETRANSLATE(A595, ""zh-CN"", ""ko"")"),"최근의")</f>
        <v>최근의</v>
      </c>
    </row>
    <row r="596" ht="15.75" customHeight="1">
      <c r="A596" s="1" t="s">
        <v>1782</v>
      </c>
      <c r="B596" s="1">
        <v>3.0</v>
      </c>
      <c r="C596" s="1" t="s">
        <v>1783</v>
      </c>
      <c r="D596" s="1" t="s">
        <v>16</v>
      </c>
      <c r="E596" s="1" t="s">
        <v>1784</v>
      </c>
      <c r="F596" s="1" t="str">
        <f>IFERROR(__xludf.DUMMYFUNCTION("GOOGLETRANSLATE(A596, ""zh-CN"", ""ko"")"),"작업")</f>
        <v>작업</v>
      </c>
    </row>
    <row r="597" ht="15.75" customHeight="1">
      <c r="A597" s="1" t="s">
        <v>1785</v>
      </c>
      <c r="B597" s="1">
        <v>4.0</v>
      </c>
      <c r="C597" s="1" t="s">
        <v>1786</v>
      </c>
      <c r="D597" s="1" t="s">
        <v>16</v>
      </c>
      <c r="E597" s="1" t="s">
        <v>1787</v>
      </c>
      <c r="F597" s="1" t="str">
        <f>IFERROR(__xludf.DUMMYFUNCTION("GOOGLETRANSLATE(A597, ""zh-CN"", ""ko"")"),"사랑")</f>
        <v>사랑</v>
      </c>
    </row>
    <row r="598" ht="15.75" customHeight="1">
      <c r="A598" s="1" t="s">
        <v>1788</v>
      </c>
      <c r="B598" s="1">
        <v>4.0</v>
      </c>
      <c r="C598" s="1" t="s">
        <v>1789</v>
      </c>
      <c r="D598" s="1" t="s">
        <v>8</v>
      </c>
      <c r="E598" s="1" t="s">
        <v>1790</v>
      </c>
      <c r="F598" s="1" t="str">
        <f>IFERROR(__xludf.DUMMYFUNCTION("GOOGLETRANSLATE(A598, ""zh-CN"", ""ko"")"),"마련하다")</f>
        <v>마련하다</v>
      </c>
    </row>
    <row r="599" ht="15.75" customHeight="1">
      <c r="A599" s="1" t="s">
        <v>1791</v>
      </c>
      <c r="B599" s="1">
        <v>4.0</v>
      </c>
      <c r="C599" s="1" t="s">
        <v>1792</v>
      </c>
      <c r="D599" s="1" t="s">
        <v>52</v>
      </c>
      <c r="E599" s="1" t="s">
        <v>1793</v>
      </c>
      <c r="F599" s="1" t="str">
        <f>IFERROR(__xludf.DUMMYFUNCTION("GOOGLETRANSLATE(A599, ""zh-CN"", ""ko"")"),"안전")</f>
        <v>안전</v>
      </c>
    </row>
    <row r="600" ht="15.75" customHeight="1">
      <c r="A600" s="1" t="s">
        <v>1794</v>
      </c>
      <c r="B600" s="1">
        <v>4.0</v>
      </c>
      <c r="C600" s="1" t="s">
        <v>1795</v>
      </c>
      <c r="D600" s="1" t="s">
        <v>33</v>
      </c>
      <c r="E600" s="1" t="s">
        <v>1796</v>
      </c>
      <c r="F600" s="1" t="str">
        <f>IFERROR(__xludf.DUMMYFUNCTION("GOOGLETRANSLATE(A600, ""zh-CN"", ""ko"")"),"정시에")</f>
        <v>정시에</v>
      </c>
    </row>
    <row r="601" ht="15.75" customHeight="1">
      <c r="A601" s="1" t="s">
        <v>1797</v>
      </c>
      <c r="B601" s="1">
        <v>4.0</v>
      </c>
      <c r="C601" s="1" t="s">
        <v>1798</v>
      </c>
      <c r="D601" s="1" t="s">
        <v>486</v>
      </c>
      <c r="E601" s="1" t="s">
        <v>1150</v>
      </c>
      <c r="F601" s="1" t="str">
        <f>IFERROR(__xludf.DUMMYFUNCTION("GOOGLETRANSLATE(A601, ""zh-CN"", ""ko"")"),"~에 따르면")</f>
        <v>~에 따르면</v>
      </c>
    </row>
    <row r="602" ht="15.75" customHeight="1">
      <c r="A602" s="1" t="s">
        <v>1799</v>
      </c>
      <c r="B602" s="1">
        <v>4.0</v>
      </c>
      <c r="C602" s="1" t="s">
        <v>1800</v>
      </c>
      <c r="E602" s="1" t="s">
        <v>1801</v>
      </c>
      <c r="F602" s="1" t="str">
        <f>IFERROR(__xludf.DUMMYFUNCTION("GOOGLETRANSLATE(A602, ""zh-CN"", ""ko"")"),"퍼센트")</f>
        <v>퍼센트</v>
      </c>
    </row>
    <row r="603" ht="15.75" customHeight="1">
      <c r="A603" s="1" t="s">
        <v>1802</v>
      </c>
      <c r="B603" s="1">
        <v>4.0</v>
      </c>
      <c r="C603" s="1" t="s">
        <v>1803</v>
      </c>
      <c r="D603" s="1" t="s">
        <v>52</v>
      </c>
      <c r="E603" s="1" t="s">
        <v>1804</v>
      </c>
      <c r="F603" s="1" t="str">
        <f>IFERROR(__xludf.DUMMYFUNCTION("GOOGLETRANSLATE(A603, ""zh-CN"", ""ko"")"),"엄청난")</f>
        <v>엄청난</v>
      </c>
    </row>
    <row r="604" ht="15.75" customHeight="1">
      <c r="A604" s="1" t="s">
        <v>1805</v>
      </c>
      <c r="B604" s="1">
        <v>4.0</v>
      </c>
      <c r="C604" s="1" t="s">
        <v>1806</v>
      </c>
      <c r="D604" s="1" t="s">
        <v>16</v>
      </c>
      <c r="E604" s="1" t="s">
        <v>1807</v>
      </c>
      <c r="F604" s="1" t="str">
        <f>IFERROR(__xludf.DUMMYFUNCTION("GOOGLETRANSLATE(A604, ""zh-CN"", ""ko"")"),"찐빵")</f>
        <v>찐빵</v>
      </c>
    </row>
    <row r="605" ht="15.75" customHeight="1">
      <c r="A605" s="1" t="s">
        <v>1808</v>
      </c>
      <c r="B605" s="1">
        <v>4.0</v>
      </c>
      <c r="C605" s="1" t="s">
        <v>1809</v>
      </c>
      <c r="D605" s="1" t="s">
        <v>8</v>
      </c>
      <c r="E605" s="1" t="s">
        <v>1810</v>
      </c>
      <c r="F605" s="1" t="str">
        <f>IFERROR(__xludf.DUMMYFUNCTION("GOOGLETRANSLATE(A605, ""zh-CN"", ""ko"")"),"보호하다")</f>
        <v>보호하다</v>
      </c>
    </row>
    <row r="606" ht="15.75" customHeight="1">
      <c r="A606" s="1" t="s">
        <v>1811</v>
      </c>
      <c r="B606" s="1">
        <v>4.0</v>
      </c>
      <c r="C606" s="1" t="s">
        <v>1812</v>
      </c>
      <c r="D606" s="1" t="s">
        <v>8</v>
      </c>
      <c r="E606" s="1" t="s">
        <v>1813</v>
      </c>
      <c r="F606" s="1" t="str">
        <f>IFERROR(__xludf.DUMMYFUNCTION("GOOGLETRANSLATE(A606, ""zh-CN"", ""ko"")"),"보장하다")</f>
        <v>보장하다</v>
      </c>
    </row>
    <row r="607" ht="15.75" customHeight="1">
      <c r="A607" s="1" t="s">
        <v>1814</v>
      </c>
      <c r="B607" s="1">
        <v>4.0</v>
      </c>
      <c r="C607" s="1" t="s">
        <v>1815</v>
      </c>
      <c r="D607" s="1" t="s">
        <v>8</v>
      </c>
      <c r="E607" s="1" t="s">
        <v>1816</v>
      </c>
      <c r="F607" s="1" t="str">
        <f>IFERROR(__xludf.DUMMYFUNCTION("GOOGLETRANSLATE(A607, ""zh-CN"", ""ko"")"),"껴안다")</f>
        <v>껴안다</v>
      </c>
    </row>
    <row r="608" ht="15.75" customHeight="1">
      <c r="A608" s="1" t="s">
        <v>1817</v>
      </c>
      <c r="B608" s="1">
        <v>4.0</v>
      </c>
      <c r="C608" s="1" t="s">
        <v>1818</v>
      </c>
      <c r="D608" s="1" t="s">
        <v>8</v>
      </c>
      <c r="E608" s="1" t="s">
        <v>1819</v>
      </c>
      <c r="F608" s="1" t="str">
        <f>IFERROR(__xludf.DUMMYFUNCTION("GOOGLETRANSLATE(A608, ""zh-CN"", ""ko"")"),"가입하기")</f>
        <v>가입하기</v>
      </c>
    </row>
    <row r="609" ht="15.75" customHeight="1">
      <c r="A609" s="1" t="s">
        <v>1820</v>
      </c>
      <c r="B609" s="1">
        <v>4.0</v>
      </c>
      <c r="C609" s="1" t="s">
        <v>1821</v>
      </c>
      <c r="D609" s="1" t="s">
        <v>52</v>
      </c>
      <c r="E609" s="1" t="s">
        <v>1822</v>
      </c>
      <c r="F609" s="1" t="str">
        <f>IFERROR(__xludf.DUMMYFUNCTION("GOOGLETRANSLATE(A609, ""zh-CN"", ""ko"")"),"안타깝다")</f>
        <v>안타깝다</v>
      </c>
    </row>
    <row r="610" ht="15.75" customHeight="1">
      <c r="A610" s="1" t="s">
        <v>1823</v>
      </c>
      <c r="B610" s="1">
        <v>4.0</v>
      </c>
      <c r="C610" s="1" t="s">
        <v>960</v>
      </c>
      <c r="D610" s="1" t="s">
        <v>26</v>
      </c>
      <c r="E610" s="1" t="s">
        <v>1824</v>
      </c>
      <c r="F610" s="1" t="str">
        <f>IFERROR(__xludf.DUMMYFUNCTION("GOOGLETRANSLATE(A610, ""zh-CN"", ""ko"")"),"타임스")</f>
        <v>타임스</v>
      </c>
    </row>
    <row r="611" ht="15.75" customHeight="1">
      <c r="A611" s="1" t="s">
        <v>1825</v>
      </c>
      <c r="B611" s="1">
        <v>4.0</v>
      </c>
      <c r="C611" s="1" t="s">
        <v>1826</v>
      </c>
      <c r="D611" s="1" t="s">
        <v>33</v>
      </c>
      <c r="E611" s="1" t="s">
        <v>1827</v>
      </c>
      <c r="F611" s="1" t="str">
        <f>IFERROR(__xludf.DUMMYFUNCTION("GOOGLETRANSLATE(A611, ""zh-CN"", ""ko"")"),"원래")</f>
        <v>원래</v>
      </c>
    </row>
    <row r="612" ht="15.75" customHeight="1">
      <c r="A612" s="1" t="s">
        <v>1828</v>
      </c>
      <c r="B612" s="1">
        <v>4.0</v>
      </c>
      <c r="C612" s="1" t="s">
        <v>1829</v>
      </c>
      <c r="D612" s="1" t="s">
        <v>52</v>
      </c>
      <c r="E612" s="1" t="s">
        <v>1830</v>
      </c>
      <c r="F612" s="1" t="str">
        <f>IFERROR(__xludf.DUMMYFUNCTION("GOOGLETRANSLATE(A612, ""zh-CN"", ""ko"")"),"바보")</f>
        <v>바보</v>
      </c>
    </row>
    <row r="613" ht="15.75" customHeight="1">
      <c r="A613" s="1" t="s">
        <v>1831</v>
      </c>
      <c r="B613" s="1">
        <v>4.0</v>
      </c>
      <c r="C613" s="1" t="s">
        <v>1832</v>
      </c>
      <c r="D613" s="1" t="s">
        <v>8</v>
      </c>
      <c r="E613" s="1" t="s">
        <v>1833</v>
      </c>
      <c r="F613" s="1" t="str">
        <f>IFERROR(__xludf.DUMMYFUNCTION("GOOGLETRANSLATE(A613, ""zh-CN"", ""ko"")"),"예를 들어")</f>
        <v>예를 들어</v>
      </c>
    </row>
    <row r="614" ht="15.75" customHeight="1">
      <c r="A614" s="1" t="s">
        <v>1834</v>
      </c>
      <c r="B614" s="1">
        <v>4.0</v>
      </c>
      <c r="C614" s="1" t="s">
        <v>1835</v>
      </c>
      <c r="D614" s="1" t="s">
        <v>8</v>
      </c>
      <c r="E614" s="1" t="s">
        <v>1836</v>
      </c>
      <c r="F614" s="1" t="str">
        <f>IFERROR(__xludf.DUMMYFUNCTION("GOOGLETRANSLATE(A614, ""zh-CN"", ""ko"")"),"졸업하다")</f>
        <v>졸업하다</v>
      </c>
    </row>
    <row r="615" ht="15.75" customHeight="1">
      <c r="A615" s="1" t="s">
        <v>1837</v>
      </c>
      <c r="B615" s="1">
        <v>4.0</v>
      </c>
      <c r="C615" s="1" t="s">
        <v>1838</v>
      </c>
      <c r="D615" s="1" t="s">
        <v>26</v>
      </c>
      <c r="E615" s="1" t="s">
        <v>1839</v>
      </c>
      <c r="F615" s="1" t="str">
        <f>IFERROR(__xludf.DUMMYFUNCTION("GOOGLETRANSLATE(A615, ""zh-CN"", ""ko"")"),"온 세상")</f>
        <v>온 세상</v>
      </c>
    </row>
    <row r="616" ht="15.75" customHeight="1">
      <c r="A616" s="1" t="s">
        <v>1840</v>
      </c>
      <c r="B616" s="1">
        <v>4.0</v>
      </c>
      <c r="C616" s="1" t="s">
        <v>1841</v>
      </c>
      <c r="D616" s="1" t="s">
        <v>1842</v>
      </c>
      <c r="E616" s="1" t="s">
        <v>1843</v>
      </c>
      <c r="F616" s="1" t="str">
        <f>IFERROR(__xludf.DUMMYFUNCTION("GOOGLETRANSLATE(A616, ""zh-CN"", ""ko"")"),"기준")</f>
        <v>기준</v>
      </c>
    </row>
    <row r="617" ht="15.75" customHeight="1">
      <c r="A617" s="1" t="s">
        <v>1844</v>
      </c>
      <c r="B617" s="1">
        <v>4.0</v>
      </c>
      <c r="C617" s="1" t="s">
        <v>1845</v>
      </c>
      <c r="D617" s="1" t="s">
        <v>16</v>
      </c>
      <c r="E617" s="1" t="s">
        <v>1846</v>
      </c>
      <c r="F617" s="1" t="str">
        <f>IFERROR(__xludf.DUMMYFUNCTION("GOOGLETRANSLATE(A617, ""zh-CN"", ""ko"")"),"시트")</f>
        <v>시트</v>
      </c>
    </row>
    <row r="618" ht="15.75" customHeight="1">
      <c r="A618" s="1" t="s">
        <v>1847</v>
      </c>
      <c r="B618" s="1">
        <v>4.0</v>
      </c>
      <c r="C618" s="1" t="s">
        <v>1848</v>
      </c>
      <c r="D618" s="1" t="s">
        <v>8</v>
      </c>
      <c r="E618" s="1" t="s">
        <v>1849</v>
      </c>
      <c r="F618" s="1" t="str">
        <f>IFERROR(__xludf.DUMMYFUNCTION("GOOGLETRANSLATE(A618, ""zh-CN"", ""ko"")"),"표현하다")</f>
        <v>표현하다</v>
      </c>
    </row>
    <row r="619" ht="15.75" customHeight="1">
      <c r="A619" s="1" t="s">
        <v>1850</v>
      </c>
      <c r="B619" s="1">
        <v>4.0</v>
      </c>
      <c r="C619" s="1" t="s">
        <v>1851</v>
      </c>
      <c r="D619" s="1" t="s">
        <v>8</v>
      </c>
      <c r="E619" s="1" t="s">
        <v>1852</v>
      </c>
      <c r="F619" s="1" t="str">
        <f>IFERROR(__xludf.DUMMYFUNCTION("GOOGLETRANSLATE(A619, ""zh-CN"", ""ko"")"),"성능")</f>
        <v>성능</v>
      </c>
    </row>
    <row r="620" ht="15.75" customHeight="1">
      <c r="A620" s="1" t="s">
        <v>1853</v>
      </c>
      <c r="B620" s="1">
        <v>4.0</v>
      </c>
      <c r="C620" s="1" t="s">
        <v>1854</v>
      </c>
      <c r="D620" s="1" t="s">
        <v>8</v>
      </c>
      <c r="E620" s="1" t="s">
        <v>1855</v>
      </c>
      <c r="F620" s="1" t="str">
        <f>IFERROR(__xludf.DUMMYFUNCTION("GOOGLETRANSLATE(A620, ""zh-CN"", ""ko"")"),"칭찬")</f>
        <v>칭찬</v>
      </c>
    </row>
    <row r="621" ht="15.75" customHeight="1">
      <c r="A621" s="1" t="s">
        <v>1856</v>
      </c>
      <c r="B621" s="1">
        <v>4.0</v>
      </c>
      <c r="C621" s="1" t="s">
        <v>1857</v>
      </c>
      <c r="D621" s="1" t="s">
        <v>16</v>
      </c>
      <c r="E621" s="1" t="s">
        <v>1858</v>
      </c>
      <c r="F621" s="1" t="str">
        <f>IFERROR(__xludf.DUMMYFUNCTION("GOOGLETRANSLATE(A621, ""zh-CN"", ""ko"")"),"비스킷")</f>
        <v>비스킷</v>
      </c>
    </row>
    <row r="622" ht="15.75" customHeight="1">
      <c r="A622" s="1" t="s">
        <v>1859</v>
      </c>
      <c r="B622" s="1">
        <v>4.0</v>
      </c>
      <c r="C622" s="1" t="s">
        <v>1860</v>
      </c>
      <c r="D622" s="1" t="s">
        <v>1473</v>
      </c>
      <c r="E622" s="1" t="s">
        <v>133</v>
      </c>
      <c r="F622" s="1" t="str">
        <f>IFERROR(__xludf.DUMMYFUNCTION("GOOGLETRANSLATE(A622, ""zh-CN"", ""ko"")"),"그리고")</f>
        <v>그리고</v>
      </c>
    </row>
    <row r="623" ht="15.75" customHeight="1">
      <c r="A623" s="1" t="s">
        <v>1861</v>
      </c>
      <c r="B623" s="1">
        <v>4.0</v>
      </c>
      <c r="C623" s="1" t="s">
        <v>1862</v>
      </c>
      <c r="D623" s="1" t="s">
        <v>16</v>
      </c>
      <c r="E623" s="1" t="s">
        <v>417</v>
      </c>
      <c r="F623" s="1" t="str">
        <f>IFERROR(__xludf.DUMMYFUNCTION("GOOGLETRANSLATE(A623, ""zh-CN"", ""ko"")"),"박사")</f>
        <v>박사</v>
      </c>
    </row>
    <row r="624" ht="15.75" customHeight="1">
      <c r="A624" s="1" t="s">
        <v>1863</v>
      </c>
      <c r="B624" s="1">
        <v>4.0</v>
      </c>
      <c r="C624" s="1" t="s">
        <v>1864</v>
      </c>
      <c r="D624" s="1" t="s">
        <v>1473</v>
      </c>
      <c r="E624" s="1" t="s">
        <v>1865</v>
      </c>
      <c r="F624" s="1" t="str">
        <f>IFERROR(__xludf.DUMMYFUNCTION("GOOGLETRANSLATE(A624, ""zh-CN"", ""ko"")"),"하지만")</f>
        <v>하지만</v>
      </c>
    </row>
    <row r="625" ht="15.75" customHeight="1">
      <c r="A625" s="1" t="s">
        <v>1866</v>
      </c>
      <c r="B625" s="1">
        <v>4.0</v>
      </c>
      <c r="C625" s="1" t="s">
        <v>1867</v>
      </c>
      <c r="E625" s="1" t="s">
        <v>1868</v>
      </c>
      <c r="F625" s="1" t="str">
        <f>IFERROR(__xludf.DUMMYFUNCTION("GOOGLETRANSLATE(A625, ""zh-CN"", ""ko"")"),"해야 한다")</f>
        <v>해야 한다</v>
      </c>
    </row>
    <row r="626" ht="15.75" customHeight="1">
      <c r="A626" s="1" t="s">
        <v>1869</v>
      </c>
      <c r="B626" s="1">
        <v>4.0</v>
      </c>
      <c r="C626" s="1" t="s">
        <v>1870</v>
      </c>
      <c r="D626" s="1" t="s">
        <v>16</v>
      </c>
      <c r="E626" s="1" t="s">
        <v>1871</v>
      </c>
      <c r="F626" s="1" t="str">
        <f>IFERROR(__xludf.DUMMYFUNCTION("GOOGLETRANSLATE(A626, ""zh-CN"", ""ko"")"),"부분")</f>
        <v>부분</v>
      </c>
    </row>
    <row r="627" ht="15.75" customHeight="1">
      <c r="A627" s="1" t="s">
        <v>1872</v>
      </c>
      <c r="B627" s="1">
        <v>4.0</v>
      </c>
      <c r="C627" s="1" t="s">
        <v>1873</v>
      </c>
      <c r="D627" s="1" t="s">
        <v>1473</v>
      </c>
      <c r="E627" s="1" t="s">
        <v>1874</v>
      </c>
      <c r="F627" s="1" t="str">
        <f>IFERROR(__xludf.DUMMYFUNCTION("GOOGLETRANSLATE(A627, ""zh-CN"", ""ko"")"),"그럼에도 불구하고")</f>
        <v>그럼에도 불구하고</v>
      </c>
    </row>
    <row r="628" ht="15.75" customHeight="1">
      <c r="A628" s="1" t="s">
        <v>1875</v>
      </c>
      <c r="B628" s="1">
        <v>4.0</v>
      </c>
      <c r="C628" s="1" t="s">
        <v>1876</v>
      </c>
      <c r="D628" s="1" t="s">
        <v>1473</v>
      </c>
      <c r="E628" s="1" t="s">
        <v>1877</v>
      </c>
      <c r="F628" s="1" t="str">
        <f>IFERROR(__xludf.DUMMYFUNCTION("GOOGLETRANSLATE(A628, ""zh-CN"", ""ko"")"),"비단")</f>
        <v>비단</v>
      </c>
    </row>
    <row r="629" ht="15.75" customHeight="1">
      <c r="A629" s="1" t="s">
        <v>1878</v>
      </c>
      <c r="B629" s="1">
        <v>4.0</v>
      </c>
      <c r="C629" s="1" t="s">
        <v>1879</v>
      </c>
      <c r="D629" s="1" t="s">
        <v>8</v>
      </c>
      <c r="E629" s="1" t="s">
        <v>1880</v>
      </c>
      <c r="F629" s="1" t="str">
        <f>IFERROR(__xludf.DUMMYFUNCTION("GOOGLETRANSLATE(A629, ""zh-CN"", ""ko"")"),"닦음")</f>
        <v>닦음</v>
      </c>
    </row>
    <row r="630" ht="15.75" customHeight="1">
      <c r="A630" s="1" t="s">
        <v>1881</v>
      </c>
      <c r="B630" s="1">
        <v>4.0</v>
      </c>
      <c r="C630" s="1" t="s">
        <v>1882</v>
      </c>
      <c r="D630" s="1" t="s">
        <v>8</v>
      </c>
      <c r="E630" s="1" t="s">
        <v>1883</v>
      </c>
      <c r="F630" s="1" t="str">
        <f>IFERROR(__xludf.DUMMYFUNCTION("GOOGLETRANSLATE(A630, ""zh-CN"", ""ko"")"),"추측하다")</f>
        <v>추측하다</v>
      </c>
    </row>
    <row r="631" ht="15.75" customHeight="1">
      <c r="A631" s="1" t="s">
        <v>1884</v>
      </c>
      <c r="B631" s="1">
        <v>4.0</v>
      </c>
      <c r="C631" s="1" t="s">
        <v>1885</v>
      </c>
      <c r="D631" s="1" t="s">
        <v>16</v>
      </c>
      <c r="E631" s="1" t="s">
        <v>1886</v>
      </c>
      <c r="F631" s="1" t="str">
        <f>IFERROR(__xludf.DUMMYFUNCTION("GOOGLETRANSLATE(A631, ""zh-CN"", ""ko"")"),"재료")</f>
        <v>재료</v>
      </c>
    </row>
    <row r="632" ht="15.75" customHeight="1">
      <c r="A632" s="1" t="s">
        <v>1887</v>
      </c>
      <c r="B632" s="1">
        <v>4.0</v>
      </c>
      <c r="C632" s="1" t="s">
        <v>1888</v>
      </c>
      <c r="D632" s="1" t="s">
        <v>8</v>
      </c>
      <c r="E632" s="1" t="s">
        <v>1889</v>
      </c>
      <c r="F632" s="1" t="str">
        <f>IFERROR(__xludf.DUMMYFUNCTION("GOOGLETRANSLATE(A632, ""zh-CN"", ""ko"")"),"방문하다")</f>
        <v>방문하다</v>
      </c>
    </row>
    <row r="633" ht="15.75" customHeight="1">
      <c r="A633" s="1" t="s">
        <v>1890</v>
      </c>
      <c r="B633" s="1">
        <v>4.0</v>
      </c>
      <c r="C633" s="1" t="s">
        <v>1891</v>
      </c>
      <c r="D633" s="1" t="s">
        <v>16</v>
      </c>
      <c r="E633" s="1" t="s">
        <v>1892</v>
      </c>
      <c r="F633" s="1" t="str">
        <f>IFERROR(__xludf.DUMMYFUNCTION("GOOGLETRANSLATE(A633, ""zh-CN"", ""ko"")"),"식당")</f>
        <v>식당</v>
      </c>
    </row>
    <row r="634" ht="15.75" customHeight="1">
      <c r="A634" s="1" t="s">
        <v>1893</v>
      </c>
      <c r="B634" s="1">
        <v>4.0</v>
      </c>
      <c r="C634" s="1" t="s">
        <v>1894</v>
      </c>
      <c r="D634" s="1" t="s">
        <v>16</v>
      </c>
      <c r="E634" s="1" t="s">
        <v>1895</v>
      </c>
      <c r="F634" s="1" t="str">
        <f>IFERROR(__xludf.DUMMYFUNCTION("GOOGLETRANSLATE(A634, ""zh-CN"", ""ko"")"),"화장실")</f>
        <v>화장실</v>
      </c>
    </row>
    <row r="635" ht="15.75" customHeight="1">
      <c r="A635" s="1" t="s">
        <v>1896</v>
      </c>
      <c r="B635" s="1">
        <v>4.0</v>
      </c>
      <c r="C635" s="1" t="s">
        <v>1897</v>
      </c>
      <c r="D635" s="1" t="s">
        <v>1538</v>
      </c>
      <c r="E635" s="1" t="s">
        <v>1232</v>
      </c>
      <c r="F635" s="1" t="str">
        <f>IFERROR(__xludf.DUMMYFUNCTION("GOOGLETRANSLATE(A635, ""zh-CN"", ""ko"")"),"거의")</f>
        <v>거의</v>
      </c>
    </row>
    <row r="636" ht="15.75" customHeight="1">
      <c r="A636" s="1" t="s">
        <v>1898</v>
      </c>
      <c r="B636" s="1">
        <v>4.0</v>
      </c>
      <c r="C636" s="1" t="s">
        <v>1899</v>
      </c>
      <c r="D636" s="1" t="s">
        <v>16</v>
      </c>
      <c r="E636" s="1" t="s">
        <v>1900</v>
      </c>
      <c r="F636" s="1" t="str">
        <f>IFERROR(__xludf.DUMMYFUNCTION("GOOGLETRANSLATE(A636, ""zh-CN"", ""ko"")"),"만리장성")</f>
        <v>만리장성</v>
      </c>
    </row>
    <row r="637" ht="15.75" customHeight="1">
      <c r="A637" s="1" t="s">
        <v>1901</v>
      </c>
      <c r="B637" s="1">
        <v>4.0</v>
      </c>
      <c r="C637" s="1" t="s">
        <v>1902</v>
      </c>
      <c r="D637" s="1" t="s">
        <v>16</v>
      </c>
      <c r="E637" s="1" t="s">
        <v>1903</v>
      </c>
      <c r="F637" s="1" t="str">
        <f>IFERROR(__xludf.DUMMYFUNCTION("GOOGLETRANSLATE(A637, ""zh-CN"", ""ko"")"),"양쯔강")</f>
        <v>양쯔강</v>
      </c>
    </row>
    <row r="638" ht="15.75" customHeight="1">
      <c r="A638" s="1" t="s">
        <v>1904</v>
      </c>
      <c r="B638" s="1">
        <v>4.0</v>
      </c>
      <c r="C638" s="1" t="s">
        <v>1905</v>
      </c>
      <c r="D638" s="1" t="s">
        <v>26</v>
      </c>
      <c r="E638" s="1" t="s">
        <v>1906</v>
      </c>
      <c r="F638" s="1" t="str">
        <f>IFERROR(__xludf.DUMMYFUNCTION("GOOGLETRANSLATE(A638, ""zh-CN"", ""ko"")"),"필드")</f>
        <v>필드</v>
      </c>
    </row>
    <row r="639" ht="15.75" customHeight="1">
      <c r="A639" s="1" t="s">
        <v>1907</v>
      </c>
      <c r="B639" s="1">
        <v>4.0</v>
      </c>
      <c r="C639" s="1" t="s">
        <v>1908</v>
      </c>
      <c r="D639" s="1" t="s">
        <v>8</v>
      </c>
      <c r="E639" s="1" t="s">
        <v>1909</v>
      </c>
      <c r="F639" s="1" t="str">
        <f>IFERROR(__xludf.DUMMYFUNCTION("GOOGLETRANSLATE(A639, ""zh-CN"", ""ko"")"),"초과하다")</f>
        <v>초과하다</v>
      </c>
    </row>
    <row r="640" ht="15.75" customHeight="1">
      <c r="A640" s="1" t="s">
        <v>1910</v>
      </c>
      <c r="B640" s="1">
        <v>4.0</v>
      </c>
      <c r="C640" s="1" t="s">
        <v>1911</v>
      </c>
      <c r="D640" s="1" t="s">
        <v>1003</v>
      </c>
      <c r="E640" s="1" t="s">
        <v>1912</v>
      </c>
      <c r="F640" s="1" t="str">
        <f>IFERROR(__xludf.DUMMYFUNCTION("GOOGLETRANSLATE(A640, ""zh-CN"", ""ko"")"),"성공")</f>
        <v>성공</v>
      </c>
    </row>
    <row r="641" ht="15.75" customHeight="1">
      <c r="A641" s="1" t="s">
        <v>1913</v>
      </c>
      <c r="B641" s="1">
        <v>4.0</v>
      </c>
      <c r="C641" s="1" t="s">
        <v>1914</v>
      </c>
      <c r="D641" s="1" t="s">
        <v>52</v>
      </c>
      <c r="E641" s="1" t="s">
        <v>1915</v>
      </c>
      <c r="F641" s="1" t="str">
        <f>IFERROR(__xludf.DUMMYFUNCTION("GOOGLETRANSLATE(A641, ""zh-CN"", ""ko"")"),"솔직한")</f>
        <v>솔직한</v>
      </c>
    </row>
    <row r="642" ht="15.75" customHeight="1">
      <c r="A642" s="1" t="s">
        <v>1916</v>
      </c>
      <c r="B642" s="1">
        <v>4.0</v>
      </c>
      <c r="C642" s="1" t="s">
        <v>1917</v>
      </c>
      <c r="D642" s="1" t="s">
        <v>8</v>
      </c>
      <c r="E642" s="1" t="s">
        <v>1918</v>
      </c>
      <c r="F642" s="1" t="str">
        <f>IFERROR(__xludf.DUMMYFUNCTION("GOOGLETRANSLATE(A642, ""zh-CN"", ""ko"")"),"~이 되다")</f>
        <v>~이 되다</v>
      </c>
    </row>
    <row r="643" ht="15.75" customHeight="1">
      <c r="A643" s="1" t="s">
        <v>1919</v>
      </c>
      <c r="B643" s="1">
        <v>4.0</v>
      </c>
      <c r="C643" s="1" t="s">
        <v>1920</v>
      </c>
      <c r="D643" s="1" t="s">
        <v>8</v>
      </c>
      <c r="E643" s="1" t="s">
        <v>1921</v>
      </c>
      <c r="F643" s="1" t="str">
        <f>IFERROR(__xludf.DUMMYFUNCTION("GOOGLETRANSLATE(A643, ""zh-CN"", ""ko"")"),"타다")</f>
        <v>타다</v>
      </c>
    </row>
    <row r="644" ht="15.75" customHeight="1">
      <c r="A644" s="1" t="s">
        <v>1922</v>
      </c>
      <c r="B644" s="1">
        <v>4.0</v>
      </c>
      <c r="C644" s="1" t="s">
        <v>1923</v>
      </c>
      <c r="D644" s="1" t="s">
        <v>8</v>
      </c>
      <c r="E644" s="1" t="s">
        <v>1924</v>
      </c>
      <c r="F644" s="1" t="str">
        <f>IFERROR(__xludf.DUMMYFUNCTION("GOOGLETRANSLATE(A644, ""zh-CN"", ""ko"")"),"놀란")</f>
        <v>놀란</v>
      </c>
    </row>
    <row r="645" ht="15.75" customHeight="1">
      <c r="A645" s="1" t="s">
        <v>1925</v>
      </c>
      <c r="B645" s="1">
        <v>4.0</v>
      </c>
      <c r="C645" s="1" t="s">
        <v>1926</v>
      </c>
      <c r="D645" s="1" t="s">
        <v>33</v>
      </c>
      <c r="E645" s="1" t="s">
        <v>878</v>
      </c>
      <c r="F645" s="1" t="str">
        <f>IFERROR(__xludf.DUMMYFUNCTION("GOOGLETRANSLATE(A645, ""zh-CN"", ""ko"")"),"다시")</f>
        <v>다시</v>
      </c>
    </row>
    <row r="646" ht="15.75" customHeight="1">
      <c r="A646" s="1" t="s">
        <v>1927</v>
      </c>
      <c r="B646" s="1">
        <v>4.0</v>
      </c>
      <c r="C646" s="1" t="s">
        <v>1928</v>
      </c>
      <c r="D646" s="1" t="s">
        <v>8</v>
      </c>
      <c r="E646" s="1" t="s">
        <v>1929</v>
      </c>
      <c r="F646" s="1" t="str">
        <f>IFERROR(__xludf.DUMMYFUNCTION("GOOGLETRANSLATE(A646, ""zh-CN"", ""ko"")"),"연기")</f>
        <v>연기</v>
      </c>
    </row>
    <row r="647" ht="15.75" customHeight="1">
      <c r="A647" s="1" t="s">
        <v>1930</v>
      </c>
      <c r="B647" s="1">
        <v>4.0</v>
      </c>
      <c r="C647" s="1" t="s">
        <v>1931</v>
      </c>
      <c r="D647" s="1" t="s">
        <v>8</v>
      </c>
      <c r="E647" s="1" t="s">
        <v>1932</v>
      </c>
      <c r="F647" s="1" t="str">
        <f>IFERROR(__xludf.DUMMYFUNCTION("GOOGLETRANSLATE(A647, ""zh-CN"", ""ko"")"),"출장 중")</f>
        <v>출장 중</v>
      </c>
    </row>
    <row r="648" ht="15.75" customHeight="1">
      <c r="A648" s="1" t="s">
        <v>1933</v>
      </c>
      <c r="B648" s="1">
        <v>4.0</v>
      </c>
      <c r="C648" s="1" t="s">
        <v>1934</v>
      </c>
      <c r="D648" s="1" t="s">
        <v>8</v>
      </c>
      <c r="E648" s="1" t="s">
        <v>1935</v>
      </c>
      <c r="F648" s="1" t="str">
        <f>IFERROR(__xludf.DUMMYFUNCTION("GOOGLETRANSLATE(A648, ""zh-CN"", ""ko"")"),"출발하다")</f>
        <v>출발하다</v>
      </c>
    </row>
    <row r="649" ht="15.75" customHeight="1">
      <c r="A649" s="1" t="s">
        <v>1936</v>
      </c>
      <c r="B649" s="1">
        <v>4.0</v>
      </c>
      <c r="C649" s="1" t="s">
        <v>1937</v>
      </c>
      <c r="D649" s="1" t="s">
        <v>8</v>
      </c>
      <c r="E649" s="1" t="s">
        <v>1938</v>
      </c>
      <c r="F649" s="1" t="str">
        <f>IFERROR(__xludf.DUMMYFUNCTION("GOOGLETRANSLATE(A649, ""zh-CN"", ""ko"")"),"태어나다")</f>
        <v>태어나다</v>
      </c>
    </row>
    <row r="650" ht="15.75" customHeight="1">
      <c r="A650" s="1" t="s">
        <v>1939</v>
      </c>
      <c r="B650" s="1">
        <v>4.0</v>
      </c>
      <c r="C650" s="1" t="s">
        <v>1940</v>
      </c>
      <c r="D650" s="1" t="s">
        <v>8</v>
      </c>
      <c r="E650" s="1" t="s">
        <v>1941</v>
      </c>
      <c r="F650" s="1" t="str">
        <f>IFERROR(__xludf.DUMMYFUNCTION("GOOGLETRANSLATE(A650, ""zh-CN"", ""ko"")"),"나타나다")</f>
        <v>나타나다</v>
      </c>
    </row>
    <row r="651" ht="15.75" customHeight="1">
      <c r="A651" s="1" t="s">
        <v>1942</v>
      </c>
      <c r="B651" s="1">
        <v>4.0</v>
      </c>
      <c r="C651" s="1" t="s">
        <v>1943</v>
      </c>
      <c r="D651" s="1" t="s">
        <v>16</v>
      </c>
      <c r="E651" s="1" t="s">
        <v>1944</v>
      </c>
      <c r="F651" s="1" t="str">
        <f>IFERROR(__xludf.DUMMYFUNCTION("GOOGLETRANSLATE(A651, ""zh-CN"", ""ko"")"),"주방")</f>
        <v>주방</v>
      </c>
    </row>
    <row r="652" ht="15.75" customHeight="1">
      <c r="A652" s="1" t="s">
        <v>1945</v>
      </c>
      <c r="B652" s="1">
        <v>4.0</v>
      </c>
      <c r="C652" s="1" t="s">
        <v>1946</v>
      </c>
      <c r="D652" s="1" t="s">
        <v>16</v>
      </c>
      <c r="E652" s="1" t="s">
        <v>1947</v>
      </c>
      <c r="F652" s="1" t="str">
        <f>IFERROR(__xludf.DUMMYFUNCTION("GOOGLETRANSLATE(A652, ""zh-CN"", ""ko"")"),"팩스")</f>
        <v>팩스</v>
      </c>
    </row>
    <row r="653" ht="15.75" customHeight="1">
      <c r="A653" s="1" t="s">
        <v>1948</v>
      </c>
      <c r="B653" s="1">
        <v>4.0</v>
      </c>
      <c r="C653" s="1" t="s">
        <v>1949</v>
      </c>
      <c r="D653" s="1" t="s">
        <v>16</v>
      </c>
      <c r="E653" s="1" t="s">
        <v>1950</v>
      </c>
      <c r="F653" s="1" t="str">
        <f>IFERROR(__xludf.DUMMYFUNCTION("GOOGLETRANSLATE(A653, ""zh-CN"", ""ko"")"),"창문")</f>
        <v>창문</v>
      </c>
    </row>
    <row r="654" ht="15.75" customHeight="1">
      <c r="A654" s="1" t="s">
        <v>1951</v>
      </c>
      <c r="B654" s="1">
        <v>4.0</v>
      </c>
      <c r="C654" s="1" t="s">
        <v>1952</v>
      </c>
      <c r="D654" s="1" t="s">
        <v>16</v>
      </c>
      <c r="E654" s="1" t="s">
        <v>1953</v>
      </c>
      <c r="F654" s="1" t="str">
        <f>IFERROR(__xludf.DUMMYFUNCTION("GOOGLETRANSLATE(A654, ""zh-CN"", ""ko"")"),"단어")</f>
        <v>단어</v>
      </c>
    </row>
    <row r="655" ht="15.75" customHeight="1">
      <c r="A655" s="1" t="s">
        <v>1954</v>
      </c>
      <c r="B655" s="1">
        <v>4.0</v>
      </c>
      <c r="C655" s="1" t="s">
        <v>1955</v>
      </c>
      <c r="D655" s="1" t="s">
        <v>33</v>
      </c>
      <c r="E655" s="1" t="s">
        <v>1772</v>
      </c>
      <c r="F655" s="1" t="str">
        <f>IFERROR(__xludf.DUMMYFUNCTION("GOOGLETRANSLATE(A655, ""zh-CN"", ""ko"")"),"절대")</f>
        <v>절대</v>
      </c>
    </row>
    <row r="656" ht="15.75" customHeight="1">
      <c r="A656" s="1" t="s">
        <v>1956</v>
      </c>
      <c r="B656" s="1">
        <v>4.0</v>
      </c>
      <c r="C656" s="1" t="s">
        <v>1957</v>
      </c>
      <c r="D656" s="1" t="s">
        <v>52</v>
      </c>
      <c r="E656" s="1" t="s">
        <v>1958</v>
      </c>
      <c r="F656" s="1" t="str">
        <f>IFERROR(__xludf.DUMMYFUNCTION("GOOGLETRANSLATE(A656, ""zh-CN"", ""ko"")"),"경솔한")</f>
        <v>경솔한</v>
      </c>
    </row>
    <row r="657" ht="15.75" customHeight="1">
      <c r="A657" s="1" t="s">
        <v>1959</v>
      </c>
      <c r="B657" s="1">
        <v>4.0</v>
      </c>
      <c r="C657" s="1" t="s">
        <v>1960</v>
      </c>
      <c r="D657" s="1" t="s">
        <v>8</v>
      </c>
      <c r="E657" s="1" t="s">
        <v>1961</v>
      </c>
      <c r="F657" s="1" t="str">
        <f>IFERROR(__xludf.DUMMYFUNCTION("GOOGLETRANSLATE(A657, ""zh-CN"", ""ko"")"),"살다")</f>
        <v>살다</v>
      </c>
    </row>
    <row r="658" ht="15.75" customHeight="1">
      <c r="A658" s="1" t="s">
        <v>1962</v>
      </c>
      <c r="B658" s="1">
        <v>4.0</v>
      </c>
      <c r="C658" s="1" t="s">
        <v>1963</v>
      </c>
      <c r="D658" s="1" t="s">
        <v>1842</v>
      </c>
      <c r="E658" s="1" t="s">
        <v>1964</v>
      </c>
      <c r="F658" s="1" t="str">
        <f>IFERROR(__xludf.DUMMYFUNCTION("GOOGLETRANSLATE(A658, ""zh-CN"", ""ko"")"),"실수")</f>
        <v>실수</v>
      </c>
    </row>
    <row r="659" ht="15.75" customHeight="1">
      <c r="A659" s="1" t="s">
        <v>1965</v>
      </c>
      <c r="B659" s="1">
        <v>4.0</v>
      </c>
      <c r="C659" s="1" t="s">
        <v>1966</v>
      </c>
      <c r="D659" s="1" t="s">
        <v>16</v>
      </c>
      <c r="E659" s="1" t="s">
        <v>1967</v>
      </c>
      <c r="F659" s="1" t="str">
        <f>IFERROR(__xludf.DUMMYFUNCTION("GOOGLETRANSLATE(A659, ""zh-CN"", ""ko"")"),"답변")</f>
        <v>답변</v>
      </c>
    </row>
    <row r="660" ht="15.75" customHeight="1">
      <c r="A660" s="1" t="s">
        <v>1968</v>
      </c>
      <c r="B660" s="1">
        <v>4.0</v>
      </c>
      <c r="C660" s="1" t="s">
        <v>1969</v>
      </c>
      <c r="D660" s="1" t="s">
        <v>8</v>
      </c>
      <c r="E660" s="1" t="s">
        <v>1970</v>
      </c>
      <c r="F660" s="1" t="str">
        <f>IFERROR(__xludf.DUMMYFUNCTION("GOOGLETRANSLATE(A660, ""zh-CN"", ""ko"")"),"옷을 입다")</f>
        <v>옷을 입다</v>
      </c>
    </row>
    <row r="661" ht="15.75" customHeight="1">
      <c r="A661" s="1" t="s">
        <v>1971</v>
      </c>
      <c r="B661" s="1">
        <v>4.0</v>
      </c>
      <c r="C661" s="1" t="s">
        <v>1972</v>
      </c>
      <c r="D661" s="1" t="s">
        <v>8</v>
      </c>
      <c r="E661" s="1" t="s">
        <v>1973</v>
      </c>
      <c r="F661" s="1" t="str">
        <f>IFERROR(__xludf.DUMMYFUNCTION("GOOGLETRANSLATE(A661, ""zh-CN"", ""ko"")"),"방해하다")</f>
        <v>방해하다</v>
      </c>
    </row>
    <row r="662" ht="15.75" customHeight="1">
      <c r="A662" s="1" t="s">
        <v>1974</v>
      </c>
      <c r="B662" s="1">
        <v>4.0</v>
      </c>
      <c r="C662" s="1" t="s">
        <v>1975</v>
      </c>
      <c r="D662" s="1" t="s">
        <v>8</v>
      </c>
      <c r="E662" s="1" t="s">
        <v>1976</v>
      </c>
      <c r="F662" s="1" t="str">
        <f>IFERROR(__xludf.DUMMYFUNCTION("GOOGLETRANSLATE(A662, ""zh-CN"", ""ko"")"),"인쇄")</f>
        <v>인쇄</v>
      </c>
    </row>
    <row r="663" ht="15.75" customHeight="1">
      <c r="A663" s="1" t="s">
        <v>1977</v>
      </c>
      <c r="B663" s="1">
        <v>4.0</v>
      </c>
      <c r="C663" s="1" t="s">
        <v>1978</v>
      </c>
      <c r="E663" s="1" t="s">
        <v>1979</v>
      </c>
      <c r="F663" s="1" t="str">
        <f>IFERROR(__xludf.DUMMYFUNCTION("GOOGLETRANSLATE(A663, ""zh-CN"", ""ko"")"),"환영하다")</f>
        <v>환영하다</v>
      </c>
    </row>
    <row r="664" ht="15.75" customHeight="1">
      <c r="A664" s="1" t="s">
        <v>1980</v>
      </c>
      <c r="B664" s="1">
        <v>4.0</v>
      </c>
      <c r="C664" s="1" t="s">
        <v>1981</v>
      </c>
      <c r="D664" s="1" t="s">
        <v>8</v>
      </c>
      <c r="E664" s="1" t="s">
        <v>1982</v>
      </c>
      <c r="F664" s="1" t="str">
        <f>IFERROR(__xludf.DUMMYFUNCTION("GOOGLETRANSLATE(A664, ""zh-CN"", ""ko"")"),"할인")</f>
        <v>할인</v>
      </c>
    </row>
    <row r="665" ht="15.75" customHeight="1">
      <c r="A665" s="1" t="s">
        <v>1983</v>
      </c>
      <c r="B665" s="1">
        <v>4.0</v>
      </c>
      <c r="C665" s="1" t="s">
        <v>1984</v>
      </c>
      <c r="D665" s="1" t="s">
        <v>8</v>
      </c>
      <c r="E665" s="1" t="s">
        <v>1985</v>
      </c>
      <c r="F665" s="1" t="str">
        <f>IFERROR(__xludf.DUMMYFUNCTION("GOOGLETRANSLATE(A665, ""zh-CN"", ""ko"")"),"주입하다")</f>
        <v>주입하다</v>
      </c>
    </row>
    <row r="666" ht="15.75" customHeight="1">
      <c r="A666" s="1" t="s">
        <v>1986</v>
      </c>
      <c r="B666" s="1">
        <v>4.0</v>
      </c>
      <c r="C666" s="1" t="s">
        <v>1987</v>
      </c>
      <c r="D666" s="1" t="s">
        <v>33</v>
      </c>
      <c r="E666" s="1" t="s">
        <v>1988</v>
      </c>
      <c r="F666" s="1" t="str">
        <f>IFERROR(__xludf.DUMMYFUNCTION("GOOGLETRANSLATE(A666, ""zh-CN"", ""ko"")"),"아마도")</f>
        <v>아마도</v>
      </c>
    </row>
    <row r="667" ht="15.75" customHeight="1">
      <c r="A667" s="1" t="s">
        <v>1989</v>
      </c>
      <c r="B667" s="1">
        <v>4.0</v>
      </c>
      <c r="C667" s="1" t="s">
        <v>1990</v>
      </c>
      <c r="D667" s="1" t="s">
        <v>16</v>
      </c>
      <c r="E667" s="1" t="s">
        <v>1991</v>
      </c>
      <c r="F667" s="1" t="str">
        <f>IFERROR(__xludf.DUMMYFUNCTION("GOOGLETRANSLATE(A667, ""zh-CN"", ""ko"")"),"대사관")</f>
        <v>대사관</v>
      </c>
    </row>
    <row r="668" ht="15.75" customHeight="1">
      <c r="A668" s="1" t="s">
        <v>1992</v>
      </c>
      <c r="B668" s="1">
        <v>4.0</v>
      </c>
      <c r="C668" s="1" t="s">
        <v>1993</v>
      </c>
      <c r="D668" s="1" t="s">
        <v>1994</v>
      </c>
      <c r="E668" s="1" t="s">
        <v>1995</v>
      </c>
      <c r="F668" s="1" t="str">
        <f>IFERROR(__xludf.DUMMYFUNCTION("GOOGLETRANSLATE(A668, ""zh-CN"", ""ko"")"),"에 대한")</f>
        <v>에 대한</v>
      </c>
    </row>
    <row r="669" ht="15.75" customHeight="1">
      <c r="A669" s="1" t="s">
        <v>1996</v>
      </c>
      <c r="B669" s="1">
        <v>4.0</v>
      </c>
      <c r="C669" s="1" t="s">
        <v>1045</v>
      </c>
      <c r="D669" s="1" t="s">
        <v>8</v>
      </c>
      <c r="E669" s="1" t="s">
        <v>1997</v>
      </c>
      <c r="F669" s="1" t="str">
        <f>IFERROR(__xludf.DUMMYFUNCTION("GOOGLETRANSLATE(A669, ""zh-CN"", ""ko"")"),"입다")</f>
        <v>입다</v>
      </c>
    </row>
    <row r="670" ht="15.75" customHeight="1">
      <c r="A670" s="1" t="s">
        <v>1998</v>
      </c>
      <c r="B670" s="1">
        <v>4.0</v>
      </c>
      <c r="C670" s="1" t="s">
        <v>1999</v>
      </c>
      <c r="D670" s="1" t="s">
        <v>16</v>
      </c>
      <c r="E670" s="1" t="s">
        <v>417</v>
      </c>
      <c r="F670" s="1" t="str">
        <f>IFERROR(__xludf.DUMMYFUNCTION("GOOGLETRANSLATE(A670, ""zh-CN"", ""ko"")"),"의사")</f>
        <v>의사</v>
      </c>
    </row>
    <row r="671" ht="15.75" customHeight="1">
      <c r="A671" s="1" t="s">
        <v>2000</v>
      </c>
      <c r="B671" s="1">
        <v>4.0</v>
      </c>
      <c r="C671" s="1" t="s">
        <v>2001</v>
      </c>
      <c r="D671" s="1" t="s">
        <v>486</v>
      </c>
      <c r="E671" s="1" t="s">
        <v>2002</v>
      </c>
      <c r="F671" s="1" t="str">
        <f>IFERROR(__xludf.DUMMYFUNCTION("GOOGLETRANSLATE(A671, ""zh-CN"", ""ko"")"),"언제")</f>
        <v>언제</v>
      </c>
    </row>
    <row r="672" ht="15.75" customHeight="1">
      <c r="A672" s="1" t="s">
        <v>2003</v>
      </c>
      <c r="B672" s="1">
        <v>4.0</v>
      </c>
      <c r="C672" s="1" t="s">
        <v>2004</v>
      </c>
      <c r="D672" s="1" t="s">
        <v>16</v>
      </c>
      <c r="E672" s="1" t="s">
        <v>2005</v>
      </c>
      <c r="F672" s="1" t="str">
        <f>IFERROR(__xludf.DUMMYFUNCTION("GOOGLETRANSLATE(A672, ""zh-CN"", ""ko"")"),"그 다음에")</f>
        <v>그 다음에</v>
      </c>
    </row>
    <row r="673" ht="15.75" customHeight="1">
      <c r="A673" s="1" t="s">
        <v>2006</v>
      </c>
      <c r="B673" s="1">
        <v>4.0</v>
      </c>
      <c r="C673" s="1" t="s">
        <v>2007</v>
      </c>
      <c r="D673" s="1" t="s">
        <v>16</v>
      </c>
      <c r="E673" s="1" t="s">
        <v>2008</v>
      </c>
      <c r="F673" s="1" t="str">
        <f>IFERROR(__xludf.DUMMYFUNCTION("GOOGLETRANSLATE(A673, ""zh-CN"", ""ko"")"),"칼")</f>
        <v>칼</v>
      </c>
    </row>
    <row r="674" ht="15.75" customHeight="1">
      <c r="A674" s="1" t="s">
        <v>2009</v>
      </c>
      <c r="B674" s="1">
        <v>4.0</v>
      </c>
      <c r="C674" s="1" t="s">
        <v>2010</v>
      </c>
      <c r="D674" s="1" t="s">
        <v>16</v>
      </c>
      <c r="E674" s="1" t="s">
        <v>2011</v>
      </c>
      <c r="F674" s="1" t="str">
        <f>IFERROR(__xludf.DUMMYFUNCTION("GOOGLETRANSLATE(A674, ""zh-CN"", ""ko"")"),"투어 가이드")</f>
        <v>투어 가이드</v>
      </c>
    </row>
    <row r="675" ht="15.75" customHeight="1">
      <c r="A675" s="1" t="s">
        <v>2012</v>
      </c>
      <c r="B675" s="1">
        <v>4.0</v>
      </c>
      <c r="C675" s="1" t="s">
        <v>522</v>
      </c>
      <c r="D675" s="1" t="s">
        <v>8</v>
      </c>
      <c r="E675" s="1" t="s">
        <v>2013</v>
      </c>
      <c r="F675" s="1" t="str">
        <f>IFERROR(__xludf.DUMMYFUNCTION("GOOGLETRANSLATE(A675, ""zh-CN"", ""ko"")"),"떨어지다")</f>
        <v>떨어지다</v>
      </c>
    </row>
    <row r="676" ht="15.75" customHeight="1">
      <c r="A676" s="1" t="s">
        <v>2014</v>
      </c>
      <c r="B676" s="1">
        <v>4.0</v>
      </c>
      <c r="C676" s="1" t="s">
        <v>2015</v>
      </c>
      <c r="D676" s="1" t="s">
        <v>33</v>
      </c>
      <c r="E676" s="1" t="s">
        <v>2016</v>
      </c>
      <c r="F676" s="1" t="str">
        <f>IFERROR(__xludf.DUMMYFUNCTION("GOOGLETRANSLATE(A676, ""zh-CN"", ""ko"")"),"어디에나")</f>
        <v>어디에나</v>
      </c>
    </row>
    <row r="677" ht="15.75" customHeight="1">
      <c r="A677" s="1" t="s">
        <v>2017</v>
      </c>
      <c r="B677" s="1">
        <v>4.0</v>
      </c>
      <c r="C677" s="1" t="s">
        <v>2018</v>
      </c>
      <c r="D677" s="1" t="s">
        <v>33</v>
      </c>
      <c r="E677" s="1" t="s">
        <v>2019</v>
      </c>
      <c r="F677" s="1" t="str">
        <f>IFERROR(__xludf.DUMMYFUNCTION("GOOGLETRANSLATE(A677, ""zh-CN"", ""ko"")"),"결국")</f>
        <v>결국</v>
      </c>
    </row>
    <row r="678" ht="15.75" customHeight="1">
      <c r="A678" s="1" t="s">
        <v>2020</v>
      </c>
      <c r="B678" s="1">
        <v>4.0</v>
      </c>
      <c r="C678" s="1" t="s">
        <v>2021</v>
      </c>
      <c r="D678" s="1" t="s">
        <v>8</v>
      </c>
      <c r="E678" s="1" t="s">
        <v>2022</v>
      </c>
      <c r="F678" s="1" t="str">
        <f>IFERROR(__xludf.DUMMYFUNCTION("GOOGLETRANSLATE(A678, ""zh-CN"", ""ko"")"),"사과하다")</f>
        <v>사과하다</v>
      </c>
    </row>
    <row r="679" ht="15.75" customHeight="1">
      <c r="A679" s="1" t="s">
        <v>2023</v>
      </c>
      <c r="B679" s="1">
        <v>4.0</v>
      </c>
      <c r="C679" s="1" t="s">
        <v>2024</v>
      </c>
      <c r="D679" s="1" t="s">
        <v>52</v>
      </c>
      <c r="E679" s="1" t="s">
        <v>2025</v>
      </c>
      <c r="F679" s="1" t="str">
        <f>IFERROR(__xludf.DUMMYFUNCTION("GOOGLETRANSLATE(A679, ""zh-CN"", ""ko"")"),"자랑스러운")</f>
        <v>자랑스러운</v>
      </c>
    </row>
    <row r="680" ht="15.75" customHeight="1">
      <c r="A680" s="1" t="s">
        <v>2026</v>
      </c>
      <c r="B680" s="1">
        <v>4.0</v>
      </c>
      <c r="C680" s="1" t="s">
        <v>2027</v>
      </c>
      <c r="D680" s="1" t="s">
        <v>16</v>
      </c>
      <c r="E680" s="1" t="s">
        <v>2028</v>
      </c>
      <c r="F680" s="1" t="str">
        <f>IFERROR(__xludf.DUMMYFUNCTION("GOOGLETRANSLATE(A680, ""zh-CN"", ""ko"")"),"탑승권")</f>
        <v>탑승권</v>
      </c>
    </row>
    <row r="681" ht="15.75" customHeight="1">
      <c r="A681" s="1" t="s">
        <v>2029</v>
      </c>
      <c r="B681" s="1">
        <v>4.0</v>
      </c>
      <c r="C681" s="1" t="s">
        <v>2030</v>
      </c>
      <c r="D681" s="1" t="s">
        <v>52</v>
      </c>
      <c r="E681" s="1" t="s">
        <v>2031</v>
      </c>
      <c r="F681" s="1" t="str">
        <f>IFERROR(__xludf.DUMMYFUNCTION("GOOGLETRANSLATE(A681, ""zh-CN"", ""ko"")"),"낮은")</f>
        <v>낮은</v>
      </c>
    </row>
    <row r="682" ht="15.75" customHeight="1">
      <c r="A682" s="1" t="s">
        <v>2032</v>
      </c>
      <c r="B682" s="1">
        <v>4.0</v>
      </c>
      <c r="C682" s="1" t="s">
        <v>2033</v>
      </c>
      <c r="D682" s="1" t="s">
        <v>16</v>
      </c>
      <c r="E682" s="1" t="s">
        <v>2034</v>
      </c>
      <c r="F682" s="1" t="str">
        <f>IFERROR(__xludf.DUMMYFUNCTION("GOOGLETRANSLATE(A682, ""zh-CN"", ""ko"")"),"끝")</f>
        <v>끝</v>
      </c>
    </row>
    <row r="683" ht="15.75" customHeight="1">
      <c r="A683" s="1" t="s">
        <v>2035</v>
      </c>
      <c r="B683" s="1">
        <v>4.0</v>
      </c>
      <c r="C683" s="1" t="s">
        <v>2036</v>
      </c>
      <c r="D683" s="1" t="s">
        <v>16</v>
      </c>
      <c r="E683" s="1" t="s">
        <v>2037</v>
      </c>
      <c r="F683" s="1" t="str">
        <f>IFERROR(__xludf.DUMMYFUNCTION("GOOGLETRANSLATE(A683, ""zh-CN"", ""ko"")"),"장소")</f>
        <v>장소</v>
      </c>
    </row>
    <row r="684" ht="15.75" customHeight="1">
      <c r="A684" s="1" t="s">
        <v>2038</v>
      </c>
      <c r="B684" s="1">
        <v>4.0</v>
      </c>
      <c r="C684" s="1" t="s">
        <v>2039</v>
      </c>
      <c r="D684" s="1" t="s">
        <v>16</v>
      </c>
      <c r="E684" s="1" t="s">
        <v>2040</v>
      </c>
      <c r="F684" s="1" t="str">
        <f>IFERROR(__xludf.DUMMYFUNCTION("GOOGLETRANSLATE(A684, ""zh-CN"", ""ko"")"),"지구")</f>
        <v>지구</v>
      </c>
    </row>
    <row r="685" ht="15.75" customHeight="1">
      <c r="A685" s="1" t="s">
        <v>2041</v>
      </c>
      <c r="B685" s="1">
        <v>4.0</v>
      </c>
      <c r="C685" s="1" t="s">
        <v>2042</v>
      </c>
      <c r="D685" s="1" t="s">
        <v>16</v>
      </c>
      <c r="E685" s="1" t="s">
        <v>2043</v>
      </c>
      <c r="F685" s="1" t="str">
        <f>IFERROR(__xludf.DUMMYFUNCTION("GOOGLETRANSLATE(A685, ""zh-CN"", ""ko"")"),"주소")</f>
        <v>주소</v>
      </c>
    </row>
    <row r="686" ht="15.75" customHeight="1">
      <c r="A686" s="1" t="s">
        <v>2044</v>
      </c>
      <c r="B686" s="1">
        <v>4.0</v>
      </c>
      <c r="C686" s="1" t="s">
        <v>2045</v>
      </c>
      <c r="D686" s="1" t="s">
        <v>8</v>
      </c>
      <c r="E686" s="1" t="s">
        <v>2046</v>
      </c>
      <c r="F686" s="1" t="str">
        <f>IFERROR(__xludf.DUMMYFUNCTION("GOOGLETRANSLATE(A686, ""zh-CN"", ""ko"")"),"잃다")</f>
        <v>잃다</v>
      </c>
    </row>
    <row r="687" ht="15.75" customHeight="1">
      <c r="A687" s="1" t="s">
        <v>2047</v>
      </c>
      <c r="B687" s="1">
        <v>4.0</v>
      </c>
      <c r="C687" s="1" t="s">
        <v>2048</v>
      </c>
      <c r="D687" s="1" t="s">
        <v>8</v>
      </c>
      <c r="E687" s="1" t="s">
        <v>2049</v>
      </c>
      <c r="F687" s="1" t="str">
        <f>IFERROR(__xludf.DUMMYFUNCTION("GOOGLETRANSLATE(A687, ""zh-CN"", ""ko"")"),"조사")</f>
        <v>조사</v>
      </c>
    </row>
    <row r="688" ht="15.75" customHeight="1">
      <c r="A688" s="1" t="s">
        <v>2050</v>
      </c>
      <c r="B688" s="1">
        <v>4.0</v>
      </c>
      <c r="C688" s="1" t="s">
        <v>2051</v>
      </c>
      <c r="D688" s="1" t="s">
        <v>8</v>
      </c>
      <c r="E688" s="1" t="s">
        <v>2052</v>
      </c>
      <c r="F688" s="1" t="str">
        <f>IFERROR(__xludf.DUMMYFUNCTION("GOOGLETRANSLATE(A688, ""zh-CN"", ""ko"")"),"떠나다")</f>
        <v>떠나다</v>
      </c>
    </row>
    <row r="689" ht="15.75" customHeight="1">
      <c r="A689" s="1" t="s">
        <v>2053</v>
      </c>
      <c r="B689" s="1">
        <v>4.0</v>
      </c>
      <c r="C689" s="1" t="s">
        <v>2054</v>
      </c>
      <c r="D689" s="1" t="s">
        <v>16</v>
      </c>
      <c r="E689" s="1" t="s">
        <v>2055</v>
      </c>
      <c r="F689" s="1" t="str">
        <f>IFERROR(__xludf.DUMMYFUNCTION("GOOGLETRANSLATE(A689, ""zh-CN"", ""ko"")"),"행동")</f>
        <v>행동</v>
      </c>
    </row>
    <row r="690" ht="15.75" customHeight="1">
      <c r="A690" s="1" t="s">
        <v>2056</v>
      </c>
      <c r="B690" s="1">
        <v>4.0</v>
      </c>
      <c r="C690" s="1" t="s">
        <v>2057</v>
      </c>
      <c r="D690" s="1" t="s">
        <v>8</v>
      </c>
      <c r="E690" s="1" t="s">
        <v>2058</v>
      </c>
      <c r="F690" s="1" t="str">
        <f>IFERROR(__xludf.DUMMYFUNCTION("GOOGLETRANSLATE(A690, ""zh-CN"", ""ko"")"),"교통 체증")</f>
        <v>교통 체증</v>
      </c>
    </row>
    <row r="691" ht="15.75" customHeight="1">
      <c r="A691" s="1" t="s">
        <v>2059</v>
      </c>
      <c r="B691" s="1">
        <v>4.0</v>
      </c>
      <c r="C691" s="1" t="s">
        <v>2060</v>
      </c>
      <c r="D691" s="1" t="s">
        <v>16</v>
      </c>
      <c r="E691" s="1" t="s">
        <v>2061</v>
      </c>
      <c r="F691" s="1" t="str">
        <f>IFERROR(__xludf.DUMMYFUNCTION("GOOGLETRANSLATE(A691, ""zh-CN"", ""ko"")"),"복부")</f>
        <v>복부</v>
      </c>
    </row>
    <row r="692" ht="15.75" customHeight="1">
      <c r="A692" s="1" t="s">
        <v>2062</v>
      </c>
      <c r="B692" s="1">
        <v>4.0</v>
      </c>
      <c r="C692" s="1" t="s">
        <v>2063</v>
      </c>
      <c r="D692" s="1" t="s">
        <v>16</v>
      </c>
      <c r="E692" s="1" t="s">
        <v>2064</v>
      </c>
      <c r="F692" s="1" t="str">
        <f>IFERROR(__xludf.DUMMYFUNCTION("GOOGLETRANSLATE(A692, ""zh-CN"", ""ko"")"),"짧은 메시지")</f>
        <v>짧은 메시지</v>
      </c>
    </row>
    <row r="693" ht="15.75" customHeight="1">
      <c r="A693" s="1" t="s">
        <v>2065</v>
      </c>
      <c r="B693" s="1">
        <v>4.0</v>
      </c>
      <c r="C693" s="1" t="s">
        <v>2066</v>
      </c>
      <c r="D693" s="1" t="s">
        <v>8</v>
      </c>
      <c r="E693" s="1" t="s">
        <v>2067</v>
      </c>
      <c r="F693" s="1" t="str">
        <f>IFERROR(__xludf.DUMMYFUNCTION("GOOGLETRANSLATE(A693, ""zh-CN"", ""ko"")"),"대화")</f>
        <v>대화</v>
      </c>
    </row>
    <row r="694" ht="15.75" customHeight="1">
      <c r="A694" s="1" t="s">
        <v>2068</v>
      </c>
      <c r="B694" s="1">
        <v>4.0</v>
      </c>
      <c r="C694" s="1" t="s">
        <v>2069</v>
      </c>
      <c r="D694" s="1" t="s">
        <v>16</v>
      </c>
      <c r="E694" s="1" t="s">
        <v>2070</v>
      </c>
      <c r="F694" s="1" t="str">
        <f>IFERROR(__xludf.DUMMYFUNCTION("GOOGLETRANSLATE(A694, ""zh-CN"", ""ko"")"),"반대")</f>
        <v>반대</v>
      </c>
    </row>
    <row r="695" ht="15.75" customHeight="1">
      <c r="A695" s="1" t="s">
        <v>2071</v>
      </c>
      <c r="B695" s="1">
        <v>4.0</v>
      </c>
      <c r="C695" s="1" t="s">
        <v>2072</v>
      </c>
      <c r="D695" s="1" t="s">
        <v>486</v>
      </c>
      <c r="E695" s="1" t="s">
        <v>2073</v>
      </c>
      <c r="F695" s="1" t="str">
        <f>IFERROR(__xludf.DUMMYFUNCTION("GOOGLETRANSLATE(A695, ""zh-CN"", ""ko"")"),"~을 위한")</f>
        <v>~을 위한</v>
      </c>
    </row>
    <row r="696" ht="15.75" customHeight="1">
      <c r="A696" s="1" t="s">
        <v>2074</v>
      </c>
      <c r="B696" s="1">
        <v>4.0</v>
      </c>
      <c r="C696" s="1" t="s">
        <v>2075</v>
      </c>
      <c r="D696" s="1" t="s">
        <v>1473</v>
      </c>
      <c r="E696" s="1" t="s">
        <v>2076</v>
      </c>
      <c r="F696" s="1" t="str">
        <f>IFERROR(__xludf.DUMMYFUNCTION("GOOGLETRANSLATE(A696, ""zh-CN"", ""ko"")"),"그리고")</f>
        <v>그리고</v>
      </c>
    </row>
    <row r="697" ht="15.75" customHeight="1">
      <c r="A697" s="1" t="s">
        <v>2077</v>
      </c>
      <c r="B697" s="1">
        <v>4.0</v>
      </c>
      <c r="C697" s="1" t="s">
        <v>2078</v>
      </c>
      <c r="D697" s="1" t="s">
        <v>16</v>
      </c>
      <c r="E697" s="1" t="s">
        <v>580</v>
      </c>
      <c r="F697" s="1" t="str">
        <f>IFERROR(__xludf.DUMMYFUNCTION("GOOGLETRANSLATE(A697, ""zh-CN"", ""ko"")"),"어린이")</f>
        <v>어린이</v>
      </c>
    </row>
    <row r="698" ht="15.75" customHeight="1">
      <c r="A698" s="1" t="s">
        <v>2079</v>
      </c>
      <c r="B698" s="1">
        <v>4.0</v>
      </c>
      <c r="C698" s="1" t="s">
        <v>2080</v>
      </c>
      <c r="D698" s="1" t="s">
        <v>8</v>
      </c>
      <c r="E698" s="1" t="s">
        <v>2081</v>
      </c>
      <c r="F698" s="1" t="str">
        <f>IFERROR(__xludf.DUMMYFUNCTION("GOOGLETRANSLATE(A698, ""zh-CN"", ""ko"")"),"발생하다")</f>
        <v>발생하다</v>
      </c>
    </row>
    <row r="699" ht="15.75" customHeight="1">
      <c r="A699" s="1" t="s">
        <v>2082</v>
      </c>
      <c r="B699" s="1">
        <v>4.0</v>
      </c>
      <c r="C699" s="1" t="s">
        <v>2083</v>
      </c>
      <c r="D699" s="1" t="s">
        <v>8</v>
      </c>
      <c r="E699" s="1" t="s">
        <v>2084</v>
      </c>
      <c r="F699" s="1" t="str">
        <f>IFERROR(__xludf.DUMMYFUNCTION("GOOGLETRANSLATE(A699, ""zh-CN"", ""ko"")"),"개발하다")</f>
        <v>개발하다</v>
      </c>
    </row>
    <row r="700" ht="15.75" customHeight="1">
      <c r="A700" s="1" t="s">
        <v>2085</v>
      </c>
      <c r="B700" s="1">
        <v>4.0</v>
      </c>
      <c r="C700" s="1" t="s">
        <v>2086</v>
      </c>
      <c r="D700" s="1" t="s">
        <v>16</v>
      </c>
      <c r="E700" s="1" t="s">
        <v>2087</v>
      </c>
      <c r="F700" s="1" t="str">
        <f>IFERROR(__xludf.DUMMYFUNCTION("GOOGLETRANSLATE(A700, ""zh-CN"", ""ko"")"),"법")</f>
        <v>법</v>
      </c>
    </row>
    <row r="701" ht="15.75" customHeight="1">
      <c r="A701" s="1" t="s">
        <v>2088</v>
      </c>
      <c r="B701" s="1">
        <v>4.0</v>
      </c>
      <c r="C701" s="1" t="s">
        <v>2089</v>
      </c>
      <c r="D701" s="1" t="s">
        <v>113</v>
      </c>
      <c r="E701" s="1" t="s">
        <v>2090</v>
      </c>
      <c r="F701" s="1" t="str">
        <f>IFERROR(__xludf.DUMMYFUNCTION("GOOGLETRANSLATE(A701, ""zh-CN"", ""ko"")"),"번역하다")</f>
        <v>번역하다</v>
      </c>
    </row>
    <row r="702" ht="15.75" customHeight="1">
      <c r="A702" s="1" t="s">
        <v>2091</v>
      </c>
      <c r="B702" s="1">
        <v>4.0</v>
      </c>
      <c r="C702" s="1" t="s">
        <v>2092</v>
      </c>
      <c r="D702" s="1" t="s">
        <v>52</v>
      </c>
      <c r="E702" s="1" t="s">
        <v>2093</v>
      </c>
      <c r="F702" s="1" t="str">
        <f>IFERROR(__xludf.DUMMYFUNCTION("GOOGLETRANSLATE(A702, ""zh-CN"", ""ko"")"),"문제")</f>
        <v>문제</v>
      </c>
    </row>
    <row r="703" ht="15.75" customHeight="1">
      <c r="A703" s="1" t="s">
        <v>2094</v>
      </c>
      <c r="B703" s="1">
        <v>4.0</v>
      </c>
      <c r="C703" s="1" t="s">
        <v>2095</v>
      </c>
      <c r="D703" s="1" t="s">
        <v>8</v>
      </c>
      <c r="E703" s="1" t="s">
        <v>2096</v>
      </c>
      <c r="F703" s="1" t="str">
        <f>IFERROR(__xludf.DUMMYFUNCTION("GOOGLETRANSLATE(A703, ""zh-CN"", ""ko"")"),"반대하다")</f>
        <v>반대하다</v>
      </c>
    </row>
    <row r="704" ht="15.75" customHeight="1">
      <c r="A704" s="1" t="s">
        <v>2097</v>
      </c>
      <c r="B704" s="1">
        <v>4.0</v>
      </c>
      <c r="C704" s="1" t="s">
        <v>2098</v>
      </c>
      <c r="D704" s="1" t="s">
        <v>16</v>
      </c>
      <c r="E704" s="1" t="s">
        <v>2099</v>
      </c>
      <c r="F704" s="1" t="str">
        <f>IFERROR(__xludf.DUMMYFUNCTION("GOOGLETRANSLATE(A704, ""zh-CN"", ""ko"")"),"방법")</f>
        <v>방법</v>
      </c>
    </row>
    <row r="705" ht="15.75" customHeight="1">
      <c r="A705" s="1" t="s">
        <v>2100</v>
      </c>
      <c r="B705" s="1">
        <v>4.0</v>
      </c>
      <c r="C705" s="1" t="s">
        <v>2101</v>
      </c>
      <c r="D705" s="1" t="s">
        <v>16</v>
      </c>
      <c r="E705" s="1" t="s">
        <v>2102</v>
      </c>
      <c r="F705" s="1" t="str">
        <f>IFERROR(__xludf.DUMMYFUNCTION("GOOGLETRANSLATE(A705, ""zh-CN"", ""ko"")"),"측면")</f>
        <v>측면</v>
      </c>
    </row>
    <row r="706" ht="15.75" customHeight="1">
      <c r="A706" s="1" t="s">
        <v>2103</v>
      </c>
      <c r="B706" s="1">
        <v>4.0</v>
      </c>
      <c r="C706" s="1" t="s">
        <v>2104</v>
      </c>
      <c r="D706" s="1" t="s">
        <v>16</v>
      </c>
      <c r="E706" s="1" t="s">
        <v>2105</v>
      </c>
      <c r="F706" s="1" t="str">
        <f>IFERROR(__xludf.DUMMYFUNCTION("GOOGLETRANSLATE(A706, ""zh-CN"", ""ko"")"),"방법")</f>
        <v>방법</v>
      </c>
    </row>
    <row r="707" ht="15.75" customHeight="1">
      <c r="A707" s="1" t="s">
        <v>2106</v>
      </c>
      <c r="B707" s="1">
        <v>4.0</v>
      </c>
      <c r="C707" s="1" t="s">
        <v>2107</v>
      </c>
      <c r="D707" s="1" t="s">
        <v>16</v>
      </c>
      <c r="E707" s="1" t="s">
        <v>2108</v>
      </c>
      <c r="F707" s="1" t="str">
        <f>IFERROR(__xludf.DUMMYFUNCTION("GOOGLETRANSLATE(A707, ""zh-CN"", ""ko"")"),"방향")</f>
        <v>방향</v>
      </c>
    </row>
    <row r="708" ht="15.75" customHeight="1">
      <c r="A708" s="1" t="s">
        <v>2109</v>
      </c>
      <c r="B708" s="1">
        <v>4.0</v>
      </c>
      <c r="C708" s="1" t="s">
        <v>2110</v>
      </c>
      <c r="D708" s="1" t="s">
        <v>16</v>
      </c>
      <c r="E708" s="1" t="s">
        <v>2111</v>
      </c>
      <c r="F708" s="1" t="str">
        <f>IFERROR(__xludf.DUMMYFUNCTION("GOOGLETRANSLATE(A708, ""zh-CN"", ""ko"")"),"주인")</f>
        <v>주인</v>
      </c>
    </row>
    <row r="709" ht="15.75" customHeight="1">
      <c r="A709" s="1" t="s">
        <v>2112</v>
      </c>
      <c r="B709" s="1">
        <v>4.0</v>
      </c>
      <c r="C709" s="1" t="s">
        <v>2113</v>
      </c>
      <c r="D709" s="1" t="s">
        <v>8</v>
      </c>
      <c r="E709" s="1" t="s">
        <v>2114</v>
      </c>
      <c r="F709" s="1" t="str">
        <f>IFERROR(__xludf.DUMMYFUNCTION("GOOGLETRANSLATE(A709, ""zh-CN"", ""ko"")"),"포기하다")</f>
        <v>포기하다</v>
      </c>
    </row>
    <row r="710" ht="15.75" customHeight="1">
      <c r="A710" s="1" t="s">
        <v>2115</v>
      </c>
      <c r="B710" s="1">
        <v>4.0</v>
      </c>
      <c r="C710" s="1" t="s">
        <v>2116</v>
      </c>
      <c r="E710" s="1" t="s">
        <v>2117</v>
      </c>
      <c r="F710" s="1" t="str">
        <f>IFERROR(__xludf.DUMMYFUNCTION("GOOGLETRANSLATE(A710, ""zh-CN"", ""ko"")"),"여름 방학")</f>
        <v>여름 방학</v>
      </c>
    </row>
    <row r="711" ht="15.75" customHeight="1">
      <c r="A711" s="1" t="s">
        <v>2118</v>
      </c>
      <c r="B711" s="1">
        <v>4.0</v>
      </c>
      <c r="C711" s="1" t="s">
        <v>2119</v>
      </c>
      <c r="D711" s="1" t="s">
        <v>8</v>
      </c>
      <c r="E711" s="1" t="s">
        <v>2120</v>
      </c>
      <c r="F711" s="1" t="str">
        <f>IFERROR(__xludf.DUMMYFUNCTION("GOOGLETRANSLATE(A711, ""zh-CN"", ""ko"")"),"안심하다")</f>
        <v>안심하다</v>
      </c>
    </row>
    <row r="712" ht="15.75" customHeight="1">
      <c r="A712" s="1" t="s">
        <v>2121</v>
      </c>
      <c r="B712" s="1">
        <v>4.0</v>
      </c>
      <c r="C712" s="1" t="s">
        <v>2122</v>
      </c>
      <c r="D712" s="1" t="s">
        <v>26</v>
      </c>
      <c r="E712" s="1" t="s">
        <v>2123</v>
      </c>
      <c r="F712" s="1" t="str">
        <f>IFERROR(__xludf.DUMMYFUNCTION("GOOGLETRANSLATE(A712, ""zh-CN"", ""ko"")"),"공유하다")</f>
        <v>공유하다</v>
      </c>
    </row>
    <row r="713" ht="15.75" customHeight="1">
      <c r="A713" s="1" t="s">
        <v>2124</v>
      </c>
      <c r="B713" s="1">
        <v>4.0</v>
      </c>
      <c r="C713" s="1" t="s">
        <v>2125</v>
      </c>
      <c r="D713" s="1" t="s">
        <v>52</v>
      </c>
      <c r="E713" s="1" t="s">
        <v>2126</v>
      </c>
      <c r="F713" s="1" t="str">
        <f>IFERROR(__xludf.DUMMYFUNCTION("GOOGLETRANSLATE(A713, ""zh-CN"", ""ko"")"),"부자")</f>
        <v>부자</v>
      </c>
    </row>
    <row r="714" ht="15.75" customHeight="1">
      <c r="A714" s="1" t="s">
        <v>2127</v>
      </c>
      <c r="B714" s="1">
        <v>4.0</v>
      </c>
      <c r="C714" s="1" t="s">
        <v>2128</v>
      </c>
      <c r="D714" s="1" t="s">
        <v>1473</v>
      </c>
      <c r="E714" s="1" t="s">
        <v>2129</v>
      </c>
      <c r="F714" s="1" t="str">
        <f>IFERROR(__xludf.DUMMYFUNCTION("GOOGLETRANSLATE(A714, ""zh-CN"", ""ko"")"),"그렇지 않으면")</f>
        <v>그렇지 않으면</v>
      </c>
    </row>
    <row r="715" ht="15.75" customHeight="1">
      <c r="A715" s="1" t="s">
        <v>2130</v>
      </c>
      <c r="B715" s="1">
        <v>4.0</v>
      </c>
      <c r="C715" s="1" t="s">
        <v>2131</v>
      </c>
      <c r="D715" s="1" t="s">
        <v>8</v>
      </c>
      <c r="E715" s="1" t="s">
        <v>2132</v>
      </c>
      <c r="F715" s="1" t="str">
        <f>IFERROR(__xludf.DUMMYFUNCTION("GOOGLETRANSLATE(A715, ""zh-CN"", ""ko"")"),"준수하다")</f>
        <v>준수하다</v>
      </c>
    </row>
    <row r="716" ht="15.75" customHeight="1">
      <c r="A716" s="1" t="s">
        <v>2133</v>
      </c>
      <c r="B716" s="1">
        <v>4.0</v>
      </c>
      <c r="C716" s="1" t="s">
        <v>2134</v>
      </c>
      <c r="D716" s="1" t="s">
        <v>52</v>
      </c>
      <c r="E716" s="1" t="s">
        <v>2135</v>
      </c>
      <c r="F716" s="1" t="str">
        <f>IFERROR(__xludf.DUMMYFUNCTION("GOOGLETRANSLATE(A716, ""zh-CN"", ""ko"")"),"부자")</f>
        <v>부자</v>
      </c>
    </row>
    <row r="717" ht="15.75" customHeight="1">
      <c r="A717" s="1" t="s">
        <v>2136</v>
      </c>
      <c r="B717" s="1">
        <v>4.0</v>
      </c>
      <c r="C717" s="1" t="s">
        <v>2137</v>
      </c>
      <c r="D717" s="1" t="s">
        <v>8</v>
      </c>
      <c r="E717" s="1" t="s">
        <v>2138</v>
      </c>
      <c r="F717" s="1" t="str">
        <f>IFERROR(__xludf.DUMMYFUNCTION("GOOGLETRANSLATE(A717, ""zh-CN"", ""ko"")"),"지불")</f>
        <v>지불</v>
      </c>
    </row>
    <row r="718" ht="15.75" customHeight="1">
      <c r="A718" s="1" t="s">
        <v>2139</v>
      </c>
      <c r="B718" s="1">
        <v>4.0</v>
      </c>
      <c r="C718" s="1" t="s">
        <v>2140</v>
      </c>
      <c r="D718" s="1" t="s">
        <v>16</v>
      </c>
      <c r="E718" s="1" t="s">
        <v>17</v>
      </c>
      <c r="F718" s="1" t="str">
        <f>IFERROR(__xludf.DUMMYFUNCTION("GOOGLETRANSLATE(A718, ""zh-CN"", ""ko"")"),"아버지")</f>
        <v>아버지</v>
      </c>
    </row>
    <row r="719" ht="15.75" customHeight="1">
      <c r="A719" s="1" t="s">
        <v>2141</v>
      </c>
      <c r="B719" s="1">
        <v>4.0</v>
      </c>
      <c r="C719" s="1" t="s">
        <v>2142</v>
      </c>
      <c r="D719" s="1" t="s">
        <v>8</v>
      </c>
      <c r="E719" s="1" t="s">
        <v>2143</v>
      </c>
      <c r="F719" s="1" t="str">
        <f>IFERROR(__xludf.DUMMYFUNCTION("GOOGLETRANSLATE(A719, ""zh-CN"", ""ko"")"),"복사")</f>
        <v>복사</v>
      </c>
    </row>
    <row r="720" ht="15.75" customHeight="1">
      <c r="A720" s="1" t="s">
        <v>2144</v>
      </c>
      <c r="B720" s="1">
        <v>4.0</v>
      </c>
      <c r="C720" s="1" t="s">
        <v>2145</v>
      </c>
      <c r="D720" s="1" t="s">
        <v>52</v>
      </c>
      <c r="E720" s="1" t="s">
        <v>2146</v>
      </c>
      <c r="F720" s="1" t="str">
        <f>IFERROR(__xludf.DUMMYFUNCTION("GOOGLETRANSLATE(A720, ""zh-CN"", ""ko"")"),"복잡한")</f>
        <v>복잡한</v>
      </c>
    </row>
    <row r="721" ht="15.75" customHeight="1">
      <c r="A721" s="1" t="s">
        <v>2147</v>
      </c>
      <c r="B721" s="1">
        <v>4.0</v>
      </c>
      <c r="C721" s="1" t="s">
        <v>2148</v>
      </c>
      <c r="D721" s="1" t="s">
        <v>8</v>
      </c>
      <c r="E721" s="1" t="s">
        <v>2149</v>
      </c>
      <c r="F721" s="1" t="str">
        <f>IFERROR(__xludf.DUMMYFUNCTION("GOOGLETRANSLATE(A721, ""zh-CN"", ""ko"")"),"책임이 있는")</f>
        <v>책임이 있는</v>
      </c>
    </row>
    <row r="722" ht="15.75" customHeight="1">
      <c r="A722" s="1" t="s">
        <v>2150</v>
      </c>
      <c r="B722" s="1">
        <v>4.0</v>
      </c>
      <c r="C722" s="1" t="s">
        <v>2151</v>
      </c>
      <c r="D722" s="1" t="s">
        <v>8</v>
      </c>
      <c r="E722" s="1" t="s">
        <v>2152</v>
      </c>
      <c r="F722" s="1" t="str">
        <f>IFERROR(__xludf.DUMMYFUNCTION("GOOGLETRANSLATE(A722, ""zh-CN"", ""ko"")"),"변화")</f>
        <v>변화</v>
      </c>
    </row>
    <row r="723" ht="15.75" customHeight="1">
      <c r="A723" s="1" t="s">
        <v>2153</v>
      </c>
      <c r="B723" s="1">
        <v>4.0</v>
      </c>
      <c r="C723" s="1" t="s">
        <v>2154</v>
      </c>
      <c r="D723" s="1" t="s">
        <v>8</v>
      </c>
      <c r="E723" s="1" t="s">
        <v>2155</v>
      </c>
      <c r="F723" s="1" t="str">
        <f>IFERROR(__xludf.DUMMYFUNCTION("GOOGLETRANSLATE(A723, ""zh-CN"", ""ko"")"),"건배")</f>
        <v>건배</v>
      </c>
    </row>
    <row r="724" ht="15.75" customHeight="1">
      <c r="A724" s="1" t="s">
        <v>2156</v>
      </c>
      <c r="B724" s="1">
        <v>4.0</v>
      </c>
      <c r="C724" s="1" t="s">
        <v>2157</v>
      </c>
      <c r="D724" s="1" t="s">
        <v>8</v>
      </c>
      <c r="E724" s="1" t="s">
        <v>2158</v>
      </c>
      <c r="F724" s="1" t="str">
        <f>IFERROR(__xludf.DUMMYFUNCTION("GOOGLETRANSLATE(A724, ""zh-CN"", ""ko"")"),"서두르다")</f>
        <v>서두르다</v>
      </c>
    </row>
    <row r="725" ht="15.75" customHeight="1">
      <c r="A725" s="1" t="s">
        <v>2159</v>
      </c>
      <c r="B725" s="1">
        <v>4.0</v>
      </c>
      <c r="C725" s="1" t="s">
        <v>2157</v>
      </c>
      <c r="D725" s="1" t="s">
        <v>8</v>
      </c>
      <c r="E725" s="1" t="s">
        <v>2160</v>
      </c>
      <c r="F725" s="1" t="str">
        <f>IFERROR(__xludf.DUMMYFUNCTION("GOOGLETRANSLATE(A725, ""zh-CN"", ""ko"")"),"도전")</f>
        <v>도전</v>
      </c>
    </row>
    <row r="726" ht="15.75" customHeight="1">
      <c r="A726" s="1" t="s">
        <v>2161</v>
      </c>
      <c r="B726" s="1">
        <v>4.0</v>
      </c>
      <c r="C726" s="1" t="s">
        <v>2162</v>
      </c>
      <c r="D726" s="1" t="s">
        <v>8</v>
      </c>
      <c r="E726" s="1" t="s">
        <v>2163</v>
      </c>
      <c r="F726" s="1" t="str">
        <f>IFERROR(__xludf.DUMMYFUNCTION("GOOGLETRANSLATE(A726, ""zh-CN"", ""ko"")"),"이동하다")</f>
        <v>이동하다</v>
      </c>
    </row>
    <row r="727" ht="15.75" customHeight="1">
      <c r="A727" s="1" t="s">
        <v>2164</v>
      </c>
      <c r="B727" s="1">
        <v>4.0</v>
      </c>
      <c r="C727" s="1" t="s">
        <v>2165</v>
      </c>
      <c r="D727" s="1" t="s">
        <v>8</v>
      </c>
      <c r="E727" s="1" t="s">
        <v>526</v>
      </c>
      <c r="F727" s="1" t="str">
        <f>IFERROR(__xludf.DUMMYFUNCTION("GOOGLETRANSLATE(A727, ""zh-CN"", ""ko"")"),"느끼다")</f>
        <v>느끼다</v>
      </c>
    </row>
    <row r="728" ht="15.75" customHeight="1">
      <c r="A728" s="1" t="s">
        <v>2166</v>
      </c>
      <c r="B728" s="1">
        <v>4.0</v>
      </c>
      <c r="C728" s="1" t="s">
        <v>2167</v>
      </c>
      <c r="D728" s="1" t="s">
        <v>16</v>
      </c>
      <c r="E728" s="1" t="s">
        <v>2168</v>
      </c>
      <c r="F728" s="1" t="str">
        <f>IFERROR(__xludf.DUMMYFUNCTION("GOOGLETRANSLATE(A728, ""zh-CN"", ""ko"")"),"감정")</f>
        <v>감정</v>
      </c>
    </row>
    <row r="729" ht="15.75" customHeight="1">
      <c r="A729" s="1" t="s">
        <v>2169</v>
      </c>
      <c r="B729" s="1">
        <v>4.0</v>
      </c>
      <c r="C729" s="1" t="s">
        <v>2170</v>
      </c>
      <c r="D729" s="1" t="s">
        <v>8</v>
      </c>
      <c r="E729" s="1" t="s">
        <v>2171</v>
      </c>
      <c r="F729" s="1" t="str">
        <f>IFERROR(__xludf.DUMMYFUNCTION("GOOGLETRANSLATE(A729, ""zh-CN"", ""ko"")"),"고마워하는")</f>
        <v>고마워하는</v>
      </c>
    </row>
    <row r="730" ht="15.75" customHeight="1">
      <c r="A730" s="1" t="s">
        <v>2172</v>
      </c>
      <c r="B730" s="1">
        <v>4.0</v>
      </c>
      <c r="C730" s="1" t="s">
        <v>2173</v>
      </c>
      <c r="D730" s="1" t="s">
        <v>8</v>
      </c>
      <c r="E730" s="1" t="s">
        <v>2174</v>
      </c>
      <c r="F730" s="1" t="str">
        <f>IFERROR(__xludf.DUMMYFUNCTION("GOOGLETRANSLATE(A730, ""zh-CN"", ""ko"")"),"마른")</f>
        <v>마른</v>
      </c>
    </row>
    <row r="731" ht="15.75" customHeight="1">
      <c r="A731" s="1" t="s">
        <v>2175</v>
      </c>
      <c r="B731" s="1">
        <v>4.0</v>
      </c>
      <c r="C731" s="1" t="s">
        <v>2176</v>
      </c>
      <c r="D731" s="1" t="s">
        <v>33</v>
      </c>
      <c r="E731" s="1" t="s">
        <v>2177</v>
      </c>
      <c r="F731" s="1" t="str">
        <f>IFERROR(__xludf.DUMMYFUNCTION("GOOGLETRANSLATE(A731, ""zh-CN"", ""ko"")"),"단지")</f>
        <v>단지</v>
      </c>
    </row>
    <row r="732" ht="15.75" customHeight="1">
      <c r="A732" s="1" t="s">
        <v>2178</v>
      </c>
      <c r="B732" s="1">
        <v>4.0</v>
      </c>
      <c r="C732" s="1" t="s">
        <v>2179</v>
      </c>
      <c r="E732" s="1" t="s">
        <v>2180</v>
      </c>
      <c r="F732" s="1" t="str">
        <f>IFERROR(__xludf.DUMMYFUNCTION("GOOGLETRANSLATE(A732, ""zh-CN"", ""ko"")"),"고속도로")</f>
        <v>고속도로</v>
      </c>
    </row>
    <row r="733" ht="15.75" customHeight="1">
      <c r="A733" s="1" t="s">
        <v>2181</v>
      </c>
      <c r="B733" s="1">
        <v>4.0</v>
      </c>
      <c r="C733" s="1" t="s">
        <v>2182</v>
      </c>
      <c r="D733" s="1" t="s">
        <v>16</v>
      </c>
      <c r="E733" s="1" t="s">
        <v>2183</v>
      </c>
      <c r="F733" s="1" t="str">
        <f>IFERROR(__xludf.DUMMYFUNCTION("GOOGLETRANSLATE(A733, ""zh-CN"", ""ko"")"),"팔")</f>
        <v>팔</v>
      </c>
    </row>
    <row r="734" ht="15.75" customHeight="1">
      <c r="A734" s="1" t="s">
        <v>2184</v>
      </c>
      <c r="B734" s="1">
        <v>4.0</v>
      </c>
      <c r="C734" s="1" t="s">
        <v>109</v>
      </c>
      <c r="D734" s="1" t="s">
        <v>88</v>
      </c>
      <c r="E734" s="1" t="s">
        <v>2185</v>
      </c>
      <c r="F734" s="1" t="str">
        <f>IFERROR(__xludf.DUMMYFUNCTION("GOOGLETRANSLATE(A734, ""zh-CN"", ""ko"")"),"각")</f>
        <v>각</v>
      </c>
    </row>
    <row r="735" ht="15.75" customHeight="1">
      <c r="A735" s="1" t="s">
        <v>2186</v>
      </c>
      <c r="B735" s="1">
        <v>4.0</v>
      </c>
      <c r="C735" s="1" t="s">
        <v>2187</v>
      </c>
      <c r="D735" s="1" t="s">
        <v>16</v>
      </c>
      <c r="E735" s="1" t="s">
        <v>2188</v>
      </c>
      <c r="F735" s="1" t="str">
        <f>IFERROR(__xludf.DUMMYFUNCTION("GOOGLETRANSLATE(A735, ""zh-CN"", ""ko"")"),"노력")</f>
        <v>노력</v>
      </c>
    </row>
    <row r="736" ht="15.75" customHeight="1">
      <c r="A736" s="1" t="s">
        <v>2189</v>
      </c>
      <c r="B736" s="1">
        <v>4.0</v>
      </c>
      <c r="C736" s="1" t="s">
        <v>2190</v>
      </c>
      <c r="D736" s="1" t="s">
        <v>26</v>
      </c>
      <c r="E736" s="1" t="s">
        <v>2191</v>
      </c>
      <c r="F736" s="1" t="str">
        <f>IFERROR(__xludf.DUMMYFUNCTION("GOOGLETRANSLATE(A736, ""zh-CN"", ""ko"")"),"킬로미터")</f>
        <v>킬로미터</v>
      </c>
    </row>
    <row r="737" ht="15.75" customHeight="1">
      <c r="A737" s="1" t="s">
        <v>2192</v>
      </c>
      <c r="B737" s="1">
        <v>4.0</v>
      </c>
      <c r="C737" s="1" t="s">
        <v>2193</v>
      </c>
      <c r="D737" s="1" t="s">
        <v>16</v>
      </c>
      <c r="E737" s="1" t="s">
        <v>2194</v>
      </c>
      <c r="F737" s="1" t="str">
        <f>IFERROR(__xludf.DUMMYFUNCTION("GOOGLETRANSLATE(A737, ""zh-CN"", ""ko"")"),"샐러리")</f>
        <v>샐러리</v>
      </c>
    </row>
    <row r="738" ht="15.75" customHeight="1">
      <c r="A738" s="1" t="s">
        <v>2195</v>
      </c>
      <c r="B738" s="1">
        <v>4.0</v>
      </c>
      <c r="C738" s="1" t="s">
        <v>2196</v>
      </c>
      <c r="D738" s="1" t="s">
        <v>52</v>
      </c>
      <c r="E738" s="1" t="s">
        <v>2197</v>
      </c>
      <c r="F738" s="1" t="str">
        <f>IFERROR(__xludf.DUMMYFUNCTION("GOOGLETRANSLATE(A738, ""zh-CN"", ""ko"")"),"흔한")</f>
        <v>흔한</v>
      </c>
    </row>
    <row r="739" ht="15.75" customHeight="1">
      <c r="A739" s="1" t="s">
        <v>2198</v>
      </c>
      <c r="B739" s="1">
        <v>4.0</v>
      </c>
      <c r="C739" s="1" t="s">
        <v>2199</v>
      </c>
      <c r="D739" s="1" t="s">
        <v>8</v>
      </c>
      <c r="E739" s="1" t="s">
        <v>2200</v>
      </c>
      <c r="F739" s="1" t="str">
        <f>IFERROR(__xludf.DUMMYFUNCTION("GOOGLETRANSLATE(A739, ""zh-CN"", ""ko"")"),"충분한")</f>
        <v>충분한</v>
      </c>
    </row>
    <row r="740" ht="15.75" customHeight="1">
      <c r="A740" s="1" t="s">
        <v>2201</v>
      </c>
      <c r="B740" s="1">
        <v>4.0</v>
      </c>
      <c r="C740" s="1" t="s">
        <v>2202</v>
      </c>
      <c r="D740" s="1" t="s">
        <v>8</v>
      </c>
      <c r="E740" s="1" t="s">
        <v>2203</v>
      </c>
      <c r="F740" s="1" t="str">
        <f>IFERROR(__xludf.DUMMYFUNCTION("GOOGLETRANSLATE(A740, ""zh-CN"", ""ko"")"),"쇼핑")</f>
        <v>쇼핑</v>
      </c>
    </row>
    <row r="741" ht="15.75" customHeight="1">
      <c r="A741" s="1" t="s">
        <v>2204</v>
      </c>
      <c r="B741" s="1">
        <v>4.0</v>
      </c>
      <c r="C741" s="1" t="s">
        <v>2205</v>
      </c>
      <c r="D741" s="1" t="s">
        <v>8</v>
      </c>
      <c r="E741" s="1" t="s">
        <v>2206</v>
      </c>
      <c r="F741" s="1" t="str">
        <f>IFERROR(__xludf.DUMMYFUNCTION("GOOGLETRANSLATE(A741, ""zh-CN"", ""ko"")"),"추정")</f>
        <v>추정</v>
      </c>
    </row>
    <row r="742" ht="15.75" customHeight="1">
      <c r="A742" s="1" t="s">
        <v>2207</v>
      </c>
      <c r="B742" s="1">
        <v>4.0</v>
      </c>
      <c r="C742" s="1" t="s">
        <v>2208</v>
      </c>
      <c r="D742" s="1" t="s">
        <v>8</v>
      </c>
      <c r="E742" s="1" t="s">
        <v>2209</v>
      </c>
      <c r="F742" s="1" t="str">
        <f>IFERROR(__xludf.DUMMYFUNCTION("GOOGLETRANSLATE(A742, ""zh-CN"", ""ko"")"),"장려하다")</f>
        <v>장려하다</v>
      </c>
    </row>
    <row r="743" ht="15.75" customHeight="1">
      <c r="A743" s="1" t="s">
        <v>2210</v>
      </c>
      <c r="B743" s="1">
        <v>4.0</v>
      </c>
      <c r="C743" s="1" t="s">
        <v>2211</v>
      </c>
      <c r="D743" s="1" t="s">
        <v>16</v>
      </c>
      <c r="E743" s="1" t="s">
        <v>2212</v>
      </c>
      <c r="F743" s="1" t="str">
        <f>IFERROR(__xludf.DUMMYFUNCTION("GOOGLETRANSLATE(A743, ""zh-CN"", ""ko"")"),"고객")</f>
        <v>고객</v>
      </c>
    </row>
    <row r="744" ht="15.75" customHeight="1">
      <c r="A744" s="1" t="s">
        <v>2213</v>
      </c>
      <c r="B744" s="1">
        <v>4.0</v>
      </c>
      <c r="C744" s="1" t="s">
        <v>2214</v>
      </c>
      <c r="D744" s="1" t="s">
        <v>33</v>
      </c>
      <c r="E744" s="1" t="s">
        <v>2215</v>
      </c>
      <c r="F744" s="1" t="str">
        <f>IFERROR(__xludf.DUMMYFUNCTION("GOOGLETRANSLATE(A744, ""zh-CN"", ""ko"")"),"고의로")</f>
        <v>고의로</v>
      </c>
    </row>
    <row r="745" ht="15.75" customHeight="1">
      <c r="A745" s="1" t="s">
        <v>2216</v>
      </c>
      <c r="B745" s="1">
        <v>4.0</v>
      </c>
      <c r="C745" s="1" t="s">
        <v>2217</v>
      </c>
      <c r="D745" s="1" t="s">
        <v>8</v>
      </c>
      <c r="E745" s="1" t="s">
        <v>2218</v>
      </c>
      <c r="F745" s="1" t="str">
        <f>IFERROR(__xludf.DUMMYFUNCTION("GOOGLETRANSLATE(A745, ""zh-CN"", ""ko"")"),"걸다")</f>
        <v>걸다</v>
      </c>
    </row>
    <row r="746" ht="15.75" customHeight="1">
      <c r="A746" s="1" t="s">
        <v>2219</v>
      </c>
      <c r="B746" s="1">
        <v>4.0</v>
      </c>
      <c r="C746" s="1" t="s">
        <v>2220</v>
      </c>
      <c r="D746" s="1" t="s">
        <v>16</v>
      </c>
      <c r="E746" s="1" t="s">
        <v>2221</v>
      </c>
      <c r="F746" s="1" t="str">
        <f>IFERROR(__xludf.DUMMYFUNCTION("GOOGLETRANSLATE(A746, ""zh-CN"", ""ko"")"),"열쇠")</f>
        <v>열쇠</v>
      </c>
    </row>
    <row r="747" ht="15.75" customHeight="1">
      <c r="A747" s="1" t="s">
        <v>2222</v>
      </c>
      <c r="B747" s="1">
        <v>4.0</v>
      </c>
      <c r="C747" s="1" t="s">
        <v>2223</v>
      </c>
      <c r="D747" s="1" t="s">
        <v>16</v>
      </c>
      <c r="E747" s="1" t="s">
        <v>2224</v>
      </c>
      <c r="F747" s="1" t="str">
        <f>IFERROR(__xludf.DUMMYFUNCTION("GOOGLETRANSLATE(A747, ""zh-CN"", ""ko"")"),"청중")</f>
        <v>청중</v>
      </c>
    </row>
    <row r="748" ht="15.75" customHeight="1">
      <c r="A748" s="1" t="s">
        <v>2225</v>
      </c>
      <c r="B748" s="1">
        <v>4.0</v>
      </c>
      <c r="C748" s="1" t="s">
        <v>2226</v>
      </c>
      <c r="D748" s="1" t="s">
        <v>8</v>
      </c>
      <c r="E748" s="1" t="s">
        <v>2227</v>
      </c>
      <c r="F748" s="1" t="str">
        <f>IFERROR(__xludf.DUMMYFUNCTION("GOOGLETRANSLATE(A748, ""zh-CN"", ""ko"")"),"관리하다")</f>
        <v>관리하다</v>
      </c>
    </row>
    <row r="749" ht="15.75" customHeight="1">
      <c r="A749" s="1" t="s">
        <v>2228</v>
      </c>
      <c r="B749" s="1">
        <v>4.0</v>
      </c>
      <c r="C749" s="1" t="s">
        <v>2229</v>
      </c>
      <c r="D749" s="1" t="s">
        <v>1538</v>
      </c>
      <c r="E749" s="1" t="s">
        <v>2230</v>
      </c>
      <c r="F749" s="1" t="str">
        <f>IFERROR(__xludf.DUMMYFUNCTION("GOOGLETRANSLATE(A749, ""zh-CN"", ""ko"")"),"빛")</f>
        <v>빛</v>
      </c>
    </row>
    <row r="750" ht="15.75" customHeight="1">
      <c r="A750" s="1" t="s">
        <v>2231</v>
      </c>
      <c r="B750" s="1">
        <v>4.0</v>
      </c>
      <c r="C750" s="1" t="s">
        <v>2232</v>
      </c>
      <c r="D750" s="1" t="s">
        <v>16</v>
      </c>
      <c r="E750" s="1" t="s">
        <v>2233</v>
      </c>
      <c r="F750" s="1" t="str">
        <f>IFERROR(__xludf.DUMMYFUNCTION("GOOGLETRANSLATE(A750, ""zh-CN"", ""ko"")"),"방송")</f>
        <v>방송</v>
      </c>
    </row>
    <row r="751" ht="15.75" customHeight="1">
      <c r="A751" s="1" t="s">
        <v>2234</v>
      </c>
      <c r="B751" s="1">
        <v>4.0</v>
      </c>
      <c r="C751" s="1" t="s">
        <v>2235</v>
      </c>
      <c r="D751" s="1" t="s">
        <v>16</v>
      </c>
      <c r="E751" s="1" t="s">
        <v>2236</v>
      </c>
      <c r="F751" s="1" t="str">
        <f>IFERROR(__xludf.DUMMYFUNCTION("GOOGLETRANSLATE(A751, ""zh-CN"", ""ko"")"),"공시 하다")</f>
        <v>공시 하다</v>
      </c>
    </row>
    <row r="752" ht="15.75" customHeight="1">
      <c r="A752" s="1" t="s">
        <v>2237</v>
      </c>
      <c r="B752" s="1">
        <v>4.0</v>
      </c>
      <c r="C752" s="1" t="s">
        <v>2238</v>
      </c>
      <c r="D752" s="1" t="s">
        <v>8</v>
      </c>
      <c r="E752" s="1" t="s">
        <v>2239</v>
      </c>
      <c r="F752" s="1" t="str">
        <f>IFERROR(__xludf.DUMMYFUNCTION("GOOGLETRANSLATE(A752, ""zh-CN"", ""ko"")"),"방문하다")</f>
        <v>방문하다</v>
      </c>
    </row>
    <row r="753" ht="15.75" customHeight="1">
      <c r="A753" s="1" t="s">
        <v>2240</v>
      </c>
      <c r="B753" s="1">
        <v>4.0</v>
      </c>
      <c r="C753" s="1" t="s">
        <v>2241</v>
      </c>
      <c r="D753" s="1" t="s">
        <v>16</v>
      </c>
      <c r="E753" s="1" t="s">
        <v>2242</v>
      </c>
      <c r="F753" s="1" t="str">
        <f>IFERROR(__xludf.DUMMYFUNCTION("GOOGLETRANSLATE(A753, ""zh-CN"", ""ko"")"),"규제")</f>
        <v>규제</v>
      </c>
    </row>
    <row r="754" ht="15.75" customHeight="1">
      <c r="A754" s="1" t="s">
        <v>2243</v>
      </c>
      <c r="B754" s="1">
        <v>4.0</v>
      </c>
      <c r="C754" s="1" t="s">
        <v>2244</v>
      </c>
      <c r="D754" s="1" t="s">
        <v>16</v>
      </c>
      <c r="E754" s="1" t="s">
        <v>2245</v>
      </c>
      <c r="F754" s="1" t="str">
        <f>IFERROR(__xludf.DUMMYFUNCTION("GOOGLETRANSLATE(A754, ""zh-CN"", ""ko"")"),"국적")</f>
        <v>국적</v>
      </c>
    </row>
    <row r="755" ht="15.75" customHeight="1">
      <c r="A755" s="1" t="s">
        <v>2246</v>
      </c>
      <c r="B755" s="1">
        <v>4.0</v>
      </c>
      <c r="C755" s="1" t="s">
        <v>2247</v>
      </c>
      <c r="D755" s="1" t="s">
        <v>52</v>
      </c>
      <c r="E755" s="1" t="s">
        <v>2248</v>
      </c>
      <c r="F755" s="1" t="str">
        <f>IFERROR(__xludf.DUMMYFUNCTION("GOOGLETRANSLATE(A755, ""zh-CN"", ""ko"")"),"국제성")</f>
        <v>국제성</v>
      </c>
    </row>
    <row r="756" ht="15.75" customHeight="1">
      <c r="A756" s="1" t="s">
        <v>2249</v>
      </c>
      <c r="B756" s="1">
        <v>4.0</v>
      </c>
      <c r="C756" s="1" t="s">
        <v>2250</v>
      </c>
      <c r="D756" s="1" t="s">
        <v>16</v>
      </c>
      <c r="E756" s="1" t="s">
        <v>2251</v>
      </c>
      <c r="F756" s="1" t="str">
        <f>IFERROR(__xludf.DUMMYFUNCTION("GOOGLETRANSLATE(A756, ""zh-CN"", ""ko"")"),"주스")</f>
        <v>주스</v>
      </c>
    </row>
    <row r="757" ht="15.75" customHeight="1">
      <c r="A757" s="1" t="s">
        <v>2252</v>
      </c>
      <c r="B757" s="1">
        <v>4.0</v>
      </c>
      <c r="C757" s="1" t="s">
        <v>2253</v>
      </c>
      <c r="D757" s="1" t="s">
        <v>16</v>
      </c>
      <c r="E757" s="1" t="s">
        <v>2254</v>
      </c>
      <c r="F757" s="1" t="str">
        <f>IFERROR(__xludf.DUMMYFUNCTION("GOOGLETRANSLATE(A757, ""zh-CN"", ""ko"")"),"프로세스")</f>
        <v>프로세스</v>
      </c>
    </row>
    <row r="758" ht="15.75" customHeight="1">
      <c r="A758" s="1" t="s">
        <v>2255</v>
      </c>
      <c r="B758" s="1">
        <v>4.0</v>
      </c>
      <c r="C758" s="1" t="s">
        <v>2256</v>
      </c>
      <c r="D758" s="1" t="s">
        <v>16</v>
      </c>
      <c r="E758" s="1" t="s">
        <v>2257</v>
      </c>
      <c r="F758" s="1" t="str">
        <f>IFERROR(__xludf.DUMMYFUNCTION("GOOGLETRANSLATE(A758, ""zh-CN"", ""ko"")"),"대양")</f>
        <v>대양</v>
      </c>
    </row>
    <row r="759" ht="15.75" customHeight="1">
      <c r="A759" s="1" t="s">
        <v>2258</v>
      </c>
      <c r="B759" s="1">
        <v>4.0</v>
      </c>
      <c r="C759" s="1" t="s">
        <v>2259</v>
      </c>
      <c r="D759" s="1" t="s">
        <v>52</v>
      </c>
      <c r="E759" s="1" t="s">
        <v>2260</v>
      </c>
      <c r="F759" s="1" t="str">
        <f>IFERROR(__xludf.DUMMYFUNCTION("GOOGLETRANSLATE(A759, ""zh-CN"", ""ko"")"),"수줍은")</f>
        <v>수줍은</v>
      </c>
    </row>
    <row r="760" ht="15.75" customHeight="1">
      <c r="A760" s="1" t="s">
        <v>2261</v>
      </c>
      <c r="B760" s="1">
        <v>4.0</v>
      </c>
      <c r="C760" s="1" t="s">
        <v>2262</v>
      </c>
      <c r="D760" s="1" t="s">
        <v>16</v>
      </c>
      <c r="E760" s="1" t="s">
        <v>2263</v>
      </c>
      <c r="F760" s="1" t="str">
        <f>IFERROR(__xludf.DUMMYFUNCTION("GOOGLETRANSLATE(A760, ""zh-CN"", ""ko"")"),"겨울 방학")</f>
        <v>겨울 방학</v>
      </c>
    </row>
    <row r="761" ht="15.75" customHeight="1">
      <c r="A761" s="1" t="s">
        <v>2264</v>
      </c>
      <c r="B761" s="1">
        <v>4.0</v>
      </c>
      <c r="C761" s="1" t="s">
        <v>2265</v>
      </c>
      <c r="D761" s="1" t="s">
        <v>16</v>
      </c>
      <c r="E761" s="1" t="s">
        <v>2266</v>
      </c>
      <c r="F761" s="1" t="str">
        <f>IFERROR(__xludf.DUMMYFUNCTION("GOOGLETRANSLATE(A761, ""zh-CN"", ""ko"")"),"땀")</f>
        <v>땀</v>
      </c>
    </row>
    <row r="762" ht="15.75" customHeight="1">
      <c r="A762" s="1" t="s">
        <v>2267</v>
      </c>
      <c r="B762" s="1">
        <v>4.0</v>
      </c>
      <c r="C762" s="1" t="s">
        <v>2268</v>
      </c>
      <c r="D762" s="1" t="s">
        <v>16</v>
      </c>
      <c r="E762" s="1" t="s">
        <v>2269</v>
      </c>
      <c r="F762" s="1" t="str">
        <f>IFERROR(__xludf.DUMMYFUNCTION("GOOGLETRANSLATE(A762, ""zh-CN"", ""ko"")"),"비행")</f>
        <v>비행</v>
      </c>
    </row>
    <row r="763" ht="15.75" customHeight="1">
      <c r="A763" s="1" t="s">
        <v>2270</v>
      </c>
      <c r="B763" s="1">
        <v>4.0</v>
      </c>
      <c r="C763" s="1" t="s">
        <v>2271</v>
      </c>
      <c r="D763" s="1" t="s">
        <v>16</v>
      </c>
      <c r="E763" s="1" t="s">
        <v>2272</v>
      </c>
      <c r="F763" s="1" t="str">
        <f>IFERROR(__xludf.DUMMYFUNCTION("GOOGLETRANSLATE(A763, ""zh-CN"", ""ko"")"),"혜택")</f>
        <v>혜택</v>
      </c>
    </row>
    <row r="764" ht="15.75" customHeight="1">
      <c r="A764" s="1" t="s">
        <v>2273</v>
      </c>
      <c r="B764" s="1">
        <v>4.0</v>
      </c>
      <c r="C764" s="1" t="s">
        <v>2274</v>
      </c>
      <c r="D764" s="1" t="s">
        <v>33</v>
      </c>
      <c r="E764" s="1" t="s">
        <v>2275</v>
      </c>
      <c r="F764" s="1" t="str">
        <f>IFERROR(__xludf.DUMMYFUNCTION("GOOGLETRANSLATE(A764, ""zh-CN"", ""ko"")"),"좋다")</f>
        <v>좋다</v>
      </c>
    </row>
    <row r="765" ht="15.75" customHeight="1">
      <c r="A765" s="1" t="s">
        <v>2276</v>
      </c>
      <c r="B765" s="1">
        <v>4.0</v>
      </c>
      <c r="C765" s="1" t="s">
        <v>2277</v>
      </c>
      <c r="D765" s="1" t="s">
        <v>16</v>
      </c>
      <c r="E765" s="1" t="s">
        <v>2278</v>
      </c>
      <c r="F765" s="1" t="str">
        <f>IFERROR(__xludf.DUMMYFUNCTION("GOOGLETRANSLATE(A765, ""zh-CN"", ""ko"")"),"숫자")</f>
        <v>숫자</v>
      </c>
    </row>
    <row r="766" ht="15.75" customHeight="1">
      <c r="A766" s="1" t="s">
        <v>2279</v>
      </c>
      <c r="B766" s="1">
        <v>4.0</v>
      </c>
      <c r="C766" s="1" t="s">
        <v>2280</v>
      </c>
      <c r="D766" s="1" t="s">
        <v>52</v>
      </c>
      <c r="E766" s="1" t="s">
        <v>2281</v>
      </c>
      <c r="F766" s="1" t="str">
        <f>IFERROR(__xludf.DUMMYFUNCTION("GOOGLETRANSLATE(A766, ""zh-CN"", ""ko"")"),"자격 있는")</f>
        <v>자격 있는</v>
      </c>
    </row>
    <row r="767" ht="15.75" customHeight="1">
      <c r="A767" s="1" t="s">
        <v>2282</v>
      </c>
      <c r="B767" s="1">
        <v>4.0</v>
      </c>
      <c r="C767" s="1" t="s">
        <v>2283</v>
      </c>
      <c r="D767" s="1" t="s">
        <v>52</v>
      </c>
      <c r="E767" s="1" t="s">
        <v>2284</v>
      </c>
      <c r="F767" s="1" t="str">
        <f>IFERROR(__xludf.DUMMYFUNCTION("GOOGLETRANSLATE(A767, ""zh-CN"", ""ko"")"),"적합한")</f>
        <v>적합한</v>
      </c>
    </row>
    <row r="768" ht="15.75" customHeight="1">
      <c r="A768" s="1" t="s">
        <v>2285</v>
      </c>
      <c r="B768" s="1">
        <v>4.0</v>
      </c>
      <c r="C768" s="1" t="s">
        <v>2286</v>
      </c>
      <c r="D768" s="1" t="s">
        <v>16</v>
      </c>
      <c r="E768" s="1" t="s">
        <v>2287</v>
      </c>
      <c r="F768" s="1" t="str">
        <f>IFERROR(__xludf.DUMMYFUNCTION("GOOGLETRANSLATE(A768, ""zh-CN"", ""ko"")"),"상자")</f>
        <v>상자</v>
      </c>
    </row>
    <row r="769" ht="15.75" customHeight="1">
      <c r="A769" s="1" t="s">
        <v>2288</v>
      </c>
      <c r="B769" s="1">
        <v>4.0</v>
      </c>
      <c r="C769" s="1" t="s">
        <v>2289</v>
      </c>
      <c r="D769" s="1" t="s">
        <v>52</v>
      </c>
      <c r="E769" s="1" t="s">
        <v>2290</v>
      </c>
      <c r="F769" s="1" t="str">
        <f>IFERROR(__xludf.DUMMYFUNCTION("GOOGLETRANSLATE(A769, ""zh-CN"", ""ko"")"),"두꺼운")</f>
        <v>두꺼운</v>
      </c>
    </row>
    <row r="770" ht="15.75" customHeight="1">
      <c r="A770" s="1" t="s">
        <v>2291</v>
      </c>
      <c r="B770" s="1">
        <v>4.0</v>
      </c>
      <c r="C770" s="1" t="s">
        <v>2292</v>
      </c>
      <c r="D770" s="1" t="s">
        <v>8</v>
      </c>
      <c r="E770" s="1" t="s">
        <v>2293</v>
      </c>
      <c r="F770" s="1" t="str">
        <f>IFERROR(__xludf.DUMMYFUNCTION("GOOGLETRANSLATE(A770, ""zh-CN"", ""ko"")"),"후회")</f>
        <v>후회</v>
      </c>
    </row>
    <row r="771" ht="15.75" customHeight="1">
      <c r="A771" s="1" t="s">
        <v>2294</v>
      </c>
      <c r="B771" s="1">
        <v>4.0</v>
      </c>
      <c r="C771" s="1" t="s">
        <v>2295</v>
      </c>
      <c r="D771" s="1" t="s">
        <v>16</v>
      </c>
      <c r="E771" s="1" t="s">
        <v>2296</v>
      </c>
      <c r="F771" s="1" t="str">
        <f>IFERROR(__xludf.DUMMYFUNCTION("GOOGLETRANSLATE(A771, ""zh-CN"", ""ko"")"),"인터넷")</f>
        <v>인터넷</v>
      </c>
    </row>
    <row r="772" ht="15.75" customHeight="1">
      <c r="A772" s="1" t="s">
        <v>2297</v>
      </c>
      <c r="B772" s="1">
        <v>4.0</v>
      </c>
      <c r="C772" s="1" t="s">
        <v>2298</v>
      </c>
      <c r="D772" s="1" t="s">
        <v>16</v>
      </c>
      <c r="E772" s="1" t="s">
        <v>2299</v>
      </c>
      <c r="F772" s="1" t="str">
        <f>IFERROR(__xludf.DUMMYFUNCTION("GOOGLETRANSLATE(A772, ""zh-CN"", ""ko"")"),"간호사")</f>
        <v>간호사</v>
      </c>
    </row>
    <row r="773" ht="15.75" customHeight="1">
      <c r="A773" s="1" t="s">
        <v>2300</v>
      </c>
      <c r="B773" s="1">
        <v>4.0</v>
      </c>
      <c r="C773" s="1" t="s">
        <v>2301</v>
      </c>
      <c r="D773" s="1" t="s">
        <v>33</v>
      </c>
      <c r="E773" s="1" t="s">
        <v>2302</v>
      </c>
      <c r="F773" s="1" t="str">
        <f>IFERROR(__xludf.DUMMYFUNCTION("GOOGLETRANSLATE(A773, ""zh-CN"", ""ko"")"),"서로")</f>
        <v>서로</v>
      </c>
    </row>
    <row r="774" ht="15.75" customHeight="1">
      <c r="A774" s="1" t="s">
        <v>2303</v>
      </c>
      <c r="B774" s="1">
        <v>4.0</v>
      </c>
      <c r="C774" s="1" t="s">
        <v>2304</v>
      </c>
      <c r="D774" s="1" t="s">
        <v>8</v>
      </c>
      <c r="E774" s="1" t="s">
        <v>2305</v>
      </c>
      <c r="F774" s="1" t="str">
        <f>IFERROR(__xludf.DUMMYFUNCTION("GOOGLETRANSLATE(A774, ""zh-CN"", ""ko"")"),"의심하다")</f>
        <v>의심하다</v>
      </c>
    </row>
    <row r="775" ht="15.75" customHeight="1">
      <c r="A775" s="1" t="s">
        <v>2306</v>
      </c>
      <c r="B775" s="1">
        <v>4.0</v>
      </c>
      <c r="C775" s="1" t="s">
        <v>2307</v>
      </c>
      <c r="D775" s="1" t="s">
        <v>8</v>
      </c>
      <c r="E775" s="1" t="s">
        <v>2308</v>
      </c>
      <c r="F775" s="1" t="str">
        <f>IFERROR(__xludf.DUMMYFUNCTION("GOOGLETRANSLATE(A775, ""zh-CN"", ""ko"")"),"기억하다")</f>
        <v>기억하다</v>
      </c>
    </row>
    <row r="776" ht="15.75" customHeight="1">
      <c r="A776" s="1" t="s">
        <v>2309</v>
      </c>
      <c r="B776" s="1">
        <v>4.0</v>
      </c>
      <c r="C776" s="1" t="s">
        <v>2310</v>
      </c>
      <c r="D776" s="1" t="s">
        <v>875</v>
      </c>
      <c r="E776" s="1" t="s">
        <v>2311</v>
      </c>
      <c r="F776" s="1" t="str">
        <f>IFERROR(__xludf.DUMMYFUNCTION("GOOGLETRANSLATE(A776, ""zh-CN"", ""ko"")"),"활동")</f>
        <v>활동</v>
      </c>
    </row>
    <row r="777" ht="15.75" customHeight="1">
      <c r="A777" s="1" t="s">
        <v>2312</v>
      </c>
      <c r="B777" s="1">
        <v>4.0</v>
      </c>
      <c r="C777" s="1" t="s">
        <v>2313</v>
      </c>
      <c r="D777" s="1" t="s">
        <v>52</v>
      </c>
      <c r="E777" s="1" t="s">
        <v>2314</v>
      </c>
      <c r="F777" s="1" t="str">
        <f>IFERROR(__xludf.DUMMYFUNCTION("GOOGLETRANSLATE(A777, ""zh-CN"", ""ko"")"),"기운찬")</f>
        <v>기운찬</v>
      </c>
    </row>
    <row r="778" ht="15.75" customHeight="1">
      <c r="A778" s="1" t="s">
        <v>2315</v>
      </c>
      <c r="B778" s="1">
        <v>4.0</v>
      </c>
      <c r="C778" s="1" t="s">
        <v>2316</v>
      </c>
      <c r="D778" s="1" t="s">
        <v>16</v>
      </c>
      <c r="E778" s="1" t="s">
        <v>2317</v>
      </c>
      <c r="F778" s="1" t="str">
        <f>IFERROR(__xludf.DUMMYFUNCTION("GOOGLETRANSLATE(A778, ""zh-CN"", ""ko"")"),"불")</f>
        <v>불</v>
      </c>
    </row>
    <row r="779" ht="15.75" customHeight="1">
      <c r="A779" s="1" t="s">
        <v>2318</v>
      </c>
      <c r="B779" s="1">
        <v>4.0</v>
      </c>
      <c r="C779" s="1" t="s">
        <v>2319</v>
      </c>
      <c r="D779" s="1" t="s">
        <v>8</v>
      </c>
      <c r="E779" s="1" t="s">
        <v>2320</v>
      </c>
      <c r="F779" s="1" t="str">
        <f>IFERROR(__xludf.DUMMYFUNCTION("GOOGLETRANSLATE(A779, ""zh-CN"", ""ko"")"),"얻다")</f>
        <v>얻다</v>
      </c>
    </row>
    <row r="780" ht="15.75" customHeight="1">
      <c r="A780" s="1" t="s">
        <v>2321</v>
      </c>
      <c r="B780" s="1">
        <v>4.0</v>
      </c>
      <c r="C780" s="1" t="s">
        <v>2322</v>
      </c>
      <c r="D780" s="1" t="s">
        <v>16</v>
      </c>
      <c r="E780" s="1" t="s">
        <v>2323</v>
      </c>
      <c r="F780" s="1" t="str">
        <f>IFERROR(__xludf.DUMMYFUNCTION("GOOGLETRANSLATE(A780, ""zh-CN"", ""ko"")"),"베이스")</f>
        <v>베이스</v>
      </c>
    </row>
    <row r="781" ht="15.75" customHeight="1">
      <c r="A781" s="1" t="s">
        <v>2324</v>
      </c>
      <c r="B781" s="1">
        <v>4.0</v>
      </c>
      <c r="C781" s="1" t="s">
        <v>2325</v>
      </c>
      <c r="D781" s="1" t="s">
        <v>52</v>
      </c>
      <c r="E781" s="1" t="s">
        <v>2326</v>
      </c>
      <c r="F781" s="1" t="str">
        <f>IFERROR(__xludf.DUMMYFUNCTION("GOOGLETRANSLATE(A781, ""zh-CN"", ""ko"")"),"흥분한")</f>
        <v>흥분한</v>
      </c>
    </row>
    <row r="782" ht="15.75" customHeight="1">
      <c r="A782" s="1" t="s">
        <v>2327</v>
      </c>
      <c r="B782" s="1">
        <v>4.0</v>
      </c>
      <c r="C782" s="1" t="s">
        <v>2328</v>
      </c>
      <c r="D782" s="1" t="s">
        <v>52</v>
      </c>
      <c r="E782" s="1" t="s">
        <v>2329</v>
      </c>
      <c r="F782" s="1" t="str">
        <f>IFERROR(__xludf.DUMMYFUNCTION("GOOGLETRANSLATE(A782, ""zh-CN"", ""ko"")"),"긍정적인")</f>
        <v>긍정적인</v>
      </c>
    </row>
    <row r="783" ht="15.75" customHeight="1">
      <c r="A783" s="1" t="s">
        <v>2330</v>
      </c>
      <c r="B783" s="1">
        <v>4.0</v>
      </c>
      <c r="C783" s="1" t="s">
        <v>2331</v>
      </c>
      <c r="D783" s="1" t="s">
        <v>8</v>
      </c>
      <c r="E783" s="1" t="s">
        <v>2332</v>
      </c>
      <c r="F783" s="1" t="str">
        <f>IFERROR(__xludf.DUMMYFUNCTION("GOOGLETRANSLATE(A783, ""zh-CN"", ""ko"")"),"축적")</f>
        <v>축적</v>
      </c>
    </row>
    <row r="784" ht="15.75" customHeight="1">
      <c r="A784" s="1" t="s">
        <v>2333</v>
      </c>
      <c r="B784" s="1">
        <v>4.0</v>
      </c>
      <c r="C784" s="1" t="s">
        <v>2334</v>
      </c>
      <c r="D784" s="1" t="s">
        <v>1994</v>
      </c>
      <c r="E784" s="1" t="s">
        <v>2335</v>
      </c>
      <c r="F784" s="1" t="str">
        <f>IFERROR(__xludf.DUMMYFUNCTION("GOOGLETRANSLATE(A784, ""zh-CN"", ""ko"")"),"때마침")</f>
        <v>때마침</v>
      </c>
    </row>
    <row r="785" ht="15.75" customHeight="1">
      <c r="A785" s="1" t="s">
        <v>2336</v>
      </c>
      <c r="B785" s="1">
        <v>4.0</v>
      </c>
      <c r="C785" s="1" t="s">
        <v>2337</v>
      </c>
      <c r="D785" s="1" t="s">
        <v>1473</v>
      </c>
      <c r="E785" s="1" t="s">
        <v>2338</v>
      </c>
      <c r="F785" s="1" t="str">
        <f>IFERROR(__xludf.DUMMYFUNCTION("GOOGLETRANSLATE(A785, ""zh-CN"", ""ko"")"),"~ 일지라도")</f>
        <v>~ 일지라도</v>
      </c>
    </row>
    <row r="786" ht="15.75" customHeight="1">
      <c r="A786" s="1" t="s">
        <v>2339</v>
      </c>
      <c r="B786" s="1">
        <v>4.0</v>
      </c>
      <c r="C786" s="1" t="s">
        <v>2340</v>
      </c>
      <c r="D786" s="1" t="s">
        <v>8</v>
      </c>
      <c r="E786" s="1" t="s">
        <v>2341</v>
      </c>
      <c r="F786" s="1" t="str">
        <f>IFERROR(__xludf.DUMMYFUNCTION("GOOGLETRANSLATE(A786, ""zh-CN"", ""ko"")"),"보내다")</f>
        <v>보내다</v>
      </c>
    </row>
    <row r="787" ht="15.75" customHeight="1">
      <c r="A787" s="1" t="s">
        <v>2342</v>
      </c>
      <c r="B787" s="1">
        <v>4.0</v>
      </c>
      <c r="C787" s="1" t="s">
        <v>2343</v>
      </c>
      <c r="D787" s="1" t="s">
        <v>16</v>
      </c>
      <c r="E787" s="1" t="s">
        <v>2344</v>
      </c>
      <c r="F787" s="1" t="str">
        <f>IFERROR(__xludf.DUMMYFUNCTION("GOOGLETRANSLATE(A787, ""zh-CN"", ""ko"")"),"계획")</f>
        <v>계획</v>
      </c>
    </row>
    <row r="788" ht="15.75" customHeight="1">
      <c r="A788" s="1" t="s">
        <v>2345</v>
      </c>
      <c r="B788" s="1">
        <v>4.0</v>
      </c>
      <c r="C788" s="1" t="s">
        <v>2346</v>
      </c>
      <c r="D788" s="1" t="s">
        <v>1473</v>
      </c>
      <c r="E788" s="1" t="s">
        <v>2347</v>
      </c>
      <c r="F788" s="1" t="str">
        <f>IFERROR(__xludf.DUMMYFUNCTION("GOOGLETRANSLATE(A788, ""zh-CN"", ""ko"")"),"이제")</f>
        <v>이제</v>
      </c>
    </row>
    <row r="789" ht="15.75" customHeight="1">
      <c r="A789" s="1" t="s">
        <v>2348</v>
      </c>
      <c r="B789" s="1">
        <v>4.0</v>
      </c>
      <c r="C789" s="1" t="s">
        <v>2349</v>
      </c>
      <c r="D789" s="1" t="s">
        <v>16</v>
      </c>
      <c r="E789" s="1" t="s">
        <v>2350</v>
      </c>
      <c r="F789" s="1" t="str">
        <f>IFERROR(__xludf.DUMMYFUNCTION("GOOGLETRANSLATE(A789, ""zh-CN"", ""ko"")"),"기술")</f>
        <v>기술</v>
      </c>
    </row>
    <row r="790" ht="15.75" customHeight="1">
      <c r="A790" s="1" t="s">
        <v>2351</v>
      </c>
      <c r="B790" s="1">
        <v>4.0</v>
      </c>
      <c r="C790" s="1" t="s">
        <v>2352</v>
      </c>
      <c r="D790" s="1" t="s">
        <v>8</v>
      </c>
      <c r="E790" s="1" t="s">
        <v>2353</v>
      </c>
      <c r="F790" s="1" t="str">
        <f>IFERROR(__xludf.DUMMYFUNCTION("GOOGLETRANSLATE(A790, ""zh-CN"", ""ko"")"),"계속하다")</f>
        <v>계속하다</v>
      </c>
    </row>
    <row r="791" ht="15.75" customHeight="1">
      <c r="A791" s="1" t="s">
        <v>2354</v>
      </c>
      <c r="B791" s="1">
        <v>4.0</v>
      </c>
      <c r="C791" s="1" t="s">
        <v>2355</v>
      </c>
      <c r="D791" s="1" t="s">
        <v>16</v>
      </c>
      <c r="E791" s="1" t="s">
        <v>2356</v>
      </c>
      <c r="F791" s="1" t="str">
        <f>IFERROR(__xludf.DUMMYFUNCTION("GOOGLETRANSLATE(A791, ""zh-CN"", ""ko"")"),"보고자")</f>
        <v>보고자</v>
      </c>
    </row>
    <row r="792" ht="15.75" customHeight="1">
      <c r="A792" s="1" t="s">
        <v>2357</v>
      </c>
      <c r="B792" s="1">
        <v>4.0</v>
      </c>
      <c r="C792" s="1" t="s">
        <v>2358</v>
      </c>
      <c r="D792" s="1" t="s">
        <v>8</v>
      </c>
      <c r="E792" s="1" t="s">
        <v>2359</v>
      </c>
      <c r="F792" s="1" t="str">
        <f>IFERROR(__xludf.DUMMYFUNCTION("GOOGLETRANSLATE(A792, ""zh-CN"", ""ko"")"),"초과 근무")</f>
        <v>초과 근무</v>
      </c>
    </row>
    <row r="793" ht="15.75" customHeight="1">
      <c r="A793" s="1" t="s">
        <v>2360</v>
      </c>
      <c r="B793" s="1">
        <v>4.0</v>
      </c>
      <c r="C793" s="1" t="s">
        <v>2361</v>
      </c>
      <c r="D793" s="1" t="s">
        <v>16</v>
      </c>
      <c r="E793" s="1" t="s">
        <v>2362</v>
      </c>
      <c r="F793" s="1" t="str">
        <f>IFERROR(__xludf.DUMMYFUNCTION("GOOGLETRANSLATE(A793, ""zh-CN"", ""ko"")"),"가구")</f>
        <v>가구</v>
      </c>
    </row>
    <row r="794" ht="15.75" customHeight="1">
      <c r="A794" s="1" t="s">
        <v>2363</v>
      </c>
      <c r="B794" s="1">
        <v>4.0</v>
      </c>
      <c r="C794" s="1" t="s">
        <v>2364</v>
      </c>
      <c r="D794" s="1" t="s">
        <v>16</v>
      </c>
      <c r="E794" s="1" t="s">
        <v>2365</v>
      </c>
      <c r="F794" s="1" t="str">
        <f>IFERROR(__xludf.DUMMYFUNCTION("GOOGLETRANSLATE(A794, ""zh-CN"", ""ko"")"),"주유소")</f>
        <v>주유소</v>
      </c>
    </row>
    <row r="795" ht="15.75" customHeight="1">
      <c r="A795" s="1" t="s">
        <v>2366</v>
      </c>
      <c r="B795" s="1">
        <v>4.0</v>
      </c>
      <c r="C795" s="1" t="s">
        <v>2367</v>
      </c>
      <c r="D795" s="1" t="s">
        <v>52</v>
      </c>
      <c r="E795" s="1" t="s">
        <v>2368</v>
      </c>
      <c r="F795" s="1" t="str">
        <f>IFERROR(__xludf.DUMMYFUNCTION("GOOGLETRANSLATE(A795, ""zh-CN"", ""ko"")"),"가짜")</f>
        <v>가짜</v>
      </c>
    </row>
    <row r="796" ht="15.75" customHeight="1">
      <c r="A796" s="1" t="s">
        <v>2369</v>
      </c>
      <c r="B796" s="1">
        <v>4.0</v>
      </c>
      <c r="C796" s="1" t="s">
        <v>2370</v>
      </c>
      <c r="D796" s="1" t="s">
        <v>16</v>
      </c>
      <c r="E796" s="1" t="s">
        <v>2371</v>
      </c>
      <c r="F796" s="1" t="str">
        <f>IFERROR(__xludf.DUMMYFUNCTION("GOOGLETRANSLATE(A796, ""zh-CN"", ""ko"")"),"가격")</f>
        <v>가격</v>
      </c>
    </row>
    <row r="797" ht="15.75" customHeight="1">
      <c r="A797" s="1" t="s">
        <v>2372</v>
      </c>
      <c r="B797" s="1">
        <v>4.0</v>
      </c>
      <c r="C797" s="1" t="s">
        <v>2373</v>
      </c>
      <c r="D797" s="1" t="s">
        <v>8</v>
      </c>
      <c r="E797" s="1" t="s">
        <v>2374</v>
      </c>
      <c r="F797" s="1" t="str">
        <f>IFERROR(__xludf.DUMMYFUNCTION("GOOGLETRANSLATE(A797, ""zh-CN"", ""ko"")"),"지속하다")</f>
        <v>지속하다</v>
      </c>
    </row>
    <row r="798" ht="15.75" customHeight="1">
      <c r="A798" s="1" t="s">
        <v>2375</v>
      </c>
      <c r="B798" s="1">
        <v>4.0</v>
      </c>
      <c r="C798" s="1" t="s">
        <v>2376</v>
      </c>
      <c r="D798" s="1" t="s">
        <v>8</v>
      </c>
      <c r="E798" s="1" t="s">
        <v>2377</v>
      </c>
      <c r="F798" s="1" t="str">
        <f>IFERROR(__xludf.DUMMYFUNCTION("GOOGLETRANSLATE(A798, ""zh-CN"", ""ko"")"),"체중 감량")</f>
        <v>체중 감량</v>
      </c>
    </row>
    <row r="799" ht="15.75" customHeight="1">
      <c r="A799" s="1" t="s">
        <v>2378</v>
      </c>
      <c r="B799" s="1">
        <v>4.0</v>
      </c>
      <c r="C799" s="1" t="s">
        <v>2379</v>
      </c>
      <c r="D799" s="1" t="s">
        <v>8</v>
      </c>
      <c r="E799" s="1" t="s">
        <v>2380</v>
      </c>
      <c r="F799" s="1" t="str">
        <f>IFERROR(__xludf.DUMMYFUNCTION("GOOGLETRANSLATE(A799, ""zh-CN"", ""ko"")"),"줄이다")</f>
        <v>줄이다</v>
      </c>
    </row>
    <row r="800" ht="15.75" customHeight="1">
      <c r="A800" s="1" t="s">
        <v>2381</v>
      </c>
      <c r="B800" s="1">
        <v>4.0</v>
      </c>
      <c r="C800" s="1" t="s">
        <v>2382</v>
      </c>
      <c r="D800" s="1" t="s">
        <v>8</v>
      </c>
      <c r="E800" s="1" t="s">
        <v>2383</v>
      </c>
      <c r="F800" s="1" t="str">
        <f>IFERROR(__xludf.DUMMYFUNCTION("GOOGLETRANSLATE(A800, ""zh-CN"", ""ko"")"),"제안")</f>
        <v>제안</v>
      </c>
    </row>
    <row r="801" ht="15.75" customHeight="1">
      <c r="A801" s="1" t="s">
        <v>2384</v>
      </c>
      <c r="B801" s="1">
        <v>4.0</v>
      </c>
      <c r="C801" s="1" t="s">
        <v>2385</v>
      </c>
      <c r="D801" s="1" t="s">
        <v>16</v>
      </c>
      <c r="E801" s="1" t="s">
        <v>2386</v>
      </c>
      <c r="F801" s="1" t="str">
        <f>IFERROR(__xludf.DUMMYFUNCTION("GOOGLETRANSLATE(A801, ""zh-CN"", ""ko"")"),"미래")</f>
        <v>미래</v>
      </c>
    </row>
    <row r="802" ht="15.75" customHeight="1">
      <c r="A802" s="1" t="s">
        <v>2387</v>
      </c>
      <c r="B802" s="1">
        <v>4.0</v>
      </c>
      <c r="C802" s="1" t="s">
        <v>2388</v>
      </c>
      <c r="D802" s="1" t="s">
        <v>16</v>
      </c>
      <c r="E802" s="1" t="s">
        <v>2389</v>
      </c>
      <c r="F802" s="1" t="str">
        <f>IFERROR(__xludf.DUMMYFUNCTION("GOOGLETRANSLATE(A802, ""zh-CN"", ""ko"")"),"보너스")</f>
        <v>보너스</v>
      </c>
    </row>
    <row r="803" ht="15.75" customHeight="1">
      <c r="A803" s="1" t="s">
        <v>2390</v>
      </c>
      <c r="B803" s="1">
        <v>4.0</v>
      </c>
      <c r="C803" s="1" t="s">
        <v>2391</v>
      </c>
      <c r="D803" s="1" t="s">
        <v>8</v>
      </c>
      <c r="E803" s="1" t="s">
        <v>2392</v>
      </c>
      <c r="F803" s="1" t="str">
        <f>IFERROR(__xludf.DUMMYFUNCTION("GOOGLETRANSLATE(A803, ""zh-CN"", ""ko"")"),"줄이다")</f>
        <v>줄이다</v>
      </c>
    </row>
    <row r="804" ht="15.75" customHeight="1">
      <c r="A804" s="1" t="s">
        <v>2393</v>
      </c>
      <c r="B804" s="1">
        <v>4.0</v>
      </c>
      <c r="C804" s="1" t="s">
        <v>2394</v>
      </c>
      <c r="D804" s="1" t="s">
        <v>8</v>
      </c>
      <c r="E804" s="1" t="s">
        <v>2395</v>
      </c>
      <c r="F804" s="1" t="str">
        <f>IFERROR(__xludf.DUMMYFUNCTION("GOOGLETRANSLATE(A804, ""zh-CN"", ""ko"")"),"착륙")</f>
        <v>착륙</v>
      </c>
    </row>
    <row r="805" ht="15.75" customHeight="1">
      <c r="A805" s="1" t="s">
        <v>2396</v>
      </c>
      <c r="B805" s="1">
        <v>4.0</v>
      </c>
      <c r="C805" s="1" t="s">
        <v>1260</v>
      </c>
      <c r="D805" s="1" t="s">
        <v>8</v>
      </c>
      <c r="E805" s="1" t="s">
        <v>2397</v>
      </c>
      <c r="F805" s="1" t="str">
        <f>IFERROR(__xludf.DUMMYFUNCTION("GOOGLETRANSLATE(A805, ""zh-CN"", ""ko"")"),"지불하다")</f>
        <v>지불하다</v>
      </c>
    </row>
    <row r="806" ht="15.75" customHeight="1">
      <c r="A806" s="1" t="s">
        <v>2398</v>
      </c>
      <c r="B806" s="1">
        <v>4.0</v>
      </c>
      <c r="C806" s="1" t="s">
        <v>2399</v>
      </c>
      <c r="D806" s="1" t="s">
        <v>52</v>
      </c>
      <c r="E806" s="1" t="s">
        <v>2400</v>
      </c>
      <c r="F806" s="1" t="str">
        <f>IFERROR(__xludf.DUMMYFUNCTION("GOOGLETRANSLATE(A806, ""zh-CN"", ""ko"")"),"자부심")</f>
        <v>자부심</v>
      </c>
    </row>
    <row r="807" ht="15.75" customHeight="1">
      <c r="A807" s="1" t="s">
        <v>2401</v>
      </c>
      <c r="B807" s="1">
        <v>4.0</v>
      </c>
      <c r="C807" s="1" t="s">
        <v>2402</v>
      </c>
      <c r="D807" s="1" t="s">
        <v>8</v>
      </c>
      <c r="E807" s="1" t="s">
        <v>2403</v>
      </c>
      <c r="F807" s="1" t="str">
        <f>IFERROR(__xludf.DUMMYFUNCTION("GOOGLETRANSLATE(A807, ""zh-CN"", ""ko"")"),"소통하다")</f>
        <v>소통하다</v>
      </c>
    </row>
    <row r="808" ht="15.75" customHeight="1">
      <c r="A808" s="1" t="s">
        <v>2404</v>
      </c>
      <c r="B808" s="1">
        <v>4.0</v>
      </c>
      <c r="C808" s="1" t="s">
        <v>2405</v>
      </c>
      <c r="D808" s="1" t="s">
        <v>16</v>
      </c>
      <c r="E808" s="1" t="s">
        <v>2406</v>
      </c>
      <c r="F808" s="1" t="str">
        <f>IFERROR(__xludf.DUMMYFUNCTION("GOOGLETRANSLATE(A808, ""zh-CN"", ""ko"")"),"교외")</f>
        <v>교외</v>
      </c>
    </row>
    <row r="809" ht="15.75" customHeight="1">
      <c r="A809" s="1" t="s">
        <v>2407</v>
      </c>
      <c r="B809" s="1">
        <v>4.0</v>
      </c>
      <c r="C809" s="1" t="s">
        <v>2408</v>
      </c>
      <c r="D809" s="1" t="s">
        <v>16</v>
      </c>
      <c r="E809" s="1" t="s">
        <v>2409</v>
      </c>
      <c r="F809" s="1" t="str">
        <f>IFERROR(__xludf.DUMMYFUNCTION("GOOGLETRANSLATE(A809, ""zh-CN"", ""ko"")"),"운송")</f>
        <v>운송</v>
      </c>
    </row>
    <row r="810" ht="15.75" customHeight="1">
      <c r="A810" s="1" t="s">
        <v>2410</v>
      </c>
      <c r="B810" s="1">
        <v>4.0</v>
      </c>
      <c r="C810" s="1" t="s">
        <v>2411</v>
      </c>
      <c r="D810" s="1" t="s">
        <v>16</v>
      </c>
      <c r="E810" s="1" t="s">
        <v>2412</v>
      </c>
      <c r="F810" s="1" t="str">
        <f>IFERROR(__xludf.DUMMYFUNCTION("GOOGLETRANSLATE(A810, ""zh-CN"", ""ko"")"),"심")</f>
        <v>심</v>
      </c>
    </row>
    <row r="811" ht="15.75" customHeight="1">
      <c r="A811" s="1" t="s">
        <v>2413</v>
      </c>
      <c r="B811" s="1">
        <v>4.0</v>
      </c>
      <c r="C811" s="1" t="s">
        <v>2414</v>
      </c>
      <c r="D811" s="1" t="s">
        <v>16</v>
      </c>
      <c r="E811" s="1" t="s">
        <v>2415</v>
      </c>
      <c r="F811" s="1" t="str">
        <f>IFERROR(__xludf.DUMMYFUNCTION("GOOGLETRANSLATE(A811, ""zh-CN"", ""ko"")"),"교수")</f>
        <v>교수</v>
      </c>
    </row>
    <row r="812" ht="15.75" customHeight="1">
      <c r="A812" s="1" t="s">
        <v>2416</v>
      </c>
      <c r="B812" s="1">
        <v>4.0</v>
      </c>
      <c r="C812" s="1" t="s">
        <v>2417</v>
      </c>
      <c r="D812" s="1" t="s">
        <v>875</v>
      </c>
      <c r="E812" s="1" t="s">
        <v>2418</v>
      </c>
      <c r="F812" s="1" t="str">
        <f>IFERROR(__xludf.DUMMYFUNCTION("GOOGLETRANSLATE(A812, ""zh-CN"", ""ko"")"),"기르다")</f>
        <v>기르다</v>
      </c>
    </row>
    <row r="813" ht="15.75" customHeight="1">
      <c r="A813" s="1" t="s">
        <v>2419</v>
      </c>
      <c r="B813" s="1">
        <v>4.0</v>
      </c>
      <c r="C813" s="1" t="s">
        <v>2420</v>
      </c>
      <c r="D813" s="1" t="s">
        <v>8</v>
      </c>
      <c r="E813" s="1" t="s">
        <v>2421</v>
      </c>
      <c r="F813" s="1" t="str">
        <f>IFERROR(__xludf.DUMMYFUNCTION("GOOGLETRANSLATE(A813, ""zh-CN"", ""ko"")"),"수용하다")</f>
        <v>수용하다</v>
      </c>
    </row>
    <row r="814" ht="15.75" customHeight="1">
      <c r="A814" s="1" t="s">
        <v>2422</v>
      </c>
      <c r="B814" s="1">
        <v>4.0</v>
      </c>
      <c r="C814" s="1" t="s">
        <v>2423</v>
      </c>
      <c r="D814" s="1" t="s">
        <v>33</v>
      </c>
      <c r="E814" s="1" t="s">
        <v>2424</v>
      </c>
      <c r="F814" s="1" t="str">
        <f>IFERROR(__xludf.DUMMYFUNCTION("GOOGLETRANSLATE(A814, ""zh-CN"", ""ko"")"),"그 다음에")</f>
        <v>그 다음에</v>
      </c>
    </row>
    <row r="815" ht="15.75" customHeight="1">
      <c r="A815" s="1" t="s">
        <v>2425</v>
      </c>
      <c r="B815" s="1">
        <v>4.0</v>
      </c>
      <c r="C815" s="1" t="s">
        <v>2426</v>
      </c>
      <c r="D815" s="1" t="s">
        <v>26</v>
      </c>
      <c r="E815" s="1" t="s">
        <v>2427</v>
      </c>
      <c r="F815" s="1" t="str">
        <f>IFERROR(__xludf.DUMMYFUNCTION("GOOGLETRANSLATE(A815, ""zh-CN"", ""ko"")"),"제전")</f>
        <v>제전</v>
      </c>
    </row>
    <row r="816" ht="15.75" customHeight="1">
      <c r="A816" s="1" t="s">
        <v>2428</v>
      </c>
      <c r="B816" s="1">
        <v>4.0</v>
      </c>
      <c r="C816" s="1" t="s">
        <v>2429</v>
      </c>
      <c r="D816" s="1" t="s">
        <v>16</v>
      </c>
      <c r="E816" s="1" t="s">
        <v>2430</v>
      </c>
      <c r="F816" s="1" t="str">
        <f>IFERROR(__xludf.DUMMYFUNCTION("GOOGLETRANSLATE(A816, ""zh-CN"", ""ko"")"),"결과")</f>
        <v>결과</v>
      </c>
    </row>
    <row r="817" ht="15.75" customHeight="1">
      <c r="A817" s="1" t="s">
        <v>2431</v>
      </c>
      <c r="B817" s="1">
        <v>4.0</v>
      </c>
      <c r="C817" s="1" t="s">
        <v>2432</v>
      </c>
      <c r="D817" s="1" t="s">
        <v>8</v>
      </c>
      <c r="E817" s="1" t="s">
        <v>2433</v>
      </c>
      <c r="F817" s="1" t="str">
        <f>IFERROR(__xludf.DUMMYFUNCTION("GOOGLETRANSLATE(A817, ""zh-CN"", ""ko"")"),"구하다")</f>
        <v>구하다</v>
      </c>
    </row>
    <row r="818" ht="15.75" customHeight="1">
      <c r="A818" s="1" t="s">
        <v>2434</v>
      </c>
      <c r="B818" s="1">
        <v>4.0</v>
      </c>
      <c r="C818" s="1" t="s">
        <v>2435</v>
      </c>
      <c r="D818" s="1" t="s">
        <v>8</v>
      </c>
      <c r="E818" s="1" t="s">
        <v>2436</v>
      </c>
      <c r="F818" s="1" t="str">
        <f>IFERROR(__xludf.DUMMYFUNCTION("GOOGLETRANSLATE(A818, ""zh-CN"", ""ko"")"),"설명하다")</f>
        <v>설명하다</v>
      </c>
    </row>
    <row r="819" ht="15.75" customHeight="1">
      <c r="A819" s="1" t="s">
        <v>2437</v>
      </c>
      <c r="B819" s="1">
        <v>4.0</v>
      </c>
      <c r="C819" s="1" t="s">
        <v>2438</v>
      </c>
      <c r="D819" s="1" t="s">
        <v>1473</v>
      </c>
      <c r="E819" s="1" t="s">
        <v>2439</v>
      </c>
      <c r="F819" s="1" t="str">
        <f>IFERROR(__xludf.DUMMYFUNCTION("GOOGLETRANSLATE(A819, ""zh-CN"", ""ko"")"),"하지만")</f>
        <v>하지만</v>
      </c>
    </row>
    <row r="820" ht="15.75" customHeight="1">
      <c r="A820" s="1" t="s">
        <v>2440</v>
      </c>
      <c r="B820" s="1">
        <v>4.0</v>
      </c>
      <c r="C820" s="1" t="s">
        <v>2441</v>
      </c>
      <c r="D820" s="1" t="s">
        <v>52</v>
      </c>
      <c r="E820" s="1" t="s">
        <v>2442</v>
      </c>
      <c r="F820" s="1" t="str">
        <f>IFERROR(__xludf.DUMMYFUNCTION("GOOGLETRANSLATE(A820, ""zh-CN"", ""ko"")"),"불안한")</f>
        <v>불안한</v>
      </c>
    </row>
    <row r="821" ht="15.75" customHeight="1">
      <c r="A821" s="1" t="s">
        <v>2443</v>
      </c>
      <c r="B821" s="1">
        <v>4.0</v>
      </c>
      <c r="C821" s="1" t="s">
        <v>2444</v>
      </c>
      <c r="D821" s="1" t="s">
        <v>8</v>
      </c>
      <c r="E821" s="1" t="s">
        <v>2445</v>
      </c>
      <c r="F821" s="1" t="str">
        <f>IFERROR(__xludf.DUMMYFUNCTION("GOOGLETRANSLATE(A821, ""zh-CN"", ""ko"")"),"지휘하다")</f>
        <v>지휘하다</v>
      </c>
    </row>
    <row r="822" ht="15.75" customHeight="1">
      <c r="A822" s="1" t="s">
        <v>2446</v>
      </c>
      <c r="B822" s="1">
        <v>4.0</v>
      </c>
      <c r="C822" s="1" t="s">
        <v>2447</v>
      </c>
      <c r="D822" s="1" t="s">
        <v>8</v>
      </c>
      <c r="E822" s="1" t="s">
        <v>2448</v>
      </c>
      <c r="F822" s="1" t="str">
        <f>IFERROR(__xludf.DUMMYFUNCTION("GOOGLETRANSLATE(A822, ""zh-CN"", ""ko"")"),"금지하다")</f>
        <v>금지하다</v>
      </c>
    </row>
    <row r="823" ht="15.75" customHeight="1">
      <c r="A823" s="1" t="s">
        <v>2449</v>
      </c>
      <c r="B823" s="1">
        <v>4.0</v>
      </c>
      <c r="C823" s="1" t="s">
        <v>2450</v>
      </c>
      <c r="D823" s="1" t="s">
        <v>52</v>
      </c>
      <c r="E823" s="1" t="s">
        <v>2451</v>
      </c>
      <c r="F823" s="1" t="str">
        <f>IFERROR(__xludf.DUMMYFUNCTION("GOOGLETRANSLATE(A823, ""zh-CN"", ""ko"")"),"아주 멋진")</f>
        <v>아주 멋진</v>
      </c>
    </row>
    <row r="824" ht="15.75" customHeight="1">
      <c r="A824" s="1" t="s">
        <v>2452</v>
      </c>
      <c r="B824" s="1">
        <v>4.0</v>
      </c>
      <c r="C824" s="1" t="s">
        <v>2453</v>
      </c>
      <c r="D824" s="1" t="s">
        <v>16</v>
      </c>
      <c r="E824" s="1" t="s">
        <v>2454</v>
      </c>
      <c r="F824" s="1" t="str">
        <f>IFERROR(__xludf.DUMMYFUNCTION("GOOGLETRANSLATE(A824, ""zh-CN"", ""ko"")"),"경제")</f>
        <v>경제</v>
      </c>
    </row>
    <row r="825" ht="15.75" customHeight="1">
      <c r="A825" s="1" t="s">
        <v>2455</v>
      </c>
      <c r="B825" s="1">
        <v>4.0</v>
      </c>
      <c r="C825" s="1" t="s">
        <v>2456</v>
      </c>
      <c r="D825" s="1" t="s">
        <v>16</v>
      </c>
      <c r="E825" s="1" t="s">
        <v>2457</v>
      </c>
      <c r="F825" s="1" t="str">
        <f>IFERROR(__xludf.DUMMYFUNCTION("GOOGLETRANSLATE(A825, ""zh-CN"", ""ko"")"),"베이징 오페라")</f>
        <v>베이징 오페라</v>
      </c>
    </row>
    <row r="826" ht="15.75" customHeight="1">
      <c r="A826" s="1" t="s">
        <v>2458</v>
      </c>
      <c r="B826" s="1">
        <v>4.0</v>
      </c>
      <c r="C826" s="1" t="s">
        <v>2459</v>
      </c>
      <c r="D826" s="1" t="s">
        <v>113</v>
      </c>
      <c r="E826" s="1" t="s">
        <v>2460</v>
      </c>
      <c r="F826" s="1" t="str">
        <f>IFERROR(__xludf.DUMMYFUNCTION("GOOGLETRANSLATE(A826, ""zh-CN"", ""ko"")"),"경험")</f>
        <v>경험</v>
      </c>
    </row>
    <row r="827" ht="15.75" customHeight="1">
      <c r="A827" s="1" t="s">
        <v>2461</v>
      </c>
      <c r="B827" s="1">
        <v>4.0</v>
      </c>
      <c r="C827" s="1" t="s">
        <v>2462</v>
      </c>
      <c r="D827" s="1" t="s">
        <v>16</v>
      </c>
      <c r="E827" s="1" t="s">
        <v>2460</v>
      </c>
      <c r="F827" s="1" t="str">
        <f>IFERROR(__xludf.DUMMYFUNCTION("GOOGLETRANSLATE(A827, ""zh-CN"", ""ko"")"),"경험")</f>
        <v>경험</v>
      </c>
    </row>
    <row r="828" ht="15.75" customHeight="1">
      <c r="A828" s="1" t="s">
        <v>2463</v>
      </c>
      <c r="B828" s="1">
        <v>4.0</v>
      </c>
      <c r="C828" s="1" t="s">
        <v>2464</v>
      </c>
      <c r="D828" s="1" t="s">
        <v>16</v>
      </c>
      <c r="E828" s="1" t="s">
        <v>2465</v>
      </c>
      <c r="F828" s="1" t="str">
        <f>IFERROR(__xludf.DUMMYFUNCTION("GOOGLETRANSLATE(A828, ""zh-CN"", ""ko"")"),"경찰")</f>
        <v>경찰</v>
      </c>
    </row>
    <row r="829" ht="15.75" customHeight="1">
      <c r="A829" s="1" t="s">
        <v>2466</v>
      </c>
      <c r="B829" s="1">
        <v>4.0</v>
      </c>
      <c r="C829" s="1" t="s">
        <v>2467</v>
      </c>
      <c r="D829" s="1" t="s">
        <v>16</v>
      </c>
      <c r="E829" s="1" t="s">
        <v>2468</v>
      </c>
      <c r="F829" s="1" t="str">
        <f>IFERROR(__xludf.DUMMYFUNCTION("GOOGLETRANSLATE(A829, ""zh-CN"", ""ko"")"),"보다")</f>
        <v>보다</v>
      </c>
    </row>
    <row r="830" ht="15.75" customHeight="1">
      <c r="A830" s="1" t="s">
        <v>2469</v>
      </c>
      <c r="B830" s="1">
        <v>4.0</v>
      </c>
      <c r="C830" s="1" t="s">
        <v>2470</v>
      </c>
      <c r="D830" s="1" t="s">
        <v>33</v>
      </c>
      <c r="E830" s="1" t="s">
        <v>2471</v>
      </c>
      <c r="F830" s="1" t="str">
        <f>IFERROR(__xludf.DUMMYFUNCTION("GOOGLETRANSLATE(A830, ""zh-CN"", ""ko"")"),"알고 보니")</f>
        <v>알고 보니</v>
      </c>
    </row>
    <row r="831" ht="15.75" customHeight="1">
      <c r="A831" s="1" t="s">
        <v>2472</v>
      </c>
      <c r="B831" s="1">
        <v>4.0</v>
      </c>
      <c r="C831" s="1" t="s">
        <v>2473</v>
      </c>
      <c r="D831" s="1" t="s">
        <v>8</v>
      </c>
      <c r="E831" s="1" t="s">
        <v>2474</v>
      </c>
      <c r="F831" s="1" t="str">
        <f>IFERROR(__xludf.DUMMYFUNCTION("GOOGLETRANSLATE(A831, ""zh-CN"", ""ko"")"),"경쟁하다")</f>
        <v>경쟁하다</v>
      </c>
    </row>
    <row r="832" ht="15.75" customHeight="1">
      <c r="A832" s="1" t="s">
        <v>2475</v>
      </c>
      <c r="B832" s="1">
        <v>4.0</v>
      </c>
      <c r="C832" s="1" t="s">
        <v>2476</v>
      </c>
      <c r="D832" s="1" t="s">
        <v>16</v>
      </c>
      <c r="E832" s="1" t="s">
        <v>2477</v>
      </c>
      <c r="F832" s="1" t="str">
        <f>IFERROR(__xludf.DUMMYFUNCTION("GOOGLETRANSLATE(A832, ""zh-CN"", ""ko"")"),"거울")</f>
        <v>거울</v>
      </c>
    </row>
    <row r="833" ht="15.75" customHeight="1">
      <c r="A833" s="1" t="s">
        <v>2478</v>
      </c>
      <c r="B833" s="1">
        <v>4.0</v>
      </c>
      <c r="C833" s="1" t="s">
        <v>2479</v>
      </c>
      <c r="D833" s="1" t="s">
        <v>33</v>
      </c>
      <c r="E833" s="1" t="s">
        <v>2480</v>
      </c>
      <c r="F833" s="1" t="str">
        <f>IFERROR(__xludf.DUMMYFUNCTION("GOOGLETRANSLATE(A833, ""zh-CN"", ""ko"")"),"결국")</f>
        <v>결국</v>
      </c>
    </row>
    <row r="834" ht="15.75" customHeight="1">
      <c r="A834" s="1" t="s">
        <v>2481</v>
      </c>
      <c r="B834" s="1">
        <v>4.0</v>
      </c>
      <c r="C834" s="1" t="s">
        <v>2482</v>
      </c>
      <c r="D834" s="1" t="s">
        <v>8</v>
      </c>
      <c r="E834" s="1" t="s">
        <v>2483</v>
      </c>
      <c r="F834" s="1" t="str">
        <f>IFERROR(__xludf.DUMMYFUNCTION("GOOGLETRANSLATE(A834, ""zh-CN"", ""ko"")"),"승강기")</f>
        <v>승강기</v>
      </c>
    </row>
    <row r="835" ht="15.75" customHeight="1">
      <c r="A835" s="1" t="s">
        <v>2484</v>
      </c>
      <c r="B835" s="1">
        <v>4.0</v>
      </c>
      <c r="C835" s="1" t="s">
        <v>2485</v>
      </c>
      <c r="D835" s="1" t="s">
        <v>8</v>
      </c>
      <c r="E835" s="1" t="s">
        <v>2486</v>
      </c>
      <c r="F835" s="1" t="str">
        <f>IFERROR(__xludf.DUMMYFUNCTION("GOOGLETRANSLATE(A835, ""zh-CN"", ""ko"")"),"잡고 있다")</f>
        <v>잡고 있다</v>
      </c>
    </row>
    <row r="836" ht="15.75" customHeight="1">
      <c r="A836" s="1" t="s">
        <v>2487</v>
      </c>
      <c r="B836" s="1">
        <v>4.0</v>
      </c>
      <c r="C836" s="1" t="s">
        <v>2488</v>
      </c>
      <c r="D836" s="1" t="s">
        <v>8</v>
      </c>
      <c r="E836" s="1" t="s">
        <v>2489</v>
      </c>
      <c r="F836" s="1" t="str">
        <f>IFERROR(__xludf.DUMMYFUNCTION("GOOGLETRANSLATE(A836, ""zh-CN"", ""ko"")"),"잡고 있다")</f>
        <v>잡고 있다</v>
      </c>
    </row>
    <row r="837" ht="15.75" customHeight="1">
      <c r="A837" s="1" t="s">
        <v>2490</v>
      </c>
      <c r="B837" s="1">
        <v>4.0</v>
      </c>
      <c r="C837" s="1" t="s">
        <v>2491</v>
      </c>
      <c r="D837" s="1" t="s">
        <v>16</v>
      </c>
      <c r="E837" s="1" t="s">
        <v>2492</v>
      </c>
      <c r="F837" s="1" t="str">
        <f>IFERROR(__xludf.DUMMYFUNCTION("GOOGLETRANSLATE(A837, ""zh-CN"", ""ko"")"),"재결합")</f>
        <v>재결합</v>
      </c>
    </row>
    <row r="838" ht="15.75" customHeight="1">
      <c r="A838" s="1" t="s">
        <v>2493</v>
      </c>
      <c r="B838" s="1">
        <v>4.0</v>
      </c>
      <c r="C838" s="1" t="s">
        <v>2494</v>
      </c>
      <c r="D838" s="1" t="s">
        <v>8</v>
      </c>
      <c r="E838" s="1" t="s">
        <v>2495</v>
      </c>
      <c r="F838" s="1" t="str">
        <f>IFERROR(__xludf.DUMMYFUNCTION("GOOGLETRANSLATE(A838, ""zh-CN"", ""ko"")"),"거부하다")</f>
        <v>거부하다</v>
      </c>
    </row>
    <row r="839" ht="15.75" customHeight="1">
      <c r="A839" s="1" t="s">
        <v>2496</v>
      </c>
      <c r="B839" s="1">
        <v>4.0</v>
      </c>
      <c r="C839" s="1" t="s">
        <v>2497</v>
      </c>
      <c r="D839" s="1" t="s">
        <v>16</v>
      </c>
      <c r="E839" s="1" t="s">
        <v>2498</v>
      </c>
      <c r="F839" s="1" t="str">
        <f>IFERROR(__xludf.DUMMYFUNCTION("GOOGLETRANSLATE(A839, ""zh-CN"", ""ko"")"),"거리")</f>
        <v>거리</v>
      </c>
    </row>
    <row r="840" ht="15.75" customHeight="1">
      <c r="A840" s="1" t="s">
        <v>2499</v>
      </c>
      <c r="B840" s="1">
        <v>4.0</v>
      </c>
      <c r="C840" s="1" t="s">
        <v>2500</v>
      </c>
      <c r="E840" s="1" t="s">
        <v>2501</v>
      </c>
      <c r="F840" s="1" t="str">
        <f>IFERROR(__xludf.DUMMYFUNCTION("GOOGLETRANSLATE(A840, ""zh-CN"", ""ko"")"),"농담")</f>
        <v>농담</v>
      </c>
    </row>
    <row r="841" ht="15.75" customHeight="1">
      <c r="A841" s="1" t="s">
        <v>2502</v>
      </c>
      <c r="B841" s="1">
        <v>4.0</v>
      </c>
      <c r="C841" s="1" t="s">
        <v>2503</v>
      </c>
      <c r="D841" s="1" t="s">
        <v>52</v>
      </c>
      <c r="E841" s="1" t="s">
        <v>107</v>
      </c>
      <c r="F841" s="1" t="str">
        <f>IFERROR(__xludf.DUMMYFUNCTION("GOOGLETRANSLATE(A841, ""zh-CN"", ""ko"")"),"행복하다")</f>
        <v>행복하다</v>
      </c>
    </row>
    <row r="842" ht="15.75" customHeight="1">
      <c r="A842" s="1" t="s">
        <v>2504</v>
      </c>
      <c r="B842" s="1">
        <v>4.0</v>
      </c>
      <c r="C842" s="1" t="s">
        <v>2505</v>
      </c>
      <c r="D842" s="1" t="s">
        <v>16</v>
      </c>
      <c r="E842" s="1" t="s">
        <v>2506</v>
      </c>
      <c r="F842" s="1" t="str">
        <f>IFERROR(__xludf.DUMMYFUNCTION("GOOGLETRANSLATE(A842, ""zh-CN"", ""ko"")"),"보다")</f>
        <v>보다</v>
      </c>
    </row>
    <row r="843" ht="15.75" customHeight="1">
      <c r="A843" s="1" t="s">
        <v>2507</v>
      </c>
      <c r="B843" s="1">
        <v>4.0</v>
      </c>
      <c r="C843" s="1" t="s">
        <v>2508</v>
      </c>
      <c r="D843" s="1" t="s">
        <v>8</v>
      </c>
      <c r="E843" s="1" t="s">
        <v>2509</v>
      </c>
      <c r="F843" s="1" t="str">
        <f>IFERROR(__xludf.DUMMYFUNCTION("GOOGLETRANSLATE(A843, ""zh-CN"", ""ko"")"),"고려하다")</f>
        <v>고려하다</v>
      </c>
    </row>
    <row r="844" ht="15.75" customHeight="1">
      <c r="A844" s="1" t="s">
        <v>2510</v>
      </c>
      <c r="B844" s="1">
        <v>4.0</v>
      </c>
      <c r="C844" s="1" t="s">
        <v>2511</v>
      </c>
      <c r="D844" s="1" t="s">
        <v>16</v>
      </c>
      <c r="E844" s="1" t="s">
        <v>2512</v>
      </c>
      <c r="F844" s="1" t="str">
        <f>IFERROR(__xludf.DUMMYFUNCTION("GOOGLETRANSLATE(A844, ""zh-CN"", ""ko"")"),"오리구이")</f>
        <v>오리구이</v>
      </c>
    </row>
    <row r="845" ht="15.75" customHeight="1">
      <c r="A845" s="1" t="s">
        <v>2513</v>
      </c>
      <c r="B845" s="1">
        <v>4.0</v>
      </c>
      <c r="C845" s="1" t="s">
        <v>2514</v>
      </c>
      <c r="D845" s="1" t="s">
        <v>26</v>
      </c>
      <c r="E845" s="1" t="s">
        <v>2515</v>
      </c>
      <c r="F845" s="1" t="str">
        <f>IFERROR(__xludf.DUMMYFUNCTION("GOOGLETRANSLATE(A845, ""zh-CN"", ""ko"")"),"나무")</f>
        <v>나무</v>
      </c>
    </row>
    <row r="846" ht="15.75" customHeight="1">
      <c r="A846" s="1" t="s">
        <v>2516</v>
      </c>
      <c r="B846" s="1">
        <v>4.0</v>
      </c>
      <c r="C846" s="1" t="s">
        <v>2517</v>
      </c>
      <c r="D846" s="1" t="s">
        <v>16</v>
      </c>
      <c r="E846" s="1" t="s">
        <v>2518</v>
      </c>
      <c r="F846" s="1" t="str">
        <f>IFERROR(__xludf.DUMMYFUNCTION("GOOGLETRANSLATE(A846, ""zh-CN"", ""ko"")"),"과학")</f>
        <v>과학</v>
      </c>
    </row>
    <row r="847" ht="15.75" customHeight="1">
      <c r="A847" s="1" t="s">
        <v>2519</v>
      </c>
      <c r="B847" s="1">
        <v>4.0</v>
      </c>
      <c r="C847" s="1" t="s">
        <v>2520</v>
      </c>
      <c r="D847" s="1" t="s">
        <v>8</v>
      </c>
      <c r="E847" s="1" t="s">
        <v>2521</v>
      </c>
      <c r="F847" s="1" t="str">
        <f>IFERROR(__xludf.DUMMYFUNCTION("GOOGLETRANSLATE(A847, ""zh-CN"", ""ko"")"),"기침")</f>
        <v>기침</v>
      </c>
    </row>
    <row r="848" ht="15.75" customHeight="1">
      <c r="A848" s="1" t="s">
        <v>2522</v>
      </c>
      <c r="B848" s="1">
        <v>4.0</v>
      </c>
      <c r="C848" s="1" t="s">
        <v>2523</v>
      </c>
      <c r="D848" s="1" t="s">
        <v>52</v>
      </c>
      <c r="E848" s="1" t="s">
        <v>2524</v>
      </c>
      <c r="F848" s="1" t="str">
        <f>IFERROR(__xludf.DUMMYFUNCTION("GOOGLETRANSLATE(A848, ""zh-CN"", ""ko"")"),"불쌍한")</f>
        <v>불쌍한</v>
      </c>
    </row>
    <row r="849" ht="15.75" customHeight="1">
      <c r="A849" s="1" t="s">
        <v>2525</v>
      </c>
      <c r="B849" s="1">
        <v>4.0</v>
      </c>
      <c r="C849" s="1" t="s">
        <v>2526</v>
      </c>
      <c r="D849" s="1" t="s">
        <v>1473</v>
      </c>
      <c r="E849" s="1" t="s">
        <v>2527</v>
      </c>
      <c r="F849" s="1" t="str">
        <f>IFERROR(__xludf.DUMMYFUNCTION("GOOGLETRANSLATE(A849, ""zh-CN"", ""ko"")"),"하지만")</f>
        <v>하지만</v>
      </c>
    </row>
    <row r="850" ht="15.75" customHeight="1">
      <c r="A850" s="1" t="s">
        <v>2528</v>
      </c>
      <c r="B850" s="1">
        <v>4.0</v>
      </c>
      <c r="C850" s="1" t="s">
        <v>2529</v>
      </c>
      <c r="D850" s="1" t="s">
        <v>52</v>
      </c>
      <c r="E850" s="1" t="s">
        <v>2530</v>
      </c>
      <c r="F850" s="1" t="str">
        <f>IFERROR(__xludf.DUMMYFUNCTION("GOOGLETRANSLATE(A850, ""zh-CN"", ""ko"")"),"연민")</f>
        <v>연민</v>
      </c>
    </row>
    <row r="851" ht="15.75" customHeight="1">
      <c r="A851" s="1" t="s">
        <v>2531</v>
      </c>
      <c r="B851" s="1">
        <v>4.0</v>
      </c>
      <c r="C851" s="1" t="s">
        <v>2532</v>
      </c>
      <c r="D851" s="1" t="s">
        <v>16</v>
      </c>
      <c r="E851" s="1" t="s">
        <v>2533</v>
      </c>
      <c r="F851" s="1" t="str">
        <f>IFERROR(__xludf.DUMMYFUNCTION("GOOGLETRANSLATE(A851, ""zh-CN"", ""ko"")"),"거실")</f>
        <v>거실</v>
      </c>
    </row>
    <row r="852" ht="15.75" customHeight="1">
      <c r="A852" s="1" t="s">
        <v>2534</v>
      </c>
      <c r="B852" s="1">
        <v>4.0</v>
      </c>
      <c r="C852" s="1" t="s">
        <v>2535</v>
      </c>
      <c r="D852" s="1" t="s">
        <v>1994</v>
      </c>
      <c r="E852" s="1" t="s">
        <v>2536</v>
      </c>
      <c r="F852" s="1" t="str">
        <f>IFERROR(__xludf.DUMMYFUNCTION("GOOGLETRANSLATE(A852, ""zh-CN"", ""ko"")"),"아핌")</f>
        <v>아핌</v>
      </c>
    </row>
    <row r="853" ht="15.75" customHeight="1">
      <c r="A853" s="1" t="s">
        <v>2537</v>
      </c>
      <c r="B853" s="1">
        <v>4.0</v>
      </c>
      <c r="C853" s="1" t="s">
        <v>2538</v>
      </c>
      <c r="D853" s="1" t="s">
        <v>52</v>
      </c>
      <c r="E853" s="1" t="s">
        <v>2539</v>
      </c>
      <c r="F853" s="1" t="str">
        <f>IFERROR(__xludf.DUMMYFUNCTION("GOOGLETRANSLATE(A853, ""zh-CN"", ""ko"")"),"널")</f>
        <v>널</v>
      </c>
    </row>
    <row r="854" ht="15.75" customHeight="1">
      <c r="A854" s="1" t="s">
        <v>2540</v>
      </c>
      <c r="B854" s="1">
        <v>4.0</v>
      </c>
      <c r="C854" s="1" t="s">
        <v>2541</v>
      </c>
      <c r="D854" s="1" t="s">
        <v>16</v>
      </c>
      <c r="E854" s="1" t="s">
        <v>2542</v>
      </c>
      <c r="F854" s="1" t="str">
        <f>IFERROR(__xludf.DUMMYFUNCTION("GOOGLETRANSLATE(A854, ""zh-CN"", ""ko"")"),"공기")</f>
        <v>공기</v>
      </c>
    </row>
    <row r="855" ht="15.75" customHeight="1">
      <c r="A855" s="1" t="s">
        <v>2543</v>
      </c>
      <c r="B855" s="1">
        <v>4.0</v>
      </c>
      <c r="C855" s="1" t="s">
        <v>2544</v>
      </c>
      <c r="D855" s="1" t="s">
        <v>33</v>
      </c>
      <c r="E855" s="1" t="s">
        <v>1190</v>
      </c>
      <c r="F855" s="1" t="str">
        <f>IFERROR(__xludf.DUMMYFUNCTION("GOOGLETRANSLATE(A855, ""zh-CN"", ""ko"")"),"나는 두렵다")</f>
        <v>나는 두렵다</v>
      </c>
    </row>
    <row r="856" ht="15.75" customHeight="1">
      <c r="A856" s="1" t="s">
        <v>2545</v>
      </c>
      <c r="B856" s="1">
        <v>4.0</v>
      </c>
      <c r="C856" s="1" t="s">
        <v>2546</v>
      </c>
      <c r="D856" s="1" t="s">
        <v>52</v>
      </c>
      <c r="E856" s="1" t="s">
        <v>2547</v>
      </c>
      <c r="F856" s="1" t="str">
        <f>IFERROR(__xludf.DUMMYFUNCTION("GOOGLETRANSLATE(A856, ""zh-CN"", ""ko"")"),"격렬한")</f>
        <v>격렬한</v>
      </c>
    </row>
    <row r="857" ht="15.75" customHeight="1">
      <c r="A857" s="1" t="s">
        <v>2548</v>
      </c>
      <c r="B857" s="1">
        <v>4.0</v>
      </c>
      <c r="C857" s="1" t="s">
        <v>2549</v>
      </c>
      <c r="D857" s="1" t="s">
        <v>16</v>
      </c>
      <c r="E857" s="1" t="s">
        <v>2550</v>
      </c>
      <c r="F857" s="1" t="str">
        <f>IFERROR(__xludf.DUMMYFUNCTION("GOOGLETRANSLATE(A857, ""zh-CN"", ""ko"")"),"광천수")</f>
        <v>광천수</v>
      </c>
    </row>
    <row r="858" ht="15.75" customHeight="1">
      <c r="A858" s="1" t="s">
        <v>2551</v>
      </c>
      <c r="B858" s="1">
        <v>4.0</v>
      </c>
      <c r="C858" s="1" t="s">
        <v>2552</v>
      </c>
      <c r="D858" s="1" t="s">
        <v>52</v>
      </c>
      <c r="E858" s="1" t="s">
        <v>2553</v>
      </c>
      <c r="F858" s="1" t="str">
        <f>IFERROR(__xludf.DUMMYFUNCTION("GOOGLETRANSLATE(A858, ""zh-CN"", ""ko"")"),"졸린")</f>
        <v>졸린</v>
      </c>
    </row>
    <row r="859" ht="15.75" customHeight="1">
      <c r="A859" s="1" t="s">
        <v>2554</v>
      </c>
      <c r="B859" s="1">
        <v>4.0</v>
      </c>
      <c r="C859" s="1" t="s">
        <v>2555</v>
      </c>
      <c r="D859" s="1" t="s">
        <v>1842</v>
      </c>
      <c r="E859" s="1" t="s">
        <v>2556</v>
      </c>
      <c r="F859" s="1" t="str">
        <f>IFERROR(__xludf.DUMMYFUNCTION("GOOGLETRANSLATE(A859, ""zh-CN"", ""ko"")"),"어려움")</f>
        <v>어려움</v>
      </c>
    </row>
    <row r="860" ht="15.75" customHeight="1">
      <c r="A860" s="1" t="s">
        <v>2557</v>
      </c>
      <c r="B860" s="1">
        <v>4.0</v>
      </c>
      <c r="C860" s="1" t="s">
        <v>2558</v>
      </c>
      <c r="D860" s="1" t="s">
        <v>8</v>
      </c>
      <c r="E860" s="1" t="s">
        <v>2559</v>
      </c>
      <c r="F860" s="1" t="str">
        <f>IFERROR(__xludf.DUMMYFUNCTION("GOOGLETRANSLATE(A860, ""zh-CN"", ""ko"")"),"당기다")</f>
        <v>당기다</v>
      </c>
    </row>
    <row r="861" ht="15.75" customHeight="1">
      <c r="A861" s="1" t="s">
        <v>2560</v>
      </c>
      <c r="B861" s="1">
        <v>4.0</v>
      </c>
      <c r="C861" s="1" t="s">
        <v>2561</v>
      </c>
      <c r="D861" s="1" t="s">
        <v>16</v>
      </c>
      <c r="E861" s="1" t="s">
        <v>2562</v>
      </c>
      <c r="F861" s="1" t="str">
        <f>IFERROR(__xludf.DUMMYFUNCTION("GOOGLETRANSLATE(A861, ""zh-CN"", ""ko"")"),"쓰레기통")</f>
        <v>쓰레기통</v>
      </c>
    </row>
    <row r="862" ht="15.75" customHeight="1">
      <c r="A862" s="1" t="s">
        <v>2563</v>
      </c>
      <c r="B862" s="1">
        <v>4.0</v>
      </c>
      <c r="C862" s="1" t="s">
        <v>2564</v>
      </c>
      <c r="D862" s="1" t="s">
        <v>52</v>
      </c>
      <c r="E862" s="1" t="s">
        <v>2565</v>
      </c>
      <c r="F862" s="1" t="str">
        <f>IFERROR(__xludf.DUMMYFUNCTION("GOOGLETRANSLATE(A862, ""zh-CN"", ""ko"")"),"더운")</f>
        <v>더운</v>
      </c>
    </row>
    <row r="863" ht="15.75" customHeight="1">
      <c r="A863" s="1" t="s">
        <v>2566</v>
      </c>
      <c r="B863" s="1">
        <v>4.0</v>
      </c>
      <c r="C863" s="1" t="s">
        <v>2567</v>
      </c>
      <c r="D863" s="1" t="s">
        <v>8</v>
      </c>
      <c r="E863" s="1" t="s">
        <v>2568</v>
      </c>
      <c r="F863" s="1" t="str">
        <f>IFERROR(__xludf.DUMMYFUNCTION("GOOGLETRANSLATE(A863, ""zh-CN"", ""ko"")"),"너무 늦었어요")</f>
        <v>너무 늦었어요</v>
      </c>
    </row>
    <row r="864" ht="15.75" customHeight="1">
      <c r="A864" s="1" t="s">
        <v>2569</v>
      </c>
      <c r="B864" s="1">
        <v>4.0</v>
      </c>
      <c r="C864" s="1" t="s">
        <v>2570</v>
      </c>
      <c r="D864" s="1" t="s">
        <v>8</v>
      </c>
      <c r="E864" s="1" t="s">
        <v>2571</v>
      </c>
      <c r="F864" s="1" t="str">
        <f>IFERROR(__xludf.DUMMYFUNCTION("GOOGLETRANSLATE(A864, ""zh-CN"", ""ko"")"),"아직 늦지 않았어요")</f>
        <v>아직 늦지 않았어요</v>
      </c>
    </row>
    <row r="865" ht="15.75" customHeight="1">
      <c r="A865" s="1" t="s">
        <v>2572</v>
      </c>
      <c r="B865" s="1">
        <v>4.0</v>
      </c>
      <c r="C865" s="1" t="s">
        <v>2573</v>
      </c>
      <c r="D865" s="1" t="s">
        <v>8</v>
      </c>
      <c r="E865" s="1" t="s">
        <v>2574</v>
      </c>
      <c r="F865" s="1" t="str">
        <f>IFERROR(__xludf.DUMMYFUNCTION("GOOGLETRANSLATE(A865, ""zh-CN"", ""ko"")"),"에서")</f>
        <v>에서</v>
      </c>
    </row>
    <row r="866" ht="15.75" customHeight="1">
      <c r="A866" s="1" t="s">
        <v>2575</v>
      </c>
      <c r="B866" s="1">
        <v>4.0</v>
      </c>
      <c r="C866" s="1" t="s">
        <v>2576</v>
      </c>
      <c r="D866" s="1" t="s">
        <v>52</v>
      </c>
      <c r="E866" s="1" t="s">
        <v>2577</v>
      </c>
      <c r="F866" s="1" t="str">
        <f>IFERROR(__xludf.DUMMYFUNCTION("GOOGLETRANSLATE(A866, ""zh-CN"", ""ko"")"),"게으른")</f>
        <v>게으른</v>
      </c>
    </row>
    <row r="867" ht="15.75" customHeight="1">
      <c r="A867" s="1" t="s">
        <v>2578</v>
      </c>
      <c r="B867" s="1">
        <v>4.0</v>
      </c>
      <c r="C867" s="1" t="s">
        <v>2579</v>
      </c>
      <c r="D867" s="1" t="s">
        <v>8</v>
      </c>
      <c r="E867" s="1" t="s">
        <v>2580</v>
      </c>
      <c r="F867" s="1" t="str">
        <f>IFERROR(__xludf.DUMMYFUNCTION("GOOGLETRANSLATE(A867, ""zh-CN"", ""ko"")"),"쓰레기")</f>
        <v>쓰레기</v>
      </c>
    </row>
    <row r="868" ht="15.75" customHeight="1">
      <c r="A868" s="1" t="s">
        <v>2581</v>
      </c>
      <c r="B868" s="1">
        <v>4.0</v>
      </c>
      <c r="C868" s="1" t="s">
        <v>2582</v>
      </c>
      <c r="D868" s="1" t="s">
        <v>52</v>
      </c>
      <c r="E868" s="1" t="s">
        <v>2583</v>
      </c>
      <c r="F868" s="1" t="str">
        <f>IFERROR(__xludf.DUMMYFUNCTION("GOOGLETRANSLATE(A868, ""zh-CN"", ""ko"")"),"로맨틱")</f>
        <v>로맨틱</v>
      </c>
    </row>
    <row r="869" ht="15.75" customHeight="1">
      <c r="A869" s="1" t="s">
        <v>2584</v>
      </c>
      <c r="B869" s="1">
        <v>4.0</v>
      </c>
      <c r="C869" s="1" t="s">
        <v>2585</v>
      </c>
      <c r="D869" s="1" t="s">
        <v>16</v>
      </c>
      <c r="E869" s="1" t="s">
        <v>2586</v>
      </c>
      <c r="F869" s="1" t="str">
        <f>IFERROR(__xludf.DUMMYFUNCTION("GOOGLETRANSLATE(A869, ""zh-CN"", ""ko"")"),"호랑이")</f>
        <v>호랑이</v>
      </c>
    </row>
    <row r="870" ht="15.75" customHeight="1">
      <c r="A870" s="1" t="s">
        <v>2587</v>
      </c>
      <c r="B870" s="1">
        <v>4.0</v>
      </c>
      <c r="C870" s="1" t="s">
        <v>2588</v>
      </c>
      <c r="D870" s="1" t="s">
        <v>52</v>
      </c>
      <c r="E870" s="1" t="s">
        <v>2589</v>
      </c>
      <c r="F870" s="1" t="str">
        <f>IFERROR(__xludf.DUMMYFUNCTION("GOOGLETRANSLATE(A870, ""zh-CN"", ""ko"")"),"침착한")</f>
        <v>침착한</v>
      </c>
    </row>
    <row r="871" ht="15.75" customHeight="1">
      <c r="A871" s="1" t="s">
        <v>2590</v>
      </c>
      <c r="B871" s="1">
        <v>4.0</v>
      </c>
      <c r="C871" s="1" t="s">
        <v>2591</v>
      </c>
      <c r="D871" s="1" t="s">
        <v>16</v>
      </c>
      <c r="E871" s="1" t="s">
        <v>2592</v>
      </c>
      <c r="F871" s="1" t="str">
        <f>IFERROR(__xludf.DUMMYFUNCTION("GOOGLETRANSLATE(A871, ""zh-CN"", ""ko"")"),"일요일")</f>
        <v>일요일</v>
      </c>
    </row>
    <row r="872" ht="15.75" customHeight="1">
      <c r="A872" s="1" t="s">
        <v>2593</v>
      </c>
      <c r="B872" s="1">
        <v>4.0</v>
      </c>
      <c r="C872" s="1" t="s">
        <v>2594</v>
      </c>
      <c r="D872" s="1" t="s">
        <v>8</v>
      </c>
      <c r="E872" s="1" t="s">
        <v>2595</v>
      </c>
      <c r="F872" s="1" t="str">
        <f>IFERROR(__xludf.DUMMYFUNCTION("GOOGLETRANSLATE(A872, ""zh-CN"", ""ko"")"),"이발")</f>
        <v>이발</v>
      </c>
    </row>
    <row r="873" ht="15.75" customHeight="1">
      <c r="A873" s="1" t="s">
        <v>2596</v>
      </c>
      <c r="B873" s="1">
        <v>4.0</v>
      </c>
      <c r="C873" s="1" t="s">
        <v>2597</v>
      </c>
      <c r="D873" s="1" t="s">
        <v>8</v>
      </c>
      <c r="E873" s="1" t="s">
        <v>2598</v>
      </c>
      <c r="F873" s="1" t="str">
        <f>IFERROR(__xludf.DUMMYFUNCTION("GOOGLETRANSLATE(A873, ""zh-CN"", ""ko"")"),"이해하다")</f>
        <v>이해하다</v>
      </c>
    </row>
    <row r="874" ht="15.75" customHeight="1">
      <c r="A874" s="1" t="s">
        <v>2599</v>
      </c>
      <c r="B874" s="1">
        <v>4.0</v>
      </c>
      <c r="C874" s="1" t="s">
        <v>2600</v>
      </c>
      <c r="D874" s="1" t="s">
        <v>16</v>
      </c>
      <c r="E874" s="1" t="s">
        <v>2601</v>
      </c>
      <c r="F874" s="1" t="str">
        <f>IFERROR(__xludf.DUMMYFUNCTION("GOOGLETRANSLATE(A874, ""zh-CN"", ""ko"")"),"예의 바른")</f>
        <v>예의 바른</v>
      </c>
    </row>
    <row r="875" ht="15.75" customHeight="1">
      <c r="A875" s="1" t="s">
        <v>2602</v>
      </c>
      <c r="B875" s="1">
        <v>4.0</v>
      </c>
      <c r="C875" s="1" t="s">
        <v>2603</v>
      </c>
      <c r="D875" s="1" t="s">
        <v>16</v>
      </c>
      <c r="E875" s="1" t="s">
        <v>2604</v>
      </c>
      <c r="F875" s="1" t="str">
        <f>IFERROR(__xludf.DUMMYFUNCTION("GOOGLETRANSLATE(A875, ""zh-CN"", ""ko"")"),"이상적인")</f>
        <v>이상적인</v>
      </c>
    </row>
    <row r="876" ht="15.75" customHeight="1">
      <c r="A876" s="1" t="s">
        <v>2605</v>
      </c>
      <c r="B876" s="1">
        <v>4.0</v>
      </c>
      <c r="C876" s="1" t="s">
        <v>2606</v>
      </c>
      <c r="D876" s="1" t="s">
        <v>52</v>
      </c>
      <c r="E876" s="1" t="s">
        <v>2607</v>
      </c>
      <c r="F876" s="1" t="str">
        <f>IFERROR(__xludf.DUMMYFUNCTION("GOOGLETRANSLATE(A876, ""zh-CN"", ""ko"")"),"날카로운")</f>
        <v>날카로운</v>
      </c>
    </row>
    <row r="877" ht="15.75" customHeight="1">
      <c r="A877" s="1" t="s">
        <v>2608</v>
      </c>
      <c r="B877" s="1">
        <v>4.0</v>
      </c>
      <c r="C877" s="1" t="s">
        <v>2609</v>
      </c>
      <c r="D877" s="1" t="s">
        <v>16</v>
      </c>
      <c r="E877" s="1" t="s">
        <v>2610</v>
      </c>
      <c r="F877" s="1" t="str">
        <f>IFERROR(__xludf.DUMMYFUNCTION("GOOGLETRANSLATE(A877, ""zh-CN"", ""ko"")"),"힘")</f>
        <v>힘</v>
      </c>
    </row>
    <row r="878" ht="15.75" customHeight="1">
      <c r="A878" s="1" t="s">
        <v>2611</v>
      </c>
      <c r="B878" s="1">
        <v>4.0</v>
      </c>
      <c r="C878" s="1" t="s">
        <v>2612</v>
      </c>
      <c r="D878" s="1" t="s">
        <v>8</v>
      </c>
      <c r="E878" s="1" t="s">
        <v>2613</v>
      </c>
      <c r="F878" s="1" t="str">
        <f>IFERROR(__xludf.DUMMYFUNCTION("GOOGLETRANSLATE(A878, ""zh-CN"", ""ko"")"),"예를 들어")</f>
        <v>예를 들어</v>
      </c>
    </row>
    <row r="879" ht="15.75" customHeight="1">
      <c r="A879" s="1" t="s">
        <v>2614</v>
      </c>
      <c r="B879" s="1">
        <v>4.0</v>
      </c>
      <c r="C879" s="1" t="s">
        <v>2615</v>
      </c>
      <c r="E879" s="1" t="s">
        <v>2616</v>
      </c>
      <c r="F879" s="1" t="str">
        <f>IFERROR(__xludf.DUMMYFUNCTION("GOOGLETRANSLATE(A879, ""zh-CN"", ""ko"")"),"둘 다")</f>
        <v>둘 다</v>
      </c>
    </row>
    <row r="880" ht="15.75" customHeight="1">
      <c r="A880" s="1" t="s">
        <v>1473</v>
      </c>
      <c r="B880" s="1">
        <v>4.0</v>
      </c>
      <c r="C880" s="1" t="s">
        <v>2617</v>
      </c>
      <c r="D880" s="1" t="s">
        <v>486</v>
      </c>
      <c r="E880" s="1" t="s">
        <v>1269</v>
      </c>
      <c r="F880" s="1" t="str">
        <f>IFERROR(__xludf.DUMMYFUNCTION("GOOGLETRANSLATE(A880, ""zh-CN"", ""ko"")"),"심지어")</f>
        <v>심지어</v>
      </c>
    </row>
    <row r="881" ht="15.75" customHeight="1">
      <c r="A881" s="1" t="s">
        <v>2618</v>
      </c>
      <c r="B881" s="1">
        <v>4.0</v>
      </c>
      <c r="C881" s="1" t="s">
        <v>2619</v>
      </c>
      <c r="D881" s="1" t="s">
        <v>8</v>
      </c>
      <c r="E881" s="1" t="s">
        <v>2620</v>
      </c>
      <c r="F881" s="1" t="str">
        <f>IFERROR(__xludf.DUMMYFUNCTION("GOOGLETRANSLATE(A881, ""zh-CN"", ""ko"")"),"연결하다")</f>
        <v>연결하다</v>
      </c>
    </row>
    <row r="882" ht="15.75" customHeight="1">
      <c r="A882" s="1" t="s">
        <v>2621</v>
      </c>
      <c r="B882" s="1">
        <v>4.0</v>
      </c>
      <c r="C882" s="1" t="s">
        <v>2622</v>
      </c>
      <c r="D882" s="1" t="s">
        <v>52</v>
      </c>
      <c r="E882" s="1" t="s">
        <v>2623</v>
      </c>
      <c r="F882" s="1" t="str">
        <f>IFERROR(__xludf.DUMMYFUNCTION("GOOGLETRANSLATE(A882, ""zh-CN"", ""ko"")"),"시원한")</f>
        <v>시원한</v>
      </c>
    </row>
    <row r="883" ht="15.75" customHeight="1">
      <c r="A883" s="1" t="s">
        <v>2624</v>
      </c>
      <c r="B883" s="1">
        <v>4.0</v>
      </c>
      <c r="C883" s="1" t="s">
        <v>2625</v>
      </c>
      <c r="D883" s="1" t="s">
        <v>16</v>
      </c>
      <c r="E883" s="1" t="s">
        <v>2626</v>
      </c>
      <c r="F883" s="1" t="str">
        <f>IFERROR(__xludf.DUMMYFUNCTION("GOOGLETRANSLATE(A883, ""zh-CN"", ""ko"")"),"잔돈")</f>
        <v>잔돈</v>
      </c>
    </row>
    <row r="884" ht="15.75" customHeight="1">
      <c r="A884" s="1" t="s">
        <v>2627</v>
      </c>
      <c r="B884" s="1">
        <v>4.0</v>
      </c>
      <c r="C884" s="1" t="s">
        <v>2628</v>
      </c>
      <c r="D884" s="1" t="s">
        <v>2629</v>
      </c>
      <c r="E884" s="1" t="s">
        <v>2630</v>
      </c>
      <c r="F884" s="1" t="str">
        <f>IFERROR(__xludf.DUMMYFUNCTION("GOOGLETRANSLATE(A884, ""zh-CN"", ""ko"")"),"게다가")</f>
        <v>게다가</v>
      </c>
    </row>
    <row r="885" ht="15.75" customHeight="1">
      <c r="A885" s="1" t="s">
        <v>2631</v>
      </c>
      <c r="B885" s="1">
        <v>4.0</v>
      </c>
      <c r="C885" s="1" t="s">
        <v>2632</v>
      </c>
      <c r="D885" s="1" t="s">
        <v>8</v>
      </c>
      <c r="E885" s="1" t="s">
        <v>2633</v>
      </c>
      <c r="F885" s="1" t="str">
        <f>IFERROR(__xludf.DUMMYFUNCTION("GOOGLETRANSLATE(A885, ""zh-CN"", ""ko"")"),"유지하다")</f>
        <v>유지하다</v>
      </c>
    </row>
    <row r="886" ht="15.75" customHeight="1">
      <c r="A886" s="1" t="s">
        <v>2634</v>
      </c>
      <c r="B886" s="1">
        <v>4.0</v>
      </c>
      <c r="C886" s="1" t="s">
        <v>2635</v>
      </c>
      <c r="D886" s="1" t="s">
        <v>52</v>
      </c>
      <c r="E886" s="1" t="s">
        <v>2636</v>
      </c>
      <c r="F886" s="1" t="str">
        <f>IFERROR(__xludf.DUMMYFUNCTION("GOOGLETRANSLATE(A886, ""zh-CN"", ""ko"")"),"유창한")</f>
        <v>유창한</v>
      </c>
    </row>
    <row r="887" ht="15.75" customHeight="1">
      <c r="A887" s="1" t="s">
        <v>2637</v>
      </c>
      <c r="B887" s="1">
        <v>4.0</v>
      </c>
      <c r="C887" s="1" t="s">
        <v>2638</v>
      </c>
      <c r="D887" s="1" t="s">
        <v>8</v>
      </c>
      <c r="E887" s="1" t="s">
        <v>2639</v>
      </c>
      <c r="F887" s="1" t="str">
        <f>IFERROR(__xludf.DUMMYFUNCTION("GOOGLETRANSLATE(A887, ""zh-CN"", ""ko"")"),"인기")</f>
        <v>인기</v>
      </c>
    </row>
    <row r="888" ht="15.75" customHeight="1">
      <c r="A888" s="1" t="s">
        <v>2640</v>
      </c>
      <c r="B888" s="1">
        <v>4.0</v>
      </c>
      <c r="C888" s="1" t="s">
        <v>2641</v>
      </c>
      <c r="D888" s="1" t="s">
        <v>52</v>
      </c>
      <c r="E888" s="1" t="s">
        <v>2642</v>
      </c>
      <c r="F888" s="1" t="str">
        <f>IFERROR(__xludf.DUMMYFUNCTION("GOOGLETRANSLATE(A888, ""zh-CN"", ""ko"")"),"혼돈")</f>
        <v>혼돈</v>
      </c>
    </row>
    <row r="889" ht="15.75" customHeight="1">
      <c r="A889" s="1" t="s">
        <v>2643</v>
      </c>
      <c r="B889" s="1">
        <v>4.0</v>
      </c>
      <c r="C889" s="1" t="s">
        <v>2644</v>
      </c>
      <c r="D889" s="1" t="s">
        <v>8</v>
      </c>
      <c r="E889" s="1" t="s">
        <v>2645</v>
      </c>
      <c r="F889" s="1" t="str">
        <f>IFERROR(__xludf.DUMMYFUNCTION("GOOGLETRANSLATE(A889, ""zh-CN"", ""ko"")"),"여행하다")</f>
        <v>여행하다</v>
      </c>
    </row>
    <row r="890" ht="15.75" customHeight="1">
      <c r="A890" s="1" t="s">
        <v>2646</v>
      </c>
      <c r="B890" s="1">
        <v>4.0</v>
      </c>
      <c r="C890" s="1" t="s">
        <v>2647</v>
      </c>
      <c r="D890" s="1" t="s">
        <v>16</v>
      </c>
      <c r="E890" s="1" t="s">
        <v>2648</v>
      </c>
      <c r="F890" s="1" t="str">
        <f>IFERROR(__xludf.DUMMYFUNCTION("GOOGLETRANSLATE(A890, ""zh-CN"", ""ko"")"),"변호사")</f>
        <v>변호사</v>
      </c>
    </row>
    <row r="891" ht="15.75" customHeight="1">
      <c r="A891" s="1" t="s">
        <v>2649</v>
      </c>
      <c r="B891" s="1">
        <v>4.0</v>
      </c>
      <c r="C891" s="1" t="s">
        <v>2650</v>
      </c>
      <c r="D891" s="1" t="s">
        <v>113</v>
      </c>
      <c r="E891" s="1" t="s">
        <v>2651</v>
      </c>
      <c r="F891" s="1" t="str">
        <f>IFERROR(__xludf.DUMMYFUNCTION("GOOGLETRANSLATE(A891, ""zh-CN"", ""ko"")"),"문제")</f>
        <v>문제</v>
      </c>
    </row>
    <row r="892" ht="15.75" customHeight="1">
      <c r="A892" s="1" t="s">
        <v>2652</v>
      </c>
      <c r="B892" s="1">
        <v>4.0</v>
      </c>
      <c r="C892" s="1" t="s">
        <v>2653</v>
      </c>
      <c r="D892" s="1" t="s">
        <v>52</v>
      </c>
      <c r="E892" s="1" t="s">
        <v>1958</v>
      </c>
      <c r="F892" s="1" t="str">
        <f>IFERROR(__xludf.DUMMYFUNCTION("GOOGLETRANSLATE(A892, ""zh-CN"", ""ko"")"),"경솔한")</f>
        <v>경솔한</v>
      </c>
    </row>
    <row r="893" ht="15.75" customHeight="1">
      <c r="A893" s="1" t="s">
        <v>2654</v>
      </c>
      <c r="B893" s="1">
        <v>4.0</v>
      </c>
      <c r="C893" s="1" t="s">
        <v>2655</v>
      </c>
      <c r="D893" s="1" t="s">
        <v>52</v>
      </c>
      <c r="E893" s="1" t="s">
        <v>2656</v>
      </c>
      <c r="F893" s="1" t="str">
        <f>IFERROR(__xludf.DUMMYFUNCTION("GOOGLETRANSLATE(A893, ""zh-CN"", ""ko"")"),"가득한")</f>
        <v>가득한</v>
      </c>
    </row>
    <row r="894" ht="15.75" customHeight="1">
      <c r="A894" s="1" t="s">
        <v>2657</v>
      </c>
      <c r="B894" s="1">
        <v>4.0</v>
      </c>
      <c r="C894" s="1" t="s">
        <v>2658</v>
      </c>
      <c r="D894" s="1" t="s">
        <v>16</v>
      </c>
      <c r="E894" s="1" t="s">
        <v>2659</v>
      </c>
      <c r="F894" s="1" t="str">
        <f>IFERROR(__xludf.DUMMYFUNCTION("GOOGLETRANSLATE(A894, ""zh-CN"", ""ko"")"),"머리카락")</f>
        <v>머리카락</v>
      </c>
    </row>
    <row r="895" ht="15.75" customHeight="1">
      <c r="A895" s="1" t="s">
        <v>2660</v>
      </c>
      <c r="B895" s="1">
        <v>4.0</v>
      </c>
      <c r="C895" s="1" t="s">
        <v>2661</v>
      </c>
      <c r="D895" s="1" t="s">
        <v>16</v>
      </c>
      <c r="E895" s="1" t="s">
        <v>2662</v>
      </c>
      <c r="F895" s="1" t="str">
        <f>IFERROR(__xludf.DUMMYFUNCTION("GOOGLETRANSLATE(A895, ""zh-CN"", ""ko"")"),"수건")</f>
        <v>수건</v>
      </c>
    </row>
    <row r="896" ht="15.75" customHeight="1">
      <c r="A896" s="1" t="s">
        <v>2663</v>
      </c>
      <c r="B896" s="1">
        <v>4.0</v>
      </c>
      <c r="C896" s="1" t="s">
        <v>2664</v>
      </c>
      <c r="D896" s="1" t="s">
        <v>52</v>
      </c>
      <c r="E896" s="1" t="s">
        <v>2665</v>
      </c>
      <c r="F896" s="1" t="str">
        <f>IFERROR(__xludf.DUMMYFUNCTION("GOOGLETRANSLATE(A896, ""zh-CN"", ""ko"")"),"아름다움")</f>
        <v>아름다움</v>
      </c>
    </row>
    <row r="897" ht="15.75" customHeight="1">
      <c r="A897" s="1" t="s">
        <v>2666</v>
      </c>
      <c r="B897" s="1">
        <v>4.0</v>
      </c>
      <c r="C897" s="1" t="s">
        <v>2667</v>
      </c>
      <c r="D897" s="1" t="s">
        <v>16</v>
      </c>
      <c r="E897" s="1" t="s">
        <v>2668</v>
      </c>
      <c r="F897" s="1" t="str">
        <f>IFERROR(__xludf.DUMMYFUNCTION("GOOGLETRANSLATE(A897, ""zh-CN"", ""ko"")"),"꿈")</f>
        <v>꿈</v>
      </c>
    </row>
    <row r="898" ht="15.75" customHeight="1">
      <c r="A898" s="1" t="s">
        <v>2669</v>
      </c>
      <c r="B898" s="1">
        <v>4.0</v>
      </c>
      <c r="C898" s="1" t="s">
        <v>2670</v>
      </c>
      <c r="D898" s="1" t="s">
        <v>8</v>
      </c>
      <c r="E898" s="1" t="s">
        <v>2671</v>
      </c>
      <c r="F898" s="1" t="str">
        <f>IFERROR(__xludf.DUMMYFUNCTION("GOOGLETRANSLATE(A898, ""zh-CN"", ""ko"")"),"길을 잃다")</f>
        <v>길을 잃다</v>
      </c>
    </row>
    <row r="899" ht="15.75" customHeight="1">
      <c r="A899" s="1" t="s">
        <v>2672</v>
      </c>
      <c r="B899" s="1">
        <v>4.0</v>
      </c>
      <c r="C899" s="1" t="s">
        <v>2673</v>
      </c>
      <c r="D899" s="1" t="s">
        <v>16</v>
      </c>
      <c r="E899" s="1" t="s">
        <v>2674</v>
      </c>
      <c r="F899" s="1" t="str">
        <f>IFERROR(__xludf.DUMMYFUNCTION("GOOGLETRANSLATE(A899, ""zh-CN"", ""ko"")"),"비밀번호")</f>
        <v>비밀번호</v>
      </c>
    </row>
    <row r="900" ht="15.75" customHeight="1">
      <c r="A900" s="1" t="s">
        <v>2675</v>
      </c>
      <c r="B900" s="1">
        <v>4.0</v>
      </c>
      <c r="C900" s="1" t="s">
        <v>2676</v>
      </c>
      <c r="D900" s="1" t="s">
        <v>8</v>
      </c>
      <c r="E900" s="1" t="s">
        <v>2677</v>
      </c>
      <c r="F900" s="1" t="str">
        <f>IFERROR(__xludf.DUMMYFUNCTION("GOOGLETRANSLATE(A900, ""zh-CN"", ""ko"")"),"무료")</f>
        <v>무료</v>
      </c>
    </row>
    <row r="901" ht="15.75" customHeight="1">
      <c r="A901" s="1" t="s">
        <v>2678</v>
      </c>
      <c r="B901" s="1">
        <v>4.0</v>
      </c>
      <c r="C901" s="1" t="s">
        <v>2679</v>
      </c>
      <c r="D901" s="1" t="s">
        <v>26</v>
      </c>
      <c r="E901" s="1" t="s">
        <v>2680</v>
      </c>
      <c r="F901" s="1" t="str">
        <f>IFERROR(__xludf.DUMMYFUNCTION("GOOGLETRANSLATE(A901, ""zh-CN"", ""ko"")"),"두번째")</f>
        <v>두번째</v>
      </c>
    </row>
    <row r="902" ht="15.75" customHeight="1">
      <c r="A902" s="1" t="s">
        <v>2681</v>
      </c>
      <c r="B902" s="1">
        <v>4.0</v>
      </c>
      <c r="C902" s="1" t="s">
        <v>2682</v>
      </c>
      <c r="D902" s="1" t="s">
        <v>16</v>
      </c>
      <c r="E902" s="1" t="s">
        <v>2245</v>
      </c>
      <c r="F902" s="1" t="str">
        <f>IFERROR(__xludf.DUMMYFUNCTION("GOOGLETRANSLATE(A902, ""zh-CN"", ""ko"")"),"국적")</f>
        <v>국적</v>
      </c>
    </row>
    <row r="903" ht="15.75" customHeight="1">
      <c r="A903" s="1" t="s">
        <v>2683</v>
      </c>
      <c r="B903" s="1">
        <v>4.0</v>
      </c>
      <c r="C903" s="1" t="s">
        <v>2684</v>
      </c>
      <c r="D903" s="1" t="s">
        <v>16</v>
      </c>
      <c r="E903" s="1" t="s">
        <v>194</v>
      </c>
      <c r="F903" s="1" t="str">
        <f>IFERROR(__xludf.DUMMYFUNCTION("GOOGLETRANSLATE(A903, ""zh-CN"", ""ko"")"),"어머니")</f>
        <v>어머니</v>
      </c>
    </row>
    <row r="904" ht="15.75" customHeight="1">
      <c r="A904" s="1" t="s">
        <v>2685</v>
      </c>
      <c r="B904" s="1">
        <v>4.0</v>
      </c>
      <c r="C904" s="1" t="s">
        <v>2686</v>
      </c>
      <c r="D904" s="1" t="s">
        <v>16</v>
      </c>
      <c r="E904" s="1" t="s">
        <v>2687</v>
      </c>
      <c r="F904" s="1" t="str">
        <f>IFERROR(__xludf.DUMMYFUNCTION("GOOGLETRANSLATE(A904, ""zh-CN"", ""ko"")"),"목적")</f>
        <v>목적</v>
      </c>
    </row>
    <row r="905" ht="15.75" customHeight="1">
      <c r="A905" s="1" t="s">
        <v>2688</v>
      </c>
      <c r="B905" s="1">
        <v>4.0</v>
      </c>
      <c r="C905" s="1" t="s">
        <v>2689</v>
      </c>
      <c r="D905" s="1" t="s">
        <v>52</v>
      </c>
      <c r="E905" s="1" t="s">
        <v>2690</v>
      </c>
      <c r="F905" s="1" t="str">
        <f>IFERROR(__xludf.DUMMYFUNCTION("GOOGLETRANSLATE(A905, ""zh-CN"", ""ko"")"),"인내심")</f>
        <v>인내심</v>
      </c>
    </row>
    <row r="906" ht="15.75" customHeight="1">
      <c r="A906" s="1" t="s">
        <v>2691</v>
      </c>
      <c r="B906" s="1">
        <v>4.0</v>
      </c>
      <c r="C906" s="1" t="s">
        <v>2692</v>
      </c>
      <c r="D906" s="1" t="s">
        <v>33</v>
      </c>
      <c r="E906" s="1" t="s">
        <v>2693</v>
      </c>
      <c r="F906" s="1" t="str">
        <f>IFERROR(__xludf.DUMMYFUNCTION("GOOGLETRANSLATE(A906, ""zh-CN"", ""ko"")"),"설마…?")</f>
        <v>설마…?</v>
      </c>
    </row>
    <row r="907" ht="15.75" customHeight="1">
      <c r="A907" s="1" t="s">
        <v>2694</v>
      </c>
      <c r="B907" s="1">
        <v>4.0</v>
      </c>
      <c r="C907" s="1" t="s">
        <v>2695</v>
      </c>
      <c r="D907" s="1" t="s">
        <v>52</v>
      </c>
      <c r="E907" s="1" t="s">
        <v>2696</v>
      </c>
      <c r="F907" s="1" t="str">
        <f>IFERROR(__xludf.DUMMYFUNCTION("GOOGLETRANSLATE(A907, ""zh-CN"", ""ko"")"),"불편해요")</f>
        <v>불편해요</v>
      </c>
    </row>
    <row r="908" ht="15.75" customHeight="1">
      <c r="A908" s="1" t="s">
        <v>2697</v>
      </c>
      <c r="B908" s="1">
        <v>4.0</v>
      </c>
      <c r="C908" s="1" t="s">
        <v>2698</v>
      </c>
      <c r="D908" s="1" t="s">
        <v>16</v>
      </c>
      <c r="E908" s="1" t="s">
        <v>2699</v>
      </c>
      <c r="F908" s="1" t="str">
        <f>IFERROR(__xludf.DUMMYFUNCTION("GOOGLETRANSLATE(A908, ""zh-CN"", ""ko"")"),"내부에")</f>
        <v>내부에</v>
      </c>
    </row>
    <row r="909" ht="15.75" customHeight="1">
      <c r="A909" s="1" t="s">
        <v>2700</v>
      </c>
      <c r="B909" s="1">
        <v>4.0</v>
      </c>
      <c r="C909" s="1" t="s">
        <v>2701</v>
      </c>
      <c r="D909" s="1" t="s">
        <v>16</v>
      </c>
      <c r="E909" s="1" t="s">
        <v>2702</v>
      </c>
      <c r="F909" s="1" t="str">
        <f>IFERROR(__xludf.DUMMYFUNCTION("GOOGLETRANSLATE(A909, ""zh-CN"", ""ko"")"),"콘텐츠")</f>
        <v>콘텐츠</v>
      </c>
    </row>
    <row r="910" ht="15.75" customHeight="1">
      <c r="A910" s="1" t="s">
        <v>2703</v>
      </c>
      <c r="B910" s="1">
        <v>4.0</v>
      </c>
      <c r="C910" s="1" t="s">
        <v>2704</v>
      </c>
      <c r="D910" s="1" t="s">
        <v>16</v>
      </c>
      <c r="E910" s="1" t="s">
        <v>2705</v>
      </c>
      <c r="F910" s="1" t="str">
        <f>IFERROR(__xludf.DUMMYFUNCTION("GOOGLETRANSLATE(A910, ""zh-CN"", ""ko"")"),"능력")</f>
        <v>능력</v>
      </c>
    </row>
    <row r="911" ht="15.75" customHeight="1">
      <c r="A911" s="1" t="s">
        <v>2706</v>
      </c>
      <c r="B911" s="1">
        <v>4.0</v>
      </c>
      <c r="C911" s="1" t="s">
        <v>2707</v>
      </c>
      <c r="D911" s="1" t="s">
        <v>16</v>
      </c>
      <c r="E911" s="1" t="s">
        <v>2708</v>
      </c>
      <c r="F911" s="1" t="str">
        <f>IFERROR(__xludf.DUMMYFUNCTION("GOOGLETRANSLATE(A911, ""zh-CN"", ""ko"")"),"나이")</f>
        <v>나이</v>
      </c>
    </row>
    <row r="912" ht="15.75" customHeight="1">
      <c r="A912" s="1" t="s">
        <v>2709</v>
      </c>
      <c r="B912" s="1">
        <v>4.0</v>
      </c>
      <c r="C912" s="1" t="s">
        <v>2710</v>
      </c>
      <c r="D912" s="1" t="s">
        <v>8</v>
      </c>
      <c r="E912" s="1" t="s">
        <v>2711</v>
      </c>
      <c r="F912" s="1" t="str">
        <f>IFERROR(__xludf.DUMMYFUNCTION("GOOGLETRANSLATE(A912, ""zh-CN"", ""ko"")"),"골목")</f>
        <v>골목</v>
      </c>
    </row>
    <row r="913" ht="15.75" customHeight="1">
      <c r="A913" s="1" t="s">
        <v>2712</v>
      </c>
      <c r="B913" s="1">
        <v>4.0</v>
      </c>
      <c r="C913" s="1" t="s">
        <v>2713</v>
      </c>
      <c r="D913" s="1" t="s">
        <v>52</v>
      </c>
      <c r="E913" s="1" t="s">
        <v>2714</v>
      </c>
      <c r="F913" s="1" t="str">
        <f>IFERROR(__xludf.DUMMYFUNCTION("GOOGLETRANSLATE(A913, ""zh-CN"", ""ko"")"),"따뜻한")</f>
        <v>따뜻한</v>
      </c>
    </row>
    <row r="914" ht="15.75" customHeight="1">
      <c r="A914" s="1" t="s">
        <v>2715</v>
      </c>
      <c r="B914" s="1">
        <v>4.0</v>
      </c>
      <c r="C914" s="1" t="s">
        <v>2716</v>
      </c>
      <c r="D914" s="1" t="s">
        <v>33</v>
      </c>
      <c r="E914" s="1" t="s">
        <v>2717</v>
      </c>
      <c r="F914" s="1" t="str">
        <f>IFERROR(__xludf.DUMMYFUNCTION("GOOGLETRANSLATE(A914, ""zh-CN"", ""ko"")"),"가끔")</f>
        <v>가끔</v>
      </c>
    </row>
    <row r="915" ht="15.75" customHeight="1">
      <c r="A915" s="1" t="s">
        <v>2718</v>
      </c>
      <c r="B915" s="1">
        <v>4.0</v>
      </c>
      <c r="C915" s="1" t="s">
        <v>2719</v>
      </c>
      <c r="D915" s="1" t="s">
        <v>8</v>
      </c>
      <c r="E915" s="1" t="s">
        <v>2720</v>
      </c>
      <c r="F915" s="1" t="str">
        <f>IFERROR(__xludf.DUMMYFUNCTION("GOOGLETRANSLATE(A915, ""zh-CN"", ""ko"")"),"대기줄")</f>
        <v>대기줄</v>
      </c>
    </row>
    <row r="916" ht="15.75" customHeight="1">
      <c r="A916" s="1" t="s">
        <v>2721</v>
      </c>
      <c r="B916" s="1">
        <v>4.0</v>
      </c>
      <c r="C916" s="1" t="s">
        <v>2722</v>
      </c>
      <c r="D916" s="1" t="s">
        <v>8</v>
      </c>
      <c r="E916" s="1" t="s">
        <v>2723</v>
      </c>
      <c r="F916" s="1" t="str">
        <f>IFERROR(__xludf.DUMMYFUNCTION("GOOGLETRANSLATE(A916, ""zh-CN"", ""ko"")"),"준비")</f>
        <v>준비</v>
      </c>
    </row>
    <row r="917" ht="15.75" customHeight="1">
      <c r="A917" s="1" t="s">
        <v>2724</v>
      </c>
      <c r="B917" s="1">
        <v>4.0</v>
      </c>
      <c r="C917" s="1" t="s">
        <v>2725</v>
      </c>
      <c r="D917" s="1" t="s">
        <v>8</v>
      </c>
      <c r="E917" s="1" t="s">
        <v>2726</v>
      </c>
      <c r="F917" s="1" t="str">
        <f>IFERROR(__xludf.DUMMYFUNCTION("GOOGLETRANSLATE(A917, ""zh-CN"", ""ko"")"),"판사")</f>
        <v>판사</v>
      </c>
    </row>
    <row r="918" ht="15.75" customHeight="1">
      <c r="A918" s="1" t="s">
        <v>2727</v>
      </c>
      <c r="B918" s="1">
        <v>4.0</v>
      </c>
      <c r="C918" s="1" t="s">
        <v>2728</v>
      </c>
      <c r="D918" s="1" t="s">
        <v>8</v>
      </c>
      <c r="E918" s="1" t="s">
        <v>2729</v>
      </c>
      <c r="F918" s="1" t="str">
        <f>IFERROR(__xludf.DUMMYFUNCTION("GOOGLETRANSLATE(A918, ""zh-CN"", ""ko"")"),"따르게 하다")</f>
        <v>따르게 하다</v>
      </c>
    </row>
    <row r="919" ht="15.75" customHeight="1">
      <c r="A919" s="1" t="s">
        <v>2730</v>
      </c>
      <c r="B919" s="1">
        <v>4.0</v>
      </c>
      <c r="C919" s="1" t="s">
        <v>2731</v>
      </c>
      <c r="D919" s="1" t="s">
        <v>8</v>
      </c>
      <c r="E919" s="1" t="s">
        <v>2732</v>
      </c>
      <c r="F919" s="1" t="str">
        <f>IFERROR(__xludf.DUMMYFUNCTION("GOOGLETRANSLATE(A919, ""zh-CN"", ""ko"")"),"흠잡다")</f>
        <v>흠잡다</v>
      </c>
    </row>
    <row r="920" ht="15.75" customHeight="1">
      <c r="A920" s="1" t="s">
        <v>2733</v>
      </c>
      <c r="B920" s="1">
        <v>4.0</v>
      </c>
      <c r="C920" s="1" t="s">
        <v>2734</v>
      </c>
      <c r="D920" s="1" t="s">
        <v>16</v>
      </c>
      <c r="E920" s="1" t="s">
        <v>2735</v>
      </c>
      <c r="F920" s="1" t="str">
        <f>IFERROR(__xludf.DUMMYFUNCTION("GOOGLETRANSLATE(A920, ""zh-CN"", ""ko"")"),"피부")</f>
        <v>피부</v>
      </c>
    </row>
    <row r="921" ht="15.75" customHeight="1">
      <c r="A921" s="1" t="s">
        <v>2736</v>
      </c>
      <c r="B921" s="1">
        <v>4.0</v>
      </c>
      <c r="C921" s="1" t="s">
        <v>2737</v>
      </c>
      <c r="D921" s="1" t="s">
        <v>16</v>
      </c>
      <c r="E921" s="1" t="s">
        <v>2738</v>
      </c>
      <c r="F921" s="1" t="str">
        <f>IFERROR(__xludf.DUMMYFUNCTION("GOOGLETRANSLATE(A921, ""zh-CN"", ""ko"")"),"성질")</f>
        <v>성질</v>
      </c>
    </row>
    <row r="922" ht="15.75" customHeight="1">
      <c r="A922" s="1" t="s">
        <v>2739</v>
      </c>
      <c r="B922" s="1">
        <v>4.0</v>
      </c>
      <c r="C922" s="1" t="s">
        <v>2740</v>
      </c>
      <c r="D922" s="1" t="s">
        <v>26</v>
      </c>
      <c r="E922" s="1" t="s">
        <v>2741</v>
      </c>
      <c r="F922" s="1" t="str">
        <f>IFERROR(__xludf.DUMMYFUNCTION("GOOGLETRANSLATE(A922, ""zh-CN"", ""ko"")"),"장")</f>
        <v>장</v>
      </c>
    </row>
    <row r="923" ht="15.75" customHeight="1">
      <c r="A923" s="1" t="s">
        <v>2742</v>
      </c>
      <c r="B923" s="1">
        <v>4.0</v>
      </c>
      <c r="C923" s="1" t="s">
        <v>2743</v>
      </c>
      <c r="D923" s="1" t="s">
        <v>8</v>
      </c>
      <c r="E923" s="1" t="s">
        <v>2744</v>
      </c>
      <c r="F923" s="1" t="str">
        <f>IFERROR(__xludf.DUMMYFUNCTION("GOOGLETRANSLATE(A923, ""zh-CN"", ""ko"")"),"속이다")</f>
        <v>속이다</v>
      </c>
    </row>
    <row r="924" ht="15.75" customHeight="1">
      <c r="A924" s="1" t="s">
        <v>2745</v>
      </c>
      <c r="B924" s="1">
        <v>4.0</v>
      </c>
      <c r="C924" s="1" t="s">
        <v>2746</v>
      </c>
      <c r="D924" s="1" t="s">
        <v>16</v>
      </c>
      <c r="E924" s="1" t="s">
        <v>2747</v>
      </c>
      <c r="F924" s="1" t="str">
        <f>IFERROR(__xludf.DUMMYFUNCTION("GOOGLETRANSLATE(A924, ""zh-CN"", ""ko"")"),"탁구")</f>
        <v>탁구</v>
      </c>
    </row>
    <row r="925" ht="15.75" customHeight="1">
      <c r="A925" s="1" t="s">
        <v>2748</v>
      </c>
      <c r="B925" s="1">
        <v>4.0</v>
      </c>
      <c r="C925" s="1" t="s">
        <v>2749</v>
      </c>
      <c r="D925" s="1" t="s">
        <v>16</v>
      </c>
      <c r="E925" s="1" t="s">
        <v>2750</v>
      </c>
      <c r="F925" s="1" t="str">
        <f>IFERROR(__xludf.DUMMYFUNCTION("GOOGLETRANSLATE(A925, ""zh-CN"", ""ko"")"),"대개")</f>
        <v>대개</v>
      </c>
    </row>
    <row r="926" ht="15.75" customHeight="1">
      <c r="A926" s="1" t="s">
        <v>2751</v>
      </c>
      <c r="B926" s="1">
        <v>4.0</v>
      </c>
      <c r="C926" s="1" t="s">
        <v>2752</v>
      </c>
      <c r="D926" s="1" t="s">
        <v>8</v>
      </c>
      <c r="E926" s="1" t="s">
        <v>2753</v>
      </c>
      <c r="F926" s="1" t="str">
        <f>IFERROR(__xludf.DUMMYFUNCTION("GOOGLETRANSLATE(A926, ""zh-CN"", ""ko"")"),"부서지다")</f>
        <v>부서지다</v>
      </c>
    </row>
    <row r="927" ht="15.75" customHeight="1">
      <c r="A927" s="1" t="s">
        <v>2754</v>
      </c>
      <c r="B927" s="1">
        <v>4.0</v>
      </c>
      <c r="C927" s="1" t="s">
        <v>2755</v>
      </c>
      <c r="D927" s="1" t="s">
        <v>16</v>
      </c>
      <c r="E927" s="1" t="s">
        <v>2756</v>
      </c>
      <c r="F927" s="1" t="str">
        <f>IFERROR(__xludf.DUMMYFUNCTION("GOOGLETRANSLATE(A927, ""zh-CN"", ""ko"")"),"포도")</f>
        <v>포도</v>
      </c>
    </row>
    <row r="928" ht="15.75" customHeight="1">
      <c r="A928" s="1" t="s">
        <v>2757</v>
      </c>
      <c r="B928" s="1">
        <v>4.0</v>
      </c>
      <c r="C928" s="1" t="s">
        <v>2758</v>
      </c>
      <c r="D928" s="1" t="s">
        <v>52</v>
      </c>
      <c r="E928" s="1" t="s">
        <v>2759</v>
      </c>
      <c r="F928" s="1" t="str">
        <f>IFERROR(__xludf.DUMMYFUNCTION("GOOGLETRANSLATE(A928, ""zh-CN"", ""ko"")"),"만능인")</f>
        <v>만능인</v>
      </c>
    </row>
    <row r="929" ht="15.75" customHeight="1">
      <c r="A929" s="1" t="s">
        <v>2760</v>
      </c>
      <c r="B929" s="1">
        <v>4.0</v>
      </c>
      <c r="C929" s="1" t="s">
        <v>2761</v>
      </c>
      <c r="D929" s="1" t="s">
        <v>16</v>
      </c>
      <c r="E929" s="1" t="s">
        <v>2762</v>
      </c>
      <c r="F929" s="1" t="str">
        <f>IFERROR(__xludf.DUMMYFUNCTION("GOOGLETRANSLATE(A929, ""zh-CN"", ""ko"")"),"만다린 오렌지")</f>
        <v>만다린 오렌지</v>
      </c>
    </row>
    <row r="930" ht="15.75" customHeight="1">
      <c r="A930" s="1" t="s">
        <v>2763</v>
      </c>
      <c r="B930" s="1">
        <v>4.0</v>
      </c>
      <c r="C930" s="1" t="s">
        <v>2764</v>
      </c>
      <c r="D930" s="1" t="s">
        <v>88</v>
      </c>
      <c r="E930" s="1" t="s">
        <v>2765</v>
      </c>
      <c r="F930" s="1" t="str">
        <f>IFERROR(__xludf.DUMMYFUNCTION("GOOGLETRANSLATE(A930, ""zh-CN"", ""ko"")"),"둘째로")</f>
        <v>둘째로</v>
      </c>
    </row>
    <row r="931" ht="15.75" customHeight="1">
      <c r="A931" s="1" t="s">
        <v>2766</v>
      </c>
      <c r="B931" s="1">
        <v>4.0</v>
      </c>
      <c r="C931" s="1" t="s">
        <v>2767</v>
      </c>
      <c r="D931" s="1" t="s">
        <v>16</v>
      </c>
      <c r="E931" s="1" t="s">
        <v>2768</v>
      </c>
      <c r="F931" s="1" t="str">
        <f>IFERROR(__xludf.DUMMYFUNCTION("GOOGLETRANSLATE(A931, ""zh-CN"", ""ko"")"),"~에")</f>
        <v>~에</v>
      </c>
    </row>
    <row r="932" ht="15.75" customHeight="1">
      <c r="A932" s="1" t="s">
        <v>2769</v>
      </c>
      <c r="B932" s="1">
        <v>4.0</v>
      </c>
      <c r="C932" s="1" t="s">
        <v>2770</v>
      </c>
      <c r="D932" s="1" t="s">
        <v>16</v>
      </c>
      <c r="E932" s="1" t="s">
        <v>2771</v>
      </c>
      <c r="F932" s="1" t="str">
        <f>IFERROR(__xludf.DUMMYFUNCTION("GOOGLETRANSLATE(A932, ""zh-CN"", ""ko"")"),"기후")</f>
        <v>기후</v>
      </c>
    </row>
    <row r="933" ht="15.75" customHeight="1">
      <c r="A933" s="1" t="s">
        <v>2772</v>
      </c>
      <c r="B933" s="1">
        <v>4.0</v>
      </c>
      <c r="C933" s="1" t="s">
        <v>2773</v>
      </c>
      <c r="D933" s="1" t="s">
        <v>33</v>
      </c>
      <c r="E933" s="1" t="s">
        <v>2774</v>
      </c>
      <c r="F933" s="1" t="str">
        <f>IFERROR(__xludf.DUMMYFUNCTION("GOOGLETRANSLATE(A933, ""zh-CN"", ""ko"")"),"수천만 명")</f>
        <v>수천만 명</v>
      </c>
    </row>
    <row r="934" ht="15.75" customHeight="1">
      <c r="A934" s="1" t="s">
        <v>2775</v>
      </c>
      <c r="B934" s="1">
        <v>4.0</v>
      </c>
      <c r="C934" s="1" t="s">
        <v>2776</v>
      </c>
      <c r="D934" s="1" t="s">
        <v>16</v>
      </c>
      <c r="E934" s="1" t="s">
        <v>2777</v>
      </c>
      <c r="F934" s="1" t="str">
        <f>IFERROR(__xludf.DUMMYFUNCTION("GOOGLETRANSLATE(A934, ""zh-CN"", ""ko"")"),"비자")</f>
        <v>비자</v>
      </c>
    </row>
    <row r="935" ht="15.75" customHeight="1">
      <c r="A935" s="1" t="s">
        <v>2778</v>
      </c>
      <c r="B935" s="1">
        <v>4.0</v>
      </c>
      <c r="C935" s="1" t="s">
        <v>2779</v>
      </c>
      <c r="D935" s="1" t="s">
        <v>8</v>
      </c>
      <c r="E935" s="1" t="s">
        <v>2780</v>
      </c>
      <c r="F935" s="1" t="str">
        <f>IFERROR(__xludf.DUMMYFUNCTION("GOOGLETRANSLATE(A935, ""zh-CN"", ""ko"")"),"노크")</f>
        <v>노크</v>
      </c>
    </row>
    <row r="936" ht="15.75" customHeight="1">
      <c r="A936" s="1" t="s">
        <v>2781</v>
      </c>
      <c r="B936" s="1">
        <v>4.0</v>
      </c>
      <c r="C936" s="1" t="s">
        <v>2782</v>
      </c>
      <c r="D936" s="1" t="s">
        <v>16</v>
      </c>
      <c r="E936" s="1" t="s">
        <v>2783</v>
      </c>
      <c r="F936" s="1" t="str">
        <f>IFERROR(__xludf.DUMMYFUNCTION("GOOGLETRANSLATE(A936, ""zh-CN"", ""ko"")"),"다리")</f>
        <v>다리</v>
      </c>
    </row>
    <row r="937" ht="15.75" customHeight="1">
      <c r="A937" s="1" t="s">
        <v>2784</v>
      </c>
      <c r="B937" s="1">
        <v>4.0</v>
      </c>
      <c r="C937" s="1" t="s">
        <v>2785</v>
      </c>
      <c r="D937" s="1" t="s">
        <v>16</v>
      </c>
      <c r="E937" s="1" t="s">
        <v>2786</v>
      </c>
      <c r="F937" s="1" t="str">
        <f>IFERROR(__xludf.DUMMYFUNCTION("GOOGLETRANSLATE(A937, ""zh-CN"", ""ko"")"),"초콜릿")</f>
        <v>초콜릿</v>
      </c>
    </row>
    <row r="938" ht="15.75" customHeight="1">
      <c r="A938" s="1" t="s">
        <v>2787</v>
      </c>
      <c r="B938" s="1">
        <v>4.0</v>
      </c>
      <c r="C938" s="1" t="s">
        <v>2788</v>
      </c>
      <c r="D938" s="1" t="s">
        <v>16</v>
      </c>
      <c r="E938" s="1" t="s">
        <v>2789</v>
      </c>
      <c r="F938" s="1" t="str">
        <f>IFERROR(__xludf.DUMMYFUNCTION("GOOGLETRANSLATE(A938, ""zh-CN"", ""ko"")"),"상대적인")</f>
        <v>상대적인</v>
      </c>
    </row>
    <row r="939" ht="15.75" customHeight="1">
      <c r="A939" s="1" t="s">
        <v>2790</v>
      </c>
      <c r="B939" s="1">
        <v>4.0</v>
      </c>
      <c r="C939" s="1" t="s">
        <v>2791</v>
      </c>
      <c r="D939" s="1" t="s">
        <v>52</v>
      </c>
      <c r="E939" s="1" t="s">
        <v>2792</v>
      </c>
      <c r="F939" s="1" t="str">
        <f>IFERROR(__xludf.DUMMYFUNCTION("GOOGLETRANSLATE(A939, ""zh-CN"", ""ko"")"),"빛")</f>
        <v>빛</v>
      </c>
    </row>
    <row r="940" ht="15.75" customHeight="1">
      <c r="A940" s="1" t="s">
        <v>2793</v>
      </c>
      <c r="B940" s="1">
        <v>4.0</v>
      </c>
      <c r="C940" s="1" t="s">
        <v>2794</v>
      </c>
      <c r="D940" s="1" t="s">
        <v>52</v>
      </c>
      <c r="E940" s="1" t="s">
        <v>2795</v>
      </c>
      <c r="F940" s="1" t="str">
        <f>IFERROR(__xludf.DUMMYFUNCTION("GOOGLETRANSLATE(A940, ""zh-CN"", ""ko"")"),"쉬운")</f>
        <v>쉬운</v>
      </c>
    </row>
    <row r="941" ht="15.75" customHeight="1">
      <c r="A941" s="1" t="s">
        <v>2796</v>
      </c>
      <c r="B941" s="1">
        <v>4.0</v>
      </c>
      <c r="C941" s="1" t="s">
        <v>2797</v>
      </c>
      <c r="D941" s="1" t="s">
        <v>16</v>
      </c>
      <c r="E941" s="1" t="s">
        <v>2798</v>
      </c>
      <c r="F941" s="1" t="str">
        <f>IFERROR(__xludf.DUMMYFUNCTION("GOOGLETRANSLATE(A941, ""zh-CN"", ""ko"")"),"상태")</f>
        <v>상태</v>
      </c>
    </row>
    <row r="942" ht="15.75" customHeight="1">
      <c r="A942" s="1" t="s">
        <v>2799</v>
      </c>
      <c r="B942" s="1">
        <v>4.0</v>
      </c>
      <c r="C942" s="1" t="s">
        <v>2800</v>
      </c>
      <c r="D942" s="1" t="s">
        <v>52</v>
      </c>
      <c r="E942" s="1" t="s">
        <v>2801</v>
      </c>
      <c r="F942" s="1" t="str">
        <f>IFERROR(__xludf.DUMMYFUNCTION("GOOGLETRANSLATE(A942, ""zh-CN"", ""ko"")"),"빈곤")</f>
        <v>빈곤</v>
      </c>
    </row>
    <row r="943" ht="15.75" customHeight="1">
      <c r="A943" s="1" t="s">
        <v>686</v>
      </c>
      <c r="B943" s="1">
        <v>4.0</v>
      </c>
      <c r="C943" s="1" t="s">
        <v>2802</v>
      </c>
      <c r="D943" s="1" t="s">
        <v>16</v>
      </c>
      <c r="E943" s="1" t="s">
        <v>2803</v>
      </c>
      <c r="F943" s="1" t="str">
        <f>IFERROR(__xludf.DUMMYFUNCTION("GOOGLETRANSLATE(A943, ""zh-CN"", ""ko"")"),"차이점")</f>
        <v>차이점</v>
      </c>
    </row>
    <row r="944" ht="15.75" customHeight="1">
      <c r="A944" s="1" t="s">
        <v>2804</v>
      </c>
      <c r="B944" s="1">
        <v>4.0</v>
      </c>
      <c r="C944" s="1" t="s">
        <v>2805</v>
      </c>
      <c r="D944" s="1" t="s">
        <v>8</v>
      </c>
      <c r="E944" s="1" t="s">
        <v>2806</v>
      </c>
      <c r="F944" s="1" t="str">
        <f>IFERROR(__xludf.DUMMYFUNCTION("GOOGLETRANSLATE(A944, ""zh-CN"", ""ko"")"),"선택하다")</f>
        <v>선택하다</v>
      </c>
    </row>
    <row r="945" ht="15.75" customHeight="1">
      <c r="A945" s="1" t="s">
        <v>2807</v>
      </c>
      <c r="B945" s="1">
        <v>4.0</v>
      </c>
      <c r="C945" s="1" t="s">
        <v>2808</v>
      </c>
      <c r="D945" s="1" t="s">
        <v>16</v>
      </c>
      <c r="E945" s="1" t="s">
        <v>2809</v>
      </c>
      <c r="F945" s="1" t="str">
        <f>IFERROR(__xludf.DUMMYFUNCTION("GOOGLETRANSLATE(A945, ""zh-CN"", ""ko"")"),"모두")</f>
        <v>모두</v>
      </c>
    </row>
    <row r="946" ht="15.75" customHeight="1">
      <c r="A946" s="1" t="s">
        <v>2810</v>
      </c>
      <c r="B946" s="1">
        <v>4.0</v>
      </c>
      <c r="C946" s="1" t="s">
        <v>2811</v>
      </c>
      <c r="D946" s="1" t="s">
        <v>16</v>
      </c>
      <c r="E946" s="1" t="s">
        <v>2812</v>
      </c>
      <c r="F946" s="1" t="str">
        <f>IFERROR(__xludf.DUMMYFUNCTION("GOOGLETRANSLATE(A946, ""zh-CN"", ""ko"")"),"결점")</f>
        <v>결점</v>
      </c>
    </row>
    <row r="947" ht="15.75" customHeight="1">
      <c r="A947" s="1" t="s">
        <v>2813</v>
      </c>
      <c r="B947" s="1">
        <v>4.0</v>
      </c>
      <c r="C947" s="1" t="s">
        <v>2814</v>
      </c>
      <c r="D947" s="1" t="s">
        <v>8</v>
      </c>
      <c r="E947" s="1" t="s">
        <v>2815</v>
      </c>
      <c r="F947" s="1" t="str">
        <f>IFERROR(__xludf.DUMMYFUNCTION("GOOGLETRANSLATE(A947, ""zh-CN"", ""ko"")"),"부족")</f>
        <v>부족</v>
      </c>
    </row>
    <row r="948" ht="15.75" customHeight="1">
      <c r="A948" s="1" t="s">
        <v>2816</v>
      </c>
      <c r="B948" s="1">
        <v>4.0</v>
      </c>
      <c r="C948" s="1" t="s">
        <v>2817</v>
      </c>
      <c r="D948" s="1" t="s">
        <v>33</v>
      </c>
      <c r="E948" s="1" t="s">
        <v>2527</v>
      </c>
      <c r="F948" s="1" t="str">
        <f>IFERROR(__xludf.DUMMYFUNCTION("GOOGLETRANSLATE(A948, ""zh-CN"", ""ko"")"),"하지만")</f>
        <v>하지만</v>
      </c>
    </row>
    <row r="949" ht="15.75" customHeight="1">
      <c r="A949" s="1" t="s">
        <v>2818</v>
      </c>
      <c r="B949" s="1">
        <v>4.0</v>
      </c>
      <c r="C949" s="1" t="s">
        <v>2819</v>
      </c>
      <c r="D949" s="1" t="s">
        <v>33</v>
      </c>
      <c r="E949" s="1" t="s">
        <v>2820</v>
      </c>
      <c r="F949" s="1" t="str">
        <f>IFERROR(__xludf.DUMMYFUNCTION("GOOGLETRANSLATE(A949, ""zh-CN"", ""ko"")"),"정말")</f>
        <v>정말</v>
      </c>
    </row>
    <row r="950" ht="15.75" customHeight="1">
      <c r="A950" s="1" t="s">
        <v>2821</v>
      </c>
      <c r="B950" s="1">
        <v>4.0</v>
      </c>
      <c r="C950" s="1" t="s">
        <v>2822</v>
      </c>
      <c r="D950" s="1" t="s">
        <v>1473</v>
      </c>
      <c r="E950" s="1" t="s">
        <v>1865</v>
      </c>
      <c r="F950" s="1" t="str">
        <f>IFERROR(__xludf.DUMMYFUNCTION("GOOGLETRANSLATE(A950, ""zh-CN"", ""ko"")"),"하지만")</f>
        <v>하지만</v>
      </c>
    </row>
    <row r="951" ht="15.75" customHeight="1">
      <c r="A951" s="1" t="s">
        <v>2823</v>
      </c>
      <c r="B951" s="1">
        <v>4.0</v>
      </c>
      <c r="C951" s="1" t="s">
        <v>2824</v>
      </c>
      <c r="D951" s="1" t="s">
        <v>52</v>
      </c>
      <c r="E951" s="1" t="s">
        <v>2825</v>
      </c>
      <c r="F951" s="1" t="str">
        <f>IFERROR(__xludf.DUMMYFUNCTION("GOOGLETRANSLATE(A951, ""zh-CN"", ""ko"")"),"기운찬")</f>
        <v>기운찬</v>
      </c>
    </row>
    <row r="952" ht="15.75" customHeight="1">
      <c r="A952" s="1" t="s">
        <v>2826</v>
      </c>
      <c r="B952" s="1">
        <v>4.0</v>
      </c>
      <c r="C952" s="1" t="s">
        <v>2827</v>
      </c>
      <c r="D952" s="1" t="s">
        <v>88</v>
      </c>
      <c r="E952" s="1" t="s">
        <v>2828</v>
      </c>
      <c r="F952" s="1" t="str">
        <f>IFERROR(__xludf.DUMMYFUNCTION("GOOGLETRANSLATE(A952, ""zh-CN"", ""ko"")"),"어느")</f>
        <v>어느</v>
      </c>
    </row>
    <row r="953" ht="15.75" customHeight="1">
      <c r="A953" s="1" t="s">
        <v>2829</v>
      </c>
      <c r="B953" s="1">
        <v>4.0</v>
      </c>
      <c r="C953" s="1" t="s">
        <v>2830</v>
      </c>
      <c r="D953" s="1" t="s">
        <v>16</v>
      </c>
      <c r="E953" s="1" t="s">
        <v>2831</v>
      </c>
      <c r="F953" s="1" t="str">
        <f>IFERROR(__xludf.DUMMYFUNCTION("GOOGLETRANSLATE(A953, ""zh-CN"", ""ko"")"),"일")</f>
        <v>일</v>
      </c>
    </row>
    <row r="954" ht="15.75" customHeight="1">
      <c r="A954" s="1" t="s">
        <v>2832</v>
      </c>
      <c r="B954" s="1">
        <v>4.0</v>
      </c>
      <c r="C954" s="1" t="s">
        <v>2833</v>
      </c>
      <c r="D954" s="1" t="s">
        <v>8</v>
      </c>
      <c r="E954" s="1" t="s">
        <v>2834</v>
      </c>
      <c r="F954" s="1" t="str">
        <f>IFERROR(__xludf.DUMMYFUNCTION("GOOGLETRANSLATE(A954, ""zh-CN"", ""ko"")"),"던지다")</f>
        <v>던지다</v>
      </c>
    </row>
    <row r="955" ht="15.75" customHeight="1">
      <c r="A955" s="1" t="s">
        <v>2835</v>
      </c>
      <c r="B955" s="1">
        <v>4.0</v>
      </c>
      <c r="C955" s="1" t="s">
        <v>2836</v>
      </c>
      <c r="D955" s="1" t="s">
        <v>33</v>
      </c>
      <c r="E955" s="1" t="s">
        <v>2837</v>
      </c>
      <c r="F955" s="1" t="str">
        <f>IFERROR(__xludf.DUMMYFUNCTION("GOOGLETRANSLATE(A955, ""zh-CN"", ""ko"")"),"아직")</f>
        <v>아직</v>
      </c>
    </row>
    <row r="956" ht="15.75" customHeight="1">
      <c r="A956" s="1" t="s">
        <v>2838</v>
      </c>
      <c r="B956" s="1">
        <v>4.0</v>
      </c>
      <c r="C956" s="1" t="s">
        <v>2839</v>
      </c>
      <c r="D956" s="1" t="s">
        <v>16</v>
      </c>
      <c r="E956" s="1" t="s">
        <v>2840</v>
      </c>
      <c r="F956" s="1" t="str">
        <f>IFERROR(__xludf.DUMMYFUNCTION("GOOGLETRANSLATE(A956, ""zh-CN"", ""ko"")"),"신문")</f>
        <v>신문</v>
      </c>
    </row>
    <row r="957" ht="15.75" customHeight="1">
      <c r="A957" s="1" t="s">
        <v>2841</v>
      </c>
      <c r="B957" s="1">
        <v>4.0</v>
      </c>
      <c r="C957" s="1" t="s">
        <v>2842</v>
      </c>
      <c r="D957" s="1" t="s">
        <v>16</v>
      </c>
      <c r="E957" s="1" t="s">
        <v>2843</v>
      </c>
      <c r="F957" s="1" t="str">
        <f>IFERROR(__xludf.DUMMYFUNCTION("GOOGLETRANSLATE(A957, ""zh-CN"", ""ko"")"),"입구")</f>
        <v>입구</v>
      </c>
    </row>
    <row r="958" ht="15.75" customHeight="1">
      <c r="A958" s="1" t="s">
        <v>2844</v>
      </c>
      <c r="B958" s="1">
        <v>4.0</v>
      </c>
      <c r="C958" s="1" t="s">
        <v>2845</v>
      </c>
      <c r="D958" s="1" t="s">
        <v>8</v>
      </c>
      <c r="E958" s="1" t="s">
        <v>2846</v>
      </c>
      <c r="F958" s="1" t="str">
        <f>IFERROR(__xludf.DUMMYFUNCTION("GOOGLETRANSLATE(A958, ""zh-CN"", ""ko"")"),"걷다")</f>
        <v>걷다</v>
      </c>
    </row>
    <row r="959" ht="15.75" customHeight="1">
      <c r="A959" s="1" t="s">
        <v>2847</v>
      </c>
      <c r="B959" s="1">
        <v>4.0</v>
      </c>
      <c r="C959" s="1" t="s">
        <v>2848</v>
      </c>
      <c r="D959" s="1" t="s">
        <v>16</v>
      </c>
      <c r="E959" s="1" t="s">
        <v>2849</v>
      </c>
      <c r="F959" s="1" t="str">
        <f>IFERROR(__xludf.DUMMYFUNCTION("GOOGLETRANSLATE(A959, ""zh-CN"", ""ko"")"),"숲")</f>
        <v>숲</v>
      </c>
    </row>
    <row r="960" ht="15.75" customHeight="1">
      <c r="A960" s="1" t="s">
        <v>2850</v>
      </c>
      <c r="B960" s="1">
        <v>4.0</v>
      </c>
      <c r="C960" s="1" t="s">
        <v>2851</v>
      </c>
      <c r="D960" s="1" t="s">
        <v>16</v>
      </c>
      <c r="E960" s="1" t="s">
        <v>2852</v>
      </c>
      <c r="F960" s="1" t="str">
        <f>IFERROR(__xludf.DUMMYFUNCTION("GOOGLETRANSLATE(A960, ""zh-CN"", ""ko"")"),"소파")</f>
        <v>소파</v>
      </c>
    </row>
    <row r="961" ht="15.75" customHeight="1">
      <c r="A961" s="1" t="s">
        <v>2853</v>
      </c>
      <c r="B961" s="1">
        <v>4.0</v>
      </c>
      <c r="C961" s="1" t="s">
        <v>2854</v>
      </c>
      <c r="D961" s="1" t="s">
        <v>8</v>
      </c>
      <c r="E961" s="1" t="s">
        <v>2855</v>
      </c>
      <c r="F961" s="1" t="str">
        <f>IFERROR(__xludf.DUMMYFUNCTION("GOOGLETRANSLATE(A961, ""zh-CN"", ""ko"")"),"논의하다")</f>
        <v>논의하다</v>
      </c>
    </row>
    <row r="962" ht="15.75" customHeight="1">
      <c r="A962" s="1" t="s">
        <v>2856</v>
      </c>
      <c r="B962" s="1">
        <v>4.0</v>
      </c>
      <c r="C962" s="1" t="s">
        <v>2857</v>
      </c>
      <c r="D962" s="1" t="s">
        <v>52</v>
      </c>
      <c r="E962" s="1" t="s">
        <v>2858</v>
      </c>
      <c r="F962" s="1" t="str">
        <f>IFERROR(__xludf.DUMMYFUNCTION("GOOGLETRANSLATE(A962, ""zh-CN"", ""ko"")"),"슬픈")</f>
        <v>슬픈</v>
      </c>
    </row>
    <row r="963" ht="15.75" customHeight="1">
      <c r="A963" s="1" t="s">
        <v>2859</v>
      </c>
      <c r="B963" s="1">
        <v>4.0</v>
      </c>
      <c r="C963" s="1" t="s">
        <v>2860</v>
      </c>
      <c r="D963" s="1" t="s">
        <v>33</v>
      </c>
      <c r="E963" s="1" t="s">
        <v>2861</v>
      </c>
      <c r="F963" s="1" t="str">
        <f>IFERROR(__xludf.DUMMYFUNCTION("GOOGLETRANSLATE(A963, ""zh-CN"", ""ko"")"),"조금")</f>
        <v>조금</v>
      </c>
    </row>
    <row r="964" ht="15.75" customHeight="1">
      <c r="A964" s="1" t="s">
        <v>2862</v>
      </c>
      <c r="B964" s="1">
        <v>4.0</v>
      </c>
      <c r="C964" s="1" t="s">
        <v>2863</v>
      </c>
      <c r="D964" s="1" t="s">
        <v>16</v>
      </c>
      <c r="E964" s="1" t="s">
        <v>2864</v>
      </c>
      <c r="F964" s="1" t="str">
        <f>IFERROR(__xludf.DUMMYFUNCTION("GOOGLETRANSLATE(A964, ""zh-CN"", ""ko"")"),"숟가락")</f>
        <v>숟가락</v>
      </c>
    </row>
    <row r="965" ht="15.75" customHeight="1">
      <c r="A965" s="1" t="s">
        <v>2865</v>
      </c>
      <c r="B965" s="1">
        <v>4.0</v>
      </c>
      <c r="C965" s="1" t="s">
        <v>2866</v>
      </c>
      <c r="D965" s="1" t="s">
        <v>16</v>
      </c>
      <c r="E965" s="1" t="s">
        <v>2867</v>
      </c>
      <c r="F965" s="1" t="str">
        <f>IFERROR(__xludf.DUMMYFUNCTION("GOOGLETRANSLATE(A965, ""zh-CN"", ""ko"")"),"사회")</f>
        <v>사회</v>
      </c>
    </row>
    <row r="966" ht="15.75" customHeight="1">
      <c r="A966" s="1" t="s">
        <v>2868</v>
      </c>
      <c r="B966" s="1">
        <v>4.0</v>
      </c>
      <c r="C966" s="1" t="s">
        <v>2869</v>
      </c>
      <c r="D966" s="1" t="s">
        <v>52</v>
      </c>
      <c r="E966" s="1" t="s">
        <v>2870</v>
      </c>
      <c r="F966" s="1" t="str">
        <f>IFERROR(__xludf.DUMMYFUNCTION("GOOGLETRANSLATE(A966, ""zh-CN"", ""ko"")"),"깊은")</f>
        <v>깊은</v>
      </c>
    </row>
    <row r="967" ht="15.75" customHeight="1">
      <c r="A967" s="1" t="s">
        <v>2871</v>
      </c>
      <c r="B967" s="1">
        <v>4.0</v>
      </c>
      <c r="C967" s="1" t="s">
        <v>2872</v>
      </c>
      <c r="D967" s="1" t="s">
        <v>8</v>
      </c>
      <c r="E967" s="1" t="s">
        <v>2873</v>
      </c>
      <c r="F967" s="1" t="str">
        <f>IFERROR(__xludf.DUMMYFUNCTION("GOOGLETRANSLATE(A967, ""zh-CN"", ""ko"")"),"적용하다")</f>
        <v>적용하다</v>
      </c>
    </row>
    <row r="968" ht="15.75" customHeight="1">
      <c r="A968" s="1" t="s">
        <v>2874</v>
      </c>
      <c r="B968" s="1">
        <v>4.0</v>
      </c>
      <c r="C968" s="1" t="s">
        <v>2875</v>
      </c>
      <c r="D968" s="1" t="s">
        <v>1473</v>
      </c>
      <c r="E968" s="1" t="s">
        <v>2876</v>
      </c>
      <c r="F968" s="1" t="str">
        <f>IFERROR(__xludf.DUMMYFUNCTION("GOOGLETRANSLATE(A968, ""zh-CN"", ""ko"")"),"심지어")</f>
        <v>심지어</v>
      </c>
    </row>
    <row r="969" ht="15.75" customHeight="1">
      <c r="A969" s="1" t="s">
        <v>2877</v>
      </c>
      <c r="B969" s="1">
        <v>4.0</v>
      </c>
      <c r="C969" s="1" t="s">
        <v>2878</v>
      </c>
      <c r="D969" s="1" t="s">
        <v>16</v>
      </c>
      <c r="E969" s="1" t="s">
        <v>2879</v>
      </c>
      <c r="F969" s="1" t="str">
        <f>IFERROR(__xludf.DUMMYFUNCTION("GOOGLETRANSLATE(A969, ""zh-CN"", ""ko"")"),"삶")</f>
        <v>삶</v>
      </c>
    </row>
    <row r="970" ht="15.75" customHeight="1">
      <c r="A970" s="1" t="s">
        <v>2880</v>
      </c>
      <c r="B970" s="1">
        <v>4.0</v>
      </c>
      <c r="C970" s="1" t="s">
        <v>2881</v>
      </c>
      <c r="D970" s="1" t="s">
        <v>16</v>
      </c>
      <c r="E970" s="1" t="s">
        <v>2879</v>
      </c>
      <c r="F970" s="1" t="str">
        <f>IFERROR(__xludf.DUMMYFUNCTION("GOOGLETRANSLATE(A970, ""zh-CN"", ""ko"")"),"삶")</f>
        <v>삶</v>
      </c>
    </row>
    <row r="971" ht="15.75" customHeight="1">
      <c r="A971" s="1" t="s">
        <v>2882</v>
      </c>
      <c r="B971" s="1">
        <v>4.0</v>
      </c>
      <c r="C971" s="1" t="s">
        <v>2883</v>
      </c>
      <c r="D971" s="1" t="s">
        <v>16</v>
      </c>
      <c r="E971" s="1" t="s">
        <v>2884</v>
      </c>
      <c r="F971" s="1" t="str">
        <f>IFERROR(__xludf.DUMMYFUNCTION("GOOGLETRANSLATE(A971, ""zh-CN"", ""ko"")"),"사업")</f>
        <v>사업</v>
      </c>
    </row>
    <row r="972" ht="15.75" customHeight="1">
      <c r="A972" s="1" t="s">
        <v>2885</v>
      </c>
      <c r="B972" s="1">
        <v>4.0</v>
      </c>
      <c r="C972" s="1" t="s">
        <v>2886</v>
      </c>
      <c r="D972" s="1" t="s">
        <v>8</v>
      </c>
      <c r="E972" s="1" t="s">
        <v>2887</v>
      </c>
      <c r="F972" s="1" t="str">
        <f>IFERROR(__xludf.DUMMYFUNCTION("GOOGLETRANSLATE(A972, ""zh-CN"", ""ko"")"),"주")</f>
        <v>주</v>
      </c>
    </row>
    <row r="973" ht="15.75" customHeight="1">
      <c r="A973" s="1" t="s">
        <v>2888</v>
      </c>
      <c r="B973" s="1">
        <v>4.0</v>
      </c>
      <c r="C973" s="1" t="s">
        <v>2889</v>
      </c>
      <c r="D973" s="1" t="s">
        <v>8</v>
      </c>
      <c r="E973" s="1" t="s">
        <v>2890</v>
      </c>
      <c r="F973" s="1" t="str">
        <f>IFERROR(__xludf.DUMMYFUNCTION("GOOGLETRANSLATE(A973, ""zh-CN"", ""ko"")"),"남은")</f>
        <v>남은</v>
      </c>
    </row>
    <row r="974" ht="15.75" customHeight="1">
      <c r="A974" s="1" t="s">
        <v>2891</v>
      </c>
      <c r="B974" s="1">
        <v>4.0</v>
      </c>
      <c r="C974" s="1" t="s">
        <v>2892</v>
      </c>
      <c r="D974" s="1" t="s">
        <v>8</v>
      </c>
      <c r="E974" s="1" t="s">
        <v>2893</v>
      </c>
      <c r="F974" s="1" t="str">
        <f>IFERROR(__xludf.DUMMYFUNCTION("GOOGLETRANSLATE(A974, ""zh-CN"", ""ko"")"),"실패하다")</f>
        <v>실패하다</v>
      </c>
    </row>
    <row r="975" ht="15.75" customHeight="1">
      <c r="A975" s="1" t="s">
        <v>2894</v>
      </c>
      <c r="B975" s="1">
        <v>4.0</v>
      </c>
      <c r="C975" s="1" t="s">
        <v>2895</v>
      </c>
      <c r="D975" s="1" t="s">
        <v>16</v>
      </c>
      <c r="E975" s="1" t="s">
        <v>2896</v>
      </c>
      <c r="F975" s="1" t="str">
        <f>IFERROR(__xludf.DUMMYFUNCTION("GOOGLETRANSLATE(A975, ""zh-CN"", ""ko"")"),"주인")</f>
        <v>주인</v>
      </c>
    </row>
    <row r="976" ht="15.75" customHeight="1">
      <c r="A976" s="1" t="s">
        <v>2897</v>
      </c>
      <c r="B976" s="1">
        <v>4.0</v>
      </c>
      <c r="C976" s="1" t="s">
        <v>2898</v>
      </c>
      <c r="D976" s="1" t="s">
        <v>52</v>
      </c>
      <c r="E976" s="1" t="s">
        <v>2899</v>
      </c>
      <c r="F976" s="1" t="str">
        <f>IFERROR(__xludf.DUMMYFUNCTION("GOOGLETRANSLATE(A976, ""zh-CN"", ""ko"")"),"실망")</f>
        <v>실망</v>
      </c>
    </row>
    <row r="977" ht="15.75" customHeight="1">
      <c r="A977" s="1" t="s">
        <v>2900</v>
      </c>
      <c r="B977" s="1">
        <v>4.0</v>
      </c>
      <c r="C977" s="1" t="s">
        <v>2901</v>
      </c>
      <c r="D977" s="1" t="s">
        <v>33</v>
      </c>
      <c r="E977" s="1" t="s">
        <v>2902</v>
      </c>
      <c r="F977" s="1" t="str">
        <f>IFERROR(__xludf.DUMMYFUNCTION("GOOGLETRANSLATE(A977, ""zh-CN"", ""ko"")"),"매우")</f>
        <v>매우</v>
      </c>
    </row>
    <row r="978" ht="15.75" customHeight="1">
      <c r="A978" s="1" t="s">
        <v>2903</v>
      </c>
      <c r="B978" s="1">
        <v>4.0</v>
      </c>
      <c r="C978" s="1" t="s">
        <v>2904</v>
      </c>
      <c r="D978" s="1" t="s">
        <v>52</v>
      </c>
      <c r="E978" s="1" t="s">
        <v>2905</v>
      </c>
      <c r="F978" s="1" t="str">
        <f>IFERROR(__xludf.DUMMYFUNCTION("GOOGLETRANSLATE(A978, ""zh-CN"", ""ko"")"),"실제")</f>
        <v>실제</v>
      </c>
    </row>
    <row r="979" ht="15.75" customHeight="1">
      <c r="A979" s="1" t="s">
        <v>2906</v>
      </c>
      <c r="B979" s="1">
        <v>4.0</v>
      </c>
      <c r="C979" s="1" t="s">
        <v>2907</v>
      </c>
      <c r="D979" s="1" t="s">
        <v>33</v>
      </c>
      <c r="E979" s="1" t="s">
        <v>2908</v>
      </c>
      <c r="F979" s="1" t="str">
        <f>IFERROR(__xludf.DUMMYFUNCTION("GOOGLETRANSLATE(A979, ""zh-CN"", ""ko"")"),"정말")</f>
        <v>정말</v>
      </c>
    </row>
    <row r="980" ht="15.75" customHeight="1">
      <c r="A980" s="1" t="s">
        <v>2909</v>
      </c>
      <c r="B980" s="1">
        <v>4.0</v>
      </c>
      <c r="C980" s="1" t="s">
        <v>2910</v>
      </c>
      <c r="D980" s="1" t="s">
        <v>8</v>
      </c>
      <c r="E980" s="1" t="s">
        <v>2911</v>
      </c>
      <c r="F980" s="1" t="str">
        <f>IFERROR(__xludf.DUMMYFUNCTION("GOOGLETRANSLATE(A980, ""zh-CN"", ""ko"")"),"만들다")</f>
        <v>만들다</v>
      </c>
    </row>
    <row r="981" ht="15.75" customHeight="1">
      <c r="A981" s="1" t="s">
        <v>2912</v>
      </c>
      <c r="B981" s="1">
        <v>4.0</v>
      </c>
      <c r="C981" s="1" t="s">
        <v>2913</v>
      </c>
      <c r="D981" s="1" t="s">
        <v>8</v>
      </c>
      <c r="E981" s="1" t="s">
        <v>2914</v>
      </c>
      <c r="F981" s="1" t="str">
        <f>IFERROR(__xludf.DUMMYFUNCTION("GOOGLETRANSLATE(A981, ""zh-CN"", ""ko"")"),"사용")</f>
        <v>사용</v>
      </c>
    </row>
    <row r="982" ht="15.75" customHeight="1">
      <c r="A982" s="1" t="s">
        <v>2915</v>
      </c>
      <c r="B982" s="1">
        <v>4.0</v>
      </c>
      <c r="C982" s="1" t="s">
        <v>2916</v>
      </c>
      <c r="D982" s="1" t="s">
        <v>33</v>
      </c>
      <c r="E982" s="1" t="s">
        <v>2917</v>
      </c>
      <c r="F982" s="1" t="str">
        <f>IFERROR(__xludf.DUMMYFUNCTION("GOOGLETRANSLATE(A982, ""zh-CN"", ""ko"")"),"~이든")</f>
        <v>~이든</v>
      </c>
    </row>
    <row r="983" ht="15.75" customHeight="1">
      <c r="A983" s="1" t="s">
        <v>2918</v>
      </c>
      <c r="B983" s="1">
        <v>4.0</v>
      </c>
      <c r="C983" s="1" t="s">
        <v>2919</v>
      </c>
      <c r="D983" s="1" t="s">
        <v>8</v>
      </c>
      <c r="E983" s="1" t="s">
        <v>2920</v>
      </c>
      <c r="F983" s="1" t="str">
        <f>IFERROR(__xludf.DUMMYFUNCTION("GOOGLETRANSLATE(A983, ""zh-CN"", ""ko"")"),"적합한")</f>
        <v>적합한</v>
      </c>
    </row>
    <row r="984" ht="15.75" customHeight="1">
      <c r="A984" s="1" t="s">
        <v>2921</v>
      </c>
      <c r="B984" s="1">
        <v>4.0</v>
      </c>
      <c r="C984" s="1" t="s">
        <v>2922</v>
      </c>
      <c r="D984" s="1" t="s">
        <v>16</v>
      </c>
      <c r="E984" s="1" t="s">
        <v>2923</v>
      </c>
      <c r="F984" s="1" t="str">
        <f>IFERROR(__xludf.DUMMYFUNCTION("GOOGLETRANSLATE(A984, ""zh-CN"", ""ko"")"),"세기")</f>
        <v>세기</v>
      </c>
    </row>
    <row r="985" ht="15.75" customHeight="1">
      <c r="A985" s="1" t="s">
        <v>2924</v>
      </c>
      <c r="B985" s="1">
        <v>4.0</v>
      </c>
      <c r="C985" s="1" t="s">
        <v>2925</v>
      </c>
      <c r="D985" s="1" t="s">
        <v>8</v>
      </c>
      <c r="E985" s="1" t="s">
        <v>2926</v>
      </c>
      <c r="F985" s="1" t="str">
        <f>IFERROR(__xludf.DUMMYFUNCTION("GOOGLETRANSLATE(A985, ""zh-CN"", ""ko"")"),"적응하다")</f>
        <v>적응하다</v>
      </c>
    </row>
    <row r="986" ht="15.75" customHeight="1">
      <c r="A986" s="1" t="s">
        <v>2927</v>
      </c>
      <c r="B986" s="1">
        <v>4.0</v>
      </c>
      <c r="C986" s="1" t="s">
        <v>2928</v>
      </c>
      <c r="D986" s="1" t="s">
        <v>8</v>
      </c>
      <c r="E986" s="1" t="s">
        <v>2929</v>
      </c>
      <c r="F986" s="1" t="str">
        <f>IFERROR(__xludf.DUMMYFUNCTION("GOOGLETRANSLATE(A986, ""zh-CN"", ""ko"")"),"받다")</f>
        <v>받다</v>
      </c>
    </row>
    <row r="987" ht="15.75" customHeight="1">
      <c r="A987" s="1" t="s">
        <v>2930</v>
      </c>
      <c r="B987" s="1">
        <v>4.0</v>
      </c>
      <c r="C987" s="1" t="s">
        <v>2931</v>
      </c>
      <c r="D987" s="1" t="s">
        <v>16</v>
      </c>
      <c r="E987" s="1" t="s">
        <v>2932</v>
      </c>
      <c r="F987" s="1" t="str">
        <f>IFERROR(__xludf.DUMMYFUNCTION("GOOGLETRANSLATE(A987, ""zh-CN"", ""ko"")"),"소득")</f>
        <v>소득</v>
      </c>
    </row>
    <row r="988" ht="15.75" customHeight="1">
      <c r="A988" s="1" t="s">
        <v>2933</v>
      </c>
      <c r="B988" s="1">
        <v>4.0</v>
      </c>
      <c r="C988" s="1" t="s">
        <v>2934</v>
      </c>
      <c r="D988" s="1" t="s">
        <v>8</v>
      </c>
      <c r="E988" s="1" t="s">
        <v>2935</v>
      </c>
      <c r="F988" s="1" t="str">
        <f>IFERROR(__xludf.DUMMYFUNCTION("GOOGLETRANSLATE(A988, ""zh-CN"", ""ko"")"),"정돈하다")</f>
        <v>정돈하다</v>
      </c>
    </row>
    <row r="989" ht="15.75" customHeight="1">
      <c r="A989" s="1" t="s">
        <v>2936</v>
      </c>
      <c r="B989" s="1">
        <v>4.0</v>
      </c>
      <c r="C989" s="1" t="s">
        <v>2937</v>
      </c>
      <c r="D989" s="1" t="s">
        <v>16</v>
      </c>
      <c r="E989" s="1" t="s">
        <v>2938</v>
      </c>
      <c r="F989" s="1" t="str">
        <f>IFERROR(__xludf.DUMMYFUNCTION("GOOGLETRANSLATE(A989, ""zh-CN"", ""ko"")"),"수도")</f>
        <v>수도</v>
      </c>
    </row>
    <row r="990" ht="15.75" customHeight="1">
      <c r="A990" s="1" t="s">
        <v>2939</v>
      </c>
      <c r="B990" s="1">
        <v>4.0</v>
      </c>
      <c r="C990" s="1" t="s">
        <v>2940</v>
      </c>
      <c r="D990" s="1" t="s">
        <v>88</v>
      </c>
      <c r="E990" s="1" t="s">
        <v>1611</v>
      </c>
      <c r="F990" s="1" t="str">
        <f>IFERROR(__xludf.DUMMYFUNCTION("GOOGLETRANSLATE(A990, ""zh-CN"", ""ko"")"),"첫 번째")</f>
        <v>첫 번째</v>
      </c>
    </row>
    <row r="991" ht="15.75" customHeight="1">
      <c r="A991" s="1" t="s">
        <v>2941</v>
      </c>
      <c r="B991" s="1">
        <v>4.0</v>
      </c>
      <c r="C991" s="1" t="s">
        <v>2942</v>
      </c>
      <c r="E991" s="1" t="s">
        <v>2943</v>
      </c>
      <c r="F991" s="1" t="str">
        <f>IFERROR(__xludf.DUMMYFUNCTION("GOOGLETRANSLATE(A991, ""zh-CN"", ""ko"")"),"난 그걸 참을 수 없어")</f>
        <v>난 그걸 참을 수 없어</v>
      </c>
    </row>
    <row r="992" ht="15.75" customHeight="1">
      <c r="A992" s="1" t="s">
        <v>2944</v>
      </c>
      <c r="B992" s="1">
        <v>4.0</v>
      </c>
      <c r="C992" s="1" t="s">
        <v>2945</v>
      </c>
      <c r="D992" s="1" t="s">
        <v>8</v>
      </c>
      <c r="E992" s="1" t="s">
        <v>2946</v>
      </c>
      <c r="F992" s="1" t="str">
        <f>IFERROR(__xludf.DUMMYFUNCTION("GOOGLETRANSLATE(A992, ""zh-CN"", ""ko"")"),"받았다")</f>
        <v>받았다</v>
      </c>
    </row>
    <row r="993" ht="15.75" customHeight="1">
      <c r="A993" s="1" t="s">
        <v>2947</v>
      </c>
      <c r="B993" s="1">
        <v>4.0</v>
      </c>
      <c r="C993" s="1" t="s">
        <v>2948</v>
      </c>
      <c r="D993" s="1" t="s">
        <v>16</v>
      </c>
      <c r="E993" s="1" t="s">
        <v>2949</v>
      </c>
      <c r="F993" s="1" t="str">
        <f>IFERROR(__xludf.DUMMYFUNCTION("GOOGLETRANSLATE(A993, ""zh-CN"", ""ko"")"),"판매원")</f>
        <v>판매원</v>
      </c>
    </row>
    <row r="994" ht="15.75" customHeight="1">
      <c r="A994" s="1" t="s">
        <v>2950</v>
      </c>
      <c r="B994" s="1">
        <v>4.0</v>
      </c>
      <c r="C994" s="1" t="s">
        <v>309</v>
      </c>
      <c r="D994" s="1" t="s">
        <v>8</v>
      </c>
      <c r="E994" s="1" t="s">
        <v>2951</v>
      </c>
      <c r="F994" s="1" t="str">
        <f>IFERROR(__xludf.DUMMYFUNCTION("GOOGLETRANSLATE(A994, ""zh-CN"", ""ko"")"),"잃다")</f>
        <v>잃다</v>
      </c>
    </row>
    <row r="995" ht="15.75" customHeight="1">
      <c r="A995" s="1" t="s">
        <v>2952</v>
      </c>
      <c r="B995" s="1">
        <v>4.0</v>
      </c>
      <c r="C995" s="1" t="s">
        <v>2953</v>
      </c>
      <c r="D995" s="1" t="s">
        <v>8</v>
      </c>
      <c r="E995" s="1" t="s">
        <v>2954</v>
      </c>
      <c r="F995" s="1" t="str">
        <f>IFERROR(__xludf.DUMMYFUNCTION("GOOGLETRANSLATE(A995, ""zh-CN"", ""ko"")"),"친숙한")</f>
        <v>친숙한</v>
      </c>
    </row>
    <row r="996" ht="15.75" customHeight="1">
      <c r="A996" s="1" t="s">
        <v>410</v>
      </c>
      <c r="B996" s="1">
        <v>4.0</v>
      </c>
      <c r="C996" s="1" t="s">
        <v>2955</v>
      </c>
      <c r="D996" s="1" t="s">
        <v>16</v>
      </c>
      <c r="E996" s="1" t="s">
        <v>2956</v>
      </c>
      <c r="F996" s="1" t="str">
        <f>IFERROR(__xludf.DUMMYFUNCTION("GOOGLETRANSLATE(A996, ""zh-CN"", ""ko"")"),"수량")</f>
        <v>수량</v>
      </c>
    </row>
    <row r="997" ht="15.75" customHeight="1">
      <c r="A997" s="1" t="s">
        <v>2957</v>
      </c>
      <c r="B997" s="1">
        <v>4.0</v>
      </c>
      <c r="C997" s="1" t="s">
        <v>2958</v>
      </c>
      <c r="D997" s="1" t="s">
        <v>16</v>
      </c>
      <c r="E997" s="1" t="s">
        <v>2959</v>
      </c>
      <c r="F997" s="1" t="str">
        <f>IFERROR(__xludf.DUMMYFUNCTION("GOOGLETRANSLATE(A997, ""zh-CN"", ""ko"")"),"숫자")</f>
        <v>숫자</v>
      </c>
    </row>
    <row r="998" ht="15.75" customHeight="1">
      <c r="A998" s="1" t="s">
        <v>2960</v>
      </c>
      <c r="B998" s="1">
        <v>4.0</v>
      </c>
      <c r="C998" s="1" t="s">
        <v>2961</v>
      </c>
      <c r="D998" s="1" t="s">
        <v>52</v>
      </c>
      <c r="E998" s="1" t="s">
        <v>2962</v>
      </c>
      <c r="F998" s="1" t="str">
        <f>IFERROR(__xludf.DUMMYFUNCTION("GOOGLETRANSLATE(A998, ""zh-CN"", ""ko"")"),"멋있는")</f>
        <v>멋있는</v>
      </c>
    </row>
    <row r="999" ht="15.75" customHeight="1">
      <c r="A999" s="1" t="s">
        <v>2963</v>
      </c>
      <c r="B999" s="1">
        <v>4.0</v>
      </c>
      <c r="C999" s="1" t="s">
        <v>2964</v>
      </c>
      <c r="D999" s="1" t="s">
        <v>33</v>
      </c>
      <c r="E999" s="1" t="s">
        <v>2965</v>
      </c>
      <c r="F999" s="1" t="str">
        <f>IFERROR(__xludf.DUMMYFUNCTION("GOOGLETRANSLATE(A999, ""zh-CN"", ""ko"")"),"그런데")</f>
        <v>그런데</v>
      </c>
    </row>
    <row r="1000" ht="15.75" customHeight="1">
      <c r="A1000" s="1" t="s">
        <v>2966</v>
      </c>
      <c r="B1000" s="1">
        <v>4.0</v>
      </c>
      <c r="C1000" s="1" t="s">
        <v>2967</v>
      </c>
      <c r="D1000" s="1" t="s">
        <v>52</v>
      </c>
      <c r="E1000" s="1" t="s">
        <v>2968</v>
      </c>
      <c r="F1000" s="1" t="str">
        <f>IFERROR(__xludf.DUMMYFUNCTION("GOOGLETRANSLATE(A1000, ""zh-CN"", ""ko"")"),"부드럽게")</f>
        <v>부드럽게</v>
      </c>
    </row>
    <row r="1001" ht="15.75" customHeight="1">
      <c r="A1001" s="1" t="s">
        <v>2969</v>
      </c>
      <c r="B1001" s="1">
        <v>4.0</v>
      </c>
      <c r="C1001" s="1" t="s">
        <v>2970</v>
      </c>
      <c r="D1001" s="1" t="s">
        <v>16</v>
      </c>
      <c r="E1001" s="1" t="s">
        <v>2971</v>
      </c>
      <c r="F1001" s="1" t="str">
        <f>IFERROR(__xludf.DUMMYFUNCTION("GOOGLETRANSLATE(A1001, ""zh-CN"", ""ko"")"),"주문하다")</f>
        <v>주문하다</v>
      </c>
    </row>
    <row r="1002" ht="15.75" customHeight="1">
      <c r="A1002" s="1" t="s">
        <v>2972</v>
      </c>
      <c r="B1002" s="1">
        <v>4.0</v>
      </c>
      <c r="C1002" s="1" t="s">
        <v>2973</v>
      </c>
      <c r="D1002" s="1" t="s">
        <v>8</v>
      </c>
      <c r="E1002" s="1" t="s">
        <v>2974</v>
      </c>
      <c r="F1002" s="1" t="str">
        <f>IFERROR(__xludf.DUMMYFUNCTION("GOOGLETRANSLATE(A1002, ""zh-CN"", ""ko"")"),"설명하다")</f>
        <v>설명하다</v>
      </c>
    </row>
    <row r="1003" ht="15.75" customHeight="1">
      <c r="A1003" s="1" t="s">
        <v>2975</v>
      </c>
      <c r="B1003" s="1">
        <v>4.0</v>
      </c>
      <c r="C1003" s="1" t="s">
        <v>2976</v>
      </c>
      <c r="D1003" s="1" t="s">
        <v>16</v>
      </c>
      <c r="E1003" s="1" t="s">
        <v>2977</v>
      </c>
      <c r="F1003" s="1" t="str">
        <f>IFERROR(__xludf.DUMMYFUNCTION("GOOGLETRANSLATE(A1003, ""zh-CN"", ""ko"")"),"주인")</f>
        <v>주인</v>
      </c>
    </row>
    <row r="1004" ht="15.75" customHeight="1">
      <c r="A1004" s="1" t="s">
        <v>2978</v>
      </c>
      <c r="B1004" s="1">
        <v>4.0</v>
      </c>
      <c r="C1004" s="1" t="s">
        <v>2979</v>
      </c>
      <c r="D1004" s="1" t="s">
        <v>52</v>
      </c>
      <c r="E1004" s="1" t="s">
        <v>2980</v>
      </c>
      <c r="F1004" s="1" t="str">
        <f>IFERROR(__xludf.DUMMYFUNCTION("GOOGLETRANSLATE(A1004, ""zh-CN"", ""ko"")"),"주사위")</f>
        <v>주사위</v>
      </c>
    </row>
    <row r="1005" ht="15.75" customHeight="1">
      <c r="A1005" s="1" t="s">
        <v>2981</v>
      </c>
      <c r="B1005" s="1">
        <v>4.0</v>
      </c>
      <c r="C1005" s="1" t="s">
        <v>2982</v>
      </c>
      <c r="D1005" s="1" t="s">
        <v>16</v>
      </c>
      <c r="E1005" s="1" t="s">
        <v>2983</v>
      </c>
      <c r="F1005" s="1" t="str">
        <f>IFERROR(__xludf.DUMMYFUNCTION("GOOGLETRANSLATE(A1005, ""zh-CN"", ""ko"")"),"속도")</f>
        <v>속도</v>
      </c>
    </row>
    <row r="1006" ht="15.75" customHeight="1">
      <c r="A1006" s="1" t="s">
        <v>2984</v>
      </c>
      <c r="B1006" s="1">
        <v>4.0</v>
      </c>
      <c r="C1006" s="1" t="s">
        <v>2985</v>
      </c>
      <c r="D1006" s="1" t="s">
        <v>16</v>
      </c>
      <c r="E1006" s="1" t="s">
        <v>2986</v>
      </c>
      <c r="F1006" s="1" t="str">
        <f>IFERROR(__xludf.DUMMYFUNCTION("GOOGLETRANSLATE(A1006, ""zh-CN"", ""ko"")"),"비닐봉투")</f>
        <v>비닐봉투</v>
      </c>
    </row>
    <row r="1007" ht="15.75" customHeight="1">
      <c r="A1007" s="1" t="s">
        <v>2987</v>
      </c>
      <c r="B1007" s="1">
        <v>4.0</v>
      </c>
      <c r="C1007" s="1" t="s">
        <v>2988</v>
      </c>
      <c r="D1007" s="1" t="s">
        <v>52</v>
      </c>
      <c r="E1007" s="1" t="s">
        <v>2989</v>
      </c>
      <c r="F1007" s="1" t="str">
        <f>IFERROR(__xludf.DUMMYFUNCTION("GOOGLETRANSLATE(A1007, ""zh-CN"", ""ko"")"),"산")</f>
        <v>산</v>
      </c>
    </row>
    <row r="1008" ht="15.75" customHeight="1">
      <c r="A1008" s="1" t="s">
        <v>2990</v>
      </c>
      <c r="B1008" s="1">
        <v>4.0</v>
      </c>
      <c r="C1008" s="1" t="s">
        <v>2991</v>
      </c>
      <c r="D1008" s="1" t="s">
        <v>52</v>
      </c>
      <c r="E1008" s="1" t="s">
        <v>2992</v>
      </c>
      <c r="F1008" s="1" t="str">
        <f>IFERROR(__xludf.DUMMYFUNCTION("GOOGLETRANSLATE(A1008, ""zh-CN"", ""ko"")"),"평상복")</f>
        <v>평상복</v>
      </c>
    </row>
    <row r="1009" ht="15.75" customHeight="1">
      <c r="A1009" s="1" t="s">
        <v>2993</v>
      </c>
      <c r="B1009" s="1">
        <v>4.0</v>
      </c>
      <c r="C1009" s="1" t="s">
        <v>2994</v>
      </c>
      <c r="D1009" s="1" t="s">
        <v>486</v>
      </c>
      <c r="E1009" s="1" t="s">
        <v>2995</v>
      </c>
      <c r="F1009" s="1" t="str">
        <f>IFERROR(__xludf.DUMMYFUNCTION("GOOGLETRANSLATE(A1009, ""zh-CN"", ""ko"")"),"함께")</f>
        <v>함께</v>
      </c>
    </row>
    <row r="1010" ht="15.75" customHeight="1">
      <c r="A1010" s="1" t="s">
        <v>2996</v>
      </c>
      <c r="B1010" s="1">
        <v>4.0</v>
      </c>
      <c r="C1010" s="1" t="s">
        <v>2997</v>
      </c>
      <c r="D1010" s="1" t="s">
        <v>16</v>
      </c>
      <c r="E1010" s="1" t="s">
        <v>2998</v>
      </c>
      <c r="F1010" s="1" t="str">
        <f>IFERROR(__xludf.DUMMYFUNCTION("GOOGLETRANSLATE(A1010, ""zh-CN"", ""ko"")"),"손자")</f>
        <v>손자</v>
      </c>
    </row>
    <row r="1011" ht="15.75" customHeight="1">
      <c r="A1011" s="1" t="s">
        <v>2999</v>
      </c>
      <c r="B1011" s="1">
        <v>4.0</v>
      </c>
      <c r="C1011" s="1" t="s">
        <v>3000</v>
      </c>
      <c r="D1011" s="1" t="s">
        <v>52</v>
      </c>
      <c r="E1011" s="1" t="s">
        <v>2809</v>
      </c>
      <c r="F1011" s="1" t="str">
        <f>IFERROR(__xludf.DUMMYFUNCTION("GOOGLETRANSLATE(A1011, ""zh-CN"", ""ko"")"),"모두")</f>
        <v>모두</v>
      </c>
    </row>
    <row r="1012" ht="15.75" customHeight="1">
      <c r="A1012" s="1" t="s">
        <v>3001</v>
      </c>
      <c r="B1012" s="1">
        <v>4.0</v>
      </c>
      <c r="C1012" s="1" t="s">
        <v>3002</v>
      </c>
      <c r="D1012" s="1" t="s">
        <v>8</v>
      </c>
      <c r="E1012" s="1" t="s">
        <v>3003</v>
      </c>
      <c r="F1012" s="1" t="str">
        <f>IFERROR(__xludf.DUMMYFUNCTION("GOOGLETRANSLATE(A1012, ""zh-CN"", ""ko"")"),"승강기")</f>
        <v>승강기</v>
      </c>
    </row>
    <row r="1013" ht="15.75" customHeight="1">
      <c r="A1013" s="1" t="s">
        <v>3004</v>
      </c>
      <c r="B1013" s="1">
        <v>4.0</v>
      </c>
      <c r="C1013" s="1" t="s">
        <v>3002</v>
      </c>
      <c r="D1013" s="1" t="s">
        <v>26</v>
      </c>
      <c r="E1013" s="1" t="s">
        <v>3005</v>
      </c>
      <c r="F1013" s="1" t="str">
        <f>IFERROR(__xludf.DUMMYFUNCTION("GOOGLETRANSLATE(A1013, ""zh-CN"", ""ko"")"),"탑")</f>
        <v>탑</v>
      </c>
    </row>
    <row r="1014" ht="15.75" customHeight="1">
      <c r="A1014" s="1" t="s">
        <v>3006</v>
      </c>
      <c r="B1014" s="1">
        <v>4.0</v>
      </c>
      <c r="C1014" s="1" t="s">
        <v>3007</v>
      </c>
      <c r="D1014" s="1" t="s">
        <v>16</v>
      </c>
      <c r="E1014" s="1" t="s">
        <v>3008</v>
      </c>
      <c r="F1014" s="1" t="str">
        <f>IFERROR(__xludf.DUMMYFUNCTION("GOOGLETRANSLATE(A1014, ""zh-CN"", ""ko"")"),"방법")</f>
        <v>방법</v>
      </c>
    </row>
    <row r="1015" ht="15.75" customHeight="1">
      <c r="A1015" s="1" t="s">
        <v>3009</v>
      </c>
      <c r="B1015" s="1">
        <v>4.0</v>
      </c>
      <c r="C1015" s="1" t="s">
        <v>3010</v>
      </c>
      <c r="D1015" s="1" t="s">
        <v>8</v>
      </c>
      <c r="E1015" s="1" t="s">
        <v>3011</v>
      </c>
      <c r="F1015" s="1" t="str">
        <f>IFERROR(__xludf.DUMMYFUNCTION("GOOGLETRANSLATE(A1015, ""zh-CN"", ""ko"")"),"말하다")</f>
        <v>말하다</v>
      </c>
    </row>
    <row r="1016" ht="15.75" customHeight="1">
      <c r="A1016" s="1" t="s">
        <v>3012</v>
      </c>
      <c r="B1016" s="1">
        <v>4.0</v>
      </c>
      <c r="C1016" s="1" t="s">
        <v>3013</v>
      </c>
      <c r="E1016" s="1" t="s">
        <v>3014</v>
      </c>
      <c r="F1016" s="1" t="str">
        <f>IFERROR(__xludf.DUMMYFUNCTION("GOOGLETRANSLATE(A1016, ""zh-CN"", ""ko"")"),"피아노 연주")</f>
        <v>피아노 연주</v>
      </c>
    </row>
    <row r="1017" ht="15.75" customHeight="1">
      <c r="A1017" s="1" t="s">
        <v>3015</v>
      </c>
      <c r="B1017" s="1">
        <v>4.0</v>
      </c>
      <c r="C1017" s="1" t="s">
        <v>3016</v>
      </c>
      <c r="D1017" s="1" t="s">
        <v>16</v>
      </c>
      <c r="E1017" s="1" t="s">
        <v>3017</v>
      </c>
      <c r="F1017" s="1" t="str">
        <f>IFERROR(__xludf.DUMMYFUNCTION("GOOGLETRANSLATE(A1017, ""zh-CN"", ""ko"")"),"국")</f>
        <v>국</v>
      </c>
    </row>
    <row r="1018" ht="15.75" customHeight="1">
      <c r="A1018" s="1" t="s">
        <v>3018</v>
      </c>
      <c r="B1018" s="1">
        <v>4.0</v>
      </c>
      <c r="C1018" s="1" t="s">
        <v>3019</v>
      </c>
      <c r="D1018" s="1" t="s">
        <v>16</v>
      </c>
      <c r="E1018" s="1" t="s">
        <v>3020</v>
      </c>
      <c r="F1018" s="1" t="str">
        <f>IFERROR(__xludf.DUMMYFUNCTION("GOOGLETRANSLATE(A1018, ""zh-CN"", ""ko"")"),"설탕")</f>
        <v>설탕</v>
      </c>
    </row>
    <row r="1019" ht="15.75" customHeight="1">
      <c r="A1019" s="1" t="s">
        <v>3021</v>
      </c>
      <c r="B1019" s="1">
        <v>4.0</v>
      </c>
      <c r="C1019" s="1" t="s">
        <v>3022</v>
      </c>
      <c r="D1019" s="1" t="s">
        <v>8</v>
      </c>
      <c r="E1019" s="1" t="s">
        <v>3023</v>
      </c>
      <c r="F1019" s="1" t="str">
        <f>IFERROR(__xludf.DUMMYFUNCTION("GOOGLETRANSLATE(A1019, ""zh-CN"", ""ko"")"),"거짓말하다")</f>
        <v>거짓말하다</v>
      </c>
    </row>
    <row r="1020" ht="15.75" customHeight="1">
      <c r="A1020" s="1" t="s">
        <v>3024</v>
      </c>
      <c r="B1020" s="1">
        <v>4.0</v>
      </c>
      <c r="C1020" s="1" t="s">
        <v>3025</v>
      </c>
      <c r="D1020" s="1" t="s">
        <v>26</v>
      </c>
      <c r="E1020" s="1" t="s">
        <v>3026</v>
      </c>
      <c r="F1020" s="1" t="str">
        <f>IFERROR(__xludf.DUMMYFUNCTION("GOOGLETRANSLATE(A1020, ""zh-CN"", ""ko"")"),"여행")</f>
        <v>여행</v>
      </c>
    </row>
    <row r="1021" ht="15.75" customHeight="1">
      <c r="A1021" s="1" t="s">
        <v>3027</v>
      </c>
      <c r="B1021" s="1">
        <v>4.0</v>
      </c>
      <c r="C1021" s="1" t="s">
        <v>3028</v>
      </c>
      <c r="D1021" s="1" t="s">
        <v>8</v>
      </c>
      <c r="E1021" s="1" t="s">
        <v>3029</v>
      </c>
      <c r="F1021" s="1" t="str">
        <f>IFERROR(__xludf.DUMMYFUNCTION("GOOGLETRANSLATE(A1021, ""zh-CN"", ""ko"")"),"논의하다")</f>
        <v>논의하다</v>
      </c>
    </row>
    <row r="1022" ht="15.75" customHeight="1">
      <c r="A1022" s="1" t="s">
        <v>3030</v>
      </c>
      <c r="B1022" s="1">
        <v>4.0</v>
      </c>
      <c r="C1022" s="1" t="s">
        <v>3031</v>
      </c>
      <c r="D1022" s="1" t="s">
        <v>8</v>
      </c>
      <c r="E1022" s="1" t="s">
        <v>3032</v>
      </c>
      <c r="F1022" s="1" t="str">
        <f>IFERROR(__xludf.DUMMYFUNCTION("GOOGLETRANSLATE(A1022, ""zh-CN"", ""ko"")"),"싫어하다")</f>
        <v>싫어하다</v>
      </c>
    </row>
    <row r="1023" ht="15.75" customHeight="1">
      <c r="A1023" s="1" t="s">
        <v>3033</v>
      </c>
      <c r="B1023" s="1">
        <v>4.0</v>
      </c>
      <c r="C1023" s="1" t="s">
        <v>3034</v>
      </c>
      <c r="D1023" s="1" t="s">
        <v>16</v>
      </c>
      <c r="E1023" s="1" t="s">
        <v>3035</v>
      </c>
      <c r="F1023" s="1" t="str">
        <f>IFERROR(__xludf.DUMMYFUNCTION("GOOGLETRANSLATE(A1023, ""zh-CN"", ""ko"")"),"특징")</f>
        <v>특징</v>
      </c>
    </row>
    <row r="1024" ht="15.75" customHeight="1">
      <c r="A1024" s="1" t="s">
        <v>3036</v>
      </c>
      <c r="B1024" s="1">
        <v>4.0</v>
      </c>
      <c r="C1024" s="1" t="s">
        <v>771</v>
      </c>
      <c r="D1024" s="1" t="s">
        <v>8</v>
      </c>
      <c r="E1024" s="1" t="s">
        <v>3037</v>
      </c>
      <c r="F1024" s="1" t="str">
        <f>IFERROR(__xludf.DUMMYFUNCTION("GOOGLETRANSLATE(A1024, ""zh-CN"", ""ko"")"),"나르다")</f>
        <v>나르다</v>
      </c>
    </row>
    <row r="1025" ht="15.75" customHeight="1">
      <c r="A1025" s="1" t="s">
        <v>3038</v>
      </c>
      <c r="B1025" s="1">
        <v>4.0</v>
      </c>
      <c r="C1025" s="1" t="s">
        <v>3039</v>
      </c>
      <c r="D1025" s="1" t="s">
        <v>8</v>
      </c>
      <c r="E1025" s="1" t="s">
        <v>3040</v>
      </c>
      <c r="F1025" s="1" t="str">
        <f>IFERROR(__xludf.DUMMYFUNCTION("GOOGLETRANSLATE(A1025, ""zh-CN"", ""ko"")"),"공급")</f>
        <v>공급</v>
      </c>
    </row>
    <row r="1026" ht="15.75" customHeight="1">
      <c r="A1026" s="1" t="s">
        <v>3041</v>
      </c>
      <c r="B1026" s="1">
        <v>4.0</v>
      </c>
      <c r="C1026" s="1" t="s">
        <v>3042</v>
      </c>
      <c r="D1026" s="1" t="s">
        <v>8</v>
      </c>
      <c r="E1026" s="1" t="s">
        <v>3043</v>
      </c>
      <c r="F1026" s="1" t="str">
        <f>IFERROR(__xludf.DUMMYFUNCTION("GOOGLETRANSLATE(A1026, ""zh-CN"", ""ko"")"),"미리")</f>
        <v>미리</v>
      </c>
    </row>
    <row r="1027" ht="15.75" customHeight="1">
      <c r="A1027" s="1" t="s">
        <v>3044</v>
      </c>
      <c r="B1027" s="1">
        <v>4.0</v>
      </c>
      <c r="C1027" s="1" t="s">
        <v>3045</v>
      </c>
      <c r="D1027" s="1" t="s">
        <v>8</v>
      </c>
      <c r="E1027" s="1" t="s">
        <v>3046</v>
      </c>
      <c r="F1027" s="1" t="str">
        <f>IFERROR(__xludf.DUMMYFUNCTION("GOOGLETRANSLATE(A1027, ""zh-CN"", ""ko"")"),"상기시키다")</f>
        <v>상기시키다</v>
      </c>
    </row>
    <row r="1028" ht="15.75" customHeight="1">
      <c r="A1028" s="1" t="s">
        <v>3047</v>
      </c>
      <c r="B1028" s="1">
        <v>4.0</v>
      </c>
      <c r="C1028" s="1" t="s">
        <v>3048</v>
      </c>
      <c r="D1028" s="1" t="s">
        <v>8</v>
      </c>
      <c r="E1028" s="1" t="s">
        <v>3049</v>
      </c>
      <c r="F1028" s="1" t="str">
        <f>IFERROR(__xludf.DUMMYFUNCTION("GOOGLETRANSLATE(A1028, ""zh-CN"", ""ko"")"),"빈칸을 채우세요")</f>
        <v>빈칸을 채우세요</v>
      </c>
    </row>
    <row r="1029" ht="15.75" customHeight="1">
      <c r="A1029" s="1" t="s">
        <v>3050</v>
      </c>
      <c r="B1029" s="1">
        <v>4.0</v>
      </c>
      <c r="C1029" s="1" t="s">
        <v>3051</v>
      </c>
      <c r="D1029" s="1" t="s">
        <v>16</v>
      </c>
      <c r="E1029" s="1" t="s">
        <v>3052</v>
      </c>
      <c r="F1029" s="1" t="str">
        <f>IFERROR(__xludf.DUMMYFUNCTION("GOOGLETRANSLATE(A1029, ""zh-CN"", ""ko"")"),"상태")</f>
        <v>상태</v>
      </c>
    </row>
    <row r="1030" ht="15.75" customHeight="1">
      <c r="A1030" s="1" t="s">
        <v>3053</v>
      </c>
      <c r="B1030" s="1">
        <v>4.0</v>
      </c>
      <c r="C1030" s="1" t="s">
        <v>3054</v>
      </c>
      <c r="D1030" s="1" t="s">
        <v>8</v>
      </c>
      <c r="E1030" s="1" t="s">
        <v>3055</v>
      </c>
      <c r="F1030" s="1" t="str">
        <f>IFERROR(__xludf.DUMMYFUNCTION("GOOGLETRANSLATE(A1030, ""zh-CN"", ""ko"")"),"멈추다")</f>
        <v>멈추다</v>
      </c>
    </row>
    <row r="1031" ht="15.75" customHeight="1">
      <c r="A1031" s="1" t="s">
        <v>3056</v>
      </c>
      <c r="B1031" s="1">
        <v>4.0</v>
      </c>
      <c r="C1031" s="1" t="s">
        <v>3057</v>
      </c>
      <c r="D1031" s="1" t="s">
        <v>33</v>
      </c>
      <c r="E1031" s="1" t="s">
        <v>3058</v>
      </c>
      <c r="F1031" s="1" t="str">
        <f>IFERROR(__xludf.DUMMYFUNCTION("GOOGLETRANSLATE(A1031, ""zh-CN"", ""ko"")"),"상당히")</f>
        <v>상당히</v>
      </c>
    </row>
    <row r="1032" ht="15.75" customHeight="1">
      <c r="A1032" s="1" t="s">
        <v>3059</v>
      </c>
      <c r="B1032" s="1">
        <v>4.0</v>
      </c>
      <c r="C1032" s="1" t="s">
        <v>3060</v>
      </c>
      <c r="D1032" s="1" t="s">
        <v>3061</v>
      </c>
      <c r="E1032" s="1" t="s">
        <v>3062</v>
      </c>
      <c r="F1032" s="1" t="str">
        <f>IFERROR(__xludf.DUMMYFUNCTION("GOOGLETRANSLATE(A1032, ""zh-CN"", ""ko"")"),"통과하다")</f>
        <v>통과하다</v>
      </c>
    </row>
    <row r="1033" ht="15.75" customHeight="1">
      <c r="A1033" s="1" t="s">
        <v>3063</v>
      </c>
      <c r="B1033" s="1">
        <v>4.0</v>
      </c>
      <c r="C1033" s="1" t="s">
        <v>3064</v>
      </c>
      <c r="D1033" s="1" t="s">
        <v>875</v>
      </c>
      <c r="E1033" s="1" t="s">
        <v>3065</v>
      </c>
      <c r="F1033" s="1" t="str">
        <f>IFERROR(__xludf.DUMMYFUNCTION("GOOGLETRANSLATE(A1033, ""zh-CN"", ""ko"")"),"알리다")</f>
        <v>알리다</v>
      </c>
    </row>
    <row r="1034" ht="15.75" customHeight="1">
      <c r="A1034" s="1" t="s">
        <v>3066</v>
      </c>
      <c r="B1034" s="1">
        <v>4.0</v>
      </c>
      <c r="C1034" s="1" t="s">
        <v>3067</v>
      </c>
      <c r="D1034" s="1" t="s">
        <v>8</v>
      </c>
      <c r="E1034" s="1" t="s">
        <v>3068</v>
      </c>
      <c r="F1034" s="1" t="str">
        <f>IFERROR(__xludf.DUMMYFUNCTION("GOOGLETRANSLATE(A1034, ""zh-CN"", ""ko"")"),"연민")</f>
        <v>연민</v>
      </c>
    </row>
    <row r="1035" ht="15.75" customHeight="1">
      <c r="A1035" s="1" t="s">
        <v>3069</v>
      </c>
      <c r="B1035" s="1">
        <v>4.0</v>
      </c>
      <c r="C1035" s="1" t="s">
        <v>3070</v>
      </c>
      <c r="D1035" s="1" t="s">
        <v>1473</v>
      </c>
      <c r="E1035" s="1" t="s">
        <v>3071</v>
      </c>
      <c r="F1035" s="1" t="str">
        <f>IFERROR(__xludf.DUMMYFUNCTION("GOOGLETRANSLATE(A1035, ""zh-CN"", ""ko"")"),"동시에")</f>
        <v>동시에</v>
      </c>
    </row>
    <row r="1036" ht="15.75" customHeight="1">
      <c r="A1036" s="1" t="s">
        <v>3072</v>
      </c>
      <c r="B1036" s="1">
        <v>4.0</v>
      </c>
      <c r="C1036" s="1" t="s">
        <v>3073</v>
      </c>
      <c r="D1036" s="1" t="s">
        <v>8</v>
      </c>
      <c r="E1036" s="1" t="s">
        <v>3074</v>
      </c>
      <c r="F1036" s="1" t="str">
        <f>IFERROR(__xludf.DUMMYFUNCTION("GOOGLETRANSLATE(A1036, ""zh-CN"", ""ko"")"),"푸시")</f>
        <v>푸시</v>
      </c>
    </row>
    <row r="1037" ht="15.75" customHeight="1">
      <c r="A1037" s="1" t="s">
        <v>3075</v>
      </c>
      <c r="B1037" s="1">
        <v>4.0</v>
      </c>
      <c r="C1037" s="1" t="s">
        <v>3076</v>
      </c>
      <c r="D1037" s="1" t="s">
        <v>8</v>
      </c>
      <c r="E1037" s="1" t="s">
        <v>3077</v>
      </c>
      <c r="F1037" s="1" t="str">
        <f>IFERROR(__xludf.DUMMYFUNCTION("GOOGLETRANSLATE(A1037, ""zh-CN"", ""ko"")"),"미루다")</f>
        <v>미루다</v>
      </c>
    </row>
    <row r="1038" ht="15.75" customHeight="1">
      <c r="A1038" s="1" t="s">
        <v>3078</v>
      </c>
      <c r="B1038" s="1">
        <v>4.0</v>
      </c>
      <c r="C1038" s="1" t="s">
        <v>3079</v>
      </c>
      <c r="D1038" s="1" t="s">
        <v>8</v>
      </c>
      <c r="E1038" s="1" t="s">
        <v>3080</v>
      </c>
      <c r="F1038" s="1" t="str">
        <f>IFERROR(__xludf.DUMMYFUNCTION("GOOGLETRANSLATE(A1038, ""zh-CN"", ""ko"")"),"조각")</f>
        <v>조각</v>
      </c>
    </row>
    <row r="1039" ht="15.75" customHeight="1">
      <c r="A1039" s="1" t="s">
        <v>3081</v>
      </c>
      <c r="B1039" s="1">
        <v>4.0</v>
      </c>
      <c r="C1039" s="1" t="s">
        <v>3082</v>
      </c>
      <c r="D1039" s="1" t="s">
        <v>16</v>
      </c>
      <c r="E1039" s="1" t="s">
        <v>3083</v>
      </c>
      <c r="F1039" s="1" t="str">
        <f>IFERROR(__xludf.DUMMYFUNCTION("GOOGLETRANSLATE(A1039, ""zh-CN"", ""ko"")"),"때리다")</f>
        <v>때리다</v>
      </c>
    </row>
    <row r="1040" ht="15.75" customHeight="1">
      <c r="A1040" s="1" t="s">
        <v>3084</v>
      </c>
      <c r="B1040" s="1">
        <v>4.0</v>
      </c>
      <c r="C1040" s="1" t="s">
        <v>3085</v>
      </c>
      <c r="D1040" s="1" t="s">
        <v>33</v>
      </c>
      <c r="E1040" s="1" t="s">
        <v>1575</v>
      </c>
      <c r="F1040" s="1" t="str">
        <f>IFERROR(__xludf.DUMMYFUNCTION("GOOGLETRANSLATE(A1040, ""zh-CN"", ""ko"")"),"완전히")</f>
        <v>완전히</v>
      </c>
    </row>
    <row r="1041" ht="15.75" customHeight="1">
      <c r="A1041" s="1" t="s">
        <v>3086</v>
      </c>
      <c r="B1041" s="1">
        <v>4.0</v>
      </c>
      <c r="C1041" s="1" t="s">
        <v>3087</v>
      </c>
      <c r="D1041" s="1" t="s">
        <v>16</v>
      </c>
      <c r="E1041" s="1" t="s">
        <v>3088</v>
      </c>
      <c r="F1041" s="1" t="str">
        <f>IFERROR(__xludf.DUMMYFUNCTION("GOOGLETRANSLATE(A1041, ""zh-CN"", ""ko"")"),"테니스")</f>
        <v>테니스</v>
      </c>
    </row>
    <row r="1042" ht="15.75" customHeight="1">
      <c r="A1042" s="1" t="s">
        <v>3089</v>
      </c>
      <c r="B1042" s="1">
        <v>4.0</v>
      </c>
      <c r="C1042" s="1" t="s">
        <v>3090</v>
      </c>
      <c r="D1042" s="1" t="s">
        <v>33</v>
      </c>
      <c r="E1042" s="1" t="s">
        <v>3091</v>
      </c>
      <c r="F1042" s="1" t="str">
        <f>IFERROR(__xludf.DUMMYFUNCTION("GOOGLETRANSLATE(A1042, ""zh-CN"", ""ko"")"),"자주")</f>
        <v>자주</v>
      </c>
    </row>
    <row r="1043" ht="15.75" customHeight="1">
      <c r="A1043" s="1" t="s">
        <v>3092</v>
      </c>
      <c r="B1043" s="1">
        <v>4.0</v>
      </c>
      <c r="C1043" s="1" t="s">
        <v>3093</v>
      </c>
      <c r="D1043" s="1" t="s">
        <v>16</v>
      </c>
      <c r="E1043" s="1" t="s">
        <v>3094</v>
      </c>
      <c r="F1043" s="1" t="str">
        <f>IFERROR(__xludf.DUMMYFUNCTION("GOOGLETRANSLATE(A1043, ""zh-CN"", ""ko"")"),"웹사이트")</f>
        <v>웹사이트</v>
      </c>
    </row>
    <row r="1044" ht="15.75" customHeight="1">
      <c r="A1044" s="1" t="s">
        <v>3095</v>
      </c>
      <c r="B1044" s="1">
        <v>4.0</v>
      </c>
      <c r="C1044" s="1" t="s">
        <v>3096</v>
      </c>
      <c r="D1044" s="1" t="s">
        <v>52</v>
      </c>
      <c r="E1044" s="1" t="s">
        <v>3097</v>
      </c>
      <c r="F1044" s="1" t="str">
        <f>IFERROR(__xludf.DUMMYFUNCTION("GOOGLETRANSLATE(A1044, ""zh-CN"", ""ko"")"),"위험")</f>
        <v>위험</v>
      </c>
    </row>
    <row r="1045" ht="15.75" customHeight="1">
      <c r="A1045" s="1" t="s">
        <v>3098</v>
      </c>
      <c r="B1045" s="1">
        <v>4.0</v>
      </c>
      <c r="C1045" s="1" t="s">
        <v>3099</v>
      </c>
      <c r="D1045" s="1" t="s">
        <v>16</v>
      </c>
      <c r="E1045" s="1" t="s">
        <v>3100</v>
      </c>
      <c r="F1045" s="1" t="str">
        <f>IFERROR(__xludf.DUMMYFUNCTION("GOOGLETRANSLATE(A1045, ""zh-CN"", ""ko"")"),"냄새가 나다")</f>
        <v>냄새가 나다</v>
      </c>
    </row>
    <row r="1046" ht="15.75" customHeight="1">
      <c r="A1046" s="1" t="s">
        <v>3101</v>
      </c>
      <c r="B1046" s="1">
        <v>4.0</v>
      </c>
      <c r="C1046" s="1" t="s">
        <v>3102</v>
      </c>
      <c r="D1046" s="1" t="s">
        <v>16</v>
      </c>
      <c r="E1046" s="1" t="s">
        <v>3103</v>
      </c>
      <c r="F1046" s="1" t="str">
        <f>IFERROR(__xludf.DUMMYFUNCTION("GOOGLETRANSLATE(A1046, ""zh-CN"", ""ko"")"),"화장실")</f>
        <v>화장실</v>
      </c>
    </row>
    <row r="1047" ht="15.75" customHeight="1">
      <c r="A1047" s="1" t="s">
        <v>3104</v>
      </c>
      <c r="B1047" s="1">
        <v>4.0</v>
      </c>
      <c r="C1047" s="1" t="s">
        <v>3105</v>
      </c>
      <c r="D1047" s="1" t="s">
        <v>16</v>
      </c>
      <c r="E1047" s="1" t="s">
        <v>3106</v>
      </c>
      <c r="F1047" s="1" t="str">
        <f>IFERROR(__xludf.DUMMYFUNCTION("GOOGLETRANSLATE(A1047, ""zh-CN"", ""ko"")"),"온도")</f>
        <v>온도</v>
      </c>
    </row>
    <row r="1048" ht="15.75" customHeight="1">
      <c r="A1048" s="1" t="s">
        <v>3107</v>
      </c>
      <c r="B1048" s="1">
        <v>4.0</v>
      </c>
      <c r="C1048" s="1" t="s">
        <v>3108</v>
      </c>
      <c r="D1048" s="1" t="s">
        <v>16</v>
      </c>
      <c r="E1048" s="1" t="s">
        <v>3109</v>
      </c>
      <c r="F1048" s="1" t="str">
        <f>IFERROR(__xludf.DUMMYFUNCTION("GOOGLETRANSLATE(A1048, ""zh-CN"", ""ko"")"),"기사")</f>
        <v>기사</v>
      </c>
    </row>
    <row r="1049" ht="15.75" customHeight="1">
      <c r="A1049" s="1" t="s">
        <v>3110</v>
      </c>
      <c r="B1049" s="1">
        <v>4.0</v>
      </c>
      <c r="C1049" s="1" t="s">
        <v>3111</v>
      </c>
      <c r="D1049" s="1" t="s">
        <v>8</v>
      </c>
      <c r="E1049" s="1" t="s">
        <v>3112</v>
      </c>
      <c r="F1049" s="1" t="str">
        <f>IFERROR(__xludf.DUMMYFUNCTION("GOOGLETRANSLATE(A1049, ""zh-CN"", ""ko"")"),"오염시키다")</f>
        <v>오염시키다</v>
      </c>
    </row>
    <row r="1050" ht="15.75" customHeight="1">
      <c r="A1050" s="1" t="s">
        <v>3113</v>
      </c>
      <c r="B1050" s="1">
        <v>4.0</v>
      </c>
      <c r="C1050" s="1" t="s">
        <v>3114</v>
      </c>
      <c r="D1050" s="1" t="s">
        <v>8</v>
      </c>
      <c r="E1050" s="1" t="s">
        <v>3115</v>
      </c>
      <c r="F1050" s="1" t="str">
        <f>IFERROR(__xludf.DUMMYFUNCTION("GOOGLETRANSLATE(A1050, ""zh-CN"", ""ko"")"),"없음")</f>
        <v>없음</v>
      </c>
    </row>
    <row r="1051" ht="15.75" customHeight="1">
      <c r="A1051" s="1" t="s">
        <v>3116</v>
      </c>
      <c r="B1051" s="1">
        <v>4.0</v>
      </c>
      <c r="C1051" s="1" t="s">
        <v>3117</v>
      </c>
      <c r="D1051" s="1" t="s">
        <v>16</v>
      </c>
      <c r="E1051" s="1" t="s">
        <v>3118</v>
      </c>
      <c r="F1051" s="1" t="str">
        <f>IFERROR(__xludf.DUMMYFUNCTION("GOOGLETRANSLATE(A1051, ""zh-CN"", ""ko"")"),"지루한")</f>
        <v>지루한</v>
      </c>
    </row>
    <row r="1052" ht="15.75" customHeight="1">
      <c r="A1052" s="1" t="s">
        <v>3119</v>
      </c>
      <c r="B1052" s="1">
        <v>4.0</v>
      </c>
      <c r="C1052" s="1" t="s">
        <v>3120</v>
      </c>
      <c r="D1052" s="1" t="s">
        <v>1473</v>
      </c>
      <c r="E1052" s="1" t="s">
        <v>3121</v>
      </c>
      <c r="F1052" s="1" t="str">
        <f>IFERROR(__xludf.DUMMYFUNCTION("GOOGLETRANSLATE(A1052, ""zh-CN"", ""ko"")"),"~에 관계없이")</f>
        <v>~에 관계없이</v>
      </c>
    </row>
    <row r="1053" ht="15.75" customHeight="1">
      <c r="A1053" s="1" t="s">
        <v>3122</v>
      </c>
      <c r="B1053" s="1">
        <v>4.0</v>
      </c>
      <c r="C1053" s="1" t="s">
        <v>3123</v>
      </c>
      <c r="D1053" s="1" t="s">
        <v>113</v>
      </c>
      <c r="E1053" s="1" t="s">
        <v>3124</v>
      </c>
      <c r="F1053" s="1" t="str">
        <f>IFERROR(__xludf.DUMMYFUNCTION("GOOGLETRANSLATE(A1053, ""zh-CN"", ""ko"")"),"오해")</f>
        <v>오해</v>
      </c>
    </row>
    <row r="1054" ht="15.75" customHeight="1">
      <c r="A1054" s="1" t="s">
        <v>3125</v>
      </c>
      <c r="B1054" s="1">
        <v>4.0</v>
      </c>
      <c r="C1054" s="1" t="s">
        <v>3126</v>
      </c>
      <c r="D1054" s="1" t="s">
        <v>16</v>
      </c>
      <c r="E1054" s="1" t="s">
        <v>3127</v>
      </c>
      <c r="F1054" s="1" t="str">
        <f>IFERROR(__xludf.DUMMYFUNCTION("GOOGLETRANSLATE(A1054, ""zh-CN"", ""ko"")"),"토마토")</f>
        <v>토마토</v>
      </c>
    </row>
    <row r="1055" ht="15.75" customHeight="1">
      <c r="A1055" s="1" t="s">
        <v>3128</v>
      </c>
      <c r="B1055" s="1">
        <v>4.0</v>
      </c>
      <c r="C1055" s="1" t="s">
        <v>3129</v>
      </c>
      <c r="D1055" s="1" t="s">
        <v>8</v>
      </c>
      <c r="E1055" s="1" t="s">
        <v>3130</v>
      </c>
      <c r="F1055" s="1" t="str">
        <f>IFERROR(__xludf.DUMMYFUNCTION("GOOGLETRANSLATE(A1055, ""zh-CN"", ""ko"")"),"끌어 들이다")</f>
        <v>끌어 들이다</v>
      </c>
    </row>
    <row r="1056" ht="15.75" customHeight="1">
      <c r="A1056" s="1" t="s">
        <v>3131</v>
      </c>
      <c r="B1056" s="1">
        <v>4.0</v>
      </c>
      <c r="C1056" s="1" t="s">
        <v>3132</v>
      </c>
      <c r="D1056" s="1" t="s">
        <v>52</v>
      </c>
      <c r="E1056" s="1" t="s">
        <v>3133</v>
      </c>
      <c r="F1056" s="1" t="str">
        <f>IFERROR(__xludf.DUMMYFUNCTION("GOOGLETRANSLATE(A1056, ""zh-CN"", ""ko"")"),"짠")</f>
        <v>짠</v>
      </c>
    </row>
    <row r="1057" ht="15.75" customHeight="1">
      <c r="A1057" s="1" t="s">
        <v>3134</v>
      </c>
      <c r="B1057" s="1">
        <v>4.0</v>
      </c>
      <c r="C1057" s="1" t="s">
        <v>3135</v>
      </c>
      <c r="D1057" s="1" t="s">
        <v>16</v>
      </c>
      <c r="E1057" s="1" t="s">
        <v>3136</v>
      </c>
      <c r="F1057" s="1" t="str">
        <f>IFERROR(__xludf.DUMMYFUNCTION("GOOGLETRANSLATE(A1057, ""zh-CN"", ""ko"")"),"현금")</f>
        <v>현금</v>
      </c>
    </row>
    <row r="1058" ht="15.75" customHeight="1">
      <c r="A1058" s="1" t="s">
        <v>3137</v>
      </c>
      <c r="B1058" s="1">
        <v>4.0</v>
      </c>
      <c r="C1058" s="1" t="s">
        <v>3138</v>
      </c>
      <c r="D1058" s="1" t="s">
        <v>8</v>
      </c>
      <c r="E1058" s="1" t="s">
        <v>3139</v>
      </c>
      <c r="F1058" s="1" t="str">
        <f>IFERROR(__xludf.DUMMYFUNCTION("GOOGLETRANSLATE(A1058, ""zh-CN"", ""ko"")"),"부러워하는")</f>
        <v>부러워하는</v>
      </c>
    </row>
    <row r="1059" ht="15.75" customHeight="1">
      <c r="A1059" s="1" t="s">
        <v>3140</v>
      </c>
      <c r="B1059" s="1">
        <v>4.0</v>
      </c>
      <c r="C1059" s="1" t="s">
        <v>3141</v>
      </c>
      <c r="D1059" s="1" t="s">
        <v>52</v>
      </c>
      <c r="E1059" s="1" t="s">
        <v>3142</v>
      </c>
      <c r="F1059" s="1" t="str">
        <f>IFERROR(__xludf.DUMMYFUNCTION("GOOGLETRANSLATE(A1059, ""zh-CN"", ""ko"")"),"향기로운")</f>
        <v>향기로운</v>
      </c>
    </row>
    <row r="1060" ht="15.75" customHeight="1">
      <c r="A1060" s="1" t="s">
        <v>3143</v>
      </c>
      <c r="B1060" s="1">
        <v>4.0</v>
      </c>
      <c r="C1060" s="1" t="s">
        <v>3144</v>
      </c>
      <c r="D1060" s="1" t="s">
        <v>3145</v>
      </c>
      <c r="E1060" s="1" t="s">
        <v>3146</v>
      </c>
      <c r="F1060" s="1" t="str">
        <f>IFERROR(__xludf.DUMMYFUNCTION("GOOGLETRANSLATE(A1060, ""zh-CN"", ""ko"")"),"반대로")</f>
        <v>반대로</v>
      </c>
    </row>
    <row r="1061" ht="15.75" customHeight="1">
      <c r="A1061" s="1" t="s">
        <v>3147</v>
      </c>
      <c r="B1061" s="1">
        <v>4.0</v>
      </c>
      <c r="C1061" s="1" t="s">
        <v>3148</v>
      </c>
      <c r="D1061" s="1" t="s">
        <v>52</v>
      </c>
      <c r="E1061" s="1" t="s">
        <v>3149</v>
      </c>
      <c r="F1061" s="1" t="str">
        <f>IFERROR(__xludf.DUMMYFUNCTION("GOOGLETRANSLATE(A1061, ""zh-CN"", ""ko"")"),"같은")</f>
        <v>같은</v>
      </c>
    </row>
    <row r="1062" ht="15.75" customHeight="1">
      <c r="A1062" s="1" t="s">
        <v>3150</v>
      </c>
      <c r="B1062" s="1">
        <v>4.0</v>
      </c>
      <c r="C1062" s="1" t="s">
        <v>3151</v>
      </c>
      <c r="D1062" s="1" t="s">
        <v>52</v>
      </c>
      <c r="E1062" s="1" t="s">
        <v>3152</v>
      </c>
      <c r="F1062" s="1" t="str">
        <f>IFERROR(__xludf.DUMMYFUNCTION("GOOGLETRANSLATE(A1062, ""zh-CN"", ""ko"")"),"상세한")</f>
        <v>상세한</v>
      </c>
    </row>
    <row r="1063" ht="15.75" customHeight="1">
      <c r="A1063" s="1" t="s">
        <v>3153</v>
      </c>
      <c r="B1063" s="1">
        <v>4.0</v>
      </c>
      <c r="C1063" s="1" t="s">
        <v>376</v>
      </c>
      <c r="D1063" s="1" t="s">
        <v>8</v>
      </c>
      <c r="E1063" s="1" t="s">
        <v>3154</v>
      </c>
      <c r="F1063" s="1" t="str">
        <f>IFERROR(__xludf.DUMMYFUNCTION("GOOGLETRANSLATE(A1063, ""zh-CN"", ""ko"")"),"반지")</f>
        <v>반지</v>
      </c>
    </row>
    <row r="1064" ht="15.75" customHeight="1">
      <c r="A1064" s="1" t="s">
        <v>3155</v>
      </c>
      <c r="B1064" s="1">
        <v>4.0</v>
      </c>
      <c r="C1064" s="1" t="s">
        <v>3156</v>
      </c>
      <c r="D1064" s="1" t="s">
        <v>16</v>
      </c>
      <c r="E1064" s="1" t="s">
        <v>3157</v>
      </c>
      <c r="F1064" s="1" t="str">
        <f>IFERROR(__xludf.DUMMYFUNCTION("GOOGLETRANSLATE(A1064, ""zh-CN"", ""ko"")"),"지우개")</f>
        <v>지우개</v>
      </c>
    </row>
    <row r="1065" ht="15.75" customHeight="1">
      <c r="A1065" s="1" t="s">
        <v>3158</v>
      </c>
      <c r="B1065" s="1">
        <v>4.0</v>
      </c>
      <c r="C1065" s="1" t="s">
        <v>3159</v>
      </c>
      <c r="D1065" s="1" t="s">
        <v>16</v>
      </c>
      <c r="E1065" s="1" t="s">
        <v>1631</v>
      </c>
      <c r="F1065" s="1" t="str">
        <f>IFERROR(__xludf.DUMMYFUNCTION("GOOGLETRANSLATE(A1065, ""zh-CN"", ""ko"")"),"정보")</f>
        <v>정보</v>
      </c>
    </row>
    <row r="1066" ht="15.75" customHeight="1">
      <c r="A1066" s="1" t="s">
        <v>3160</v>
      </c>
      <c r="B1066" s="1">
        <v>4.0</v>
      </c>
      <c r="C1066" s="1" t="s">
        <v>3161</v>
      </c>
      <c r="D1066" s="1" t="s">
        <v>16</v>
      </c>
      <c r="E1066" s="1" t="s">
        <v>3162</v>
      </c>
      <c r="F1066" s="1" t="str">
        <f>IFERROR(__xludf.DUMMYFUNCTION("GOOGLETRANSLATE(A1066, ""zh-CN"", ""ko"")"),"간식")</f>
        <v>간식</v>
      </c>
    </row>
    <row r="1067" ht="15.75" customHeight="1">
      <c r="A1067" s="1" t="s">
        <v>3163</v>
      </c>
      <c r="B1067" s="1">
        <v>4.0</v>
      </c>
      <c r="C1067" s="1" t="s">
        <v>3164</v>
      </c>
      <c r="D1067" s="1" t="s">
        <v>16</v>
      </c>
      <c r="E1067" s="1" t="s">
        <v>3165</v>
      </c>
      <c r="F1067" s="1" t="str">
        <f>IFERROR(__xludf.DUMMYFUNCTION("GOOGLETRANSLATE(A1067, ""zh-CN"", ""ko"")"),"청년")</f>
        <v>청년</v>
      </c>
    </row>
    <row r="1068" ht="15.75" customHeight="1">
      <c r="A1068" s="1" t="s">
        <v>3166</v>
      </c>
      <c r="B1068" s="1">
        <v>4.0</v>
      </c>
      <c r="C1068" s="1" t="s">
        <v>3167</v>
      </c>
      <c r="D1068" s="1" t="s">
        <v>16</v>
      </c>
      <c r="E1068" s="1" t="s">
        <v>3168</v>
      </c>
      <c r="F1068" s="1" t="str">
        <f>IFERROR(__xludf.DUMMYFUNCTION("GOOGLETRANSLATE(A1068, ""zh-CN"", ""ko"")"),"소설")</f>
        <v>소설</v>
      </c>
    </row>
    <row r="1069" ht="15.75" customHeight="1">
      <c r="A1069" s="1" t="s">
        <v>3169</v>
      </c>
      <c r="B1069" s="1">
        <v>4.0</v>
      </c>
      <c r="C1069" s="1" t="s">
        <v>3170</v>
      </c>
      <c r="D1069" s="1" t="s">
        <v>16</v>
      </c>
      <c r="E1069" s="1" t="s">
        <v>3171</v>
      </c>
      <c r="F1069" s="1" t="str">
        <f>IFERROR(__xludf.DUMMYFUNCTION("GOOGLETRANSLATE(A1069, ""zh-CN"", ""ko"")"),"효과")</f>
        <v>효과</v>
      </c>
    </row>
    <row r="1070" ht="15.75" customHeight="1">
      <c r="A1070" s="1" t="s">
        <v>3172</v>
      </c>
      <c r="B1070" s="1">
        <v>4.0</v>
      </c>
      <c r="C1070" s="1" t="s">
        <v>3173</v>
      </c>
      <c r="D1070" s="1" t="s">
        <v>16</v>
      </c>
      <c r="E1070" s="1" t="s">
        <v>2501</v>
      </c>
      <c r="F1070" s="1" t="str">
        <f>IFERROR(__xludf.DUMMYFUNCTION("GOOGLETRANSLATE(A1070, ""zh-CN"", ""ko"")"),"농담")</f>
        <v>농담</v>
      </c>
    </row>
    <row r="1071" ht="15.75" customHeight="1">
      <c r="A1071" s="1" t="s">
        <v>3174</v>
      </c>
      <c r="B1071" s="1">
        <v>4.0</v>
      </c>
      <c r="C1071" s="1" t="s">
        <v>3175</v>
      </c>
      <c r="D1071" s="1" t="s">
        <v>52</v>
      </c>
      <c r="E1071" s="1" t="s">
        <v>3176</v>
      </c>
      <c r="F1071" s="1" t="str">
        <f>IFERROR(__xludf.DUMMYFUNCTION("GOOGLETRANSLATE(A1071, ""zh-CN"", ""ko"")"),"딱딱한")</f>
        <v>딱딱한</v>
      </c>
    </row>
    <row r="1072" ht="15.75" customHeight="1">
      <c r="A1072" s="1" t="s">
        <v>3177</v>
      </c>
      <c r="B1072" s="1">
        <v>4.0</v>
      </c>
      <c r="C1072" s="1" t="s">
        <v>3178</v>
      </c>
      <c r="D1072" s="1" t="s">
        <v>16</v>
      </c>
      <c r="E1072" s="1" t="s">
        <v>3179</v>
      </c>
      <c r="F1072" s="1" t="str">
        <f>IFERROR(__xludf.DUMMYFUNCTION("GOOGLETRANSLATE(A1072, ""zh-CN"", ""ko"")"),"감정")</f>
        <v>감정</v>
      </c>
    </row>
    <row r="1073" ht="15.75" customHeight="1">
      <c r="A1073" s="1" t="s">
        <v>3180</v>
      </c>
      <c r="B1073" s="1">
        <v>4.0</v>
      </c>
      <c r="C1073" s="1" t="s">
        <v>3181</v>
      </c>
      <c r="D1073" s="1" t="s">
        <v>16</v>
      </c>
      <c r="E1073" s="1" t="s">
        <v>3182</v>
      </c>
      <c r="F1073" s="1" t="str">
        <f>IFERROR(__xludf.DUMMYFUNCTION("GOOGLETRANSLATE(A1073, ""zh-CN"", ""ko"")"),"봉투")</f>
        <v>봉투</v>
      </c>
    </row>
    <row r="1074" ht="15.75" customHeight="1">
      <c r="A1074" s="1" t="s">
        <v>3183</v>
      </c>
      <c r="B1074" s="1">
        <v>4.0</v>
      </c>
      <c r="C1074" s="1" t="s">
        <v>3184</v>
      </c>
      <c r="D1074" s="1" t="s">
        <v>16</v>
      </c>
      <c r="E1074" s="1" t="s">
        <v>3185</v>
      </c>
      <c r="F1074" s="1" t="str">
        <f>IFERROR(__xludf.DUMMYFUNCTION("GOOGLETRANSLATE(A1074, ""zh-CN"", ""ko"")"),"정보")</f>
        <v>정보</v>
      </c>
    </row>
    <row r="1075" ht="15.75" customHeight="1">
      <c r="A1075" s="1" t="s">
        <v>3186</v>
      </c>
      <c r="B1075" s="1">
        <v>4.0</v>
      </c>
      <c r="C1075" s="1" t="s">
        <v>3187</v>
      </c>
      <c r="D1075" s="1" t="s">
        <v>16</v>
      </c>
      <c r="E1075" s="1" t="s">
        <v>3188</v>
      </c>
      <c r="F1075" s="1" t="str">
        <f>IFERROR(__xludf.DUMMYFUNCTION("GOOGLETRANSLATE(A1075, ""zh-CN"", ""ko"")"),"신뢰")</f>
        <v>신뢰</v>
      </c>
    </row>
    <row r="1076" ht="15.75" customHeight="1">
      <c r="A1076" s="1" t="s">
        <v>3189</v>
      </c>
      <c r="B1076" s="1">
        <v>4.0</v>
      </c>
      <c r="C1076" s="1" t="s">
        <v>3190</v>
      </c>
      <c r="D1076" s="1" t="s">
        <v>52</v>
      </c>
      <c r="E1076" s="1" t="s">
        <v>3191</v>
      </c>
      <c r="F1076" s="1" t="str">
        <f>IFERROR(__xludf.DUMMYFUNCTION("GOOGLETRANSLATE(A1076, ""zh-CN"", ""ko"")"),"흥분한")</f>
        <v>흥분한</v>
      </c>
    </row>
    <row r="1077" ht="15.75" customHeight="1">
      <c r="A1077" s="1" t="s">
        <v>3192</v>
      </c>
      <c r="B1077" s="1">
        <v>4.0</v>
      </c>
      <c r="C1077" s="1" t="s">
        <v>3193</v>
      </c>
      <c r="D1077" s="1" t="s">
        <v>1003</v>
      </c>
      <c r="E1077" s="1" t="s">
        <v>3194</v>
      </c>
      <c r="F1077" s="1" t="str">
        <f>IFERROR(__xludf.DUMMYFUNCTION("GOOGLETRANSLATE(A1077, ""zh-CN"", ""ko"")"),"좋아요")</f>
        <v>좋아요</v>
      </c>
    </row>
    <row r="1078" ht="15.75" customHeight="1">
      <c r="A1078" s="1" t="s">
        <v>3195</v>
      </c>
      <c r="B1078" s="1">
        <v>4.0</v>
      </c>
      <c r="C1078" s="1" t="s">
        <v>3196</v>
      </c>
      <c r="D1078" s="1" t="s">
        <v>8</v>
      </c>
      <c r="E1078" s="1" t="s">
        <v>3197</v>
      </c>
      <c r="F1078" s="1" t="str">
        <f>IFERROR(__xludf.DUMMYFUNCTION("GOOGLETRANSLATE(A1078, ""zh-CN"", ""ko"")"),"깨어 있는")</f>
        <v>깨어 있는</v>
      </c>
    </row>
    <row r="1079" ht="15.75" customHeight="1">
      <c r="A1079" s="1" t="s">
        <v>3198</v>
      </c>
      <c r="B1079" s="1">
        <v>4.0</v>
      </c>
      <c r="C1079" s="1" t="s">
        <v>3199</v>
      </c>
      <c r="D1079" s="1" t="s">
        <v>16</v>
      </c>
      <c r="E1079" s="1" t="s">
        <v>3200</v>
      </c>
      <c r="F1079" s="1" t="str">
        <f>IFERROR(__xludf.DUMMYFUNCTION("GOOGLETRANSLATE(A1079, ""zh-CN"", ""ko"")"),"성별")</f>
        <v>성별</v>
      </c>
    </row>
    <row r="1080" ht="15.75" customHeight="1">
      <c r="A1080" s="1" t="s">
        <v>3201</v>
      </c>
      <c r="B1080" s="1">
        <v>4.0</v>
      </c>
      <c r="C1080" s="1" t="s">
        <v>3202</v>
      </c>
      <c r="D1080" s="1" t="s">
        <v>16</v>
      </c>
      <c r="E1080" s="1" t="s">
        <v>3203</v>
      </c>
      <c r="F1080" s="1" t="str">
        <f>IFERROR(__xludf.DUMMYFUNCTION("GOOGLETRANSLATE(A1080, ""zh-CN"", ""ko"")"),"행복")</f>
        <v>행복</v>
      </c>
    </row>
    <row r="1081" ht="15.75" customHeight="1">
      <c r="A1081" s="1" t="s">
        <v>3204</v>
      </c>
      <c r="B1081" s="1">
        <v>4.0</v>
      </c>
      <c r="C1081" s="1" t="s">
        <v>3205</v>
      </c>
      <c r="D1081" s="1" t="s">
        <v>16</v>
      </c>
      <c r="E1081" s="1" t="s">
        <v>3206</v>
      </c>
      <c r="F1081" s="1" t="str">
        <f>IFERROR(__xludf.DUMMYFUNCTION("GOOGLETRANSLATE(A1081, ""zh-CN"", ""ko"")"),"성격")</f>
        <v>성격</v>
      </c>
    </row>
    <row r="1082" ht="15.75" customHeight="1">
      <c r="A1082" s="1" t="s">
        <v>3207</v>
      </c>
      <c r="B1082" s="1">
        <v>4.0</v>
      </c>
      <c r="C1082" s="1" t="s">
        <v>3208</v>
      </c>
      <c r="D1082" s="1" t="s">
        <v>8</v>
      </c>
      <c r="E1082" s="1" t="s">
        <v>3209</v>
      </c>
      <c r="F1082" s="1" t="str">
        <f>IFERROR(__xludf.DUMMYFUNCTION("GOOGLETRANSLATE(A1082, ""zh-CN"", ""ko"")"),"수리하다")</f>
        <v>수리하다</v>
      </c>
    </row>
    <row r="1083" ht="15.75" customHeight="1">
      <c r="A1083" s="1" t="s">
        <v>3210</v>
      </c>
      <c r="B1083" s="1">
        <v>4.0</v>
      </c>
      <c r="C1083" s="1" t="s">
        <v>3211</v>
      </c>
      <c r="D1083" s="1" t="s">
        <v>12</v>
      </c>
      <c r="E1083" s="1" t="s">
        <v>3212</v>
      </c>
      <c r="F1083" s="1" t="str">
        <f>IFERROR(__xludf.DUMMYFUNCTION("GOOGLETRANSLATE(A1083, ""zh-CN"", ""ko"")"),"많은")</f>
        <v>많은</v>
      </c>
    </row>
    <row r="1084" ht="15.75" customHeight="1">
      <c r="A1084" s="1" t="s">
        <v>3213</v>
      </c>
      <c r="B1084" s="1">
        <v>4.0</v>
      </c>
      <c r="C1084" s="1" t="s">
        <v>3214</v>
      </c>
      <c r="D1084" s="1" t="s">
        <v>16</v>
      </c>
      <c r="E1084" s="1" t="s">
        <v>3215</v>
      </c>
      <c r="F1084" s="1" t="str">
        <f>IFERROR(__xludf.DUMMYFUNCTION("GOOGLETRANSLATE(A1084, ""zh-CN"", ""ko"")"),"학기")</f>
        <v>학기</v>
      </c>
    </row>
    <row r="1085" ht="15.75" customHeight="1">
      <c r="A1085" s="1" t="s">
        <v>3216</v>
      </c>
      <c r="B1085" s="1">
        <v>4.0</v>
      </c>
      <c r="C1085" s="1" t="s">
        <v>3217</v>
      </c>
      <c r="D1085" s="1" t="s">
        <v>16</v>
      </c>
      <c r="E1085" s="1" t="s">
        <v>3218</v>
      </c>
      <c r="F1085" s="1" t="str">
        <f>IFERROR(__xludf.DUMMYFUNCTION("GOOGLETRANSLATE(A1085, ""zh-CN"", ""ko"")"),"압력")</f>
        <v>압력</v>
      </c>
    </row>
    <row r="1086" ht="15.75" customHeight="1">
      <c r="A1086" s="1" t="s">
        <v>3219</v>
      </c>
      <c r="B1086" s="1">
        <v>4.0</v>
      </c>
      <c r="C1086" s="1" t="s">
        <v>3220</v>
      </c>
      <c r="D1086" s="1" t="s">
        <v>16</v>
      </c>
      <c r="E1086" s="1" t="s">
        <v>3221</v>
      </c>
      <c r="F1086" s="1" t="str">
        <f>IFERROR(__xludf.DUMMYFUNCTION("GOOGLETRANSLATE(A1086, ""zh-CN"", ""ko"")"),"치약")</f>
        <v>치약</v>
      </c>
    </row>
    <row r="1087" ht="15.75" customHeight="1">
      <c r="A1087" s="1" t="s">
        <v>3222</v>
      </c>
      <c r="B1087" s="1">
        <v>4.0</v>
      </c>
      <c r="C1087" s="1" t="s">
        <v>3223</v>
      </c>
      <c r="D1087" s="1" t="s">
        <v>16</v>
      </c>
      <c r="E1087" s="1" t="s">
        <v>3224</v>
      </c>
      <c r="F1087" s="1" t="str">
        <f>IFERROR(__xludf.DUMMYFUNCTION("GOOGLETRANSLATE(A1087, ""zh-CN"", ""ko"")"),"아시아")</f>
        <v>아시아</v>
      </c>
    </row>
    <row r="1088" ht="15.75" customHeight="1">
      <c r="A1088" s="1" t="s">
        <v>3225</v>
      </c>
      <c r="B1088" s="1">
        <v>4.0</v>
      </c>
      <c r="C1088" s="1" t="s">
        <v>3226</v>
      </c>
      <c r="D1088" s="1" t="s">
        <v>56</v>
      </c>
      <c r="E1088" s="1" t="s">
        <v>920</v>
      </c>
      <c r="F1088" s="1" t="str">
        <f>IFERROR(__xludf.DUMMYFUNCTION("GOOGLETRANSLATE(A1088, ""zh-CN"", ""ko"")"),"아")</f>
        <v>아</v>
      </c>
    </row>
    <row r="1089" ht="15.75" customHeight="1">
      <c r="A1089" s="1" t="s">
        <v>3227</v>
      </c>
      <c r="B1089" s="1">
        <v>4.0</v>
      </c>
      <c r="C1089" s="1" t="s">
        <v>3228</v>
      </c>
      <c r="D1089" s="1" t="s">
        <v>16</v>
      </c>
      <c r="E1089" s="1" t="s">
        <v>3229</v>
      </c>
      <c r="F1089" s="1" t="str">
        <f>IFERROR(__xludf.DUMMYFUNCTION("GOOGLETRANSLATE(A1089, ""zh-CN"", ""ko"")"),"소금")</f>
        <v>소금</v>
      </c>
    </row>
    <row r="1090" ht="15.75" customHeight="1">
      <c r="A1090" s="1" t="s">
        <v>3230</v>
      </c>
      <c r="B1090" s="1">
        <v>4.0</v>
      </c>
      <c r="C1090" s="1" t="s">
        <v>3231</v>
      </c>
      <c r="D1090" s="1" t="s">
        <v>52</v>
      </c>
      <c r="E1090" s="1" t="s">
        <v>3232</v>
      </c>
      <c r="F1090" s="1" t="str">
        <f>IFERROR(__xludf.DUMMYFUNCTION("GOOGLETRANSLATE(A1090, ""zh-CN"", ""ko"")"),"엄격한")</f>
        <v>엄격한</v>
      </c>
    </row>
    <row r="1091" ht="15.75" customHeight="1">
      <c r="A1091" s="1" t="s">
        <v>3233</v>
      </c>
      <c r="B1091" s="1">
        <v>4.0</v>
      </c>
      <c r="C1091" s="1" t="s">
        <v>3234</v>
      </c>
      <c r="D1091" s="1" t="s">
        <v>875</v>
      </c>
      <c r="E1091" s="1" t="s">
        <v>3235</v>
      </c>
      <c r="F1091" s="1" t="str">
        <f>IFERROR(__xludf.DUMMYFUNCTION("GOOGLETRANSLATE(A1091, ""zh-CN"", ""ko"")"),"연구")</f>
        <v>연구</v>
      </c>
    </row>
    <row r="1092" ht="15.75" customHeight="1">
      <c r="A1092" s="1" t="s">
        <v>3236</v>
      </c>
      <c r="B1092" s="1">
        <v>4.0</v>
      </c>
      <c r="C1092" s="1" t="s">
        <v>3237</v>
      </c>
      <c r="D1092" s="1" t="s">
        <v>52</v>
      </c>
      <c r="E1092" s="1" t="s">
        <v>3238</v>
      </c>
      <c r="F1092" s="1" t="str">
        <f>IFERROR(__xludf.DUMMYFUNCTION("GOOGLETRANSLATE(A1092, ""zh-CN"", ""ko"")"),"심각한")</f>
        <v>심각한</v>
      </c>
    </row>
    <row r="1093" ht="15.75" customHeight="1">
      <c r="A1093" s="1" t="s">
        <v>3239</v>
      </c>
      <c r="B1093" s="1">
        <v>4.0</v>
      </c>
      <c r="C1093" s="1" t="s">
        <v>3240</v>
      </c>
      <c r="D1093" s="1" t="s">
        <v>8</v>
      </c>
      <c r="E1093" s="1" t="s">
        <v>1852</v>
      </c>
      <c r="F1093" s="1" t="str">
        <f>IFERROR(__xludf.DUMMYFUNCTION("GOOGLETRANSLATE(A1093, ""zh-CN"", ""ko"")"),"보여주다")</f>
        <v>보여주다</v>
      </c>
    </row>
    <row r="1094" ht="15.75" customHeight="1">
      <c r="A1094" s="1" t="s">
        <v>3241</v>
      </c>
      <c r="B1094" s="1">
        <v>4.0</v>
      </c>
      <c r="C1094" s="1" t="s">
        <v>3242</v>
      </c>
      <c r="D1094" s="1" t="s">
        <v>16</v>
      </c>
      <c r="E1094" s="1" t="s">
        <v>3243</v>
      </c>
      <c r="F1094" s="1" t="str">
        <f>IFERROR(__xludf.DUMMYFUNCTION("GOOGLETRANSLATE(A1094, ""zh-CN"", ""ko"")"),"안경")</f>
        <v>안경</v>
      </c>
    </row>
    <row r="1095" ht="15.75" customHeight="1">
      <c r="A1095" s="1" t="s">
        <v>3244</v>
      </c>
      <c r="B1095" s="1">
        <v>4.0</v>
      </c>
      <c r="C1095" s="1" t="s">
        <v>3245</v>
      </c>
      <c r="D1095" s="1" t="s">
        <v>16</v>
      </c>
      <c r="E1095" s="1" t="s">
        <v>3246</v>
      </c>
      <c r="F1095" s="1" t="str">
        <f>IFERROR(__xludf.DUMMYFUNCTION("GOOGLETRANSLATE(A1095, ""zh-CN"", ""ko"")"),"배우")</f>
        <v>배우</v>
      </c>
    </row>
    <row r="1096" ht="15.75" customHeight="1">
      <c r="A1096" s="1" t="s">
        <v>3247</v>
      </c>
      <c r="B1096" s="1">
        <v>4.0</v>
      </c>
      <c r="C1096" s="1" t="s">
        <v>3248</v>
      </c>
      <c r="D1096" s="1" t="s">
        <v>16</v>
      </c>
      <c r="E1096" s="1" t="s">
        <v>3249</v>
      </c>
      <c r="F1096" s="1" t="str">
        <f>IFERROR(__xludf.DUMMYFUNCTION("GOOGLETRANSLATE(A1096, ""zh-CN"", ""ko"")"),"햇빛")</f>
        <v>햇빛</v>
      </c>
    </row>
    <row r="1097" ht="15.75" customHeight="1">
      <c r="A1097" s="1" t="s">
        <v>3250</v>
      </c>
      <c r="B1097" s="1">
        <v>4.0</v>
      </c>
      <c r="C1097" s="1" t="s">
        <v>3251</v>
      </c>
      <c r="D1097" s="1" t="s">
        <v>8</v>
      </c>
      <c r="E1097" s="1" t="s">
        <v>3252</v>
      </c>
      <c r="F1097" s="1" t="str">
        <f>IFERROR(__xludf.DUMMYFUNCTION("GOOGLETRANSLATE(A1097, ""zh-CN"", ""ko"")"),"개발하다")</f>
        <v>개발하다</v>
      </c>
    </row>
    <row r="1098" ht="15.75" customHeight="1">
      <c r="A1098" s="1" t="s">
        <v>3253</v>
      </c>
      <c r="B1098" s="1">
        <v>4.0</v>
      </c>
      <c r="C1098" s="1" t="s">
        <v>3254</v>
      </c>
      <c r="D1098" s="1" t="s">
        <v>16</v>
      </c>
      <c r="E1098" s="1" t="s">
        <v>3255</v>
      </c>
      <c r="F1098" s="1" t="str">
        <f>IFERROR(__xludf.DUMMYFUNCTION("GOOGLETRANSLATE(A1098, ""zh-CN"", ""ko"")"),"모습")</f>
        <v>모습</v>
      </c>
    </row>
    <row r="1099" ht="15.75" customHeight="1">
      <c r="A1099" s="1" t="s">
        <v>3256</v>
      </c>
      <c r="B1099" s="1">
        <v>4.0</v>
      </c>
      <c r="C1099" s="1" t="s">
        <v>3257</v>
      </c>
      <c r="D1099" s="1" t="s">
        <v>8</v>
      </c>
      <c r="E1099" s="1" t="s">
        <v>3258</v>
      </c>
      <c r="F1099" s="1" t="str">
        <f>IFERROR(__xludf.DUMMYFUNCTION("GOOGLETRANSLATE(A1099, ""zh-CN"", ""ko"")"),"초대하다")</f>
        <v>초대하다</v>
      </c>
    </row>
    <row r="1100" ht="15.75" customHeight="1">
      <c r="A1100" s="1" t="s">
        <v>3259</v>
      </c>
      <c r="B1100" s="1">
        <v>4.0</v>
      </c>
      <c r="C1100" s="1" t="s">
        <v>3260</v>
      </c>
      <c r="D1100" s="1" t="s">
        <v>16</v>
      </c>
      <c r="E1100" s="1" t="s">
        <v>3261</v>
      </c>
      <c r="F1100" s="1" t="str">
        <f>IFERROR(__xludf.DUMMYFUNCTION("GOOGLETRANSLATE(A1100, ""zh-CN"", ""ko"")"),"열쇠")</f>
        <v>열쇠</v>
      </c>
    </row>
    <row r="1101" ht="15.75" customHeight="1">
      <c r="A1101" s="1" t="s">
        <v>3262</v>
      </c>
      <c r="B1101" s="1">
        <v>4.0</v>
      </c>
      <c r="C1101" s="1" t="s">
        <v>3260</v>
      </c>
      <c r="D1101" s="1" t="s">
        <v>1473</v>
      </c>
      <c r="E1101" s="1" t="s">
        <v>3263</v>
      </c>
      <c r="F1101" s="1" t="str">
        <f>IFERROR(__xludf.DUMMYFUNCTION("GOOGLETRANSLATE(A1101, ""zh-CN"", ""ko"")"),"만약에")</f>
        <v>만약에</v>
      </c>
    </row>
    <row r="1102" ht="15.75" customHeight="1">
      <c r="A1102" s="1" t="s">
        <v>3264</v>
      </c>
      <c r="B1102" s="1">
        <v>4.0</v>
      </c>
      <c r="C1102" s="1" t="s">
        <v>3265</v>
      </c>
      <c r="D1102" s="1" t="s">
        <v>33</v>
      </c>
      <c r="E1102" s="1" t="s">
        <v>1229</v>
      </c>
      <c r="F1102" s="1" t="str">
        <f>IFERROR(__xludf.DUMMYFUNCTION("GOOGLETRANSLATE(A1102, ""zh-CN"", ""ko"")"),"아마도")</f>
        <v>아마도</v>
      </c>
    </row>
    <row r="1103" ht="15.75" customHeight="1">
      <c r="A1103" s="1" t="s">
        <v>3266</v>
      </c>
      <c r="B1103" s="1">
        <v>4.0</v>
      </c>
      <c r="C1103" s="1" t="s">
        <v>3267</v>
      </c>
      <c r="D1103" s="1" t="s">
        <v>26</v>
      </c>
      <c r="E1103" s="1" t="s">
        <v>3268</v>
      </c>
      <c r="F1103" s="1" t="str">
        <f>IFERROR(__xludf.DUMMYFUNCTION("GOOGLETRANSLATE(A1103, ""zh-CN"", ""ko"")"),"페이지")</f>
        <v>페이지</v>
      </c>
    </row>
    <row r="1104" ht="15.75" customHeight="1">
      <c r="A1104" s="1" t="s">
        <v>3269</v>
      </c>
      <c r="B1104" s="1">
        <v>4.0</v>
      </c>
      <c r="C1104" s="1" t="s">
        <v>3270</v>
      </c>
      <c r="D1104" s="1" t="s">
        <v>16</v>
      </c>
      <c r="E1104" s="1" t="s">
        <v>3271</v>
      </c>
      <c r="F1104" s="1" t="str">
        <f>IFERROR(__xludf.DUMMYFUNCTION("GOOGLETRANSLATE(A1104, ""zh-CN"", ""ko"")"),"잎")</f>
        <v>잎</v>
      </c>
    </row>
    <row r="1105" ht="15.75" customHeight="1">
      <c r="A1105" s="1" t="s">
        <v>3272</v>
      </c>
      <c r="B1105" s="1">
        <v>4.0</v>
      </c>
      <c r="C1105" s="1" t="s">
        <v>3273</v>
      </c>
      <c r="D1105" s="1" t="s">
        <v>88</v>
      </c>
      <c r="E1105" s="1" t="s">
        <v>3274</v>
      </c>
      <c r="F1105" s="1" t="str">
        <f>IFERROR(__xludf.DUMMYFUNCTION("GOOGLETRANSLATE(A1105, ""zh-CN"", ""ko"")"),"모든 것")</f>
        <v>모든 것</v>
      </c>
    </row>
    <row r="1106" ht="15.75" customHeight="1">
      <c r="A1106" s="1" t="s">
        <v>3275</v>
      </c>
      <c r="B1106" s="1">
        <v>4.0</v>
      </c>
      <c r="C1106" s="1" t="s">
        <v>3276</v>
      </c>
      <c r="D1106" s="1" t="s">
        <v>486</v>
      </c>
      <c r="E1106" s="1" t="s">
        <v>3277</v>
      </c>
      <c r="F1106" s="1" t="str">
        <f>IFERROR(__xludf.DUMMYFUNCTION("GOOGLETRANSLATE(A1106, ""zh-CN"", ""ko"")"),"~에 의해")</f>
        <v>~에 의해</v>
      </c>
    </row>
    <row r="1107" ht="15.75" customHeight="1">
      <c r="A1107" s="1" t="s">
        <v>3278</v>
      </c>
      <c r="B1107" s="1">
        <v>4.0</v>
      </c>
      <c r="C1107" s="1" t="s">
        <v>3279</v>
      </c>
      <c r="D1107" s="1" t="s">
        <v>8</v>
      </c>
      <c r="E1107" s="1" t="s">
        <v>3280</v>
      </c>
      <c r="F1107" s="1" t="str">
        <f>IFERROR(__xludf.DUMMYFUNCTION("GOOGLETRANSLATE(A1107, ""zh-CN"", ""ko"")"),"생각하다")</f>
        <v>생각하다</v>
      </c>
    </row>
    <row r="1108" ht="15.75" customHeight="1">
      <c r="A1108" s="1" t="s">
        <v>3281</v>
      </c>
      <c r="B1108" s="1">
        <v>4.0</v>
      </c>
      <c r="C1108" s="1" t="s">
        <v>3282</v>
      </c>
      <c r="D1108" s="1" t="s">
        <v>16</v>
      </c>
      <c r="E1108" s="1" t="s">
        <v>3283</v>
      </c>
      <c r="F1108" s="1" t="str">
        <f>IFERROR(__xludf.DUMMYFUNCTION("GOOGLETRANSLATE(A1108, ""zh-CN"", ""ko"")"),"의견")</f>
        <v>의견</v>
      </c>
    </row>
    <row r="1109" ht="15.75" customHeight="1">
      <c r="A1109" s="1" t="s">
        <v>3284</v>
      </c>
      <c r="B1109" s="1">
        <v>4.0</v>
      </c>
      <c r="C1109" s="1" t="s">
        <v>3285</v>
      </c>
      <c r="D1109" s="1" t="s">
        <v>16</v>
      </c>
      <c r="E1109" s="1" t="s">
        <v>3286</v>
      </c>
      <c r="F1109" s="1" t="str">
        <f>IFERROR(__xludf.DUMMYFUNCTION("GOOGLETRANSLATE(A1109, ""zh-CN"", ""ko"")"),"미술")</f>
        <v>미술</v>
      </c>
    </row>
    <row r="1110" ht="15.75" customHeight="1">
      <c r="A1110" s="1" t="s">
        <v>3287</v>
      </c>
      <c r="B1110" s="1">
        <v>4.0</v>
      </c>
      <c r="C1110" s="1" t="s">
        <v>3288</v>
      </c>
      <c r="D1110" s="1" t="s">
        <v>1473</v>
      </c>
      <c r="E1110" s="1" t="s">
        <v>3289</v>
      </c>
      <c r="F1110" s="1" t="str">
        <f>IFERROR(__xludf.DUMMYFUNCTION("GOOGLETRANSLATE(A1110, ""zh-CN"", ""ko"")"),"그러므로")</f>
        <v>그러므로</v>
      </c>
    </row>
    <row r="1111" ht="15.75" customHeight="1">
      <c r="A1111" s="1" t="s">
        <v>3290</v>
      </c>
      <c r="B1111" s="1">
        <v>4.0</v>
      </c>
      <c r="C1111" s="1" t="s">
        <v>3291</v>
      </c>
      <c r="D1111" s="1" t="s">
        <v>8</v>
      </c>
      <c r="E1111" s="1" t="s">
        <v>3292</v>
      </c>
      <c r="F1111" s="1" t="str">
        <f>IFERROR(__xludf.DUMMYFUNCTION("GOOGLETRANSLATE(A1111, ""zh-CN"", ""ko"")"),"원인")</f>
        <v>원인</v>
      </c>
    </row>
    <row r="1112" ht="15.75" customHeight="1">
      <c r="A1112" s="1" t="s">
        <v>3293</v>
      </c>
      <c r="B1112" s="1">
        <v>4.0</v>
      </c>
      <c r="C1112" s="1" t="s">
        <v>3294</v>
      </c>
      <c r="D1112" s="1" t="s">
        <v>16</v>
      </c>
      <c r="E1112" s="1" t="s">
        <v>3295</v>
      </c>
      <c r="F1112" s="1" t="str">
        <f>IFERROR(__xludf.DUMMYFUNCTION("GOOGLETRANSLATE(A1112, ""zh-CN"", ""ko"")"),"인상")</f>
        <v>인상</v>
      </c>
    </row>
    <row r="1113" ht="15.75" customHeight="1">
      <c r="A1113" s="1" t="s">
        <v>3296</v>
      </c>
      <c r="B1113" s="1">
        <v>4.0</v>
      </c>
      <c r="C1113" s="1" t="s">
        <v>3297</v>
      </c>
      <c r="D1113" s="1" t="s">
        <v>8</v>
      </c>
      <c r="E1113" s="1" t="s">
        <v>3298</v>
      </c>
      <c r="F1113" s="1" t="str">
        <f>IFERROR(__xludf.DUMMYFUNCTION("GOOGLETRANSLATE(A1113, ""zh-CN"", ""ko"")"),"이기다")</f>
        <v>이기다</v>
      </c>
    </row>
    <row r="1114" ht="15.75" customHeight="1">
      <c r="A1114" s="1" t="s">
        <v>3299</v>
      </c>
      <c r="B1114" s="1">
        <v>4.0</v>
      </c>
      <c r="C1114" s="1" t="s">
        <v>3300</v>
      </c>
      <c r="D1114" s="1" t="s">
        <v>8</v>
      </c>
      <c r="E1114" s="1" t="s">
        <v>3301</v>
      </c>
      <c r="F1114" s="1" t="str">
        <f>IFERROR(__xludf.DUMMYFUNCTION("GOOGLETRANSLATE(A1114, ""zh-CN"", ""ko"")"),"구직 신청")</f>
        <v>구직 신청</v>
      </c>
    </row>
    <row r="1115" ht="15.75" customHeight="1">
      <c r="A1115" s="1" t="s">
        <v>3302</v>
      </c>
      <c r="B1115" s="1">
        <v>4.0</v>
      </c>
      <c r="C1115" s="1" t="s">
        <v>3303</v>
      </c>
      <c r="D1115" s="1" t="s">
        <v>52</v>
      </c>
      <c r="E1115" s="1" t="s">
        <v>3304</v>
      </c>
      <c r="F1115" s="1" t="str">
        <f>IFERROR(__xludf.DUMMYFUNCTION("GOOGLETRANSLATE(A1115, ""zh-CN"", ""ko"")"),"용감한")</f>
        <v>용감한</v>
      </c>
    </row>
    <row r="1116" ht="15.75" customHeight="1">
      <c r="A1116" s="1" t="s">
        <v>3305</v>
      </c>
      <c r="B1116" s="1">
        <v>4.0</v>
      </c>
      <c r="C1116" s="1" t="s">
        <v>3306</v>
      </c>
      <c r="D1116" s="1" t="s">
        <v>33</v>
      </c>
      <c r="E1116" s="1" t="s">
        <v>3307</v>
      </c>
      <c r="F1116" s="1" t="str">
        <f>IFERROR(__xludf.DUMMYFUNCTION("GOOGLETRANSLATE(A1116, ""zh-CN"", ""ko"")"),"영원히")</f>
        <v>영원히</v>
      </c>
    </row>
    <row r="1117" ht="15.75" customHeight="1">
      <c r="A1117" s="1" t="s">
        <v>3308</v>
      </c>
      <c r="B1117" s="1">
        <v>4.0</v>
      </c>
      <c r="C1117" s="1" t="s">
        <v>3309</v>
      </c>
      <c r="D1117" s="1" t="s">
        <v>16</v>
      </c>
      <c r="E1117" s="1" t="s">
        <v>3310</v>
      </c>
      <c r="F1117" s="1" t="str">
        <f>IFERROR(__xludf.DUMMYFUNCTION("GOOGLETRANSLATE(A1117, ""zh-CN"", ""ko"")"),"이점")</f>
        <v>이점</v>
      </c>
    </row>
    <row r="1118" ht="15.75" customHeight="1">
      <c r="A1118" s="1" t="s">
        <v>3311</v>
      </c>
      <c r="B1118" s="1">
        <v>4.0</v>
      </c>
      <c r="C1118" s="1" t="s">
        <v>3312</v>
      </c>
      <c r="D1118" s="1" t="s">
        <v>52</v>
      </c>
      <c r="E1118" s="1" t="s">
        <v>3313</v>
      </c>
      <c r="F1118" s="1" t="str">
        <f>IFERROR(__xludf.DUMMYFUNCTION("GOOGLETRANSLATE(A1118, ""zh-CN"", ""ko"")"),"기분")</f>
        <v>기분</v>
      </c>
    </row>
    <row r="1119" ht="15.75" customHeight="1">
      <c r="A1119" s="1" t="s">
        <v>3314</v>
      </c>
      <c r="B1119" s="1">
        <v>4.0</v>
      </c>
      <c r="C1119" s="1" t="s">
        <v>3315</v>
      </c>
      <c r="D1119" s="1" t="s">
        <v>52</v>
      </c>
      <c r="E1119" s="1" t="s">
        <v>3316</v>
      </c>
      <c r="F1119" s="1" t="str">
        <f>IFERROR(__xludf.DUMMYFUNCTION("GOOGLETRANSLATE(A1119, ""zh-CN"", ""ko"")"),"훌륭한")</f>
        <v>훌륭한</v>
      </c>
    </row>
    <row r="1120" ht="15.75" customHeight="1">
      <c r="A1120" s="1" t="s">
        <v>3317</v>
      </c>
      <c r="B1120" s="1">
        <v>4.0</v>
      </c>
      <c r="C1120" s="1" t="s">
        <v>3318</v>
      </c>
      <c r="D1120" s="1" t="s">
        <v>486</v>
      </c>
      <c r="E1120" s="1" t="s">
        <v>3319</v>
      </c>
      <c r="F1120" s="1" t="str">
        <f>IFERROR(__xludf.DUMMYFUNCTION("GOOGLETRANSLATE(A1120, ""zh-CN"", ""ko"")"),"~에 의존하다")</f>
        <v>~에 의존하다</v>
      </c>
    </row>
    <row r="1121" ht="15.75" customHeight="1">
      <c r="A1121" s="1" t="s">
        <v>3320</v>
      </c>
      <c r="B1121" s="1">
        <v>4.0</v>
      </c>
      <c r="C1121" s="1" t="s">
        <v>3321</v>
      </c>
      <c r="D1121" s="1" t="s">
        <v>16</v>
      </c>
      <c r="E1121" s="1" t="s">
        <v>3322</v>
      </c>
      <c r="F1121" s="1" t="str">
        <f>IFERROR(__xludf.DUMMYFUNCTION("GOOGLETRANSLATE(A1121, ""zh-CN"", ""ko"")"),"우체국")</f>
        <v>우체국</v>
      </c>
    </row>
    <row r="1122" ht="15.75" customHeight="1">
      <c r="A1122" s="1" t="s">
        <v>3323</v>
      </c>
      <c r="B1122" s="1">
        <v>4.0</v>
      </c>
      <c r="C1122" s="1" t="s">
        <v>3324</v>
      </c>
      <c r="D1122" s="1" t="s">
        <v>33</v>
      </c>
      <c r="E1122" s="1" t="s">
        <v>3325</v>
      </c>
      <c r="F1122" s="1" t="str">
        <f>IFERROR(__xludf.DUMMYFUNCTION("GOOGLETRANSLATE(A1122, ""zh-CN"", ""ko"")"),"특히")</f>
        <v>특히</v>
      </c>
    </row>
    <row r="1123" ht="15.75" customHeight="1">
      <c r="A1123" s="1" t="s">
        <v>3326</v>
      </c>
      <c r="B1123" s="1">
        <v>4.0</v>
      </c>
      <c r="C1123" s="1" t="s">
        <v>3327</v>
      </c>
      <c r="D1123" s="1" t="s">
        <v>3328</v>
      </c>
      <c r="E1123" s="1" t="s">
        <v>3329</v>
      </c>
      <c r="F1123" s="1" t="str">
        <f>IFERROR(__xludf.DUMMYFUNCTION("GOOGLETRANSLATE(A1123, ""zh-CN"", ""ko"")"),"왜냐하면")</f>
        <v>왜냐하면</v>
      </c>
    </row>
    <row r="1124" ht="15.75" customHeight="1">
      <c r="A1124" s="1" t="s">
        <v>3330</v>
      </c>
      <c r="B1124" s="1">
        <v>4.0</v>
      </c>
      <c r="C1124" s="1" t="s">
        <v>3331</v>
      </c>
      <c r="D1124" s="1" t="s">
        <v>52</v>
      </c>
      <c r="E1124" s="1" t="s">
        <v>3332</v>
      </c>
      <c r="F1124" s="1" t="str">
        <f>IFERROR(__xludf.DUMMYFUNCTION("GOOGLETRANSLATE(A1124, ""zh-CN"", ""ko"")"),"친숙한")</f>
        <v>친숙한</v>
      </c>
    </row>
    <row r="1125" ht="15.75" customHeight="1">
      <c r="A1125" s="1" t="s">
        <v>3333</v>
      </c>
      <c r="B1125" s="1">
        <v>4.0</v>
      </c>
      <c r="C1125" s="1" t="s">
        <v>3334</v>
      </c>
      <c r="D1125" s="1" t="s">
        <v>52</v>
      </c>
      <c r="E1125" s="1" t="s">
        <v>3335</v>
      </c>
      <c r="F1125" s="1" t="str">
        <f>IFERROR(__xludf.DUMMYFUNCTION("GOOGLETRANSLATE(A1125, ""zh-CN"", ""ko"")"),"흥미로운")</f>
        <v>흥미로운</v>
      </c>
    </row>
    <row r="1126" ht="15.75" customHeight="1">
      <c r="A1126" s="1" t="s">
        <v>3336</v>
      </c>
      <c r="B1126" s="1">
        <v>4.0</v>
      </c>
      <c r="C1126" s="1" t="s">
        <v>3337</v>
      </c>
      <c r="D1126" s="1" t="s">
        <v>16</v>
      </c>
      <c r="E1126" s="1" t="s">
        <v>3338</v>
      </c>
      <c r="F1126" s="1" t="str">
        <f>IFERROR(__xludf.DUMMYFUNCTION("GOOGLETRANSLATE(A1126, ""zh-CN"", ""ko"")"),"우정")</f>
        <v>우정</v>
      </c>
    </row>
    <row r="1127" ht="15.75" customHeight="1">
      <c r="A1127" s="1" t="s">
        <v>3339</v>
      </c>
      <c r="B1127" s="1">
        <v>4.0</v>
      </c>
      <c r="C1127" s="1" t="s">
        <v>3340</v>
      </c>
      <c r="D1127" s="1" t="s">
        <v>52</v>
      </c>
      <c r="E1127" s="1" t="s">
        <v>3341</v>
      </c>
      <c r="F1127" s="1" t="str">
        <f>IFERROR(__xludf.DUMMYFUNCTION("GOOGLETRANSLATE(A1127, ""zh-CN"", ""ko"")"),"기쁨")</f>
        <v>기쁨</v>
      </c>
    </row>
    <row r="1128" ht="15.75" customHeight="1">
      <c r="A1128" s="1" t="s">
        <v>3342</v>
      </c>
      <c r="B1128" s="1">
        <v>4.0</v>
      </c>
      <c r="C1128" s="1" t="s">
        <v>3343</v>
      </c>
      <c r="D1128" s="1" t="s">
        <v>1473</v>
      </c>
      <c r="E1128" s="1" t="s">
        <v>3344</v>
      </c>
      <c r="F1128" s="1" t="str">
        <f>IFERROR(__xludf.DUMMYFUNCTION("GOOGLETRANSLATE(A1128, ""zh-CN"", ""ko"")"),"그 다음에")</f>
        <v>그 다음에</v>
      </c>
    </row>
    <row r="1129" ht="15.75" customHeight="1">
      <c r="A1129" s="1" t="s">
        <v>3345</v>
      </c>
      <c r="B1129" s="1">
        <v>4.0</v>
      </c>
      <c r="C1129" s="1" t="s">
        <v>3346</v>
      </c>
      <c r="D1129" s="1" t="s">
        <v>3328</v>
      </c>
      <c r="E1129" s="1" t="s">
        <v>3347</v>
      </c>
      <c r="F1129" s="1" t="str">
        <f>IFERROR(__xludf.DUMMYFUNCTION("GOOGLETRANSLATE(A1129, ""zh-CN"", ""ko"")"),"그리고")</f>
        <v>그리고</v>
      </c>
    </row>
    <row r="1130" ht="15.75" customHeight="1">
      <c r="A1130" s="1" t="s">
        <v>3348</v>
      </c>
      <c r="B1130" s="1">
        <v>4.0</v>
      </c>
      <c r="C1130" s="1" t="s">
        <v>3349</v>
      </c>
      <c r="D1130" s="1" t="s">
        <v>16</v>
      </c>
      <c r="E1130" s="1" t="s">
        <v>3350</v>
      </c>
      <c r="F1130" s="1" t="str">
        <f>IFERROR(__xludf.DUMMYFUNCTION("GOOGLETRANSLATE(A1130, ""zh-CN"", ""ko"")"),"문법")</f>
        <v>문법</v>
      </c>
    </row>
    <row r="1131" ht="15.75" customHeight="1">
      <c r="A1131" s="1" t="s">
        <v>3351</v>
      </c>
      <c r="B1131" s="1">
        <v>4.0</v>
      </c>
      <c r="C1131" s="1" t="s">
        <v>3352</v>
      </c>
      <c r="D1131" s="1" t="s">
        <v>16</v>
      </c>
      <c r="E1131" s="1" t="s">
        <v>3353</v>
      </c>
      <c r="F1131" s="1" t="str">
        <f>IFERROR(__xludf.DUMMYFUNCTION("GOOGLETRANSLATE(A1131, ""zh-CN"", ""ko"")"),"배드민턴")</f>
        <v>배드민턴</v>
      </c>
    </row>
    <row r="1132" ht="15.75" customHeight="1">
      <c r="A1132" s="1" t="s">
        <v>3354</v>
      </c>
      <c r="B1132" s="1">
        <v>4.0</v>
      </c>
      <c r="C1132" s="1" t="s">
        <v>3355</v>
      </c>
      <c r="D1132" s="1" t="s">
        <v>16</v>
      </c>
      <c r="E1132" s="1" t="s">
        <v>3356</v>
      </c>
      <c r="F1132" s="1" t="str">
        <f>IFERROR(__xludf.DUMMYFUNCTION("GOOGLETRANSLATE(A1132, ""zh-CN"", ""ko"")"),"언어")</f>
        <v>언어</v>
      </c>
    </row>
    <row r="1133" ht="15.75" customHeight="1">
      <c r="A1133" s="1" t="s">
        <v>3357</v>
      </c>
      <c r="B1133" s="1">
        <v>4.0</v>
      </c>
      <c r="C1133" s="1" t="s">
        <v>3358</v>
      </c>
      <c r="D1133" s="1" t="s">
        <v>8</v>
      </c>
      <c r="E1133" s="1" t="s">
        <v>3359</v>
      </c>
      <c r="F1133" s="1" t="str">
        <f>IFERROR(__xludf.DUMMYFUNCTION("GOOGLETRANSLATE(A1133, ""zh-CN"", ""ko"")"),"시사")</f>
        <v>시사</v>
      </c>
    </row>
    <row r="1134" ht="15.75" customHeight="1">
      <c r="A1134" s="1" t="s">
        <v>3360</v>
      </c>
      <c r="B1134" s="1">
        <v>4.0</v>
      </c>
      <c r="C1134" s="1" t="s">
        <v>3361</v>
      </c>
      <c r="D1134" s="1" t="s">
        <v>1538</v>
      </c>
      <c r="E1134" s="1" t="s">
        <v>1827</v>
      </c>
      <c r="F1134" s="1" t="str">
        <f>IFERROR(__xludf.DUMMYFUNCTION("GOOGLETRANSLATE(A1134, ""zh-CN"", ""ko"")"),"결국 ~인 것으로 드러난다")</f>
        <v>결국 ~인 것으로 드러난다</v>
      </c>
    </row>
    <row r="1135" ht="15.75" customHeight="1">
      <c r="A1135" s="1" t="s">
        <v>3362</v>
      </c>
      <c r="B1135" s="1">
        <v>4.0</v>
      </c>
      <c r="C1135" s="1" t="s">
        <v>3363</v>
      </c>
      <c r="D1135" s="1" t="s">
        <v>8</v>
      </c>
      <c r="E1135" s="1" t="s">
        <v>3364</v>
      </c>
      <c r="F1135" s="1" t="str">
        <f>IFERROR(__xludf.DUMMYFUNCTION("GOOGLETRANSLATE(A1135, ""zh-CN"", ""ko"")"),"용서하다")</f>
        <v>용서하다</v>
      </c>
    </row>
    <row r="1136" ht="15.75" customHeight="1">
      <c r="A1136" s="1" t="s">
        <v>3365</v>
      </c>
      <c r="B1136" s="1">
        <v>4.0</v>
      </c>
      <c r="C1136" s="1" t="s">
        <v>3366</v>
      </c>
      <c r="D1136" s="1" t="s">
        <v>16</v>
      </c>
      <c r="E1136" s="1" t="s">
        <v>3367</v>
      </c>
      <c r="F1136" s="1" t="str">
        <f>IFERROR(__xludf.DUMMYFUNCTION("GOOGLETRANSLATE(A1136, ""zh-CN"", ""ko"")"),"이유")</f>
        <v>이유</v>
      </c>
    </row>
    <row r="1137" ht="15.75" customHeight="1">
      <c r="A1137" s="1" t="s">
        <v>3368</v>
      </c>
      <c r="B1137" s="1">
        <v>4.0</v>
      </c>
      <c r="C1137" s="1" t="s">
        <v>3369</v>
      </c>
      <c r="D1137" s="1" t="s">
        <v>16</v>
      </c>
      <c r="E1137" s="1" t="s">
        <v>3370</v>
      </c>
      <c r="F1137" s="1" t="str">
        <f>IFERROR(__xludf.DUMMYFUNCTION("GOOGLETRANSLATE(A1137, ""zh-CN"", ""ko"")"),"데이트")</f>
        <v>데이트</v>
      </c>
    </row>
    <row r="1138" ht="15.75" customHeight="1">
      <c r="A1138" s="1" t="s">
        <v>3371</v>
      </c>
      <c r="B1138" s="1">
        <v>4.0</v>
      </c>
      <c r="C1138" s="1" t="s">
        <v>3372</v>
      </c>
      <c r="D1138" s="1" t="s">
        <v>8</v>
      </c>
      <c r="E1138" s="1" t="s">
        <v>3373</v>
      </c>
      <c r="F1138" s="1" t="str">
        <f>IFERROR(__xludf.DUMMYFUNCTION("GOOGLETRANSLATE(A1138, ""zh-CN"", ""ko"")"),"읽다")</f>
        <v>읽다</v>
      </c>
    </row>
    <row r="1139" ht="15.75" customHeight="1">
      <c r="A1139" s="1" t="s">
        <v>3374</v>
      </c>
      <c r="B1139" s="1">
        <v>4.0</v>
      </c>
      <c r="C1139" s="1" t="s">
        <v>3375</v>
      </c>
      <c r="D1139" s="1" t="s">
        <v>16</v>
      </c>
      <c r="E1139" s="1" t="s">
        <v>3376</v>
      </c>
      <c r="F1139" s="1" t="str">
        <f>IFERROR(__xludf.DUMMYFUNCTION("GOOGLETRANSLATE(A1139, ""zh-CN"", ""ko"")"),"구름")</f>
        <v>구름</v>
      </c>
    </row>
    <row r="1140" ht="15.75" customHeight="1">
      <c r="A1140" s="1" t="s">
        <v>3377</v>
      </c>
      <c r="B1140" s="1">
        <v>4.0</v>
      </c>
      <c r="C1140" s="1" t="s">
        <v>3378</v>
      </c>
      <c r="D1140" s="1" t="s">
        <v>8</v>
      </c>
      <c r="E1140" s="1" t="s">
        <v>3379</v>
      </c>
      <c r="F1140" s="1" t="str">
        <f>IFERROR(__xludf.DUMMYFUNCTION("GOOGLETRANSLATE(A1140, ""zh-CN"", ""ko"")"),"허용하다")</f>
        <v>허용하다</v>
      </c>
    </row>
    <row r="1141" ht="15.75" customHeight="1">
      <c r="A1141" s="1" t="s">
        <v>3380</v>
      </c>
      <c r="B1141" s="1">
        <v>4.0</v>
      </c>
      <c r="C1141" s="1" t="s">
        <v>3381</v>
      </c>
      <c r="D1141" s="1" t="s">
        <v>16</v>
      </c>
      <c r="E1141" s="1" t="s">
        <v>3382</v>
      </c>
      <c r="F1141" s="1" t="str">
        <f>IFERROR(__xludf.DUMMYFUNCTION("GOOGLETRANSLATE(A1141, ""zh-CN"", ""ko"")"),"잡지")</f>
        <v>잡지</v>
      </c>
    </row>
    <row r="1142" ht="15.75" customHeight="1">
      <c r="A1142" s="1" t="s">
        <v>3383</v>
      </c>
      <c r="B1142" s="1">
        <v>4.0</v>
      </c>
      <c r="C1142" s="1" t="s">
        <v>3384</v>
      </c>
      <c r="D1142" s="1" t="s">
        <v>88</v>
      </c>
      <c r="E1142" s="1" t="s">
        <v>3385</v>
      </c>
      <c r="F1142" s="1" t="str">
        <f>IFERROR(__xludf.DUMMYFUNCTION("GOOGLETRANSLATE(A1142, ""zh-CN"", ""ko"")"),"우리")</f>
        <v>우리</v>
      </c>
    </row>
    <row r="1143" ht="15.75" customHeight="1">
      <c r="A1143" s="1" t="s">
        <v>3386</v>
      </c>
      <c r="B1143" s="1">
        <v>4.0</v>
      </c>
      <c r="C1143" s="1" t="s">
        <v>3387</v>
      </c>
      <c r="D1143" s="1" t="s">
        <v>16</v>
      </c>
      <c r="E1143" s="1" t="s">
        <v>3388</v>
      </c>
      <c r="F1143" s="1" t="str">
        <f>IFERROR(__xludf.DUMMYFUNCTION("GOOGLETRANSLATE(A1143, ""zh-CN"", ""ko"")"),"일시적인")</f>
        <v>일시적인</v>
      </c>
    </row>
    <row r="1144" ht="15.75" customHeight="1">
      <c r="A1144" s="1" t="s">
        <v>3389</v>
      </c>
      <c r="B1144" s="1">
        <v>4.0</v>
      </c>
      <c r="C1144" s="1" t="s">
        <v>3390</v>
      </c>
      <c r="D1144" s="1" t="s">
        <v>52</v>
      </c>
      <c r="E1144" s="1" t="s">
        <v>3391</v>
      </c>
      <c r="F1144" s="1" t="str">
        <f>IFERROR(__xludf.DUMMYFUNCTION("GOOGLETRANSLATE(A1144, ""zh-CN"", ""ko"")"),"더러운")</f>
        <v>더러운</v>
      </c>
    </row>
    <row r="1145" ht="15.75" customHeight="1">
      <c r="A1145" s="1" t="s">
        <v>3392</v>
      </c>
      <c r="B1145" s="1">
        <v>4.0</v>
      </c>
      <c r="C1145" s="1" t="s">
        <v>3393</v>
      </c>
      <c r="D1145" s="1" t="s">
        <v>16</v>
      </c>
      <c r="E1145" s="1" t="s">
        <v>3394</v>
      </c>
      <c r="F1145" s="1" t="str">
        <f>IFERROR(__xludf.DUMMYFUNCTION("GOOGLETRANSLATE(A1145, ""zh-CN"", ""ko"")"),"책임")</f>
        <v>책임</v>
      </c>
    </row>
    <row r="1146" ht="15.75" customHeight="1">
      <c r="A1146" s="1" t="s">
        <v>3395</v>
      </c>
      <c r="B1146" s="1">
        <v>4.0</v>
      </c>
      <c r="C1146" s="1" t="s">
        <v>3396</v>
      </c>
      <c r="D1146" s="1" t="s">
        <v>8</v>
      </c>
      <c r="E1146" s="1" t="s">
        <v>3397</v>
      </c>
      <c r="F1146" s="1" t="str">
        <f>IFERROR(__xludf.DUMMYFUNCTION("GOOGLETRANSLATE(A1146, ""zh-CN"", ""ko"")"),"증가하다")</f>
        <v>증가하다</v>
      </c>
    </row>
    <row r="1147" ht="15.75" customHeight="1">
      <c r="A1147" s="1" t="s">
        <v>3398</v>
      </c>
      <c r="B1147" s="1">
        <v>4.0</v>
      </c>
      <c r="C1147" s="1" t="s">
        <v>3399</v>
      </c>
      <c r="D1147" s="1" t="s">
        <v>8</v>
      </c>
      <c r="E1147" s="1" t="s">
        <v>3400</v>
      </c>
      <c r="F1147" s="1" t="str">
        <f>IFERROR(__xludf.DUMMYFUNCTION("GOOGLETRANSLATE(A1147, ""zh-CN"", ""ko"")"),"바쁘다")</f>
        <v>바쁘다</v>
      </c>
    </row>
    <row r="1148" ht="15.75" customHeight="1">
      <c r="A1148" s="1" t="s">
        <v>3401</v>
      </c>
      <c r="B1148" s="1">
        <v>4.0</v>
      </c>
      <c r="C1148" s="1" t="s">
        <v>3402</v>
      </c>
      <c r="D1148" s="1" t="s">
        <v>8</v>
      </c>
      <c r="E1148" s="1" t="s">
        <v>3403</v>
      </c>
      <c r="F1148" s="1" t="str">
        <f>IFERROR(__xludf.DUMMYFUNCTION("GOOGLETRANSLATE(A1148, ""zh-CN"", ""ko"")"),"신병 모집")</f>
        <v>신병 모집</v>
      </c>
    </row>
    <row r="1149" ht="15.75" customHeight="1">
      <c r="A1149" s="1" t="s">
        <v>3404</v>
      </c>
      <c r="B1149" s="1">
        <v>4.0</v>
      </c>
      <c r="C1149" s="1" t="s">
        <v>3405</v>
      </c>
      <c r="D1149" s="1" t="s">
        <v>8</v>
      </c>
      <c r="E1149" s="1" t="s">
        <v>3406</v>
      </c>
      <c r="F1149" s="1" t="str">
        <f>IFERROR(__xludf.DUMMYFUNCTION("GOOGLETRANSLATE(A1149, ""zh-CN"", ""ko"")"),"에 따르면")</f>
        <v>에 따르면</v>
      </c>
    </row>
    <row r="1150" ht="15.75" customHeight="1">
      <c r="A1150" s="1" t="s">
        <v>3407</v>
      </c>
      <c r="B1150" s="1">
        <v>4.0</v>
      </c>
      <c r="C1150" s="1" t="s">
        <v>3408</v>
      </c>
      <c r="D1150" s="1" t="s">
        <v>52</v>
      </c>
      <c r="E1150" s="1" t="s">
        <v>3409</v>
      </c>
      <c r="F1150" s="1" t="str">
        <f>IFERROR(__xludf.DUMMYFUNCTION("GOOGLETRANSLATE(A1150, ""zh-CN"", ""ko"")"),"진짜")</f>
        <v>진짜</v>
      </c>
    </row>
    <row r="1151" ht="15.75" customHeight="1">
      <c r="A1151" s="1" t="s">
        <v>3410</v>
      </c>
      <c r="B1151" s="1">
        <v>4.0</v>
      </c>
      <c r="C1151" s="1" t="s">
        <v>3411</v>
      </c>
      <c r="D1151" s="1" t="s">
        <v>8</v>
      </c>
      <c r="E1151" s="1" t="s">
        <v>3412</v>
      </c>
      <c r="F1151" s="1" t="str">
        <f>IFERROR(__xludf.DUMMYFUNCTION("GOOGLETRANSLATE(A1151, ""zh-CN"", ""ko"")"),"정돈하다")</f>
        <v>정돈하다</v>
      </c>
    </row>
    <row r="1152" ht="15.75" customHeight="1">
      <c r="A1152" s="1" t="s">
        <v>3413</v>
      </c>
      <c r="B1152" s="1">
        <v>4.0</v>
      </c>
      <c r="C1152" s="1" t="s">
        <v>3414</v>
      </c>
      <c r="D1152" s="1" t="s">
        <v>52</v>
      </c>
      <c r="E1152" s="1" t="s">
        <v>3415</v>
      </c>
      <c r="F1152" s="1" t="str">
        <f>IFERROR(__xludf.DUMMYFUNCTION("GOOGLETRANSLATE(A1152, ""zh-CN"", ""ko"")"),"정상")</f>
        <v>정상</v>
      </c>
    </row>
    <row r="1153" ht="15.75" customHeight="1">
      <c r="A1153" s="1" t="s">
        <v>3416</v>
      </c>
      <c r="B1153" s="1">
        <v>4.0</v>
      </c>
      <c r="C1153" s="1" t="s">
        <v>3417</v>
      </c>
      <c r="D1153" s="1" t="s">
        <v>1994</v>
      </c>
      <c r="E1153" s="1" t="s">
        <v>3418</v>
      </c>
      <c r="F1153" s="1" t="str">
        <f>IFERROR(__xludf.DUMMYFUNCTION("GOOGLETRANSLATE(A1153, ""zh-CN"", ""ko"")"),"딱 맞아요")</f>
        <v>딱 맞아요</v>
      </c>
    </row>
    <row r="1154" ht="15.75" customHeight="1">
      <c r="A1154" s="1" t="s">
        <v>3419</v>
      </c>
      <c r="B1154" s="1">
        <v>4.0</v>
      </c>
      <c r="C1154" s="1" t="s">
        <v>3420</v>
      </c>
      <c r="D1154" s="1" t="s">
        <v>113</v>
      </c>
      <c r="E1154" s="1" t="s">
        <v>3421</v>
      </c>
      <c r="F1154" s="1" t="str">
        <f>IFERROR(__xludf.DUMMYFUNCTION("GOOGLETRANSLATE(A1154, ""zh-CN"", ""ko"")"),"입증하다")</f>
        <v>입증하다</v>
      </c>
    </row>
    <row r="1155" ht="15.75" customHeight="1">
      <c r="A1155" s="1" t="s">
        <v>3422</v>
      </c>
      <c r="B1155" s="1">
        <v>4.0</v>
      </c>
      <c r="C1155" s="1" t="s">
        <v>3423</v>
      </c>
      <c r="D1155" s="1" t="s">
        <v>52</v>
      </c>
      <c r="E1155" s="1" t="s">
        <v>3424</v>
      </c>
      <c r="F1155" s="1" t="str">
        <f>IFERROR(__xludf.DUMMYFUNCTION("GOOGLETRANSLATE(A1155, ""zh-CN"", ""ko"")"),"옳은")</f>
        <v>옳은</v>
      </c>
    </row>
    <row r="1156" ht="15.75" customHeight="1">
      <c r="A1156" s="1" t="s">
        <v>3425</v>
      </c>
      <c r="B1156" s="1">
        <v>4.0</v>
      </c>
      <c r="C1156" s="1" t="s">
        <v>3426</v>
      </c>
      <c r="D1156" s="1" t="s">
        <v>52</v>
      </c>
      <c r="E1156" s="1" t="s">
        <v>3427</v>
      </c>
      <c r="F1156" s="1" t="str">
        <f>IFERROR(__xludf.DUMMYFUNCTION("GOOGLETRANSLATE(A1156, ""zh-CN"", ""ko"")"),"공식적인")</f>
        <v>공식적인</v>
      </c>
    </row>
    <row r="1157" ht="15.75" customHeight="1">
      <c r="A1157" s="1" t="s">
        <v>3428</v>
      </c>
      <c r="B1157" s="1">
        <v>4.0</v>
      </c>
      <c r="C1157" s="1" t="s">
        <v>3429</v>
      </c>
      <c r="D1157" s="1" t="s">
        <v>56</v>
      </c>
      <c r="E1157" s="1" t="s">
        <v>3430</v>
      </c>
      <c r="F1157" s="1" t="str">
        <f>IFERROR(__xludf.DUMMYFUNCTION("GOOGLETRANSLATE(A1157, ""zh-CN"", ""ko"")"),"의")</f>
        <v>의</v>
      </c>
    </row>
    <row r="1158" ht="15.75" customHeight="1">
      <c r="A1158" s="1" t="s">
        <v>3431</v>
      </c>
      <c r="B1158" s="1">
        <v>4.0</v>
      </c>
      <c r="C1158" s="1" t="s">
        <v>3432</v>
      </c>
      <c r="D1158" s="1" t="s">
        <v>8</v>
      </c>
      <c r="E1158" s="1" t="s">
        <v>3433</v>
      </c>
      <c r="F1158" s="1" t="str">
        <f>IFERROR(__xludf.DUMMYFUNCTION("GOOGLETRANSLATE(A1158, ""zh-CN"", ""ko"")"),"지원하다")</f>
        <v>지원하다</v>
      </c>
    </row>
    <row r="1159" ht="15.75" customHeight="1">
      <c r="A1159" s="1" t="s">
        <v>3434</v>
      </c>
      <c r="B1159" s="1">
        <v>4.0</v>
      </c>
      <c r="C1159" s="1" t="s">
        <v>3435</v>
      </c>
      <c r="D1159" s="1" t="s">
        <v>16</v>
      </c>
      <c r="E1159" s="1" t="s">
        <v>3436</v>
      </c>
      <c r="F1159" s="1" t="str">
        <f>IFERROR(__xludf.DUMMYFUNCTION("GOOGLETRANSLATE(A1159, ""zh-CN"", ""ko"")"),"지식")</f>
        <v>지식</v>
      </c>
    </row>
    <row r="1160" ht="15.75" customHeight="1">
      <c r="A1160" s="1" t="s">
        <v>3437</v>
      </c>
      <c r="B1160" s="1">
        <v>4.0</v>
      </c>
      <c r="C1160" s="1" t="s">
        <v>3438</v>
      </c>
      <c r="D1160" s="1" t="s">
        <v>8</v>
      </c>
      <c r="E1160" s="1" t="s">
        <v>3439</v>
      </c>
      <c r="F1160" s="1" t="str">
        <f>IFERROR(__xludf.DUMMYFUNCTION("GOOGLETRANSLATE(A1160, ""zh-CN"", ""ko"")"),"가치")</f>
        <v>가치</v>
      </c>
    </row>
    <row r="1161" ht="15.75" customHeight="1">
      <c r="A1161" s="1" t="s">
        <v>3440</v>
      </c>
      <c r="B1161" s="1">
        <v>4.0</v>
      </c>
      <c r="C1161" s="1" t="s">
        <v>3441</v>
      </c>
      <c r="D1161" s="1" t="s">
        <v>52</v>
      </c>
      <c r="E1161" s="1" t="s">
        <v>3442</v>
      </c>
      <c r="F1161" s="1" t="str">
        <f>IFERROR(__xludf.DUMMYFUNCTION("GOOGLETRANSLATE(A1161, ""zh-CN"", ""ko"")"),"직접")</f>
        <v>직접</v>
      </c>
    </row>
    <row r="1162" ht="15.75" customHeight="1">
      <c r="A1162" s="1" t="s">
        <v>3443</v>
      </c>
      <c r="B1162" s="1">
        <v>4.0</v>
      </c>
      <c r="C1162" s="1" t="s">
        <v>3444</v>
      </c>
      <c r="D1162" s="1" t="s">
        <v>16</v>
      </c>
      <c r="E1162" s="1" t="s">
        <v>3445</v>
      </c>
      <c r="F1162" s="1" t="str">
        <f>IFERROR(__xludf.DUMMYFUNCTION("GOOGLETRANSLATE(A1162, ""zh-CN"", ""ko"")"),"식물")</f>
        <v>식물</v>
      </c>
    </row>
    <row r="1163" ht="15.75" customHeight="1">
      <c r="A1163" s="1" t="s">
        <v>3446</v>
      </c>
      <c r="B1163" s="1">
        <v>4.0</v>
      </c>
      <c r="C1163" s="1" t="s">
        <v>3447</v>
      </c>
      <c r="D1163" s="1" t="s">
        <v>16</v>
      </c>
      <c r="E1163" s="1" t="s">
        <v>3448</v>
      </c>
      <c r="F1163" s="1" t="str">
        <f>IFERROR(__xludf.DUMMYFUNCTION("GOOGLETRANSLATE(A1163, ""zh-CN"", ""ko"")"),"직업")</f>
        <v>직업</v>
      </c>
    </row>
    <row r="1164" ht="15.75" customHeight="1">
      <c r="A1164" s="1" t="s">
        <v>3449</v>
      </c>
      <c r="B1164" s="1">
        <v>4.0</v>
      </c>
      <c r="C1164" s="1" t="s">
        <v>898</v>
      </c>
      <c r="D1164" s="1" t="s">
        <v>8</v>
      </c>
      <c r="E1164" s="1" t="s">
        <v>3450</v>
      </c>
      <c r="F1164" s="1" t="str">
        <f>IFERROR(__xludf.DUMMYFUNCTION("GOOGLETRANSLATE(A1164, ""zh-CN"", ""ko"")"),"참조하다")</f>
        <v>참조하다</v>
      </c>
    </row>
    <row r="1165" ht="15.75" customHeight="1">
      <c r="A1165" s="1" t="s">
        <v>3451</v>
      </c>
      <c r="B1165" s="1">
        <v>4.0</v>
      </c>
      <c r="C1165" s="1" t="s">
        <v>3452</v>
      </c>
      <c r="D1165" s="1" t="s">
        <v>33</v>
      </c>
      <c r="E1165" s="1" t="s">
        <v>3453</v>
      </c>
      <c r="F1165" s="1" t="str">
        <f>IFERROR(__xludf.DUMMYFUNCTION("GOOGLETRANSLATE(A1165, ""zh-CN"", ""ko"")"),"나는 선택의 여지가 없었다.")</f>
        <v>나는 선택의 여지가 없었다.</v>
      </c>
    </row>
    <row r="1166" ht="15.75" customHeight="1">
      <c r="A1166" s="1" t="s">
        <v>3454</v>
      </c>
      <c r="B1166" s="1">
        <v>4.0</v>
      </c>
      <c r="C1166" s="1" t="s">
        <v>3455</v>
      </c>
      <c r="D1166" s="1" t="s">
        <v>1473</v>
      </c>
      <c r="E1166" s="1" t="s">
        <v>3456</v>
      </c>
      <c r="F1166" s="1" t="str">
        <f>IFERROR(__xludf.DUMMYFUNCTION("GOOGLETRANSLATE(A1166, ""zh-CN"", ""ko"")"),"을 텐데")</f>
        <v>을 텐데</v>
      </c>
    </row>
    <row r="1167" ht="15.75" customHeight="1">
      <c r="A1167" s="1" t="s">
        <v>3457</v>
      </c>
      <c r="B1167" s="1">
        <v>4.0</v>
      </c>
      <c r="C1167" s="1" t="s">
        <v>3458</v>
      </c>
      <c r="D1167" s="1" t="s">
        <v>16</v>
      </c>
      <c r="E1167" s="1" t="s">
        <v>3459</v>
      </c>
      <c r="F1167" s="1" t="str">
        <f>IFERROR(__xludf.DUMMYFUNCTION("GOOGLETRANSLATE(A1167, ""zh-CN"", ""ko"")"),"품질")</f>
        <v>품질</v>
      </c>
    </row>
    <row r="1168" ht="15.75" customHeight="1">
      <c r="A1168" s="1" t="s">
        <v>3460</v>
      </c>
      <c r="B1168" s="1">
        <v>4.0</v>
      </c>
      <c r="C1168" s="1" t="s">
        <v>3461</v>
      </c>
      <c r="D1168" s="1" t="s">
        <v>33</v>
      </c>
      <c r="E1168" s="1" t="s">
        <v>3462</v>
      </c>
      <c r="F1168" s="1" t="str">
        <f>IFERROR(__xludf.DUMMYFUNCTION("GOOGLETRANSLATE(A1168, ""zh-CN"", ""ko"")"),"적어도")</f>
        <v>적어도</v>
      </c>
    </row>
    <row r="1169" ht="15.75" customHeight="1">
      <c r="A1169" s="1" t="s">
        <v>3463</v>
      </c>
      <c r="B1169" s="1">
        <v>4.0</v>
      </c>
      <c r="C1169" s="1" t="s">
        <v>3464</v>
      </c>
      <c r="D1169" s="1" t="s">
        <v>52</v>
      </c>
      <c r="E1169" s="1" t="s">
        <v>3465</v>
      </c>
      <c r="F1169" s="1" t="str">
        <f>IFERROR(__xludf.DUMMYFUNCTION("GOOGLETRANSLATE(A1169, ""zh-CN"", ""ko"")"),"무거운")</f>
        <v>무거운</v>
      </c>
    </row>
    <row r="1170" ht="15.75" customHeight="1">
      <c r="A1170" s="1" t="s">
        <v>3466</v>
      </c>
      <c r="B1170" s="1">
        <v>4.0</v>
      </c>
      <c r="C1170" s="1" t="s">
        <v>3467</v>
      </c>
      <c r="D1170" s="1" t="s">
        <v>16</v>
      </c>
      <c r="E1170" s="1" t="s">
        <v>3468</v>
      </c>
      <c r="F1170" s="1" t="str">
        <f>IFERROR(__xludf.DUMMYFUNCTION("GOOGLETRANSLATE(A1170, ""zh-CN"", ""ko"")"),"핵심 사항")</f>
        <v>핵심 사항</v>
      </c>
    </row>
    <row r="1171" ht="15.75" customHeight="1">
      <c r="A1171" s="1" t="s">
        <v>3469</v>
      </c>
      <c r="B1171" s="1">
        <v>4.0</v>
      </c>
      <c r="C1171" s="1" t="s">
        <v>3470</v>
      </c>
      <c r="D1171" s="1" t="s">
        <v>8</v>
      </c>
      <c r="E1171" s="1" t="s">
        <v>3471</v>
      </c>
      <c r="F1171" s="1" t="str">
        <f>IFERROR(__xludf.DUMMYFUNCTION("GOOGLETRANSLATE(A1171, ""zh-CN"", ""ko"")"),"주의하세요")</f>
        <v>주의하세요</v>
      </c>
    </row>
    <row r="1172" ht="15.75" customHeight="1">
      <c r="A1172" s="1" t="s">
        <v>3472</v>
      </c>
      <c r="B1172" s="1">
        <v>4.0</v>
      </c>
      <c r="C1172" s="1" t="s">
        <v>3473</v>
      </c>
      <c r="D1172" s="1" t="s">
        <v>16</v>
      </c>
      <c r="E1172" s="1" t="s">
        <v>3474</v>
      </c>
      <c r="F1172" s="1" t="str">
        <f>IFERROR(__xludf.DUMMYFUNCTION("GOOGLETRANSLATE(A1172, ""zh-CN"", ""ko"")"),"약")</f>
        <v>약</v>
      </c>
    </row>
    <row r="1173" ht="15.75" customHeight="1">
      <c r="A1173" s="1" t="s">
        <v>3475</v>
      </c>
      <c r="B1173" s="1">
        <v>4.0</v>
      </c>
      <c r="C1173" s="1" t="s">
        <v>3476</v>
      </c>
      <c r="D1173" s="1" t="s">
        <v>16</v>
      </c>
      <c r="E1173" s="1" t="s">
        <v>3283</v>
      </c>
      <c r="F1173" s="1" t="str">
        <f>IFERROR(__xludf.DUMMYFUNCTION("GOOGLETRANSLATE(A1173, ""zh-CN"", ""ko"")"),"아이디어")</f>
        <v>아이디어</v>
      </c>
    </row>
    <row r="1174" ht="15.75" customHeight="1">
      <c r="A1174" s="1" t="s">
        <v>3477</v>
      </c>
      <c r="B1174" s="1">
        <v>4.0</v>
      </c>
      <c r="C1174" s="1" t="s">
        <v>3478</v>
      </c>
      <c r="D1174" s="1" t="s">
        <v>8</v>
      </c>
      <c r="E1174" s="1" t="s">
        <v>3479</v>
      </c>
      <c r="F1174" s="1" t="str">
        <f>IFERROR(__xludf.DUMMYFUNCTION("GOOGLETRANSLATE(A1174, ""zh-CN"", ""ko"")"),"축하합니다")</f>
        <v>축하합니다</v>
      </c>
    </row>
    <row r="1175" ht="15.75" customHeight="1">
      <c r="A1175" s="1" t="s">
        <v>3480</v>
      </c>
      <c r="B1175" s="1">
        <v>4.0</v>
      </c>
      <c r="C1175" s="1" t="s">
        <v>3481</v>
      </c>
      <c r="D1175" s="1" t="s">
        <v>52</v>
      </c>
      <c r="E1175" s="1" t="s">
        <v>1705</v>
      </c>
      <c r="F1175" s="1" t="str">
        <f>IFERROR(__xludf.DUMMYFUNCTION("GOOGLETRANSLATE(A1175, ""zh-CN"", ""ko"")"),"유명한")</f>
        <v>유명한</v>
      </c>
    </row>
    <row r="1176" ht="15.75" customHeight="1">
      <c r="A1176" s="1" t="s">
        <v>3482</v>
      </c>
      <c r="B1176" s="1">
        <v>4.0</v>
      </c>
      <c r="C1176" s="1" t="s">
        <v>3483</v>
      </c>
      <c r="D1176" s="1" t="s">
        <v>33</v>
      </c>
      <c r="E1176" s="1" t="s">
        <v>3484</v>
      </c>
      <c r="F1176" s="1" t="str">
        <f>IFERROR(__xludf.DUMMYFUNCTION("GOOGLETRANSLATE(A1176, ""zh-CN"", ""ko"")"),"전문화된")</f>
        <v>전문화된</v>
      </c>
    </row>
    <row r="1177" ht="15.75" customHeight="1">
      <c r="A1177" s="1" t="s">
        <v>3485</v>
      </c>
      <c r="B1177" s="1">
        <v>4.0</v>
      </c>
      <c r="C1177" s="1" t="s">
        <v>3486</v>
      </c>
      <c r="D1177" s="1" t="s">
        <v>16</v>
      </c>
      <c r="E1177" s="1" t="s">
        <v>3487</v>
      </c>
      <c r="F1177" s="1" t="str">
        <f>IFERROR(__xludf.DUMMYFUNCTION("GOOGLETRANSLATE(A1177, ""zh-CN"", ""ko"")"),"주요한")</f>
        <v>주요한</v>
      </c>
    </row>
    <row r="1178" ht="15.75" customHeight="1">
      <c r="A1178" s="1" t="s">
        <v>3488</v>
      </c>
      <c r="B1178" s="1">
        <v>4.0</v>
      </c>
      <c r="C1178" s="1" t="s">
        <v>3489</v>
      </c>
      <c r="D1178" s="1" t="s">
        <v>8</v>
      </c>
      <c r="E1178" s="1" t="s">
        <v>3490</v>
      </c>
      <c r="F1178" s="1" t="str">
        <f>IFERROR(__xludf.DUMMYFUNCTION("GOOGLETRANSLATE(A1178, ""zh-CN"", ""ko"")"),"변화")</f>
        <v>변화</v>
      </c>
    </row>
    <row r="1179" ht="15.75" customHeight="1">
      <c r="A1179" s="1" t="s">
        <v>3491</v>
      </c>
      <c r="B1179" s="1">
        <v>4.0</v>
      </c>
      <c r="C1179" s="1" t="s">
        <v>3492</v>
      </c>
      <c r="D1179" s="1" t="s">
        <v>8</v>
      </c>
      <c r="E1179" s="1" t="s">
        <v>3493</v>
      </c>
      <c r="F1179" s="1" t="str">
        <f>IFERROR(__xludf.DUMMYFUNCTION("GOOGLETRANSLATE(A1179, ""zh-CN"", ""ko"")"),"벌다")</f>
        <v>벌다</v>
      </c>
    </row>
    <row r="1180" ht="15.75" customHeight="1">
      <c r="A1180" s="1" t="s">
        <v>3494</v>
      </c>
      <c r="B1180" s="1">
        <v>4.0</v>
      </c>
      <c r="C1180" s="1" t="s">
        <v>3495</v>
      </c>
      <c r="D1180" s="1" t="s">
        <v>52</v>
      </c>
      <c r="E1180" s="1" t="s">
        <v>3496</v>
      </c>
      <c r="F1180" s="1" t="str">
        <f>IFERROR(__xludf.DUMMYFUNCTION("GOOGLETRANSLATE(A1180, ""zh-CN"", ""ko"")"),"정밀한")</f>
        <v>정밀한</v>
      </c>
    </row>
    <row r="1181" ht="15.75" customHeight="1">
      <c r="A1181" s="1" t="s">
        <v>3497</v>
      </c>
      <c r="B1181" s="1">
        <v>4.0</v>
      </c>
      <c r="C1181" s="1" t="s">
        <v>3498</v>
      </c>
      <c r="D1181" s="1" t="s">
        <v>52</v>
      </c>
      <c r="E1181" s="1" t="s">
        <v>3499</v>
      </c>
      <c r="F1181" s="1" t="str">
        <f>IFERROR(__xludf.DUMMYFUNCTION("GOOGLETRANSLATE(A1181, ""zh-CN"", ""ko"")"),"정시에")</f>
        <v>정시에</v>
      </c>
    </row>
    <row r="1182" ht="15.75" customHeight="1">
      <c r="A1182" s="1" t="s">
        <v>3500</v>
      </c>
      <c r="B1182" s="1">
        <v>4.0</v>
      </c>
      <c r="C1182" s="1" t="s">
        <v>3501</v>
      </c>
      <c r="D1182" s="1" t="s">
        <v>52</v>
      </c>
      <c r="E1182" s="1" t="s">
        <v>3502</v>
      </c>
      <c r="F1182" s="1" t="str">
        <f>IFERROR(__xludf.DUMMYFUNCTION("GOOGLETRANSLATE(A1182, ""zh-CN"", ""ko"")"),"주의력")</f>
        <v>주의력</v>
      </c>
    </row>
    <row r="1183" ht="15.75" customHeight="1">
      <c r="A1183" s="1" t="s">
        <v>3503</v>
      </c>
      <c r="B1183" s="1">
        <v>4.0</v>
      </c>
      <c r="C1183" s="1" t="s">
        <v>3504</v>
      </c>
      <c r="D1183" s="1" t="s">
        <v>3505</v>
      </c>
      <c r="E1183" s="1" t="s">
        <v>3506</v>
      </c>
      <c r="F1183" s="1" t="str">
        <f>IFERROR(__xludf.DUMMYFUNCTION("GOOGLETRANSLATE(A1183, ""zh-CN"", ""ko"")"),"자연")</f>
        <v>자연</v>
      </c>
    </row>
    <row r="1184" ht="15.75" customHeight="1">
      <c r="A1184" s="1" t="s">
        <v>3507</v>
      </c>
      <c r="B1184" s="1">
        <v>4.0</v>
      </c>
      <c r="C1184" s="1" t="s">
        <v>3508</v>
      </c>
      <c r="D1184" s="1" t="s">
        <v>52</v>
      </c>
      <c r="E1184" s="1" t="s">
        <v>3509</v>
      </c>
      <c r="F1184" s="1" t="str">
        <f>IFERROR(__xludf.DUMMYFUNCTION("GOOGLETRANSLATE(A1184, ""zh-CN"", ""ko"")"),"신뢰")</f>
        <v>신뢰</v>
      </c>
    </row>
    <row r="1185" ht="15.75" customHeight="1">
      <c r="A1185" s="1" t="s">
        <v>3510</v>
      </c>
      <c r="B1185" s="1">
        <v>4.0</v>
      </c>
      <c r="C1185" s="1" t="s">
        <v>3511</v>
      </c>
      <c r="D1185" s="1" t="s">
        <v>875</v>
      </c>
      <c r="E1185" s="1" t="s">
        <v>3512</v>
      </c>
      <c r="F1185" s="1" t="str">
        <f>IFERROR(__xludf.DUMMYFUNCTION("GOOGLETRANSLATE(A1185, ""zh-CN"", ""ko"")"),"요약하다")</f>
        <v>요약하다</v>
      </c>
    </row>
    <row r="1186" ht="15.75" customHeight="1">
      <c r="A1186" s="1" t="s">
        <v>3513</v>
      </c>
      <c r="B1186" s="1">
        <v>4.0</v>
      </c>
      <c r="C1186" s="1" t="s">
        <v>3514</v>
      </c>
      <c r="D1186" s="1" t="s">
        <v>8</v>
      </c>
      <c r="E1186" s="1" t="s">
        <v>3515</v>
      </c>
      <c r="F1186" s="1" t="str">
        <f>IFERROR(__xludf.DUMMYFUNCTION("GOOGLETRANSLATE(A1186, ""zh-CN"", ""ko"")"),"임차료")</f>
        <v>임차료</v>
      </c>
    </row>
    <row r="1187" ht="15.75" customHeight="1">
      <c r="A1187" s="1" t="s">
        <v>3516</v>
      </c>
      <c r="B1187" s="1">
        <v>4.0</v>
      </c>
      <c r="C1187" s="1" t="s">
        <v>3517</v>
      </c>
      <c r="D1187" s="1" t="s">
        <v>33</v>
      </c>
      <c r="E1187" s="1" t="s">
        <v>3518</v>
      </c>
      <c r="F1187" s="1" t="str">
        <f>IFERROR(__xludf.DUMMYFUNCTION("GOOGLETRANSLATE(A1187, ""zh-CN"", ""ko"")"),"최대")</f>
        <v>최대</v>
      </c>
    </row>
    <row r="1188" ht="15.75" customHeight="1">
      <c r="A1188" s="1" t="s">
        <v>3519</v>
      </c>
      <c r="B1188" s="1">
        <v>4.0</v>
      </c>
      <c r="C1188" s="1" t="s">
        <v>3520</v>
      </c>
      <c r="D1188" s="1" t="s">
        <v>8</v>
      </c>
      <c r="E1188" s="1" t="s">
        <v>3521</v>
      </c>
      <c r="F1188" s="1" t="str">
        <f>IFERROR(__xludf.DUMMYFUNCTION("GOOGLETRANSLATE(A1188, ""zh-CN"", ""ko"")"),"존경")</f>
        <v>존경</v>
      </c>
    </row>
    <row r="1189" ht="15.75" customHeight="1">
      <c r="A1189" s="1" t="s">
        <v>3522</v>
      </c>
      <c r="B1189" s="1">
        <v>4.0</v>
      </c>
      <c r="C1189" s="1" t="s">
        <v>3523</v>
      </c>
      <c r="D1189" s="1" t="s">
        <v>16</v>
      </c>
      <c r="E1189" s="1" t="s">
        <v>3524</v>
      </c>
      <c r="F1189" s="1" t="str">
        <f>IFERROR(__xludf.DUMMYFUNCTION("GOOGLETRANSLATE(A1189, ""zh-CN"", ""ko"")"),"~에 대한")</f>
        <v>~에 대한</v>
      </c>
    </row>
    <row r="1190" ht="15.75" customHeight="1">
      <c r="A1190" s="1" t="s">
        <v>3525</v>
      </c>
      <c r="B1190" s="1">
        <v>4.0</v>
      </c>
      <c r="C1190" s="1" t="s">
        <v>465</v>
      </c>
      <c r="D1190" s="1" t="s">
        <v>26</v>
      </c>
      <c r="E1190" s="1" t="s">
        <v>3526</v>
      </c>
      <c r="F1190" s="1" t="str">
        <f>IFERROR(__xludf.DUMMYFUNCTION("GOOGLETRANSLATE(A1190, ""zh-CN"", ""ko"")"),"좌석")</f>
        <v>좌석</v>
      </c>
    </row>
    <row r="1191" ht="15.75" customHeight="1">
      <c r="A1191" s="1" t="s">
        <v>3527</v>
      </c>
      <c r="B1191" s="1">
        <v>4.0</v>
      </c>
      <c r="C1191" s="1" t="s">
        <v>3528</v>
      </c>
      <c r="D1191" s="1" t="s">
        <v>16</v>
      </c>
      <c r="E1191" s="1" t="s">
        <v>3529</v>
      </c>
      <c r="F1191" s="1" t="str">
        <f>IFERROR(__xludf.DUMMYFUNCTION("GOOGLETRANSLATE(A1191, ""zh-CN"", ""ko"")"),"작가")</f>
        <v>작가</v>
      </c>
    </row>
    <row r="1192" ht="15.75" customHeight="1">
      <c r="A1192" s="1" t="s">
        <v>3530</v>
      </c>
      <c r="B1192" s="1">
        <v>4.0</v>
      </c>
      <c r="C1192" s="1" t="s">
        <v>3531</v>
      </c>
      <c r="D1192" s="1" t="s">
        <v>16</v>
      </c>
      <c r="E1192" s="1" t="s">
        <v>3532</v>
      </c>
      <c r="F1192" s="1" t="str">
        <f>IFERROR(__xludf.DUMMYFUNCTION("GOOGLETRANSLATE(A1192, ""zh-CN"", ""ko"")"),"좌석")</f>
        <v>좌석</v>
      </c>
    </row>
    <row r="1193" ht="15.75" customHeight="1">
      <c r="A1193" s="1" t="s">
        <v>3533</v>
      </c>
      <c r="B1193" s="1">
        <v>4.0</v>
      </c>
      <c r="C1193" s="1" t="s">
        <v>3534</v>
      </c>
      <c r="D1193" s="1" t="s">
        <v>16</v>
      </c>
      <c r="E1193" s="1" t="s">
        <v>3535</v>
      </c>
      <c r="F1193" s="1" t="str">
        <f>IFERROR(__xludf.DUMMYFUNCTION("GOOGLETRANSLATE(A1193, ""zh-CN"", ""ko"")"),"효과")</f>
        <v>효과</v>
      </c>
    </row>
    <row r="1194" ht="15.75" customHeight="1">
      <c r="A1194" s="1" t="s">
        <v>3536</v>
      </c>
      <c r="B1194" s="1">
        <v>4.0</v>
      </c>
      <c r="C1194" s="1" t="s">
        <v>3537</v>
      </c>
      <c r="D1194" s="1" t="s">
        <v>16</v>
      </c>
      <c r="E1194" s="1" t="s">
        <v>3538</v>
      </c>
      <c r="F1194" s="1" t="str">
        <f>IFERROR(__xludf.DUMMYFUNCTION("GOOGLETRANSLATE(A1194, ""zh-CN"", ""ko"")"),"작가")</f>
        <v>작가</v>
      </c>
    </row>
    <row r="1195" ht="15.75" customHeight="1">
      <c r="A1195" s="1" t="s">
        <v>3539</v>
      </c>
      <c r="B1195" s="1">
        <v>5.0</v>
      </c>
      <c r="C1195" s="1" t="s">
        <v>3540</v>
      </c>
      <c r="D1195" s="1" t="s">
        <v>3541</v>
      </c>
      <c r="E1195" s="1" t="s">
        <v>3542</v>
      </c>
      <c r="F1195" s="1" t="str">
        <f>IFERROR(__xludf.DUMMYFUNCTION("GOOGLETRANSLATE(A1195, ""zh-CN"", ""ko"")"),"왜")</f>
        <v>왜</v>
      </c>
    </row>
    <row r="1196" ht="15.75" customHeight="1">
      <c r="A1196" s="1" t="s">
        <v>3543</v>
      </c>
      <c r="B1196" s="1">
        <v>5.0</v>
      </c>
      <c r="C1196" s="1" t="s">
        <v>3544</v>
      </c>
      <c r="D1196" s="1" t="s">
        <v>8</v>
      </c>
      <c r="E1196" s="1" t="s">
        <v>3545</v>
      </c>
      <c r="F1196" s="1" t="str">
        <f>IFERROR(__xludf.DUMMYFUNCTION("GOOGLETRANSLATE(A1196, ""zh-CN"", ""ko"")"),"깨어있으세요")</f>
        <v>깨어있으세요</v>
      </c>
    </row>
    <row r="1197" ht="15.75" customHeight="1">
      <c r="A1197" s="1" t="s">
        <v>3546</v>
      </c>
      <c r="B1197" s="1">
        <v>5.0</v>
      </c>
      <c r="C1197" s="1" t="s">
        <v>7</v>
      </c>
      <c r="D1197" s="1" t="s">
        <v>3541</v>
      </c>
      <c r="E1197" s="1" t="s">
        <v>3547</v>
      </c>
      <c r="F1197" s="1" t="str">
        <f>IFERROR(__xludf.DUMMYFUNCTION("GOOGLETRANSLATE(A1197, ""zh-CN"", ""ko"")"),"잘")</f>
        <v>잘</v>
      </c>
    </row>
    <row r="1198" ht="15.75" customHeight="1">
      <c r="A1198" s="1" t="s">
        <v>3548</v>
      </c>
      <c r="B1198" s="1">
        <v>5.0</v>
      </c>
      <c r="C1198" s="1" t="s">
        <v>3549</v>
      </c>
      <c r="D1198" s="1" t="s">
        <v>8</v>
      </c>
      <c r="E1198" s="1" t="s">
        <v>3550</v>
      </c>
      <c r="F1198" s="1" t="str">
        <f>IFERROR(__xludf.DUMMYFUNCTION("GOOGLETRANSLATE(A1198, ""zh-CN"", ""ko"")"),"아끼다")</f>
        <v>아끼다</v>
      </c>
    </row>
    <row r="1199" ht="15.75" customHeight="1">
      <c r="A1199" s="1" t="s">
        <v>3551</v>
      </c>
      <c r="B1199" s="1">
        <v>5.0</v>
      </c>
      <c r="C1199" s="1" t="s">
        <v>3552</v>
      </c>
      <c r="D1199" s="1" t="s">
        <v>8</v>
      </c>
      <c r="E1199" s="1" t="s">
        <v>3553</v>
      </c>
      <c r="F1199" s="1" t="str">
        <f>IFERROR(__xludf.DUMMYFUNCTION("GOOGLETRANSLATE(A1199, ""zh-CN"", ""ko"")"),"아끼다")</f>
        <v>아끼다</v>
      </c>
    </row>
    <row r="1200" ht="15.75" customHeight="1">
      <c r="A1200" s="1" t="s">
        <v>3554</v>
      </c>
      <c r="B1200" s="1">
        <v>5.0</v>
      </c>
      <c r="C1200" s="1" t="s">
        <v>3555</v>
      </c>
      <c r="D1200" s="1" t="s">
        <v>16</v>
      </c>
      <c r="E1200" s="1" t="s">
        <v>3556</v>
      </c>
      <c r="F1200" s="1" t="str">
        <f>IFERROR(__xludf.DUMMYFUNCTION("GOOGLETRANSLATE(A1200, ""zh-CN"", ""ko"")"),"사랑")</f>
        <v>사랑</v>
      </c>
    </row>
    <row r="1201" ht="15.75" customHeight="1">
      <c r="A1201" s="1" t="s">
        <v>3557</v>
      </c>
      <c r="B1201" s="1">
        <v>5.0</v>
      </c>
      <c r="C1201" s="1" t="s">
        <v>3558</v>
      </c>
      <c r="D1201" s="1" t="s">
        <v>8</v>
      </c>
      <c r="E1201" s="1" t="s">
        <v>3559</v>
      </c>
      <c r="F1201" s="1" t="str">
        <f>IFERROR(__xludf.DUMMYFUNCTION("GOOGLETRANSLATE(A1201, ""zh-CN"", ""ko"")"),"편안")</f>
        <v>편안</v>
      </c>
    </row>
    <row r="1202" ht="15.75" customHeight="1">
      <c r="A1202" s="1" t="s">
        <v>3560</v>
      </c>
      <c r="B1202" s="1">
        <v>5.0</v>
      </c>
      <c r="C1202" s="1" t="s">
        <v>3561</v>
      </c>
      <c r="D1202" s="1" t="s">
        <v>8</v>
      </c>
      <c r="E1202" s="1" t="s">
        <v>3562</v>
      </c>
      <c r="F1202" s="1" t="str">
        <f>IFERROR(__xludf.DUMMYFUNCTION("GOOGLETRANSLATE(A1202, ""zh-CN"", ""ko"")"),"설치하다")</f>
        <v>설치하다</v>
      </c>
    </row>
    <row r="1203" ht="15.75" customHeight="1">
      <c r="A1203" s="1" t="s">
        <v>3563</v>
      </c>
      <c r="B1203" s="1">
        <v>5.0</v>
      </c>
      <c r="C1203" s="1" t="s">
        <v>3564</v>
      </c>
      <c r="D1203" s="1" t="s">
        <v>52</v>
      </c>
      <c r="E1203" s="1" t="s">
        <v>3565</v>
      </c>
      <c r="F1203" s="1" t="str">
        <f>IFERROR(__xludf.DUMMYFUNCTION("GOOGLETRANSLATE(A1203, ""zh-CN"", ""ko"")"),"어두운")</f>
        <v>어두운</v>
      </c>
    </row>
    <row r="1204" ht="15.75" customHeight="1">
      <c r="A1204" s="1" t="s">
        <v>3566</v>
      </c>
      <c r="B1204" s="1">
        <v>5.0</v>
      </c>
      <c r="C1204" s="1" t="s">
        <v>3564</v>
      </c>
      <c r="D1204" s="1" t="s">
        <v>16</v>
      </c>
      <c r="E1204" s="1" t="s">
        <v>3567</v>
      </c>
      <c r="F1204" s="1" t="str">
        <f>IFERROR(__xludf.DUMMYFUNCTION("GOOGLETRANSLATE(A1204, ""zh-CN"", ""ko"")"),"지주")</f>
        <v>지주</v>
      </c>
    </row>
    <row r="1205" ht="15.75" customHeight="1">
      <c r="A1205" s="1" t="s">
        <v>3568</v>
      </c>
      <c r="B1205" s="1">
        <v>5.0</v>
      </c>
      <c r="C1205" s="1" t="s">
        <v>3569</v>
      </c>
      <c r="D1205" s="1" t="s">
        <v>875</v>
      </c>
      <c r="E1205" s="1" t="s">
        <v>3570</v>
      </c>
      <c r="F1205" s="1" t="str">
        <f>IFERROR(__xludf.DUMMYFUNCTION("GOOGLETRANSLATE(A1205, ""zh-CN"", ""ko"")"),"파악")</f>
        <v>파악</v>
      </c>
    </row>
    <row r="1206" ht="15.75" customHeight="1">
      <c r="A1206" s="1" t="s">
        <v>3571</v>
      </c>
      <c r="B1206" s="1">
        <v>5.0</v>
      </c>
      <c r="C1206" s="1" t="s">
        <v>476</v>
      </c>
      <c r="D1206" s="1" t="s">
        <v>8</v>
      </c>
      <c r="E1206" s="1" t="s">
        <v>3572</v>
      </c>
      <c r="F1206" s="1" t="str">
        <f>IFERROR(__xludf.DUMMYFUNCTION("GOOGLETRANSLATE(A1206, ""zh-CN"", ""ko"")"),"놓다")</f>
        <v>놓다</v>
      </c>
    </row>
    <row r="1207" ht="15.75" customHeight="1">
      <c r="A1207" s="1" t="s">
        <v>3573</v>
      </c>
      <c r="B1207" s="1">
        <v>5.0</v>
      </c>
      <c r="C1207" s="1" t="s">
        <v>3574</v>
      </c>
      <c r="D1207" s="1" t="s">
        <v>8</v>
      </c>
      <c r="E1207" s="1" t="s">
        <v>3575</v>
      </c>
      <c r="F1207" s="1" t="str">
        <f>IFERROR(__xludf.DUMMYFUNCTION("GOOGLETRANSLATE(A1207, ""zh-CN"", ""ko"")"),"처리 중")</f>
        <v>처리 중</v>
      </c>
    </row>
    <row r="1208" ht="15.75" customHeight="1">
      <c r="A1208" s="1" t="s">
        <v>3576</v>
      </c>
      <c r="B1208" s="1">
        <v>5.0</v>
      </c>
      <c r="C1208" s="1" t="s">
        <v>3577</v>
      </c>
      <c r="D1208" s="1" t="s">
        <v>16</v>
      </c>
      <c r="E1208" s="1" t="s">
        <v>3578</v>
      </c>
      <c r="F1208" s="1" t="str">
        <f>IFERROR(__xludf.DUMMYFUNCTION("GOOGLETRANSLATE(A1208, ""zh-CN"", ""ko"")"),"저녁")</f>
        <v>저녁</v>
      </c>
    </row>
    <row r="1209" ht="15.75" customHeight="1">
      <c r="A1209" s="1" t="s">
        <v>3579</v>
      </c>
      <c r="B1209" s="1">
        <v>5.0</v>
      </c>
      <c r="C1209" s="1" t="s">
        <v>3580</v>
      </c>
      <c r="D1209" s="1" t="s">
        <v>16</v>
      </c>
      <c r="E1209" s="1" t="s">
        <v>3581</v>
      </c>
      <c r="F1209" s="1" t="str">
        <f>IFERROR(__xludf.DUMMYFUNCTION("GOOGLETRANSLATE(A1209, ""zh-CN"", ""ko"")"),"팩")</f>
        <v>팩</v>
      </c>
    </row>
    <row r="1210" ht="15.75" customHeight="1">
      <c r="A1210" s="1" t="s">
        <v>3582</v>
      </c>
      <c r="B1210" s="1">
        <v>5.0</v>
      </c>
      <c r="C1210" s="1" t="s">
        <v>3583</v>
      </c>
      <c r="D1210" s="1" t="s">
        <v>8</v>
      </c>
      <c r="E1210" s="1" t="s">
        <v>3584</v>
      </c>
      <c r="F1210" s="1" t="str">
        <f>IFERROR(__xludf.DUMMYFUNCTION("GOOGLETRANSLATE(A1210, ""zh-CN"", ""ko"")"),"포함하다")</f>
        <v>포함하다</v>
      </c>
    </row>
    <row r="1211" ht="15.75" customHeight="1">
      <c r="A1211" s="1" t="s">
        <v>3585</v>
      </c>
      <c r="B1211" s="1">
        <v>5.0</v>
      </c>
      <c r="C1211" s="1" t="s">
        <v>3586</v>
      </c>
      <c r="D1211" s="1" t="s">
        <v>8</v>
      </c>
      <c r="E1211" s="1" t="s">
        <v>3587</v>
      </c>
      <c r="F1211" s="1" t="str">
        <f>IFERROR(__xludf.DUMMYFUNCTION("GOOGLETRANSLATE(A1211, ""zh-CN"", ""ko"")"),"포함하다")</f>
        <v>포함하다</v>
      </c>
    </row>
    <row r="1212" ht="15.75" customHeight="1">
      <c r="A1212" s="1" t="s">
        <v>3588</v>
      </c>
      <c r="B1212" s="1">
        <v>5.0</v>
      </c>
      <c r="C1212" s="1" t="s">
        <v>3589</v>
      </c>
      <c r="D1212" s="1" t="s">
        <v>52</v>
      </c>
      <c r="E1212" s="1" t="s">
        <v>3590</v>
      </c>
      <c r="F1212" s="1" t="str">
        <f>IFERROR(__xludf.DUMMYFUNCTION("GOOGLETRANSLATE(A1212, ""zh-CN"", ""ko"")"),"얇은")</f>
        <v>얇은</v>
      </c>
    </row>
    <row r="1213" ht="15.75" customHeight="1">
      <c r="A1213" s="1" t="s">
        <v>3591</v>
      </c>
      <c r="B1213" s="1">
        <v>5.0</v>
      </c>
      <c r="C1213" s="1" t="s">
        <v>3592</v>
      </c>
      <c r="D1213" s="1" t="s">
        <v>16</v>
      </c>
      <c r="E1213" s="1" t="s">
        <v>3593</v>
      </c>
      <c r="F1213" s="1" t="str">
        <f>IFERROR(__xludf.DUMMYFUNCTION("GOOGLETRANSLATE(A1213, ""zh-CN"", ""ko"")"),"아기")</f>
        <v>아기</v>
      </c>
    </row>
    <row r="1214" ht="15.75" customHeight="1">
      <c r="A1214" s="1" t="s">
        <v>3594</v>
      </c>
      <c r="B1214" s="1">
        <v>5.0</v>
      </c>
      <c r="C1214" s="1" t="s">
        <v>3595</v>
      </c>
      <c r="D1214" s="1" t="s">
        <v>8</v>
      </c>
      <c r="E1214" s="1" t="s">
        <v>3596</v>
      </c>
      <c r="F1214" s="1" t="str">
        <f>IFERROR(__xludf.DUMMYFUNCTION("GOOGLETRANSLATE(A1214, ""zh-CN"", ""ko"")"),"유지하다")</f>
        <v>유지하다</v>
      </c>
    </row>
    <row r="1215" ht="15.75" customHeight="1">
      <c r="A1215" s="1" t="s">
        <v>3597</v>
      </c>
      <c r="B1215" s="1">
        <v>5.0</v>
      </c>
      <c r="C1215" s="1" t="s">
        <v>3598</v>
      </c>
      <c r="D1215" s="1" t="s">
        <v>8</v>
      </c>
      <c r="E1215" s="1" t="s">
        <v>3599</v>
      </c>
      <c r="F1215" s="1" t="str">
        <f>IFERROR(__xludf.DUMMYFUNCTION("GOOGLETRANSLATE(A1215, ""zh-CN"", ""ko"")"),"구하다")</f>
        <v>구하다</v>
      </c>
    </row>
    <row r="1216" ht="15.75" customHeight="1">
      <c r="A1216" s="1" t="s">
        <v>3600</v>
      </c>
      <c r="B1216" s="1">
        <v>5.0</v>
      </c>
      <c r="C1216" s="1" t="s">
        <v>3601</v>
      </c>
      <c r="D1216" s="1" t="s">
        <v>52</v>
      </c>
      <c r="E1216" s="1" t="s">
        <v>3602</v>
      </c>
      <c r="F1216" s="1" t="str">
        <f>IFERROR(__xludf.DUMMYFUNCTION("GOOGLETRANSLATE(A1216, ""zh-CN"", ""ko"")"),"귀중한")</f>
        <v>귀중한</v>
      </c>
    </row>
    <row r="1217" ht="15.75" customHeight="1">
      <c r="A1217" s="1" t="s">
        <v>3603</v>
      </c>
      <c r="B1217" s="1">
        <v>5.0</v>
      </c>
      <c r="C1217" s="1" t="s">
        <v>3604</v>
      </c>
      <c r="D1217" s="1" t="s">
        <v>8</v>
      </c>
      <c r="E1217" s="1" t="s">
        <v>3605</v>
      </c>
      <c r="F1217" s="1" t="str">
        <f>IFERROR(__xludf.DUMMYFUNCTION("GOOGLETRANSLATE(A1217, ""zh-CN"", ""ko"")"),"예약하다")</f>
        <v>예약하다</v>
      </c>
    </row>
    <row r="1218" ht="15.75" customHeight="1">
      <c r="A1218" s="1" t="s">
        <v>3606</v>
      </c>
      <c r="B1218" s="1">
        <v>5.0</v>
      </c>
      <c r="C1218" s="1" t="s">
        <v>3607</v>
      </c>
      <c r="D1218" s="1" t="s">
        <v>16</v>
      </c>
      <c r="E1218" s="1" t="s">
        <v>3608</v>
      </c>
      <c r="F1218" s="1" t="str">
        <f>IFERROR(__xludf.DUMMYFUNCTION("GOOGLETRANSLATE(A1218, ""zh-CN"", ""ko"")"),"보험")</f>
        <v>보험</v>
      </c>
    </row>
    <row r="1219" ht="15.75" customHeight="1">
      <c r="A1219" s="1" t="s">
        <v>3609</v>
      </c>
      <c r="B1219" s="1">
        <v>5.0</v>
      </c>
      <c r="C1219" s="1" t="s">
        <v>3610</v>
      </c>
      <c r="D1219" s="1" t="s">
        <v>8</v>
      </c>
      <c r="E1219" s="1" t="s">
        <v>3611</v>
      </c>
      <c r="F1219" s="1" t="str">
        <f>IFERROR(__xludf.DUMMYFUNCTION("GOOGLETRANSLATE(A1219, ""zh-CN"", ""ko"")"),"보고서")</f>
        <v>보고서</v>
      </c>
    </row>
    <row r="1220" ht="15.75" customHeight="1">
      <c r="A1220" s="1" t="s">
        <v>3612</v>
      </c>
      <c r="B1220" s="1">
        <v>5.0</v>
      </c>
      <c r="C1220" s="1" t="s">
        <v>3610</v>
      </c>
      <c r="D1220" s="1" t="s">
        <v>8</v>
      </c>
      <c r="E1220" s="1" t="s">
        <v>3613</v>
      </c>
      <c r="F1220" s="1" t="str">
        <f>IFERROR(__xludf.DUMMYFUNCTION("GOOGLETRANSLATE(A1220, ""zh-CN"", ""ko"")"),"체크인")</f>
        <v>체크인</v>
      </c>
    </row>
    <row r="1221" ht="15.75" customHeight="1">
      <c r="A1221" s="1" t="s">
        <v>3614</v>
      </c>
      <c r="B1221" s="1">
        <v>5.0</v>
      </c>
      <c r="C1221" s="1" t="s">
        <v>3615</v>
      </c>
      <c r="D1221" s="1" t="s">
        <v>16</v>
      </c>
      <c r="E1221" s="1" t="s">
        <v>3616</v>
      </c>
      <c r="F1221" s="1" t="str">
        <f>IFERROR(__xludf.DUMMYFUNCTION("GOOGLETRANSLATE(A1221, ""zh-CN"", ""ko"")"),"보고서")</f>
        <v>보고서</v>
      </c>
    </row>
    <row r="1222" ht="15.75" customHeight="1">
      <c r="A1222" s="1" t="s">
        <v>3617</v>
      </c>
      <c r="B1222" s="1">
        <v>5.0</v>
      </c>
      <c r="C1222" s="1" t="s">
        <v>3618</v>
      </c>
      <c r="D1222" s="1" t="s">
        <v>16</v>
      </c>
      <c r="E1222" s="1" t="s">
        <v>3619</v>
      </c>
      <c r="F1222" s="1" t="str">
        <f>IFERROR(__xludf.DUMMYFUNCTION("GOOGLETRANSLATE(A1222, ""zh-CN"", ""ko"")"),"신문")</f>
        <v>신문</v>
      </c>
    </row>
    <row r="1223" ht="15.75" customHeight="1">
      <c r="A1223" s="1" t="s">
        <v>3620</v>
      </c>
      <c r="B1223" s="1">
        <v>5.0</v>
      </c>
      <c r="C1223" s="1" t="s">
        <v>3621</v>
      </c>
      <c r="D1223" s="1" t="s">
        <v>8</v>
      </c>
      <c r="E1223" s="1" t="s">
        <v>3622</v>
      </c>
      <c r="F1223" s="1" t="str">
        <f>IFERROR(__xludf.DUMMYFUNCTION("GOOGLETRANSLATE(A1223, ""zh-CN"", ""ko"")"),"불평하다")</f>
        <v>불평하다</v>
      </c>
    </row>
    <row r="1224" ht="15.75" customHeight="1">
      <c r="A1224" s="1" t="s">
        <v>3623</v>
      </c>
      <c r="B1224" s="1">
        <v>5.0</v>
      </c>
      <c r="C1224" s="1" t="s">
        <v>3624</v>
      </c>
      <c r="D1224" s="1" t="s">
        <v>52</v>
      </c>
      <c r="E1224" s="1" t="s">
        <v>3625</v>
      </c>
      <c r="F1224" s="1" t="str">
        <f>IFERROR(__xludf.DUMMYFUNCTION("GOOGLETRANSLATE(A1224, ""zh-CN"", ""ko"")"),"비관적인")</f>
        <v>비관적인</v>
      </c>
    </row>
    <row r="1225" ht="15.75" customHeight="1">
      <c r="A1225" s="1" t="s">
        <v>3626</v>
      </c>
      <c r="B1225" s="1">
        <v>5.0</v>
      </c>
      <c r="C1225" s="1" t="s">
        <v>960</v>
      </c>
      <c r="D1225" s="1" t="s">
        <v>8</v>
      </c>
      <c r="E1225" s="1" t="s">
        <v>3627</v>
      </c>
      <c r="F1225" s="1" t="str">
        <f>IFERROR(__xludf.DUMMYFUNCTION("GOOGLETRANSLATE(A1225, ""zh-CN"", ""ko"")"),"뒤쪽에")</f>
        <v>뒤쪽에</v>
      </c>
    </row>
    <row r="1226" ht="15.75" customHeight="1">
      <c r="A1226" s="1" t="s">
        <v>3628</v>
      </c>
      <c r="B1226" s="1">
        <v>5.0</v>
      </c>
      <c r="C1226" s="1" t="s">
        <v>3629</v>
      </c>
      <c r="D1226" s="1" t="s">
        <v>16</v>
      </c>
      <c r="E1226" s="1" t="s">
        <v>3630</v>
      </c>
      <c r="F1226" s="1" t="str">
        <f>IFERROR(__xludf.DUMMYFUNCTION("GOOGLETRANSLATE(A1226, ""zh-CN"", ""ko"")"),"배경")</f>
        <v>배경</v>
      </c>
    </row>
    <row r="1227" ht="15.75" customHeight="1">
      <c r="A1227" s="1" t="s">
        <v>3631</v>
      </c>
      <c r="B1227" s="1">
        <v>5.0</v>
      </c>
      <c r="C1227" s="1" t="s">
        <v>3632</v>
      </c>
      <c r="D1227" s="1" t="s">
        <v>16</v>
      </c>
      <c r="E1227" s="1" t="s">
        <v>3633</v>
      </c>
      <c r="F1227" s="1" t="str">
        <f>IFERROR(__xludf.DUMMYFUNCTION("GOOGLETRANSLATE(A1227, ""zh-CN"", ""ko"")"),"이불")</f>
        <v>이불</v>
      </c>
    </row>
    <row r="1228" ht="15.75" customHeight="1">
      <c r="A1228" s="1" t="s">
        <v>3634</v>
      </c>
      <c r="B1228" s="1">
        <v>5.0</v>
      </c>
      <c r="C1228" s="1" t="s">
        <v>3635</v>
      </c>
      <c r="D1228" s="1" t="s">
        <v>16</v>
      </c>
      <c r="E1228" s="1" t="s">
        <v>3636</v>
      </c>
      <c r="F1228" s="1" t="str">
        <f>IFERROR(__xludf.DUMMYFUNCTION("GOOGLETRANSLATE(A1228, ""zh-CN"", ""ko"")"),"대학 재학생")</f>
        <v>대학 재학생</v>
      </c>
    </row>
    <row r="1229" ht="15.75" customHeight="1">
      <c r="A1229" s="1" t="s">
        <v>3637</v>
      </c>
      <c r="B1229" s="1">
        <v>5.0</v>
      </c>
      <c r="C1229" s="1" t="s">
        <v>3638</v>
      </c>
      <c r="D1229" s="1" t="s">
        <v>16</v>
      </c>
      <c r="E1229" s="1" t="s">
        <v>3639</v>
      </c>
      <c r="F1229" s="1" t="str">
        <f>IFERROR(__xludf.DUMMYFUNCTION("GOOGLETRANSLATE(A1229, ""zh-CN"", ""ko"")"),"능력")</f>
        <v>능력</v>
      </c>
    </row>
    <row r="1230" ht="15.75" customHeight="1">
      <c r="A1230" s="1" t="s">
        <v>3640</v>
      </c>
      <c r="B1230" s="1">
        <v>5.0</v>
      </c>
      <c r="C1230" s="1" t="s">
        <v>3641</v>
      </c>
      <c r="D1230" s="1" t="s">
        <v>16</v>
      </c>
      <c r="E1230" s="1" t="s">
        <v>3642</v>
      </c>
      <c r="F1230" s="1" t="str">
        <f>IFERROR(__xludf.DUMMYFUNCTION("GOOGLETRANSLATE(A1230, ""zh-CN"", ""ko"")"),"자연")</f>
        <v>자연</v>
      </c>
    </row>
    <row r="1231" ht="15.75" customHeight="1">
      <c r="A1231" s="1" t="s">
        <v>3643</v>
      </c>
      <c r="B1231" s="1">
        <v>5.0</v>
      </c>
      <c r="C1231" s="1" t="s">
        <v>3644</v>
      </c>
      <c r="D1231" s="1" t="s">
        <v>88</v>
      </c>
      <c r="E1231" s="1" t="s">
        <v>3645</v>
      </c>
      <c r="F1231" s="1" t="str">
        <f>IFERROR(__xludf.DUMMYFUNCTION("GOOGLETRANSLATE(A1231, ""zh-CN"", ""ko"")"),"서로")</f>
        <v>서로</v>
      </c>
    </row>
    <row r="1232" ht="15.75" customHeight="1">
      <c r="A1232" s="1" t="s">
        <v>3646</v>
      </c>
      <c r="B1232" s="1">
        <v>5.0</v>
      </c>
      <c r="C1232" s="1" t="s">
        <v>3647</v>
      </c>
      <c r="D1232" s="1" t="s">
        <v>16</v>
      </c>
      <c r="E1232" s="1" t="s">
        <v>3648</v>
      </c>
      <c r="F1232" s="1" t="str">
        <f>IFERROR(__xludf.DUMMYFUNCTION("GOOGLETRANSLATE(A1232, ""zh-CN"", ""ko"")"),"비율")</f>
        <v>비율</v>
      </c>
    </row>
    <row r="1233" ht="15.75" customHeight="1">
      <c r="A1233" s="1" t="s">
        <v>3649</v>
      </c>
      <c r="B1233" s="1">
        <v>5.0</v>
      </c>
      <c r="C1233" s="1" t="s">
        <v>3650</v>
      </c>
      <c r="D1233" s="1" t="s">
        <v>33</v>
      </c>
      <c r="E1233" s="1" t="s">
        <v>3651</v>
      </c>
      <c r="F1233" s="1" t="str">
        <f>IFERROR(__xludf.DUMMYFUNCTION("GOOGLETRANSLATE(A1233, ""zh-CN"", ""ko"")"),"결국")</f>
        <v>결국</v>
      </c>
    </row>
    <row r="1234" ht="15.75" customHeight="1">
      <c r="A1234" s="1" t="s">
        <v>3652</v>
      </c>
      <c r="B1234" s="1">
        <v>5.0</v>
      </c>
      <c r="C1234" s="1" t="s">
        <v>3653</v>
      </c>
      <c r="D1234" s="1" t="s">
        <v>8</v>
      </c>
      <c r="E1234" s="1" t="s">
        <v>3654</v>
      </c>
      <c r="F1234" s="1" t="str">
        <f>IFERROR(__xludf.DUMMYFUNCTION("GOOGLETRANSLATE(A1234, ""zh-CN"", ""ko"")"),"피하다")</f>
        <v>피하다</v>
      </c>
    </row>
    <row r="1235" ht="15.75" customHeight="1">
      <c r="A1235" s="1" t="s">
        <v>3655</v>
      </c>
      <c r="B1235" s="1">
        <v>5.0</v>
      </c>
      <c r="C1235" s="1" t="s">
        <v>3656</v>
      </c>
      <c r="D1235" s="1" t="s">
        <v>52</v>
      </c>
      <c r="E1235" s="1" t="s">
        <v>3657</v>
      </c>
      <c r="F1235" s="1" t="str">
        <f>IFERROR(__xludf.DUMMYFUNCTION("GOOGLETRANSLATE(A1235, ""zh-CN"", ""ko"")"),"불가피한")</f>
        <v>불가피한</v>
      </c>
    </row>
    <row r="1236" ht="15.75" customHeight="1">
      <c r="A1236" s="1" t="s">
        <v>3658</v>
      </c>
      <c r="B1236" s="1">
        <v>5.0</v>
      </c>
      <c r="C1236" s="1" t="s">
        <v>3659</v>
      </c>
      <c r="D1236" s="1" t="s">
        <v>52</v>
      </c>
      <c r="E1236" s="1" t="s">
        <v>3660</v>
      </c>
      <c r="F1236" s="1" t="str">
        <f>IFERROR(__xludf.DUMMYFUNCTION("GOOGLETRANSLATE(A1236, ""zh-CN"", ""ko"")"),"필요한")</f>
        <v>필요한</v>
      </c>
    </row>
    <row r="1237" ht="15.75" customHeight="1">
      <c r="A1237" s="1" t="s">
        <v>3661</v>
      </c>
      <c r="B1237" s="1">
        <v>5.0</v>
      </c>
      <c r="C1237" s="1" t="s">
        <v>3662</v>
      </c>
      <c r="D1237" s="1" t="s">
        <v>113</v>
      </c>
      <c r="E1237" s="1" t="s">
        <v>3663</v>
      </c>
      <c r="F1237" s="1" t="str">
        <f>IFERROR(__xludf.DUMMYFUNCTION("GOOGLETRANSLATE(A1237, ""zh-CN"", ""ko"")"),"편집하다")</f>
        <v>편집하다</v>
      </c>
    </row>
    <row r="1238" ht="15.75" customHeight="1">
      <c r="A1238" s="1" t="s">
        <v>3664</v>
      </c>
      <c r="B1238" s="1">
        <v>5.0</v>
      </c>
      <c r="C1238" s="1" t="s">
        <v>3665</v>
      </c>
      <c r="D1238" s="1" t="s">
        <v>16</v>
      </c>
      <c r="E1238" s="1" t="s">
        <v>3666</v>
      </c>
      <c r="F1238" s="1" t="str">
        <f>IFERROR(__xludf.DUMMYFUNCTION("GOOGLETRANSLATE(A1238, ""zh-CN"", ""ko"")"),"폭죽")</f>
        <v>폭죽</v>
      </c>
    </row>
    <row r="1239" ht="15.75" customHeight="1">
      <c r="A1239" s="1" t="s">
        <v>3667</v>
      </c>
      <c r="B1239" s="1">
        <v>5.0</v>
      </c>
      <c r="C1239" s="1" t="s">
        <v>1838</v>
      </c>
      <c r="D1239" s="1" t="s">
        <v>33</v>
      </c>
      <c r="E1239" s="1" t="s">
        <v>3668</v>
      </c>
      <c r="F1239" s="1" t="str">
        <f>IFERROR(__xludf.DUMMYFUNCTION("GOOGLETRANSLATE(A1239, ""zh-CN"", ""ko"")"),"편리한")</f>
        <v>편리한</v>
      </c>
    </row>
    <row r="1240" ht="15.75" customHeight="1">
      <c r="A1240" s="1" t="s">
        <v>3669</v>
      </c>
      <c r="B1240" s="1">
        <v>5.0</v>
      </c>
      <c r="C1240" s="1" t="s">
        <v>3670</v>
      </c>
      <c r="D1240" s="1" t="s">
        <v>8</v>
      </c>
      <c r="E1240" s="1" t="s">
        <v>3671</v>
      </c>
      <c r="F1240" s="1" t="str">
        <f>IFERROR(__xludf.DUMMYFUNCTION("GOOGLETRANSLATE(A1240, ""zh-CN"", ""ko"")"),"토론")</f>
        <v>토론</v>
      </c>
    </row>
    <row r="1241" ht="15.75" customHeight="1">
      <c r="A1241" s="1" t="s">
        <v>3672</v>
      </c>
      <c r="B1241" s="1">
        <v>5.0</v>
      </c>
      <c r="C1241" s="1" t="s">
        <v>3673</v>
      </c>
      <c r="D1241" s="1" t="s">
        <v>16</v>
      </c>
      <c r="E1241" s="1" t="s">
        <v>3674</v>
      </c>
      <c r="F1241" s="1" t="str">
        <f>IFERROR(__xludf.DUMMYFUNCTION("GOOGLETRANSLATE(A1241, ""zh-CN"", ""ko"")"),"구두")</f>
        <v>구두</v>
      </c>
    </row>
    <row r="1242" ht="15.75" customHeight="1">
      <c r="A1242" s="1" t="s">
        <v>3675</v>
      </c>
      <c r="B1242" s="1">
        <v>5.0</v>
      </c>
      <c r="C1242" s="1" t="s">
        <v>3676</v>
      </c>
      <c r="D1242" s="1" t="s">
        <v>875</v>
      </c>
      <c r="E1242" s="1" t="s">
        <v>3677</v>
      </c>
      <c r="F1242" s="1" t="str">
        <f>IFERROR(__xludf.DUMMYFUNCTION("GOOGLETRANSLATE(A1242, ""zh-CN"", ""ko"")"),"심벌 마크")</f>
        <v>심벌 마크</v>
      </c>
    </row>
    <row r="1243" ht="15.75" customHeight="1">
      <c r="A1243" s="1" t="s">
        <v>3678</v>
      </c>
      <c r="B1243" s="1">
        <v>5.0</v>
      </c>
      <c r="C1243" s="1" t="s">
        <v>3679</v>
      </c>
      <c r="D1243" s="1" t="s">
        <v>8</v>
      </c>
      <c r="E1243" s="1" t="s">
        <v>3680</v>
      </c>
      <c r="F1243" s="1" t="str">
        <f>IFERROR(__xludf.DUMMYFUNCTION("GOOGLETRANSLATE(A1243, ""zh-CN"", ""ko"")"),"표현하다")</f>
        <v>표현하다</v>
      </c>
    </row>
    <row r="1244" ht="15.75" customHeight="1">
      <c r="A1244" s="1" t="s">
        <v>3681</v>
      </c>
      <c r="B1244" s="1">
        <v>5.0</v>
      </c>
      <c r="C1244" s="1" t="s">
        <v>3682</v>
      </c>
      <c r="D1244" s="1" t="s">
        <v>16</v>
      </c>
      <c r="E1244" s="1" t="s">
        <v>3683</v>
      </c>
      <c r="F1244" s="1" t="str">
        <f>IFERROR(__xludf.DUMMYFUNCTION("GOOGLETRANSLATE(A1244, ""zh-CN"", ""ko"")"),"표면")</f>
        <v>표면</v>
      </c>
    </row>
    <row r="1245" ht="15.75" customHeight="1">
      <c r="A1245" s="1" t="s">
        <v>3684</v>
      </c>
      <c r="B1245" s="1">
        <v>5.0</v>
      </c>
      <c r="C1245" s="1" t="s">
        <v>3685</v>
      </c>
      <c r="D1245" s="1" t="s">
        <v>8</v>
      </c>
      <c r="E1245" s="1" t="s">
        <v>3686</v>
      </c>
      <c r="F1245" s="1" t="str">
        <f>IFERROR(__xludf.DUMMYFUNCTION("GOOGLETRANSLATE(A1245, ""zh-CN"", ""ko"")"),"보여주다")</f>
        <v>보여주다</v>
      </c>
    </row>
    <row r="1246" ht="15.75" customHeight="1">
      <c r="A1246" s="1" t="s">
        <v>3687</v>
      </c>
      <c r="B1246" s="1">
        <v>5.0</v>
      </c>
      <c r="C1246" s="1" t="s">
        <v>3688</v>
      </c>
      <c r="D1246" s="1" t="s">
        <v>16</v>
      </c>
      <c r="E1246" s="1" t="s">
        <v>3689</v>
      </c>
      <c r="F1246" s="1" t="str">
        <f>IFERROR(__xludf.DUMMYFUNCTION("GOOGLETRANSLATE(A1246, ""zh-CN"", ""ko"")"),"표현")</f>
        <v>표현</v>
      </c>
    </row>
    <row r="1247" ht="15.75" customHeight="1">
      <c r="A1247" s="1" t="s">
        <v>3690</v>
      </c>
      <c r="B1247" s="1">
        <v>5.0</v>
      </c>
      <c r="C1247" s="1" t="s">
        <v>3691</v>
      </c>
      <c r="D1247" s="1" t="s">
        <v>8</v>
      </c>
      <c r="E1247" s="1" t="s">
        <v>3692</v>
      </c>
      <c r="F1247" s="1" t="str">
        <f>IFERROR(__xludf.DUMMYFUNCTION("GOOGLETRANSLATE(A1247, ""zh-CN"", ""ko"")"),"성능")</f>
        <v>성능</v>
      </c>
    </row>
    <row r="1248" ht="15.75" customHeight="1">
      <c r="A1248" s="1" t="s">
        <v>3693</v>
      </c>
      <c r="B1248" s="1">
        <v>5.0</v>
      </c>
      <c r="C1248" s="1" t="s">
        <v>3694</v>
      </c>
      <c r="D1248" s="1" t="s">
        <v>16</v>
      </c>
      <c r="E1248" s="1" t="s">
        <v>3695</v>
      </c>
      <c r="F1248" s="1" t="str">
        <f>IFERROR(__xludf.DUMMYFUNCTION("GOOGLETRANSLATE(A1248, ""zh-CN"", ""ko"")"),"아이스크림")</f>
        <v>아이스크림</v>
      </c>
    </row>
    <row r="1249" ht="15.75" customHeight="1">
      <c r="A1249" s="1" t="s">
        <v>3696</v>
      </c>
      <c r="B1249" s="1">
        <v>5.0</v>
      </c>
      <c r="C1249" s="1" t="s">
        <v>3697</v>
      </c>
      <c r="D1249" s="1" t="s">
        <v>16</v>
      </c>
      <c r="E1249" s="1" t="s">
        <v>3698</v>
      </c>
      <c r="F1249" s="1" t="str">
        <f>IFERROR(__xludf.DUMMYFUNCTION("GOOGLETRANSLATE(A1249, ""zh-CN"", ""ko"")"),"바이러스")</f>
        <v>바이러스</v>
      </c>
    </row>
    <row r="1250" ht="15.75" customHeight="1">
      <c r="A1250" s="1" t="s">
        <v>3699</v>
      </c>
      <c r="B1250" s="1">
        <v>5.0</v>
      </c>
      <c r="C1250" s="1" t="s">
        <v>3700</v>
      </c>
      <c r="D1250" s="1" t="s">
        <v>8</v>
      </c>
      <c r="E1250" s="1" t="s">
        <v>2233</v>
      </c>
      <c r="F1250" s="1" t="str">
        <f>IFERROR(__xludf.DUMMYFUNCTION("GOOGLETRANSLATE(A1250, ""zh-CN"", ""ko"")"),"놀다")</f>
        <v>놀다</v>
      </c>
    </row>
    <row r="1251" ht="15.75" customHeight="1">
      <c r="A1251" s="1" t="s">
        <v>3701</v>
      </c>
      <c r="B1251" s="1">
        <v>5.0</v>
      </c>
      <c r="C1251" s="1" t="s">
        <v>3702</v>
      </c>
      <c r="D1251" s="1" t="s">
        <v>16</v>
      </c>
      <c r="E1251" s="1" t="s">
        <v>3703</v>
      </c>
      <c r="F1251" s="1" t="str">
        <f>IFERROR(__xludf.DUMMYFUNCTION("GOOGLETRANSLATE(A1251, ""zh-CN"", ""ko"")"),"유리")</f>
        <v>유리</v>
      </c>
    </row>
    <row r="1252" ht="15.75" customHeight="1">
      <c r="A1252" s="1" t="s">
        <v>3704</v>
      </c>
      <c r="B1252" s="1">
        <v>5.0</v>
      </c>
      <c r="C1252" s="1" t="s">
        <v>3705</v>
      </c>
      <c r="D1252" s="1" t="s">
        <v>16</v>
      </c>
      <c r="E1252" s="1" t="s">
        <v>3706</v>
      </c>
      <c r="F1252" s="1" t="str">
        <f>IFERROR(__xludf.DUMMYFUNCTION("GOOGLETRANSLATE(A1252, ""zh-CN"", ""ko"")"),"박물관")</f>
        <v>박물관</v>
      </c>
    </row>
    <row r="1253" ht="15.75" customHeight="1">
      <c r="A1253" s="1" t="s">
        <v>3707</v>
      </c>
      <c r="B1253" s="1">
        <v>5.0</v>
      </c>
      <c r="C1253" s="1" t="s">
        <v>3708</v>
      </c>
      <c r="D1253" s="1" t="s">
        <v>16</v>
      </c>
      <c r="E1253" s="1" t="s">
        <v>3709</v>
      </c>
      <c r="F1253" s="1" t="str">
        <f>IFERROR(__xludf.DUMMYFUNCTION("GOOGLETRANSLATE(A1253, ""zh-CN"", ""ko"")"),"목")</f>
        <v>목</v>
      </c>
    </row>
    <row r="1254" ht="15.75" customHeight="1">
      <c r="A1254" s="1" t="s">
        <v>3710</v>
      </c>
      <c r="B1254" s="1">
        <v>5.0</v>
      </c>
      <c r="C1254" s="1" t="s">
        <v>3711</v>
      </c>
      <c r="D1254" s="1" t="s">
        <v>33</v>
      </c>
      <c r="E1254" s="1" t="s">
        <v>3712</v>
      </c>
      <c r="F1254" s="1" t="str">
        <f>IFERROR(__xludf.DUMMYFUNCTION("GOOGLETRANSLATE(A1254, ""zh-CN"", ""ko"")"),"마디 없는")</f>
        <v>마디 없는</v>
      </c>
    </row>
    <row r="1255" ht="15.75" customHeight="1">
      <c r="A1255" s="1" t="s">
        <v>3713</v>
      </c>
      <c r="B1255" s="1">
        <v>5.0</v>
      </c>
      <c r="C1255" s="1" t="s">
        <v>3714</v>
      </c>
      <c r="D1255" s="1" t="s">
        <v>33</v>
      </c>
      <c r="E1255" s="1" t="s">
        <v>3715</v>
      </c>
      <c r="F1255" s="1" t="str">
        <f>IFERROR(__xludf.DUMMYFUNCTION("GOOGLETRANSLATE(A1255, ""zh-CN"", ""ko"")"),"반드시 그런 것은 아닙니다")</f>
        <v>반드시 그런 것은 아닙니다</v>
      </c>
    </row>
    <row r="1256" ht="15.75" customHeight="1">
      <c r="A1256" s="1" t="s">
        <v>3716</v>
      </c>
      <c r="B1256" s="1">
        <v>5.0</v>
      </c>
      <c r="C1256" s="1" t="s">
        <v>3717</v>
      </c>
      <c r="E1256" s="1" t="s">
        <v>3718</v>
      </c>
      <c r="F1256" s="1" t="str">
        <f>IFERROR(__xludf.DUMMYFUNCTION("GOOGLETRANSLATE(A1256, ""zh-CN"", ""ko"")"),"짜증난")</f>
        <v>짜증난</v>
      </c>
    </row>
    <row r="1257" ht="15.75" customHeight="1">
      <c r="A1257" s="1" t="s">
        <v>3719</v>
      </c>
      <c r="B1257" s="1">
        <v>5.0</v>
      </c>
      <c r="C1257" s="1" t="s">
        <v>3720</v>
      </c>
      <c r="D1257" s="1" t="s">
        <v>52</v>
      </c>
      <c r="E1257" s="1" t="s">
        <v>3721</v>
      </c>
      <c r="F1257" s="1" t="str">
        <f>IFERROR(__xludf.DUMMYFUNCTION("GOOGLETRANSLATE(A1257, ""zh-CN"", ""ko"")"),"괜찮아요.")</f>
        <v>괜찮아요.</v>
      </c>
    </row>
    <row r="1258" ht="15.75" customHeight="1">
      <c r="A1258" s="1" t="s">
        <v>3722</v>
      </c>
      <c r="B1258" s="1">
        <v>5.0</v>
      </c>
      <c r="C1258" s="1" t="s">
        <v>3723</v>
      </c>
      <c r="D1258" s="1" t="s">
        <v>8</v>
      </c>
      <c r="E1258" s="1" t="s">
        <v>3724</v>
      </c>
      <c r="F1258" s="1" t="str">
        <f>IFERROR(__xludf.DUMMYFUNCTION("GOOGLETRANSLATE(A1258, ""zh-CN"", ""ko"")"),"다시 채우다")</f>
        <v>다시 채우다</v>
      </c>
    </row>
    <row r="1259" ht="15.75" customHeight="1">
      <c r="A1259" s="1" t="s">
        <v>3725</v>
      </c>
      <c r="B1259" s="1">
        <v>5.0</v>
      </c>
      <c r="C1259" s="1" t="s">
        <v>32</v>
      </c>
      <c r="D1259" s="1" t="s">
        <v>16</v>
      </c>
      <c r="E1259" s="1" t="s">
        <v>3726</v>
      </c>
      <c r="F1259" s="1" t="str">
        <f>IFERROR(__xludf.DUMMYFUNCTION("GOOGLETRANSLATE(A1259, ""zh-CN"", ""ko"")"),"옷감")</f>
        <v>옷감</v>
      </c>
    </row>
    <row r="1260" ht="15.75" customHeight="1">
      <c r="A1260" s="1" t="s">
        <v>3727</v>
      </c>
      <c r="B1260" s="1">
        <v>5.0</v>
      </c>
      <c r="C1260" s="1" t="s">
        <v>3728</v>
      </c>
      <c r="D1260" s="1" t="s">
        <v>52</v>
      </c>
      <c r="E1260" s="1" t="s">
        <v>3729</v>
      </c>
      <c r="F1260" s="1" t="str">
        <f>IFERROR(__xludf.DUMMYFUNCTION("GOOGLETRANSLATE(A1260, ""zh-CN"", ""ko"")"),"방해받다")</f>
        <v>방해받다</v>
      </c>
    </row>
    <row r="1261" ht="15.75" customHeight="1">
      <c r="A1261" s="1" t="s">
        <v>3730</v>
      </c>
      <c r="B1261" s="1">
        <v>5.0</v>
      </c>
      <c r="C1261" s="1" t="s">
        <v>3731</v>
      </c>
      <c r="D1261" s="1" t="s">
        <v>52</v>
      </c>
      <c r="E1261" s="1" t="s">
        <v>3732</v>
      </c>
      <c r="F1261" s="1" t="str">
        <f>IFERROR(__xludf.DUMMYFUNCTION("GOOGLETRANSLATE(A1261, ""zh-CN"", ""ko"")"),"정말 놀랍네요!")</f>
        <v>정말 놀랍네요!</v>
      </c>
    </row>
    <row r="1262" ht="15.75" customHeight="1">
      <c r="A1262" s="1" t="s">
        <v>3733</v>
      </c>
      <c r="B1262" s="1">
        <v>5.0</v>
      </c>
      <c r="C1262" s="1" t="s">
        <v>3734</v>
      </c>
      <c r="D1262" s="1" t="s">
        <v>16</v>
      </c>
      <c r="E1262" s="1" t="s">
        <v>3735</v>
      </c>
      <c r="F1262" s="1" t="str">
        <f>IFERROR(__xludf.DUMMYFUNCTION("GOOGLETRANSLATE(A1262, ""zh-CN"", ""ko"")"),"부서")</f>
        <v>부서</v>
      </c>
    </row>
    <row r="1263" ht="15.75" customHeight="1">
      <c r="A1263" s="1" t="s">
        <v>3736</v>
      </c>
      <c r="B1263" s="1">
        <v>5.0</v>
      </c>
      <c r="C1263" s="1" t="s">
        <v>3737</v>
      </c>
      <c r="D1263" s="1" t="s">
        <v>1473</v>
      </c>
      <c r="E1263" s="1" t="s">
        <v>3738</v>
      </c>
      <c r="F1263" s="1" t="str">
        <f>IFERROR(__xludf.DUMMYFUNCTION("GOOGLETRANSLATE(A1263, ""zh-CN"", ""ko"")"),"그렇지 않으면")</f>
        <v>그렇지 않으면</v>
      </c>
    </row>
    <row r="1264" ht="15.75" customHeight="1">
      <c r="A1264" s="1" t="s">
        <v>3739</v>
      </c>
      <c r="B1264" s="1">
        <v>5.0</v>
      </c>
      <c r="C1264" s="1" t="s">
        <v>3740</v>
      </c>
      <c r="D1264" s="1" t="s">
        <v>8</v>
      </c>
      <c r="E1264" s="1" t="s">
        <v>3741</v>
      </c>
      <c r="F1264" s="1" t="str">
        <f>IFERROR(__xludf.DUMMYFUNCTION("GOOGLETRANSLATE(A1264, ""zh-CN"", ""ko"")"),"더 나은")</f>
        <v>더 나은</v>
      </c>
    </row>
    <row r="1265" ht="15.75" customHeight="1">
      <c r="A1265" s="1" t="s">
        <v>3742</v>
      </c>
      <c r="B1265" s="1">
        <v>5.0</v>
      </c>
      <c r="C1265" s="1" t="s">
        <v>3743</v>
      </c>
      <c r="D1265" s="1" t="s">
        <v>16</v>
      </c>
      <c r="E1265" s="1" t="s">
        <v>3744</v>
      </c>
      <c r="F1265" s="1" t="str">
        <f>IFERROR(__xludf.DUMMYFUNCTION("GOOGLETRANSLATE(A1265, ""zh-CN"", ""ko"")"),"단계")</f>
        <v>단계</v>
      </c>
    </row>
    <row r="1266" ht="15.75" customHeight="1">
      <c r="A1266" s="1" t="s">
        <v>3745</v>
      </c>
      <c r="B1266" s="1">
        <v>5.0</v>
      </c>
      <c r="C1266" s="1" t="s">
        <v>3746</v>
      </c>
      <c r="D1266" s="1" t="s">
        <v>875</v>
      </c>
      <c r="E1266" s="1" t="s">
        <v>3747</v>
      </c>
      <c r="F1266" s="1" t="str">
        <f>IFERROR(__xludf.DUMMYFUNCTION("GOOGLETRANSLATE(A1266, ""zh-CN"", ""ko"")"),"불충분한")</f>
        <v>불충분한</v>
      </c>
    </row>
    <row r="1267" ht="15.75" customHeight="1">
      <c r="A1267" s="1" t="s">
        <v>3748</v>
      </c>
      <c r="B1267" s="1">
        <v>5.0</v>
      </c>
      <c r="C1267" s="1" t="s">
        <v>3749</v>
      </c>
      <c r="D1267" s="1" t="s">
        <v>16</v>
      </c>
      <c r="E1267" s="1" t="s">
        <v>3750</v>
      </c>
      <c r="F1267" s="1" t="str">
        <f>IFERROR(__xludf.DUMMYFUNCTION("GOOGLETRANSLATE(A1267, ""zh-CN"", ""ko"")"),"재산")</f>
        <v>재산</v>
      </c>
    </row>
    <row r="1268" ht="15.75" customHeight="1">
      <c r="A1268" s="1" t="s">
        <v>3751</v>
      </c>
      <c r="B1268" s="1">
        <v>5.0</v>
      </c>
      <c r="C1268" s="1" t="s">
        <v>3752</v>
      </c>
      <c r="D1268" s="1" t="s">
        <v>8</v>
      </c>
      <c r="E1268" s="1" t="s">
        <v>3753</v>
      </c>
      <c r="F1268" s="1" t="str">
        <f>IFERROR(__xludf.DUMMYFUNCTION("GOOGLETRANSLATE(A1268, ""zh-CN"", ""ko"")"),"밟다")</f>
        <v>밟다</v>
      </c>
    </row>
    <row r="1269" ht="15.75" customHeight="1">
      <c r="A1269" s="1" t="s">
        <v>3754</v>
      </c>
      <c r="B1269" s="1">
        <v>5.0</v>
      </c>
      <c r="C1269" s="1" t="s">
        <v>3755</v>
      </c>
      <c r="D1269" s="1" t="s">
        <v>8</v>
      </c>
      <c r="E1269" s="1" t="s">
        <v>3756</v>
      </c>
      <c r="F1269" s="1" t="str">
        <f>IFERROR(__xludf.DUMMYFUNCTION("GOOGLETRANSLATE(A1269, ""zh-CN"", ""ko"")"),"회견")</f>
        <v>회견</v>
      </c>
    </row>
    <row r="1270" ht="15.75" customHeight="1">
      <c r="A1270" s="1" t="s">
        <v>3757</v>
      </c>
      <c r="B1270" s="1">
        <v>5.0</v>
      </c>
      <c r="C1270" s="1" t="s">
        <v>3758</v>
      </c>
      <c r="D1270" s="1" t="s">
        <v>16</v>
      </c>
      <c r="E1270" s="1" t="s">
        <v>3759</v>
      </c>
      <c r="F1270" s="1" t="str">
        <f>IFERROR(__xludf.DUMMYFUNCTION("GOOGLETRANSLATE(A1270, ""zh-CN"", ""ko"")"),"무지개")</f>
        <v>무지개</v>
      </c>
    </row>
    <row r="1271" ht="15.75" customHeight="1">
      <c r="A1271" s="1" t="s">
        <v>3760</v>
      </c>
      <c r="B1271" s="1">
        <v>5.0</v>
      </c>
      <c r="C1271" s="1" t="s">
        <v>3761</v>
      </c>
      <c r="D1271" s="1" t="s">
        <v>8</v>
      </c>
      <c r="E1271" s="1" t="s">
        <v>3762</v>
      </c>
      <c r="F1271" s="1" t="str">
        <f>IFERROR(__xludf.DUMMYFUNCTION("GOOGLETRANSLATE(A1271, ""zh-CN"", ""ko"")"),"가져가다")</f>
        <v>가져가다</v>
      </c>
    </row>
    <row r="1272" ht="15.75" customHeight="1">
      <c r="A1272" s="1" t="s">
        <v>3763</v>
      </c>
      <c r="B1272" s="1">
        <v>5.0</v>
      </c>
      <c r="C1272" s="1" t="s">
        <v>3764</v>
      </c>
      <c r="D1272" s="1" t="s">
        <v>8</v>
      </c>
      <c r="E1272" s="1" t="s">
        <v>3765</v>
      </c>
      <c r="F1272" s="1" t="str">
        <f>IFERROR(__xludf.DUMMYFUNCTION("GOOGLETRANSLATE(A1272, ""zh-CN"", ""ko"")"),"참조하다")</f>
        <v>참조하다</v>
      </c>
    </row>
    <row r="1273" ht="15.75" customHeight="1">
      <c r="A1273" s="1" t="s">
        <v>3766</v>
      </c>
      <c r="B1273" s="1">
        <v>5.0</v>
      </c>
      <c r="C1273" s="1" t="s">
        <v>3767</v>
      </c>
      <c r="D1273" s="1" t="s">
        <v>8</v>
      </c>
      <c r="E1273" s="1" t="s">
        <v>3768</v>
      </c>
      <c r="F1273" s="1" t="str">
        <f>IFERROR(__xludf.DUMMYFUNCTION("GOOGLETRANSLATE(A1273, ""zh-CN"", ""ko"")"),"참가하다")</f>
        <v>참가하다</v>
      </c>
    </row>
    <row r="1274" ht="15.75" customHeight="1">
      <c r="A1274" s="1" t="s">
        <v>3769</v>
      </c>
      <c r="B1274" s="1">
        <v>5.0</v>
      </c>
      <c r="C1274" s="1" t="s">
        <v>3770</v>
      </c>
      <c r="D1274" s="1" t="s">
        <v>3192</v>
      </c>
      <c r="E1274" s="1" t="s">
        <v>3771</v>
      </c>
      <c r="F1274" s="1" t="str">
        <f>IFERROR(__xludf.DUMMYFUNCTION("GOOGLETRANSLATE(A1274, ""zh-CN"", ""ko"")"),"나는 부끄럽다")</f>
        <v>나는 부끄럽다</v>
      </c>
    </row>
    <row r="1275" ht="15.75" customHeight="1">
      <c r="A1275" s="1" t="s">
        <v>3772</v>
      </c>
      <c r="B1275" s="1">
        <v>5.0</v>
      </c>
      <c r="C1275" s="1" t="s">
        <v>3773</v>
      </c>
      <c r="D1275" s="1" t="s">
        <v>16</v>
      </c>
      <c r="E1275" s="1" t="s">
        <v>3774</v>
      </c>
      <c r="F1275" s="1" t="str">
        <f>IFERROR(__xludf.DUMMYFUNCTION("GOOGLETRANSLATE(A1275, ""zh-CN"", ""ko"")"),"운동장")</f>
        <v>운동장</v>
      </c>
    </row>
    <row r="1276" ht="15.75" customHeight="1">
      <c r="A1276" s="1" t="s">
        <v>3775</v>
      </c>
      <c r="B1276" s="1">
        <v>5.0</v>
      </c>
      <c r="C1276" s="1" t="s">
        <v>3776</v>
      </c>
      <c r="D1276" s="1" t="s">
        <v>8</v>
      </c>
      <c r="E1276" s="1" t="s">
        <v>3777</v>
      </c>
      <c r="F1276" s="1" t="str">
        <f>IFERROR(__xludf.DUMMYFUNCTION("GOOGLETRANSLATE(A1276, ""zh-CN"", ""ko"")"),"걱정하다")</f>
        <v>걱정하다</v>
      </c>
    </row>
    <row r="1277" ht="15.75" customHeight="1">
      <c r="A1277" s="1" t="s">
        <v>3778</v>
      </c>
      <c r="B1277" s="1">
        <v>5.0</v>
      </c>
      <c r="C1277" s="1" t="s">
        <v>3779</v>
      </c>
      <c r="D1277" s="1" t="s">
        <v>16</v>
      </c>
      <c r="E1277" s="1" t="s">
        <v>3780</v>
      </c>
      <c r="F1277" s="1" t="str">
        <f>IFERROR(__xludf.DUMMYFUNCTION("GOOGLETRANSLATE(A1277, ""zh-CN"", ""ko"")"),"책")</f>
        <v>책</v>
      </c>
    </row>
    <row r="1278" ht="15.75" customHeight="1">
      <c r="A1278" s="1" t="s">
        <v>3781</v>
      </c>
      <c r="B1278" s="1">
        <v>5.0</v>
      </c>
      <c r="C1278" s="1" t="s">
        <v>3782</v>
      </c>
      <c r="D1278" s="1" t="s">
        <v>8</v>
      </c>
      <c r="E1278" s="1" t="s">
        <v>3783</v>
      </c>
      <c r="F1278" s="1" t="str">
        <f>IFERROR(__xludf.DUMMYFUNCTION("GOOGLETRANSLATE(A1278, ""zh-CN"", ""ko"")"),"시험")</f>
        <v>시험</v>
      </c>
    </row>
    <row r="1279" ht="15.75" customHeight="1">
      <c r="A1279" s="1" t="s">
        <v>3784</v>
      </c>
      <c r="B1279" s="1">
        <v>5.0</v>
      </c>
      <c r="C1279" s="1" t="s">
        <v>3785</v>
      </c>
      <c r="D1279" s="1" t="s">
        <v>33</v>
      </c>
      <c r="E1279" s="1" t="s">
        <v>3786</v>
      </c>
      <c r="F1279" s="1" t="str">
        <f>IFERROR(__xludf.DUMMYFUNCTION("GOOGLETRANSLATE(A1279, ""zh-CN"", ""ko"")"),"한 번")</f>
        <v>한 번</v>
      </c>
    </row>
    <row r="1280" ht="15.75" customHeight="1">
      <c r="A1280" s="1" t="s">
        <v>3787</v>
      </c>
      <c r="B1280" s="1">
        <v>5.0</v>
      </c>
      <c r="C1280" s="1" t="s">
        <v>3788</v>
      </c>
      <c r="D1280" s="1" t="s">
        <v>8</v>
      </c>
      <c r="E1280" s="1" t="s">
        <v>3789</v>
      </c>
      <c r="F1280" s="1" t="str">
        <f>IFERROR(__xludf.DUMMYFUNCTION("GOOGLETRANSLATE(A1280, ""zh-CN"", ""ko"")"),"끼워 넣다")</f>
        <v>끼워 넣다</v>
      </c>
    </row>
    <row r="1281" ht="15.75" customHeight="1">
      <c r="A1281" s="1" t="s">
        <v>3790</v>
      </c>
      <c r="B1281" s="1">
        <v>5.0</v>
      </c>
      <c r="C1281" s="1" t="s">
        <v>3791</v>
      </c>
      <c r="D1281" s="1" t="s">
        <v>16</v>
      </c>
      <c r="E1281" s="1" t="s">
        <v>2803</v>
      </c>
      <c r="F1281" s="1" t="str">
        <f>IFERROR(__xludf.DUMMYFUNCTION("GOOGLETRANSLATE(A1281, ""zh-CN"", ""ko"")"),"차이점")</f>
        <v>차이점</v>
      </c>
    </row>
    <row r="1282" ht="15.75" customHeight="1">
      <c r="A1282" s="1" t="s">
        <v>3792</v>
      </c>
      <c r="B1282" s="1">
        <v>5.0</v>
      </c>
      <c r="C1282" s="1" t="s">
        <v>3793</v>
      </c>
      <c r="D1282" s="1" t="s">
        <v>16</v>
      </c>
      <c r="E1282" s="1" t="s">
        <v>3794</v>
      </c>
      <c r="F1282" s="1" t="str">
        <f>IFERROR(__xludf.DUMMYFUNCTION("GOOGLETRANSLATE(A1282, ""zh-CN"", ""ko"")"),"갭")</f>
        <v>갭</v>
      </c>
    </row>
    <row r="1283" ht="15.75" customHeight="1">
      <c r="A1283" s="1" t="s">
        <v>3795</v>
      </c>
      <c r="B1283" s="1">
        <v>5.0</v>
      </c>
      <c r="C1283" s="1" t="s">
        <v>3796</v>
      </c>
      <c r="D1283" s="1" t="s">
        <v>16</v>
      </c>
      <c r="E1283" s="1" t="s">
        <v>3797</v>
      </c>
      <c r="F1283" s="1" t="str">
        <f>IFERROR(__xludf.DUMMYFUNCTION("GOOGLETRANSLATE(A1283, ""zh-CN"", ""ko"")"),"포크")</f>
        <v>포크</v>
      </c>
    </row>
    <row r="1284" ht="15.75" customHeight="1">
      <c r="A1284" s="1" t="s">
        <v>3798</v>
      </c>
      <c r="B1284" s="1">
        <v>5.0</v>
      </c>
      <c r="C1284" s="1" t="s">
        <v>3799</v>
      </c>
      <c r="D1284" s="1" t="s">
        <v>8</v>
      </c>
      <c r="E1284" s="1" t="s">
        <v>3800</v>
      </c>
      <c r="F1284" s="1" t="str">
        <f>IFERROR(__xludf.DUMMYFUNCTION("GOOGLETRANSLATE(A1284, ""zh-CN"", ""ko"")"),"해체하다")</f>
        <v>해체하다</v>
      </c>
    </row>
    <row r="1285" ht="15.75" customHeight="1">
      <c r="A1285" s="1" t="s">
        <v>3801</v>
      </c>
      <c r="B1285" s="1">
        <v>5.0</v>
      </c>
      <c r="C1285" s="1" t="s">
        <v>3802</v>
      </c>
      <c r="D1285" s="1" t="s">
        <v>16</v>
      </c>
      <c r="E1285" s="1" t="s">
        <v>3803</v>
      </c>
      <c r="F1285" s="1" t="str">
        <f>IFERROR(__xludf.DUMMYFUNCTION("GOOGLETRANSLATE(A1285, ""zh-CN"", ""ko"")"),"제품")</f>
        <v>제품</v>
      </c>
    </row>
    <row r="1286" ht="15.75" customHeight="1">
      <c r="A1286" s="1" t="s">
        <v>3804</v>
      </c>
      <c r="B1286" s="1">
        <v>5.0</v>
      </c>
      <c r="C1286" s="1" t="s">
        <v>3805</v>
      </c>
      <c r="D1286" s="1" t="s">
        <v>8</v>
      </c>
      <c r="E1286" s="1" t="s">
        <v>3806</v>
      </c>
      <c r="F1286" s="1" t="str">
        <f>IFERROR(__xludf.DUMMYFUNCTION("GOOGLETRANSLATE(A1286, ""zh-CN"", ""ko"")"),"생산하다")</f>
        <v>생산하다</v>
      </c>
    </row>
    <row r="1287" ht="15.75" customHeight="1">
      <c r="A1287" s="1" t="s">
        <v>3807</v>
      </c>
      <c r="B1287" s="1">
        <v>5.0</v>
      </c>
      <c r="C1287" s="1" t="s">
        <v>3808</v>
      </c>
      <c r="D1287" s="1" t="s">
        <v>16</v>
      </c>
      <c r="E1287" s="1" t="s">
        <v>3809</v>
      </c>
      <c r="F1287" s="1" t="str">
        <f>IFERROR(__xludf.DUMMYFUNCTION("GOOGLETRANSLATE(A1287, ""zh-CN"", ""ko"")"),"상식")</f>
        <v>상식</v>
      </c>
    </row>
    <row r="1288" ht="15.75" customHeight="1">
      <c r="A1288" s="1" t="s">
        <v>3810</v>
      </c>
      <c r="B1288" s="1">
        <v>5.0</v>
      </c>
      <c r="C1288" s="1" t="s">
        <v>3811</v>
      </c>
      <c r="D1288" s="1" t="s">
        <v>52</v>
      </c>
      <c r="E1288" s="1" t="s">
        <v>3812</v>
      </c>
      <c r="F1288" s="1" t="str">
        <f>IFERROR(__xludf.DUMMYFUNCTION("GOOGLETRANSLATE(A1288, ""zh-CN"", ""ko"")"),"장거리")</f>
        <v>장거리</v>
      </c>
    </row>
    <row r="1289" ht="15.75" customHeight="1">
      <c r="A1289" s="1" t="s">
        <v>3813</v>
      </c>
      <c r="B1289" s="1">
        <v>5.0</v>
      </c>
      <c r="C1289" s="1" t="s">
        <v>3814</v>
      </c>
      <c r="D1289" s="1" t="s">
        <v>8</v>
      </c>
      <c r="E1289" s="1" t="s">
        <v>3815</v>
      </c>
      <c r="F1289" s="1" t="str">
        <f>IFERROR(__xludf.DUMMYFUNCTION("GOOGLETRANSLATE(A1289, ""zh-CN"", ""ko"")"),"복사")</f>
        <v>복사</v>
      </c>
    </row>
    <row r="1290" ht="15.75" customHeight="1">
      <c r="A1290" s="1" t="s">
        <v>3816</v>
      </c>
      <c r="B1290" s="1">
        <v>5.0</v>
      </c>
      <c r="C1290" s="1" t="s">
        <v>3817</v>
      </c>
      <c r="D1290" s="1" t="s">
        <v>52</v>
      </c>
      <c r="E1290" s="1" t="s">
        <v>3818</v>
      </c>
      <c r="F1290" s="1" t="str">
        <f>IFERROR(__xludf.DUMMYFUNCTION("GOOGLETRANSLATE(A1290, ""zh-CN"", ""ko"")"),"감독자")</f>
        <v>감독자</v>
      </c>
    </row>
    <row r="1291" ht="15.75" customHeight="1">
      <c r="A1291" s="1" t="s">
        <v>3819</v>
      </c>
      <c r="B1291" s="1">
        <v>5.0</v>
      </c>
      <c r="C1291" s="1" t="s">
        <v>3820</v>
      </c>
      <c r="D1291" s="1" t="s">
        <v>486</v>
      </c>
      <c r="E1291" s="1" t="s">
        <v>3821</v>
      </c>
      <c r="F1291" s="1" t="str">
        <f>IFERROR(__xludf.DUMMYFUNCTION("GOOGLETRANSLATE(A1291, ""zh-CN"", ""ko"")"),"...쪽으로")</f>
        <v>...쪽으로</v>
      </c>
    </row>
    <row r="1292" ht="15.75" customHeight="1">
      <c r="A1292" s="1" t="s">
        <v>3822</v>
      </c>
      <c r="B1292" s="1">
        <v>5.0</v>
      </c>
      <c r="C1292" s="1" t="s">
        <v>3823</v>
      </c>
      <c r="D1292" s="1" t="s">
        <v>52</v>
      </c>
      <c r="E1292" s="1" t="s">
        <v>3824</v>
      </c>
      <c r="F1292" s="1" t="str">
        <f>IFERROR(__xludf.DUMMYFUNCTION("GOOGLETRANSLATE(A1292, ""zh-CN"", ""ko"")"),"습기")</f>
        <v>습기</v>
      </c>
    </row>
    <row r="1293" ht="15.75" customHeight="1">
      <c r="A1293" s="1" t="s">
        <v>3825</v>
      </c>
      <c r="B1293" s="1">
        <v>5.0</v>
      </c>
      <c r="C1293" s="1" t="s">
        <v>3826</v>
      </c>
      <c r="D1293" s="1" t="s">
        <v>52</v>
      </c>
      <c r="E1293" s="1" t="s">
        <v>3827</v>
      </c>
      <c r="F1293" s="1" t="str">
        <f>IFERROR(__xludf.DUMMYFUNCTION("GOOGLETRANSLATE(A1293, ""zh-CN"", ""ko"")"),"싸움")</f>
        <v>싸움</v>
      </c>
    </row>
    <row r="1294" ht="15.75" customHeight="1">
      <c r="A1294" s="1" t="s">
        <v>3828</v>
      </c>
      <c r="B1294" s="1">
        <v>5.0</v>
      </c>
      <c r="C1294" s="1" t="s">
        <v>3826</v>
      </c>
      <c r="D1294" s="1" t="s">
        <v>8</v>
      </c>
      <c r="E1294" s="1" t="s">
        <v>3829</v>
      </c>
      <c r="F1294" s="1" t="str">
        <f>IFERROR(__xludf.DUMMYFUNCTION("GOOGLETRANSLATE(A1294, ""zh-CN"", ""ko"")"),"볶음")</f>
        <v>볶음</v>
      </c>
    </row>
    <row r="1295" ht="15.75" customHeight="1">
      <c r="A1295" s="1" t="s">
        <v>3830</v>
      </c>
      <c r="B1295" s="1">
        <v>5.0</v>
      </c>
      <c r="C1295" s="1" t="s">
        <v>3831</v>
      </c>
      <c r="D1295" s="1" t="s">
        <v>8</v>
      </c>
      <c r="E1295" s="1" t="s">
        <v>3832</v>
      </c>
      <c r="F1295" s="1" t="str">
        <f>IFERROR(__xludf.DUMMYFUNCTION("GOOGLETRANSLATE(A1295, ""zh-CN"", ""ko"")"),"싸움")</f>
        <v>싸움</v>
      </c>
    </row>
    <row r="1296" ht="15.75" customHeight="1">
      <c r="A1296" s="1" t="s">
        <v>3833</v>
      </c>
      <c r="B1296" s="1">
        <v>5.0</v>
      </c>
      <c r="C1296" s="1" t="s">
        <v>3834</v>
      </c>
      <c r="D1296" s="1" t="s">
        <v>16</v>
      </c>
      <c r="E1296" s="1" t="s">
        <v>3835</v>
      </c>
      <c r="F1296" s="1" t="str">
        <f>IFERROR(__xludf.DUMMYFUNCTION("GOOGLETRANSLATE(A1296, ""zh-CN"", ""ko"")"),"차고")</f>
        <v>차고</v>
      </c>
    </row>
    <row r="1297" ht="15.75" customHeight="1">
      <c r="A1297" s="1" t="s">
        <v>3836</v>
      </c>
      <c r="B1297" s="1">
        <v>5.0</v>
      </c>
      <c r="C1297" s="1" t="s">
        <v>3837</v>
      </c>
      <c r="D1297" s="1" t="s">
        <v>16</v>
      </c>
      <c r="E1297" s="1" t="s">
        <v>3838</v>
      </c>
      <c r="F1297" s="1" t="str">
        <f>IFERROR(__xludf.DUMMYFUNCTION("GOOGLETRANSLATE(A1297, ""zh-CN"", ""ko"")"),"자동차")</f>
        <v>자동차</v>
      </c>
    </row>
    <row r="1298" ht="15.75" customHeight="1">
      <c r="A1298" s="1" t="s">
        <v>3839</v>
      </c>
      <c r="B1298" s="1">
        <v>5.0</v>
      </c>
      <c r="C1298" s="1" t="s">
        <v>3840</v>
      </c>
      <c r="D1298" s="1" t="s">
        <v>52</v>
      </c>
      <c r="E1298" s="1" t="s">
        <v>3841</v>
      </c>
      <c r="F1298" s="1" t="str">
        <f>IFERROR(__xludf.DUMMYFUNCTION("GOOGLETRANSLATE(A1298, ""zh-CN"", ""ko"")"),"철저한")</f>
        <v>철저한</v>
      </c>
    </row>
    <row r="1299" ht="15.75" customHeight="1">
      <c r="A1299" s="1" t="s">
        <v>3842</v>
      </c>
      <c r="B1299" s="1">
        <v>5.0</v>
      </c>
      <c r="C1299" s="1" t="s">
        <v>3843</v>
      </c>
      <c r="D1299" s="1" t="s">
        <v>8</v>
      </c>
      <c r="E1299" s="1" t="s">
        <v>3844</v>
      </c>
      <c r="F1299" s="1" t="str">
        <f>IFERROR(__xludf.DUMMYFUNCTION("GOOGLETRANSLATE(A1299, ""zh-CN"", ""ko"")"),"고요")</f>
        <v>고요</v>
      </c>
    </row>
    <row r="1300" ht="15.75" customHeight="1">
      <c r="A1300" s="1" t="s">
        <v>3845</v>
      </c>
      <c r="B1300" s="1">
        <v>5.0</v>
      </c>
      <c r="C1300" s="1" t="s">
        <v>3846</v>
      </c>
      <c r="D1300" s="1" t="s">
        <v>486</v>
      </c>
      <c r="E1300" s="1" t="s">
        <v>3847</v>
      </c>
      <c r="F1300" s="1" t="str">
        <f>IFERROR(__xludf.DUMMYFUNCTION("GOOGLETRANSLATE(A1300, ""zh-CN"", ""ko"")"),"기회를 잡다")</f>
        <v>기회를 잡다</v>
      </c>
    </row>
    <row r="1301" ht="15.75" customHeight="1">
      <c r="A1301" s="1" t="s">
        <v>3848</v>
      </c>
      <c r="B1301" s="1">
        <v>5.0</v>
      </c>
      <c r="C1301" s="1" t="s">
        <v>3849</v>
      </c>
      <c r="D1301" s="1" t="s">
        <v>8</v>
      </c>
      <c r="E1301" s="1" t="s">
        <v>3850</v>
      </c>
      <c r="F1301" s="1" t="str">
        <f>IFERROR(__xludf.DUMMYFUNCTION("GOOGLETRANSLATE(A1301, ""zh-CN"", ""ko"")"),"말하다")</f>
        <v>말하다</v>
      </c>
    </row>
    <row r="1302" ht="15.75" customHeight="1">
      <c r="A1302" s="1" t="s">
        <v>3851</v>
      </c>
      <c r="B1302" s="1">
        <v>5.0</v>
      </c>
      <c r="C1302" s="1" t="s">
        <v>3852</v>
      </c>
      <c r="D1302" s="1" t="s">
        <v>16</v>
      </c>
      <c r="E1302" s="1" t="s">
        <v>3853</v>
      </c>
      <c r="F1302" s="1" t="str">
        <f>IFERROR(__xludf.DUMMYFUNCTION("GOOGLETRANSLATE(A1302, ""zh-CN"", ""ko"")"),"부르다")</f>
        <v>부르다</v>
      </c>
    </row>
    <row r="1303" ht="15.75" customHeight="1">
      <c r="A1303" s="1" t="s">
        <v>3854</v>
      </c>
      <c r="B1303" s="1">
        <v>5.0</v>
      </c>
      <c r="C1303" s="1" t="s">
        <v>3855</v>
      </c>
      <c r="D1303" s="1" t="s">
        <v>8</v>
      </c>
      <c r="E1303" s="1" t="s">
        <v>3856</v>
      </c>
      <c r="F1303" s="1" t="str">
        <f>IFERROR(__xludf.DUMMYFUNCTION("GOOGLETRANSLATE(A1303, ""zh-CN"", ""ko"")"),"기리다")</f>
        <v>기리다</v>
      </c>
    </row>
    <row r="1304" ht="15.75" customHeight="1">
      <c r="A1304" s="1" t="s">
        <v>3857</v>
      </c>
      <c r="B1304" s="1">
        <v>5.0</v>
      </c>
      <c r="C1304" s="1" t="s">
        <v>3858</v>
      </c>
      <c r="D1304" s="1" t="s">
        <v>8</v>
      </c>
      <c r="E1304" s="1" t="s">
        <v>3859</v>
      </c>
      <c r="F1304" s="1" t="str">
        <f>IFERROR(__xludf.DUMMYFUNCTION("GOOGLETRANSLATE(A1304, ""zh-CN"", ""ko"")"),"곰")</f>
        <v>곰</v>
      </c>
    </row>
    <row r="1305" ht="15.75" customHeight="1">
      <c r="A1305" s="1" t="s">
        <v>3860</v>
      </c>
      <c r="B1305" s="1">
        <v>5.0</v>
      </c>
      <c r="C1305" s="1" t="s">
        <v>3861</v>
      </c>
      <c r="D1305" s="1" t="s">
        <v>16</v>
      </c>
      <c r="E1305" s="1" t="s">
        <v>3862</v>
      </c>
      <c r="F1305" s="1" t="str">
        <f>IFERROR(__xludf.DUMMYFUNCTION("GOOGLETRANSLATE(A1305, ""zh-CN"", ""ko"")"),"도")</f>
        <v>도</v>
      </c>
    </row>
    <row r="1306" ht="15.75" customHeight="1">
      <c r="A1306" s="1" t="s">
        <v>3863</v>
      </c>
      <c r="B1306" s="1">
        <v>5.0</v>
      </c>
      <c r="C1306" s="1" t="s">
        <v>3864</v>
      </c>
      <c r="D1306" s="1" t="s">
        <v>16</v>
      </c>
      <c r="E1306" s="1" t="s">
        <v>3865</v>
      </c>
      <c r="F1306" s="1" t="str">
        <f>IFERROR(__xludf.DUMMYFUNCTION("GOOGLETRANSLATE(A1306, ""zh-CN"", ""ko"")"),"요소")</f>
        <v>요소</v>
      </c>
    </row>
    <row r="1307" ht="15.75" customHeight="1">
      <c r="A1307" s="1" t="s">
        <v>3866</v>
      </c>
      <c r="B1307" s="1">
        <v>5.0</v>
      </c>
      <c r="C1307" s="1" t="s">
        <v>3867</v>
      </c>
      <c r="D1307" s="1" t="s">
        <v>16</v>
      </c>
      <c r="E1307" s="1" t="s">
        <v>3868</v>
      </c>
      <c r="F1307" s="1" t="str">
        <f>IFERROR(__xludf.DUMMYFUNCTION("GOOGLETRANSLATE(A1307, ""zh-CN"", ""ko"")"),"결과")</f>
        <v>결과</v>
      </c>
    </row>
    <row r="1308" ht="15.75" customHeight="1">
      <c r="A1308" s="1" t="s">
        <v>3869</v>
      </c>
      <c r="B1308" s="1">
        <v>5.0</v>
      </c>
      <c r="C1308" s="1" t="s">
        <v>3870</v>
      </c>
      <c r="D1308" s="1" t="s">
        <v>16</v>
      </c>
      <c r="E1308" s="1" t="s">
        <v>3871</v>
      </c>
      <c r="F1308" s="1" t="str">
        <f>IFERROR(__xludf.DUMMYFUNCTION("GOOGLETRANSLATE(A1308, ""zh-CN"", ""ko"")"),"성취")</f>
        <v>성취</v>
      </c>
    </row>
    <row r="1309" ht="15.75" customHeight="1">
      <c r="A1309" s="1" t="s">
        <v>3872</v>
      </c>
      <c r="B1309" s="1">
        <v>5.0</v>
      </c>
      <c r="C1309" s="1" t="s">
        <v>3873</v>
      </c>
      <c r="D1309" s="1" t="s">
        <v>52</v>
      </c>
      <c r="E1309" s="1" t="s">
        <v>3874</v>
      </c>
      <c r="F1309" s="1" t="str">
        <f>IFERROR(__xludf.DUMMYFUNCTION("GOOGLETRANSLATE(A1309, ""zh-CN"", ""ko"")"),"진실된")</f>
        <v>진실된</v>
      </c>
    </row>
    <row r="1310" ht="15.75" customHeight="1">
      <c r="A1310" s="1" t="s">
        <v>3875</v>
      </c>
      <c r="B1310" s="1">
        <v>5.0</v>
      </c>
      <c r="C1310" s="1" t="s">
        <v>3876</v>
      </c>
      <c r="D1310" s="1" t="s">
        <v>8</v>
      </c>
      <c r="E1310" s="1" t="s">
        <v>3877</v>
      </c>
      <c r="F1310" s="1" t="str">
        <f>IFERROR(__xludf.DUMMYFUNCTION("GOOGLETRANSLATE(A1310, ""zh-CN"", ""ko"")"),"확립된")</f>
        <v>확립된</v>
      </c>
    </row>
    <row r="1311" ht="15.75" customHeight="1">
      <c r="A1311" s="1" t="s">
        <v>3878</v>
      </c>
      <c r="B1311" s="1">
        <v>5.0</v>
      </c>
      <c r="C1311" s="1" t="s">
        <v>3879</v>
      </c>
      <c r="D1311" s="1" t="s">
        <v>16</v>
      </c>
      <c r="E1311" s="1" t="s">
        <v>3880</v>
      </c>
      <c r="F1311" s="1" t="str">
        <f>IFERROR(__xludf.DUMMYFUNCTION("GOOGLETRANSLATE(A1311, ""zh-CN"", ""ko"")"),"성인")</f>
        <v>성인</v>
      </c>
    </row>
    <row r="1312" ht="15.75" customHeight="1">
      <c r="A1312" s="1" t="s">
        <v>3881</v>
      </c>
      <c r="B1312" s="1">
        <v>5.0</v>
      </c>
      <c r="C1312" s="1" t="s">
        <v>3882</v>
      </c>
      <c r="D1312" s="1" t="s">
        <v>8</v>
      </c>
      <c r="E1312" s="1" t="s">
        <v>3883</v>
      </c>
      <c r="F1312" s="1" t="str">
        <f>IFERROR(__xludf.DUMMYFUNCTION("GOOGLETRANSLATE(A1312, ""zh-CN"", ""ko"")"),"인정하다")</f>
        <v>인정하다</v>
      </c>
    </row>
    <row r="1313" ht="15.75" customHeight="1">
      <c r="A1313" s="1" t="s">
        <v>3884</v>
      </c>
      <c r="B1313" s="1">
        <v>5.0</v>
      </c>
      <c r="C1313" s="1" t="s">
        <v>3885</v>
      </c>
      <c r="D1313" s="1" t="s">
        <v>8</v>
      </c>
      <c r="E1313" s="1" t="s">
        <v>3886</v>
      </c>
      <c r="F1313" s="1" t="str">
        <f>IFERROR(__xludf.DUMMYFUNCTION("GOOGLETRANSLATE(A1313, ""zh-CN"", ""ko"")"),"곰")</f>
        <v>곰</v>
      </c>
    </row>
    <row r="1314" ht="15.75" customHeight="1">
      <c r="A1314" s="1" t="s">
        <v>3887</v>
      </c>
      <c r="B1314" s="1">
        <v>5.0</v>
      </c>
      <c r="C1314" s="1" t="s">
        <v>3888</v>
      </c>
      <c r="D1314" s="1" t="s">
        <v>52</v>
      </c>
      <c r="E1314" s="1" t="s">
        <v>3889</v>
      </c>
      <c r="F1314" s="1" t="str">
        <f>IFERROR(__xludf.DUMMYFUNCTION("GOOGLETRANSLATE(A1314, ""zh-CN"", ""ko"")"),"성숙한")</f>
        <v>성숙한</v>
      </c>
    </row>
    <row r="1315" ht="15.75" customHeight="1">
      <c r="A1315" s="1" t="s">
        <v>3890</v>
      </c>
      <c r="B1315" s="1">
        <v>5.0</v>
      </c>
      <c r="C1315" s="1" t="s">
        <v>3891</v>
      </c>
      <c r="D1315" s="1" t="s">
        <v>16</v>
      </c>
      <c r="E1315" s="1" t="s">
        <v>3892</v>
      </c>
      <c r="F1315" s="1" t="str">
        <f>IFERROR(__xludf.DUMMYFUNCTION("GOOGLETRANSLATE(A1315, ""zh-CN"", ""ko"")"),"프로그램")</f>
        <v>프로그램</v>
      </c>
    </row>
    <row r="1316" ht="15.75" customHeight="1">
      <c r="A1316" s="1" t="s">
        <v>3893</v>
      </c>
      <c r="B1316" s="1">
        <v>5.0</v>
      </c>
      <c r="C1316" s="1" t="s">
        <v>3894</v>
      </c>
      <c r="D1316" s="1" t="s">
        <v>16</v>
      </c>
      <c r="E1316" s="1" t="s">
        <v>3895</v>
      </c>
      <c r="F1316" s="1" t="str">
        <f>IFERROR(__xludf.DUMMYFUNCTION("GOOGLETRANSLATE(A1316, ""zh-CN"", ""ko"")"),"관용구")</f>
        <v>관용구</v>
      </c>
    </row>
    <row r="1317" ht="15.75" customHeight="1">
      <c r="A1317" s="1" t="s">
        <v>3896</v>
      </c>
      <c r="B1317" s="1">
        <v>5.0</v>
      </c>
      <c r="C1317" s="1" t="s">
        <v>3897</v>
      </c>
      <c r="D1317" s="1" t="s">
        <v>8</v>
      </c>
      <c r="E1317" s="1" t="s">
        <v>3898</v>
      </c>
      <c r="F1317" s="1" t="str">
        <f>IFERROR(__xludf.DUMMYFUNCTION("GOOGLETRANSLATE(A1317, ""zh-CN"", ""ko"")"),"성장하면서")</f>
        <v>성장하면서</v>
      </c>
    </row>
    <row r="1318" ht="15.75" customHeight="1">
      <c r="A1318" s="1" t="s">
        <v>3899</v>
      </c>
      <c r="B1318" s="1">
        <v>5.0</v>
      </c>
      <c r="C1318" s="1" t="s">
        <v>3900</v>
      </c>
      <c r="D1318" s="1" t="s">
        <v>8</v>
      </c>
      <c r="E1318" s="1" t="s">
        <v>3901</v>
      </c>
      <c r="F1318" s="1" t="str">
        <f>IFERROR(__xludf.DUMMYFUNCTION("GOOGLETRANSLATE(A1318, ""zh-CN"", ""ko"")"),"손실을 입다")</f>
        <v>손실을 입다</v>
      </c>
    </row>
    <row r="1319" ht="15.75" customHeight="1">
      <c r="A1319" s="1" t="s">
        <v>3902</v>
      </c>
      <c r="B1319" s="1">
        <v>5.0</v>
      </c>
      <c r="C1319" s="1" t="s">
        <v>3903</v>
      </c>
      <c r="D1319" s="1" t="s">
        <v>16</v>
      </c>
      <c r="E1319" s="1" t="s">
        <v>3904</v>
      </c>
      <c r="F1319" s="1" t="str">
        <f>IFERROR(__xludf.DUMMYFUNCTION("GOOGLETRANSLATE(A1319, ""zh-CN"", ""ko"")"),"연못")</f>
        <v>연못</v>
      </c>
    </row>
    <row r="1320" ht="15.75" customHeight="1">
      <c r="A1320" s="1" t="s">
        <v>3905</v>
      </c>
      <c r="B1320" s="1">
        <v>5.0</v>
      </c>
      <c r="C1320" s="1" t="s">
        <v>3906</v>
      </c>
      <c r="D1320" s="1" t="s">
        <v>8</v>
      </c>
      <c r="E1320" s="1" t="s">
        <v>3907</v>
      </c>
      <c r="F1320" s="1" t="str">
        <f>IFERROR(__xludf.DUMMYFUNCTION("GOOGLETRANSLATE(A1320, ""zh-CN"", ""ko"")"),"계속되는")</f>
        <v>계속되는</v>
      </c>
    </row>
    <row r="1321" ht="15.75" customHeight="1">
      <c r="A1321" s="1" t="s">
        <v>3908</v>
      </c>
      <c r="B1321" s="1">
        <v>5.0</v>
      </c>
      <c r="C1321" s="1" t="s">
        <v>3909</v>
      </c>
      <c r="D1321" s="1" t="s">
        <v>33</v>
      </c>
      <c r="E1321" s="1" t="s">
        <v>3910</v>
      </c>
      <c r="F1321" s="1" t="str">
        <f>IFERROR(__xludf.DUMMYFUNCTION("GOOGLETRANSLATE(A1321, ""zh-CN"", ""ko"")"),"조만간")</f>
        <v>조만간</v>
      </c>
    </row>
    <row r="1322" ht="15.75" customHeight="1">
      <c r="A1322" s="1" t="s">
        <v>3911</v>
      </c>
      <c r="B1322" s="1">
        <v>5.0</v>
      </c>
      <c r="C1322" s="1" t="s">
        <v>3912</v>
      </c>
      <c r="D1322" s="1" t="s">
        <v>16</v>
      </c>
      <c r="E1322" s="1" t="s">
        <v>3913</v>
      </c>
      <c r="F1322" s="1" t="str">
        <f>IFERROR(__xludf.DUMMYFUNCTION("GOOGLETRANSLATE(A1322, ""zh-CN"", ""ko"")"),"자")</f>
        <v>자</v>
      </c>
    </row>
    <row r="1323" ht="15.75" customHeight="1">
      <c r="A1323" s="1" t="s">
        <v>3914</v>
      </c>
      <c r="B1323" s="1">
        <v>5.0</v>
      </c>
      <c r="C1323" s="1" t="s">
        <v>3915</v>
      </c>
      <c r="D1323" s="1" t="s">
        <v>16</v>
      </c>
      <c r="E1323" s="1" t="s">
        <v>3916</v>
      </c>
      <c r="F1323" s="1" t="str">
        <f>IFERROR(__xludf.DUMMYFUNCTION("GOOGLETRANSLATE(A1323, ""zh-CN"", ""ko"")"),"비행")</f>
        <v>비행</v>
      </c>
    </row>
    <row r="1324" ht="15.75" customHeight="1">
      <c r="A1324" s="1" t="s">
        <v>3917</v>
      </c>
      <c r="B1324" s="1">
        <v>5.0</v>
      </c>
      <c r="C1324" s="1" t="s">
        <v>3918</v>
      </c>
      <c r="D1324" s="1" t="s">
        <v>8</v>
      </c>
      <c r="E1324" s="1" t="s">
        <v>3919</v>
      </c>
      <c r="F1324" s="1" t="str">
        <f>IFERROR(__xludf.DUMMYFUNCTION("GOOGLETRANSLATE(A1324, ""zh-CN"", ""ko"")"),"서두르다")</f>
        <v>서두르다</v>
      </c>
    </row>
    <row r="1325" ht="15.75" customHeight="1">
      <c r="A1325" s="1" t="s">
        <v>3920</v>
      </c>
      <c r="B1325" s="1">
        <v>5.0</v>
      </c>
      <c r="C1325" s="1" t="s">
        <v>3921</v>
      </c>
      <c r="D1325" s="1" t="s">
        <v>16</v>
      </c>
      <c r="E1325" s="1" t="s">
        <v>3922</v>
      </c>
      <c r="F1325" s="1" t="str">
        <f>IFERROR(__xludf.DUMMYFUNCTION("GOOGLETRANSLATE(A1325, ""zh-CN"", ""ko"")"),"충전기")</f>
        <v>충전기</v>
      </c>
    </row>
    <row r="1326" ht="15.75" customHeight="1">
      <c r="A1326" s="1" t="s">
        <v>3923</v>
      </c>
      <c r="B1326" s="1">
        <v>5.0</v>
      </c>
      <c r="C1326" s="1" t="s">
        <v>3924</v>
      </c>
      <c r="D1326" s="1" t="s">
        <v>52</v>
      </c>
      <c r="E1326" s="1" t="s">
        <v>3925</v>
      </c>
      <c r="F1326" s="1" t="str">
        <f>IFERROR(__xludf.DUMMYFUNCTION("GOOGLETRANSLATE(A1326, ""zh-CN"", ""ko"")"),"가득한")</f>
        <v>가득한</v>
      </c>
    </row>
    <row r="1327" ht="15.75" customHeight="1">
      <c r="A1327" s="1" t="s">
        <v>3926</v>
      </c>
      <c r="B1327" s="1">
        <v>5.0</v>
      </c>
      <c r="C1327" s="1" t="s">
        <v>3927</v>
      </c>
      <c r="D1327" s="1" t="s">
        <v>8</v>
      </c>
      <c r="E1327" s="1" t="s">
        <v>3928</v>
      </c>
      <c r="F1327" s="1" t="str">
        <f>IFERROR(__xludf.DUMMYFUNCTION("GOOGLETRANSLATE(A1327, ""zh-CN"", ""ko"")"),"가득한")</f>
        <v>가득한</v>
      </c>
    </row>
    <row r="1328" ht="15.75" customHeight="1">
      <c r="A1328" s="1" t="s">
        <v>3929</v>
      </c>
      <c r="B1328" s="1">
        <v>5.0</v>
      </c>
      <c r="C1328" s="1" t="s">
        <v>3930</v>
      </c>
      <c r="D1328" s="1" t="s">
        <v>8</v>
      </c>
      <c r="E1328" s="1" t="s">
        <v>3931</v>
      </c>
      <c r="F1328" s="1" t="str">
        <f>IFERROR(__xludf.DUMMYFUNCTION("GOOGLETRANSLATE(A1328, ""zh-CN"", ""ko"")"),"반복하다")</f>
        <v>반복하다</v>
      </c>
    </row>
    <row r="1329" ht="15.75" customHeight="1">
      <c r="A1329" s="1" t="s">
        <v>3932</v>
      </c>
      <c r="B1329" s="1">
        <v>5.0</v>
      </c>
      <c r="C1329" s="1" t="s">
        <v>3933</v>
      </c>
      <c r="D1329" s="1" t="s">
        <v>16</v>
      </c>
      <c r="E1329" s="1" t="s">
        <v>3934</v>
      </c>
      <c r="F1329" s="1" t="str">
        <f>IFERROR(__xludf.DUMMYFUNCTION("GOOGLETRANSLATE(A1329, ""zh-CN"", ""ko"")"),"애완 동물")</f>
        <v>애완 동물</v>
      </c>
    </row>
    <row r="1330" ht="15.75" customHeight="1">
      <c r="A1330" s="1" t="s">
        <v>3935</v>
      </c>
      <c r="B1330" s="1">
        <v>5.0</v>
      </c>
      <c r="C1330" s="1" t="s">
        <v>3936</v>
      </c>
      <c r="D1330" s="1" t="s">
        <v>16</v>
      </c>
      <c r="E1330" s="1" t="s">
        <v>3937</v>
      </c>
      <c r="F1330" s="1" t="str">
        <f>IFERROR(__xludf.DUMMYFUNCTION("GOOGLETRANSLATE(A1330, ""zh-CN"", ""ko"")"),"서랍")</f>
        <v>서랍</v>
      </c>
    </row>
    <row r="1331" ht="15.75" customHeight="1">
      <c r="A1331" s="1" t="s">
        <v>3938</v>
      </c>
      <c r="B1331" s="1">
        <v>5.0</v>
      </c>
      <c r="C1331" s="1" t="s">
        <v>3939</v>
      </c>
      <c r="D1331" s="1" t="s">
        <v>52</v>
      </c>
      <c r="E1331" s="1" t="s">
        <v>3940</v>
      </c>
      <c r="F1331" s="1" t="str">
        <f>IFERROR(__xludf.DUMMYFUNCTION("GOOGLETRANSLATE(A1331, ""zh-CN"", ""ko"")"),"추상적인")</f>
        <v>추상적인</v>
      </c>
    </row>
    <row r="1332" ht="15.75" customHeight="1">
      <c r="A1332" s="1" t="s">
        <v>3941</v>
      </c>
      <c r="B1332" s="1">
        <v>5.0</v>
      </c>
      <c r="C1332" s="1" t="s">
        <v>3942</v>
      </c>
      <c r="D1332" s="1" t="s">
        <v>52</v>
      </c>
      <c r="E1332" s="1" t="s">
        <v>3943</v>
      </c>
      <c r="F1332" s="1" t="str">
        <f>IFERROR(__xludf.DUMMYFUNCTION("GOOGLETRANSLATE(A1332, ""zh-CN"", ""ko"")"),"못생긴")</f>
        <v>못생긴</v>
      </c>
    </row>
    <row r="1333" ht="15.75" customHeight="1">
      <c r="A1333" s="1" t="s">
        <v>3944</v>
      </c>
      <c r="B1333" s="1">
        <v>5.0</v>
      </c>
      <c r="C1333" s="1" t="s">
        <v>3945</v>
      </c>
      <c r="D1333" s="1" t="s">
        <v>52</v>
      </c>
      <c r="E1333" s="1" t="s">
        <v>3946</v>
      </c>
      <c r="F1333" s="1" t="str">
        <f>IFERROR(__xludf.DUMMYFUNCTION("GOOGLETRANSLATE(A1333, ""zh-CN"", ""ko"")"),"냄새 나는")</f>
        <v>냄새 나는</v>
      </c>
    </row>
    <row r="1334" ht="15.75" customHeight="1">
      <c r="A1334" s="1" t="s">
        <v>3947</v>
      </c>
      <c r="B1334" s="1">
        <v>5.0</v>
      </c>
      <c r="C1334" s="1" t="s">
        <v>3948</v>
      </c>
      <c r="D1334" s="1" t="s">
        <v>8</v>
      </c>
      <c r="E1334" s="1" t="s">
        <v>3949</v>
      </c>
      <c r="F1334" s="1" t="str">
        <f>IFERROR(__xludf.DUMMYFUNCTION("GOOGLETRANSLATE(A1334, ""zh-CN"", ""ko"")"),"출판")</f>
        <v>출판</v>
      </c>
    </row>
    <row r="1335" ht="15.75" customHeight="1">
      <c r="A1335" s="1" t="s">
        <v>3950</v>
      </c>
      <c r="B1335" s="1">
        <v>5.0</v>
      </c>
      <c r="C1335" s="1" t="s">
        <v>3951</v>
      </c>
      <c r="D1335" s="1" t="s">
        <v>52</v>
      </c>
      <c r="E1335" s="1" t="s">
        <v>3952</v>
      </c>
      <c r="F1335" s="1" t="str">
        <f>IFERROR(__xludf.DUMMYFUNCTION("GOOGLETRANSLATE(A1335, ""zh-CN"", ""ko"")"),"주요한")</f>
        <v>주요한</v>
      </c>
    </row>
    <row r="1336" ht="15.75" customHeight="1">
      <c r="A1336" s="1" t="s">
        <v>3953</v>
      </c>
      <c r="B1336" s="1">
        <v>5.0</v>
      </c>
      <c r="C1336" s="1" t="s">
        <v>3954</v>
      </c>
      <c r="D1336" s="1" t="s">
        <v>16</v>
      </c>
      <c r="E1336" s="1" t="s">
        <v>3955</v>
      </c>
      <c r="F1336" s="1" t="str">
        <f>IFERROR(__xludf.DUMMYFUNCTION("GOOGLETRANSLATE(A1336, ""zh-CN"", ""ko"")"),"출구")</f>
        <v>출구</v>
      </c>
    </row>
    <row r="1337" ht="15.75" customHeight="1">
      <c r="A1337" s="1" t="s">
        <v>3956</v>
      </c>
      <c r="B1337" s="1">
        <v>5.0</v>
      </c>
      <c r="C1337" s="1" t="s">
        <v>3957</v>
      </c>
      <c r="D1337" s="1" t="s">
        <v>52</v>
      </c>
      <c r="E1337" s="1" t="s">
        <v>3958</v>
      </c>
      <c r="F1337" s="1" t="str">
        <f>IFERROR(__xludf.DUMMYFUNCTION("GOOGLETRANSLATE(A1337, ""zh-CN"", ""ko"")"),"뛰어난")</f>
        <v>뛰어난</v>
      </c>
    </row>
    <row r="1338" ht="15.75" customHeight="1">
      <c r="A1338" s="1" t="s">
        <v>3959</v>
      </c>
      <c r="B1338" s="1">
        <v>5.0</v>
      </c>
      <c r="C1338" s="1" t="s">
        <v>3960</v>
      </c>
      <c r="D1338" s="1" t="s">
        <v>8</v>
      </c>
      <c r="E1338" s="1" t="s">
        <v>3961</v>
      </c>
      <c r="F1338" s="1" t="str">
        <f>IFERROR(__xludf.DUMMYFUNCTION("GOOGLETRANSLATE(A1338, ""zh-CN"", ""ko"")"),"보여주다")</f>
        <v>보여주다</v>
      </c>
    </row>
    <row r="1339" ht="15.75" customHeight="1">
      <c r="A1339" s="1" t="s">
        <v>3962</v>
      </c>
      <c r="B1339" s="1">
        <v>5.0</v>
      </c>
      <c r="C1339" s="1" t="s">
        <v>3963</v>
      </c>
      <c r="D1339" s="1" t="s">
        <v>8</v>
      </c>
      <c r="E1339" s="1" t="s">
        <v>3964</v>
      </c>
      <c r="F1339" s="1" t="str">
        <f>IFERROR(__xludf.DUMMYFUNCTION("GOOGLETRANSLATE(A1339, ""zh-CN"", ""ko"")"),"참석하다")</f>
        <v>참석하다</v>
      </c>
    </row>
    <row r="1340" ht="15.75" customHeight="1">
      <c r="A1340" s="1" t="s">
        <v>3965</v>
      </c>
      <c r="B1340" s="1">
        <v>5.0</v>
      </c>
      <c r="C1340" s="1" t="s">
        <v>3966</v>
      </c>
      <c r="D1340" s="1" t="s">
        <v>1473</v>
      </c>
      <c r="E1340" s="1" t="s">
        <v>3967</v>
      </c>
      <c r="F1340" s="1" t="str">
        <f>IFERROR(__xludf.DUMMYFUNCTION("GOOGLETRANSLATE(A1340, ""zh-CN"", ""ko"")"),"~하지 않는 한")</f>
        <v>~하지 않는 한</v>
      </c>
    </row>
    <row r="1341" ht="15.75" customHeight="1">
      <c r="A1341" s="1" t="s">
        <v>3968</v>
      </c>
      <c r="B1341" s="1">
        <v>5.0</v>
      </c>
      <c r="C1341" s="1" t="s">
        <v>3969</v>
      </c>
      <c r="D1341" s="1" t="s">
        <v>16</v>
      </c>
      <c r="E1341" s="1" t="s">
        <v>3970</v>
      </c>
      <c r="F1341" s="1" t="str">
        <f>IFERROR(__xludf.DUMMYFUNCTION("GOOGLETRANSLATE(A1341, ""zh-CN"", ""ko"")"),"음력 설날 전야")</f>
        <v>음력 설날 전야</v>
      </c>
    </row>
    <row r="1342" ht="15.75" customHeight="1">
      <c r="A1342" s="1" t="s">
        <v>3971</v>
      </c>
      <c r="B1342" s="1">
        <v>5.0</v>
      </c>
      <c r="C1342" s="1" t="s">
        <v>3972</v>
      </c>
      <c r="D1342" s="1" t="s">
        <v>8</v>
      </c>
      <c r="E1342" s="1" t="s">
        <v>3973</v>
      </c>
      <c r="F1342" s="1" t="str">
        <f>IFERROR(__xludf.DUMMYFUNCTION("GOOGLETRANSLATE(A1342, ""zh-CN"", ""ko"")"),"처리하다")</f>
        <v>처리하다</v>
      </c>
    </row>
    <row r="1343" ht="15.75" customHeight="1">
      <c r="A1343" s="1" t="s">
        <v>3974</v>
      </c>
      <c r="B1343" s="1">
        <v>5.0</v>
      </c>
      <c r="C1343" s="1" t="s">
        <v>3975</v>
      </c>
      <c r="D1343" s="1" t="s">
        <v>8</v>
      </c>
      <c r="E1343" s="1" t="s">
        <v>3976</v>
      </c>
      <c r="F1343" s="1" t="str">
        <f>IFERROR(__xludf.DUMMYFUNCTION("GOOGLETRANSLATE(A1343, ""zh-CN"", ""ko"")"),"확산")</f>
        <v>확산</v>
      </c>
    </row>
    <row r="1344" ht="15.75" customHeight="1">
      <c r="A1344" s="1" t="s">
        <v>3977</v>
      </c>
      <c r="B1344" s="1">
        <v>5.0</v>
      </c>
      <c r="C1344" s="1" t="s">
        <v>3978</v>
      </c>
      <c r="D1344" s="1" t="s">
        <v>8</v>
      </c>
      <c r="E1344" s="1" t="s">
        <v>3979</v>
      </c>
      <c r="F1344" s="1" t="str">
        <f>IFERROR(__xludf.DUMMYFUNCTION("GOOGLETRANSLATE(A1344, ""zh-CN"", ""ko"")"),"감염시키다")</f>
        <v>감염시키다</v>
      </c>
    </row>
    <row r="1345" ht="15.75" customHeight="1">
      <c r="A1345" s="1" t="s">
        <v>3980</v>
      </c>
      <c r="B1345" s="1">
        <v>5.0</v>
      </c>
      <c r="C1345" s="1" t="s">
        <v>3981</v>
      </c>
      <c r="D1345" s="1" t="s">
        <v>16</v>
      </c>
      <c r="E1345" s="1" t="s">
        <v>3982</v>
      </c>
      <c r="F1345" s="1" t="str">
        <f>IFERROR(__xludf.DUMMYFUNCTION("GOOGLETRANSLATE(A1345, ""zh-CN"", ""ko"")"),"전설")</f>
        <v>전설</v>
      </c>
    </row>
    <row r="1346" ht="15.75" customHeight="1">
      <c r="A1346" s="1" t="s">
        <v>3983</v>
      </c>
      <c r="B1346" s="1">
        <v>5.0</v>
      </c>
      <c r="C1346" s="1" t="s">
        <v>3984</v>
      </c>
      <c r="D1346" s="1" t="s">
        <v>1842</v>
      </c>
      <c r="E1346" s="1" t="s">
        <v>3985</v>
      </c>
      <c r="F1346" s="1" t="str">
        <f>IFERROR(__xludf.DUMMYFUNCTION("GOOGLETRANSLATE(A1346, ""zh-CN"", ""ko"")"),"전통")</f>
        <v>전통</v>
      </c>
    </row>
    <row r="1347" ht="15.75" customHeight="1">
      <c r="A1347" s="1" t="s">
        <v>3986</v>
      </c>
      <c r="B1347" s="1">
        <v>5.0</v>
      </c>
      <c r="C1347" s="1" t="s">
        <v>3987</v>
      </c>
      <c r="D1347" s="1" t="s">
        <v>16</v>
      </c>
      <c r="E1347" s="1" t="s">
        <v>3988</v>
      </c>
      <c r="F1347" s="1" t="str">
        <f>IFERROR(__xludf.DUMMYFUNCTION("GOOGLETRANSLATE(A1347, ""zh-CN"", ""ko"")"),"커튼")</f>
        <v>커튼</v>
      </c>
    </row>
    <row r="1348" ht="15.75" customHeight="1">
      <c r="A1348" s="1" t="s">
        <v>3989</v>
      </c>
      <c r="B1348" s="1">
        <v>5.0</v>
      </c>
      <c r="C1348" s="1" t="s">
        <v>3990</v>
      </c>
      <c r="D1348" s="1" t="s">
        <v>8</v>
      </c>
      <c r="E1348" s="1" t="s">
        <v>3991</v>
      </c>
      <c r="F1348" s="1" t="str">
        <f>IFERROR(__xludf.DUMMYFUNCTION("GOOGLETRANSLATE(A1348, ""zh-CN"", ""ko"")"),"부서지다")</f>
        <v>부서지다</v>
      </c>
    </row>
    <row r="1349" ht="15.75" customHeight="1">
      <c r="A1349" s="1" t="s">
        <v>3992</v>
      </c>
      <c r="B1349" s="1">
        <v>5.0</v>
      </c>
      <c r="C1349" s="1" t="s">
        <v>3993</v>
      </c>
      <c r="D1349" s="1" t="s">
        <v>8</v>
      </c>
      <c r="E1349" s="1" t="s">
        <v>3994</v>
      </c>
      <c r="F1349" s="1" t="str">
        <f>IFERROR(__xludf.DUMMYFUNCTION("GOOGLETRANSLATE(A1349, ""zh-CN"", ""ko"")"),"만들다")</f>
        <v>만들다</v>
      </c>
    </row>
    <row r="1350" ht="15.75" customHeight="1">
      <c r="A1350" s="1" t="s">
        <v>3995</v>
      </c>
      <c r="B1350" s="1">
        <v>5.0</v>
      </c>
      <c r="C1350" s="1" t="s">
        <v>3996</v>
      </c>
      <c r="D1350" s="1" t="s">
        <v>8</v>
      </c>
      <c r="E1350" s="1" t="s">
        <v>3997</v>
      </c>
      <c r="F1350" s="1" t="str">
        <f>IFERROR(__xludf.DUMMYFUNCTION("GOOGLETRANSLATE(A1350, ""zh-CN"", ""ko"")"),"불다")</f>
        <v>불다</v>
      </c>
    </row>
    <row r="1351" ht="15.75" customHeight="1">
      <c r="A1351" s="1" t="s">
        <v>3998</v>
      </c>
      <c r="B1351" s="1">
        <v>5.0</v>
      </c>
      <c r="C1351" s="1" t="s">
        <v>3999</v>
      </c>
      <c r="D1351" s="1" t="s">
        <v>16</v>
      </c>
      <c r="E1351" s="1" t="s">
        <v>4000</v>
      </c>
      <c r="F1351" s="1" t="str">
        <f>IFERROR(__xludf.DUMMYFUNCTION("GOOGLETRANSLATE(A1351, ""zh-CN"", ""ko"")"),"어휘")</f>
        <v>어휘</v>
      </c>
    </row>
    <row r="1352" ht="15.75" customHeight="1">
      <c r="A1352" s="1" t="s">
        <v>4001</v>
      </c>
      <c r="B1352" s="1">
        <v>5.0</v>
      </c>
      <c r="C1352" s="1" t="s">
        <v>4002</v>
      </c>
      <c r="D1352" s="1" t="s">
        <v>8</v>
      </c>
      <c r="E1352" s="1" t="s">
        <v>4003</v>
      </c>
      <c r="F1352" s="1" t="str">
        <f>IFERROR(__xludf.DUMMYFUNCTION("GOOGLETRANSLATE(A1352, ""zh-CN"", ""ko"")"),"사직하다")</f>
        <v>사직하다</v>
      </c>
    </row>
    <row r="1353" ht="15.75" customHeight="1">
      <c r="A1353" s="1" t="s">
        <v>4004</v>
      </c>
      <c r="B1353" s="1">
        <v>5.0</v>
      </c>
      <c r="C1353" s="1" t="s">
        <v>4005</v>
      </c>
      <c r="D1353" s="1" t="s">
        <v>1473</v>
      </c>
      <c r="E1353" s="1" t="s">
        <v>4006</v>
      </c>
      <c r="F1353" s="1" t="str">
        <f>IFERROR(__xludf.DUMMYFUNCTION("GOOGLETRANSLATE(A1353, ""zh-CN"", ""ko"")"),"또한")</f>
        <v>또한</v>
      </c>
    </row>
    <row r="1354" ht="15.75" customHeight="1">
      <c r="A1354" s="1" t="s">
        <v>4007</v>
      </c>
      <c r="B1354" s="1">
        <v>5.0</v>
      </c>
      <c r="C1354" s="1" t="s">
        <v>4008</v>
      </c>
      <c r="D1354" s="1" t="s">
        <v>8</v>
      </c>
      <c r="E1354" s="1" t="s">
        <v>4009</v>
      </c>
      <c r="F1354" s="1" t="str">
        <f>IFERROR(__xludf.DUMMYFUNCTION("GOOGLETRANSLATE(A1354, ""zh-CN"", ""ko"")"),"자극하다")</f>
        <v>자극하다</v>
      </c>
    </row>
    <row r="1355" ht="15.75" customHeight="1">
      <c r="A1355" s="1" t="s">
        <v>4010</v>
      </c>
      <c r="B1355" s="1">
        <v>5.0</v>
      </c>
      <c r="C1355" s="1" t="s">
        <v>4011</v>
      </c>
      <c r="D1355" s="1" t="s">
        <v>52</v>
      </c>
      <c r="E1355" s="1" t="s">
        <v>4012</v>
      </c>
      <c r="F1355" s="1" t="str">
        <f>IFERROR(__xludf.DUMMYFUNCTION("GOOGLETRANSLATE(A1355, ""zh-CN"", ""ko"")"),"반성")</f>
        <v>반성</v>
      </c>
    </row>
    <row r="1356" ht="15.75" customHeight="1">
      <c r="A1356" s="1" t="s">
        <v>4013</v>
      </c>
      <c r="B1356" s="1">
        <v>5.0</v>
      </c>
      <c r="C1356" s="1" t="s">
        <v>4014</v>
      </c>
      <c r="D1356" s="1" t="s">
        <v>52</v>
      </c>
      <c r="E1356" s="1" t="s">
        <v>4015</v>
      </c>
      <c r="F1356" s="1" t="str">
        <f>IFERROR(__xludf.DUMMYFUNCTION("GOOGLETRANSLATE(A1356, ""zh-CN"", ""ko"")"),"서두르다")</f>
        <v>서두르다</v>
      </c>
    </row>
    <row r="1357" ht="15.75" customHeight="1">
      <c r="A1357" s="1" t="s">
        <v>4016</v>
      </c>
      <c r="B1357" s="1">
        <v>5.0</v>
      </c>
      <c r="C1357" s="1" t="s">
        <v>4017</v>
      </c>
      <c r="D1357" s="1" t="s">
        <v>33</v>
      </c>
      <c r="E1357" s="1" t="s">
        <v>4018</v>
      </c>
      <c r="F1357" s="1" t="str">
        <f>IFERROR(__xludf.DUMMYFUNCTION("GOOGLETRANSLATE(A1357, ""zh-CN"", ""ko"")"),"그때부터")</f>
        <v>그때부터</v>
      </c>
    </row>
    <row r="1358" ht="15.75" customHeight="1">
      <c r="A1358" s="1" t="s">
        <v>4019</v>
      </c>
      <c r="B1358" s="1">
        <v>5.0</v>
      </c>
      <c r="C1358" s="1" t="s">
        <v>4020</v>
      </c>
      <c r="D1358" s="1" t="s">
        <v>1473</v>
      </c>
      <c r="E1358" s="1" t="s">
        <v>4021</v>
      </c>
      <c r="F1358" s="1" t="str">
        <f>IFERROR(__xludf.DUMMYFUNCTION("GOOGLETRANSLATE(A1358, ""zh-CN"", ""ko"")"),"그것에 의하여")</f>
        <v>그것에 의하여</v>
      </c>
    </row>
    <row r="1359" ht="15.75" customHeight="1">
      <c r="A1359" s="1" t="s">
        <v>4022</v>
      </c>
      <c r="B1359" s="1">
        <v>5.0</v>
      </c>
      <c r="C1359" s="1" t="s">
        <v>4023</v>
      </c>
      <c r="D1359" s="1" t="s">
        <v>16</v>
      </c>
      <c r="E1359" s="1" t="s">
        <v>4024</v>
      </c>
      <c r="F1359" s="1" t="str">
        <f>IFERROR(__xludf.DUMMYFUNCTION("GOOGLETRANSLATE(A1359, ""zh-CN"", ""ko"")"),"옛날 옛적에")</f>
        <v>옛날 옛적에</v>
      </c>
    </row>
    <row r="1360" ht="15.75" customHeight="1">
      <c r="A1360" s="1" t="s">
        <v>4025</v>
      </c>
      <c r="B1360" s="1">
        <v>5.0</v>
      </c>
      <c r="C1360" s="1" t="s">
        <v>4026</v>
      </c>
      <c r="D1360" s="1" t="s">
        <v>8</v>
      </c>
      <c r="E1360" s="1" t="s">
        <v>4027</v>
      </c>
      <c r="F1360" s="1" t="str">
        <f>IFERROR(__xludf.DUMMYFUNCTION("GOOGLETRANSLATE(A1360, ""zh-CN"", ""ko"")"),"참여하고 있다")</f>
        <v>참여하고 있다</v>
      </c>
    </row>
    <row r="1361" ht="15.75" customHeight="1">
      <c r="A1361" s="1" t="s">
        <v>4028</v>
      </c>
      <c r="B1361" s="1">
        <v>5.0</v>
      </c>
      <c r="C1361" s="1" t="s">
        <v>4029</v>
      </c>
      <c r="D1361" s="1" t="s">
        <v>52</v>
      </c>
      <c r="E1361" s="1" t="s">
        <v>4030</v>
      </c>
      <c r="F1361" s="1" t="str">
        <f>IFERROR(__xludf.DUMMYFUNCTION("GOOGLETRANSLATE(A1361, ""zh-CN"", ""ko"")"),"거친")</f>
        <v>거친</v>
      </c>
    </row>
    <row r="1362" ht="15.75" customHeight="1">
      <c r="A1362" s="1" t="s">
        <v>4031</v>
      </c>
      <c r="B1362" s="1">
        <v>5.0</v>
      </c>
      <c r="C1362" s="1" t="s">
        <v>4032</v>
      </c>
      <c r="D1362" s="1" t="s">
        <v>16</v>
      </c>
      <c r="E1362" s="1" t="s">
        <v>4033</v>
      </c>
      <c r="F1362" s="1" t="str">
        <f>IFERROR(__xludf.DUMMYFUNCTION("GOOGLETRANSLATE(A1362, ""zh-CN"", ""ko"")"),"식초")</f>
        <v>식초</v>
      </c>
    </row>
    <row r="1363" ht="15.75" customHeight="1">
      <c r="A1363" s="1" t="s">
        <v>4034</v>
      </c>
      <c r="B1363" s="1">
        <v>5.0</v>
      </c>
      <c r="C1363" s="1" t="s">
        <v>4035</v>
      </c>
      <c r="D1363" s="1" t="s">
        <v>8</v>
      </c>
      <c r="E1363" s="1" t="s">
        <v>4036</v>
      </c>
      <c r="F1363" s="1" t="str">
        <f>IFERROR(__xludf.DUMMYFUNCTION("GOOGLETRANSLATE(A1363, ""zh-CN"", ""ko"")"),"홍보하다")</f>
        <v>홍보하다</v>
      </c>
    </row>
    <row r="1364" ht="15.75" customHeight="1">
      <c r="A1364" s="1" t="s">
        <v>4037</v>
      </c>
      <c r="B1364" s="1">
        <v>5.0</v>
      </c>
      <c r="C1364" s="1" t="s">
        <v>4038</v>
      </c>
      <c r="D1364" s="1" t="s">
        <v>8</v>
      </c>
      <c r="E1364" s="1" t="s">
        <v>4039</v>
      </c>
      <c r="F1364" s="1" t="str">
        <f>IFERROR(__xludf.DUMMYFUNCTION("GOOGLETRANSLATE(A1364, ""zh-CN"", ""ko"")"),"즉각적인")</f>
        <v>즉각적인</v>
      </c>
    </row>
    <row r="1365" ht="15.75" customHeight="1">
      <c r="A1365" s="1" t="s">
        <v>4040</v>
      </c>
      <c r="B1365" s="1">
        <v>5.0</v>
      </c>
      <c r="C1365" s="1" t="s">
        <v>4041</v>
      </c>
      <c r="D1365" s="1" t="s">
        <v>8</v>
      </c>
      <c r="E1365" s="1" t="s">
        <v>4042</v>
      </c>
      <c r="F1365" s="1" t="str">
        <f>IFERROR(__xludf.DUMMYFUNCTION("GOOGLETRANSLATE(A1365, ""zh-CN"", ""ko"")"),"충고하다")</f>
        <v>충고하다</v>
      </c>
    </row>
    <row r="1366" ht="15.75" customHeight="1">
      <c r="A1366" s="1" t="s">
        <v>4043</v>
      </c>
      <c r="B1366" s="1">
        <v>5.0</v>
      </c>
      <c r="C1366" s="1" t="s">
        <v>4044</v>
      </c>
      <c r="D1366" s="1" t="s">
        <v>8</v>
      </c>
      <c r="E1366" s="1" t="s">
        <v>4045</v>
      </c>
      <c r="F1366" s="1" t="str">
        <f>IFERROR(__xludf.DUMMYFUNCTION("GOOGLETRANSLATE(A1366, ""zh-CN"", ""ko"")"),"존재하다")</f>
        <v>존재하다</v>
      </c>
    </row>
    <row r="1367" ht="15.75" customHeight="1">
      <c r="A1367" s="1" t="s">
        <v>4046</v>
      </c>
      <c r="B1367" s="1">
        <v>5.0</v>
      </c>
      <c r="C1367" s="1" t="s">
        <v>4047</v>
      </c>
      <c r="D1367" s="1" t="s">
        <v>16</v>
      </c>
      <c r="E1367" s="1" t="s">
        <v>4048</v>
      </c>
      <c r="F1367" s="1" t="str">
        <f>IFERROR(__xludf.DUMMYFUNCTION("GOOGLETRANSLATE(A1367, ""zh-CN"", ""ko"")"),"측정하다")</f>
        <v>측정하다</v>
      </c>
    </row>
    <row r="1368" ht="15.75" customHeight="1">
      <c r="A1368" s="1" t="s">
        <v>4049</v>
      </c>
      <c r="B1368" s="1">
        <v>5.0</v>
      </c>
      <c r="C1368" s="1" t="s">
        <v>4050</v>
      </c>
      <c r="D1368" s="1" t="s">
        <v>8</v>
      </c>
      <c r="E1368" s="1" t="s">
        <v>4051</v>
      </c>
      <c r="F1368" s="1" t="str">
        <f>IFERROR(__xludf.DUMMYFUNCTION("GOOGLETRANSLATE(A1368, ""zh-CN"", ""ko"")"),"약속하다")</f>
        <v>약속하다</v>
      </c>
    </row>
    <row r="1369" ht="15.75" customHeight="1">
      <c r="A1369" s="1" t="s">
        <v>4052</v>
      </c>
      <c r="B1369" s="1">
        <v>5.0</v>
      </c>
      <c r="C1369" s="1" t="s">
        <v>4053</v>
      </c>
      <c r="D1369" s="1" t="s">
        <v>8</v>
      </c>
      <c r="E1369" s="1" t="s">
        <v>4054</v>
      </c>
      <c r="F1369" s="1" t="str">
        <f>IFERROR(__xludf.DUMMYFUNCTION("GOOGLETRANSLATE(A1369, ""zh-CN"", ""ko"")"),"성취하다")</f>
        <v>성취하다</v>
      </c>
    </row>
    <row r="1370" ht="15.75" customHeight="1">
      <c r="A1370" s="1" t="s">
        <v>4055</v>
      </c>
      <c r="B1370" s="1">
        <v>5.0</v>
      </c>
      <c r="C1370" s="1" t="s">
        <v>4056</v>
      </c>
      <c r="D1370" s="1" t="s">
        <v>8</v>
      </c>
      <c r="E1370" s="1" t="s">
        <v>4057</v>
      </c>
      <c r="F1370" s="1" t="str">
        <f>IFERROR(__xludf.DUMMYFUNCTION("GOOGLETRANSLATE(A1370, ""zh-CN"", ""ko"")"),"생계를 유지하기 위해 일하기")</f>
        <v>생계를 유지하기 위해 일하기</v>
      </c>
    </row>
    <row r="1371" ht="15.75" customHeight="1">
      <c r="A1371" s="1" t="s">
        <v>4058</v>
      </c>
      <c r="B1371" s="1">
        <v>5.0</v>
      </c>
      <c r="C1371" s="1" t="s">
        <v>4059</v>
      </c>
      <c r="E1371" s="1" t="s">
        <v>4060</v>
      </c>
      <c r="F1371" s="1" t="str">
        <f>IFERROR(__xludf.DUMMYFUNCTION("GOOGLETRANSLATE(A1371, ""zh-CN"", ""ko"")"),"처리하다")</f>
        <v>처리하다</v>
      </c>
    </row>
    <row r="1372" ht="15.75" customHeight="1">
      <c r="A1372" s="1" t="s">
        <v>4061</v>
      </c>
      <c r="B1372" s="1">
        <v>5.0</v>
      </c>
      <c r="C1372" s="1" t="s">
        <v>4062</v>
      </c>
      <c r="E1372" s="1" t="s">
        <v>4063</v>
      </c>
      <c r="F1372" s="1" t="str">
        <f>IFERROR(__xludf.DUMMYFUNCTION("GOOGLETRANSLATE(A1372, ""zh-CN"", ""ko"")"),"재채기")</f>
        <v>재채기</v>
      </c>
    </row>
    <row r="1373" ht="15.75" customHeight="1">
      <c r="A1373" s="1" t="s">
        <v>4064</v>
      </c>
      <c r="B1373" s="1">
        <v>5.0</v>
      </c>
      <c r="C1373" s="1" t="s">
        <v>4065</v>
      </c>
      <c r="D1373" s="1" t="s">
        <v>8</v>
      </c>
      <c r="E1373" s="1" t="s">
        <v>4066</v>
      </c>
      <c r="F1373" s="1" t="str">
        <f>IFERROR(__xludf.DUMMYFUNCTION("GOOGLETRANSLATE(A1373, ""zh-CN"", ""ko"")"),"문의하기")</f>
        <v>문의하기</v>
      </c>
    </row>
    <row r="1374" ht="15.75" customHeight="1">
      <c r="A1374" s="1" t="s">
        <v>4067</v>
      </c>
      <c r="B1374" s="1">
        <v>5.0</v>
      </c>
      <c r="C1374" s="1" t="s">
        <v>4068</v>
      </c>
      <c r="D1374" s="1" t="s">
        <v>52</v>
      </c>
      <c r="E1374" s="1" t="s">
        <v>4069</v>
      </c>
      <c r="F1374" s="1" t="str">
        <f>IFERROR(__xludf.DUMMYFUNCTION("GOOGLETRANSLATE(A1374, ""zh-CN"", ""ko"")"),"관대한")</f>
        <v>관대한</v>
      </c>
    </row>
    <row r="1375" ht="15.75" customHeight="1">
      <c r="A1375" s="1" t="s">
        <v>4070</v>
      </c>
      <c r="B1375" s="1">
        <v>5.0</v>
      </c>
      <c r="C1375" s="1" t="s">
        <v>4071</v>
      </c>
      <c r="D1375" s="1" t="s">
        <v>16</v>
      </c>
      <c r="E1375" s="1" t="s">
        <v>4072</v>
      </c>
      <c r="F1375" s="1" t="str">
        <f>IFERROR(__xludf.DUMMYFUNCTION("GOOGLETRANSLATE(A1375, ""zh-CN"", ""ko"")"),"건물")</f>
        <v>건물</v>
      </c>
    </row>
    <row r="1376" ht="15.75" customHeight="1">
      <c r="A1376" s="1" t="s">
        <v>4073</v>
      </c>
      <c r="B1376" s="1">
        <v>5.0</v>
      </c>
      <c r="C1376" s="1" t="s">
        <v>4074</v>
      </c>
      <c r="D1376" s="1" t="s">
        <v>16</v>
      </c>
      <c r="E1376" s="1" t="s">
        <v>4075</v>
      </c>
      <c r="F1376" s="1" t="str">
        <f>IFERROR(__xludf.DUMMYFUNCTION("GOOGLETRANSLATE(A1376, ""zh-CN"", ""ko"")"),"코끼리")</f>
        <v>코끼리</v>
      </c>
    </row>
    <row r="1377" ht="15.75" customHeight="1">
      <c r="A1377" s="1" t="s">
        <v>4076</v>
      </c>
      <c r="B1377" s="1">
        <v>5.0</v>
      </c>
      <c r="C1377" s="1" t="s">
        <v>4077</v>
      </c>
      <c r="D1377" s="1" t="s">
        <v>52</v>
      </c>
      <c r="E1377" s="1" t="s">
        <v>4078</v>
      </c>
      <c r="F1377" s="1" t="str">
        <f>IFERROR(__xludf.DUMMYFUNCTION("GOOGLETRANSLATE(A1377, ""zh-CN"", ""ko"")"),"크기가 큰")</f>
        <v>크기가 큰</v>
      </c>
    </row>
    <row r="1378" ht="15.75" customHeight="1">
      <c r="A1378" s="1" t="s">
        <v>4079</v>
      </c>
      <c r="B1378" s="1">
        <v>5.0</v>
      </c>
      <c r="C1378" s="1" t="s">
        <v>4080</v>
      </c>
      <c r="D1378" s="1" t="s">
        <v>8</v>
      </c>
      <c r="E1378" s="1" t="s">
        <v>4081</v>
      </c>
      <c r="F1378" s="1" t="str">
        <f>IFERROR(__xludf.DUMMYFUNCTION("GOOGLETRANSLATE(A1378, ""zh-CN"", ""ko"")"),"머무르다")</f>
        <v>머무르다</v>
      </c>
    </row>
    <row r="1379" ht="15.75" customHeight="1">
      <c r="A1379" s="1" t="s">
        <v>4082</v>
      </c>
      <c r="B1379" s="1">
        <v>5.0</v>
      </c>
      <c r="C1379" s="1" t="s">
        <v>4083</v>
      </c>
      <c r="D1379" s="1" t="s">
        <v>8</v>
      </c>
      <c r="E1379" s="1" t="s">
        <v>4084</v>
      </c>
      <c r="F1379" s="1" t="str">
        <f>IFERROR(__xludf.DUMMYFUNCTION("GOOGLETRANSLATE(A1379, ""zh-CN"", ""ko"")"),"대표하다")</f>
        <v>대표하다</v>
      </c>
    </row>
    <row r="1380" ht="15.75" customHeight="1">
      <c r="A1380" s="1" t="s">
        <v>4085</v>
      </c>
      <c r="B1380" s="1">
        <v>5.0</v>
      </c>
      <c r="C1380" s="1" t="s">
        <v>4086</v>
      </c>
      <c r="D1380" s="1" t="s">
        <v>875</v>
      </c>
      <c r="E1380" s="1" t="s">
        <v>4087</v>
      </c>
      <c r="F1380" s="1" t="str">
        <f>IFERROR(__xludf.DUMMYFUNCTION("GOOGLETRANSLATE(A1380, ""zh-CN"", ""ko"")"),"대출")</f>
        <v>대출</v>
      </c>
    </row>
    <row r="1381" ht="15.75" customHeight="1">
      <c r="A1381" s="1" t="s">
        <v>4088</v>
      </c>
      <c r="B1381" s="1">
        <v>5.0</v>
      </c>
      <c r="C1381" s="1" t="s">
        <v>4089</v>
      </c>
      <c r="D1381" s="1" t="s">
        <v>8</v>
      </c>
      <c r="E1381" s="1" t="s">
        <v>4090</v>
      </c>
      <c r="F1381" s="1" t="str">
        <f>IFERROR(__xludf.DUMMYFUNCTION("GOOGLETRANSLATE(A1381, ""zh-CN"", ""ko"")"),"바꾸다")</f>
        <v>바꾸다</v>
      </c>
    </row>
    <row r="1382" ht="15.75" customHeight="1">
      <c r="A1382" s="1" t="s">
        <v>4091</v>
      </c>
      <c r="B1382" s="1">
        <v>5.0</v>
      </c>
      <c r="C1382" s="1" t="s">
        <v>4092</v>
      </c>
      <c r="D1382" s="1" t="s">
        <v>16</v>
      </c>
      <c r="E1382" s="1" t="s">
        <v>4093</v>
      </c>
      <c r="F1382" s="1" t="str">
        <f>IFERROR(__xludf.DUMMYFUNCTION("GOOGLETRANSLATE(A1382, ""zh-CN"", ""ko"")"),"치료")</f>
        <v>치료</v>
      </c>
    </row>
    <row r="1383" ht="15.75" customHeight="1">
      <c r="A1383" s="1" t="s">
        <v>4094</v>
      </c>
      <c r="B1383" s="1">
        <v>5.0</v>
      </c>
      <c r="C1383" s="1" t="s">
        <v>4095</v>
      </c>
      <c r="D1383" s="1" t="s">
        <v>52</v>
      </c>
      <c r="E1383" s="1" t="s">
        <v>4096</v>
      </c>
      <c r="F1383" s="1" t="str">
        <f>IFERROR(__xludf.DUMMYFUNCTION("GOOGLETRANSLATE(A1383, ""zh-CN"", ""ko"")"),"단순한")</f>
        <v>단순한</v>
      </c>
    </row>
    <row r="1384" ht="15.75" customHeight="1">
      <c r="A1384" s="1" t="s">
        <v>4097</v>
      </c>
      <c r="B1384" s="1">
        <v>5.0</v>
      </c>
      <c r="C1384" s="1" t="s">
        <v>4098</v>
      </c>
      <c r="D1384" s="1" t="s">
        <v>52</v>
      </c>
      <c r="E1384" s="1" t="s">
        <v>4099</v>
      </c>
      <c r="F1384" s="1" t="str">
        <f>IFERROR(__xludf.DUMMYFUNCTION("GOOGLETRANSLATE(A1384, ""zh-CN"", ""ko"")"),"단조로운")</f>
        <v>단조로운</v>
      </c>
    </row>
    <row r="1385" ht="15.75" customHeight="1">
      <c r="A1385" s="1" t="s">
        <v>4100</v>
      </c>
      <c r="B1385" s="1">
        <v>5.0</v>
      </c>
      <c r="C1385" s="1" t="s">
        <v>4101</v>
      </c>
      <c r="D1385" s="1" t="s">
        <v>33</v>
      </c>
      <c r="E1385" s="1" t="s">
        <v>4102</v>
      </c>
      <c r="F1385" s="1" t="str">
        <f>IFERROR(__xludf.DUMMYFUNCTION("GOOGLETRANSLATE(A1385, ""zh-CN"", ""ko"")"),"홀로")</f>
        <v>홀로</v>
      </c>
    </row>
    <row r="1386" ht="15.75" customHeight="1">
      <c r="A1386" s="1" t="s">
        <v>4103</v>
      </c>
      <c r="B1386" s="1">
        <v>5.0</v>
      </c>
      <c r="C1386" s="1" t="s">
        <v>4104</v>
      </c>
      <c r="D1386" s="1" t="s">
        <v>8</v>
      </c>
      <c r="E1386" s="1" t="s">
        <v>4105</v>
      </c>
      <c r="F1386" s="1" t="str">
        <f>IFERROR(__xludf.DUMMYFUNCTION("GOOGLETRANSLATE(A1386, ""zh-CN"", ""ko"")"),"다음과 같이 수행하십시오")</f>
        <v>다음과 같이 수행하십시오</v>
      </c>
    </row>
    <row r="1387" ht="15.75" customHeight="1">
      <c r="A1387" s="1" t="s">
        <v>4106</v>
      </c>
      <c r="B1387" s="1">
        <v>5.0</v>
      </c>
      <c r="C1387" s="1" t="s">
        <v>4107</v>
      </c>
      <c r="D1387" s="1" t="s">
        <v>16</v>
      </c>
      <c r="E1387" s="1" t="s">
        <v>4108</v>
      </c>
      <c r="F1387" s="1" t="str">
        <f>IFERROR(__xludf.DUMMYFUNCTION("GOOGLETRANSLATE(A1387, ""zh-CN"", ""ko"")"),"단위")</f>
        <v>단위</v>
      </c>
    </row>
    <row r="1388" ht="15.75" customHeight="1">
      <c r="A1388" s="1" t="s">
        <v>4109</v>
      </c>
      <c r="B1388" s="1">
        <v>5.0</v>
      </c>
      <c r="C1388" s="1" t="s">
        <v>4110</v>
      </c>
      <c r="D1388" s="1" t="s">
        <v>8</v>
      </c>
      <c r="E1388" s="1" t="s">
        <v>4111</v>
      </c>
      <c r="F1388" s="1" t="str">
        <f>IFERROR(__xludf.DUMMYFUNCTION("GOOGLETRANSLATE(A1388, ""zh-CN"", ""ko"")"),"잠깐만요")</f>
        <v>잠깐만요</v>
      </c>
    </row>
    <row r="1389" ht="15.75" customHeight="1">
      <c r="A1389" s="1" t="s">
        <v>4112</v>
      </c>
      <c r="B1389" s="1">
        <v>5.0</v>
      </c>
      <c r="C1389" s="1" t="s">
        <v>4113</v>
      </c>
      <c r="D1389" s="1" t="s">
        <v>16</v>
      </c>
      <c r="E1389" s="1" t="s">
        <v>4114</v>
      </c>
      <c r="F1389" s="1" t="str">
        <f>IFERROR(__xludf.DUMMYFUNCTION("GOOGLETRANSLATE(A1389, ""zh-CN"", ""ko"")"),"단위")</f>
        <v>단위</v>
      </c>
    </row>
    <row r="1390" ht="15.75" customHeight="1">
      <c r="A1390" s="1" t="s">
        <v>4115</v>
      </c>
      <c r="B1390" s="1">
        <v>5.0</v>
      </c>
      <c r="C1390" s="1" t="s">
        <v>4116</v>
      </c>
      <c r="D1390" s="1" t="s">
        <v>16</v>
      </c>
      <c r="E1390" s="1" t="s">
        <v>4117</v>
      </c>
      <c r="F1390" s="1" t="str">
        <f>IFERROR(__xludf.DUMMYFUNCTION("GOOGLETRANSLATE(A1390, ""zh-CN"", ""ko"")"),"겁쟁이")</f>
        <v>겁쟁이</v>
      </c>
    </row>
    <row r="1391" ht="15.75" customHeight="1">
      <c r="A1391" s="1" t="s">
        <v>4118</v>
      </c>
      <c r="B1391" s="1">
        <v>5.0</v>
      </c>
      <c r="C1391" s="1" t="s">
        <v>4119</v>
      </c>
      <c r="D1391" s="1" t="s">
        <v>52</v>
      </c>
      <c r="E1391" s="1" t="s">
        <v>4120</v>
      </c>
      <c r="F1391" s="1" t="str">
        <f>IFERROR(__xludf.DUMMYFUNCTION("GOOGLETRANSLATE(A1391, ""zh-CN"", ""ko"")"),"빛")</f>
        <v>빛</v>
      </c>
    </row>
    <row r="1392" ht="15.75" customHeight="1">
      <c r="A1392" s="1" t="s">
        <v>4121</v>
      </c>
      <c r="B1392" s="1">
        <v>5.0</v>
      </c>
      <c r="C1392" s="1" t="s">
        <v>4122</v>
      </c>
      <c r="D1392" s="1" t="s">
        <v>16</v>
      </c>
      <c r="E1392" s="1" t="s">
        <v>4123</v>
      </c>
      <c r="F1392" s="1" t="str">
        <f>IFERROR(__xludf.DUMMYFUNCTION("GOOGLETRANSLATE(A1392, ""zh-CN"", ""ko"")"),"현지의")</f>
        <v>현지의</v>
      </c>
    </row>
    <row r="1393" ht="15.75" customHeight="1">
      <c r="A1393" s="1" t="s">
        <v>4124</v>
      </c>
      <c r="B1393" s="1">
        <v>5.0</v>
      </c>
      <c r="C1393" s="1" t="s">
        <v>4125</v>
      </c>
      <c r="D1393" s="1" t="s">
        <v>8</v>
      </c>
      <c r="E1393" s="1" t="s">
        <v>4126</v>
      </c>
      <c r="F1393" s="1" t="str">
        <f>IFERROR(__xludf.DUMMYFUNCTION("GOOGLETRANSLATE(A1393, ""zh-CN"", ""ko"")"),"조심하세요")</f>
        <v>조심하세요</v>
      </c>
    </row>
    <row r="1394" ht="15.75" customHeight="1">
      <c r="A1394" s="1" t="s">
        <v>4127</v>
      </c>
      <c r="B1394" s="1">
        <v>5.0</v>
      </c>
      <c r="C1394" s="1" t="s">
        <v>4128</v>
      </c>
      <c r="D1394" s="1" t="s">
        <v>8</v>
      </c>
      <c r="E1394" s="1" t="s">
        <v>4129</v>
      </c>
      <c r="F1394" s="1" t="str">
        <f>IFERROR(__xludf.DUMMYFUNCTION("GOOGLETRANSLATE(A1394, ""zh-CN"", ""ko"")"),"차단하다")</f>
        <v>차단하다</v>
      </c>
    </row>
    <row r="1395" ht="15.75" customHeight="1">
      <c r="A1395" s="1" t="s">
        <v>4130</v>
      </c>
      <c r="B1395" s="1">
        <v>5.0</v>
      </c>
      <c r="C1395" s="1" t="s">
        <v>4131</v>
      </c>
      <c r="D1395" s="1" t="s">
        <v>52</v>
      </c>
      <c r="E1395" s="1" t="s">
        <v>4132</v>
      </c>
      <c r="F1395" s="1" t="str">
        <f>IFERROR(__xludf.DUMMYFUNCTION("GOOGLETRANSLATE(A1395, ""zh-CN"", ""ko"")"),"불길한")</f>
        <v>불길한</v>
      </c>
    </row>
    <row r="1396" ht="15.75" customHeight="1">
      <c r="A1396" s="1" t="s">
        <v>4133</v>
      </c>
      <c r="B1396" s="1">
        <v>5.0</v>
      </c>
      <c r="C1396" s="1" t="s">
        <v>4134</v>
      </c>
      <c r="D1396" s="1" t="s">
        <v>16</v>
      </c>
      <c r="E1396" s="1" t="s">
        <v>4135</v>
      </c>
      <c r="F1396" s="1" t="str">
        <f>IFERROR(__xludf.DUMMYFUNCTION("GOOGLETRANSLATE(A1396, ""zh-CN"", ""ko"")"),"감독")</f>
        <v>감독</v>
      </c>
    </row>
    <row r="1397" ht="15.75" customHeight="1">
      <c r="A1397" s="1" t="s">
        <v>4136</v>
      </c>
      <c r="B1397" s="1">
        <v>5.0</v>
      </c>
      <c r="C1397" s="1" t="s">
        <v>4137</v>
      </c>
      <c r="D1397" s="1" t="s">
        <v>16</v>
      </c>
      <c r="E1397" s="1" t="s">
        <v>4138</v>
      </c>
      <c r="F1397" s="1" t="str">
        <f>IFERROR(__xludf.DUMMYFUNCTION("GOOGLETRANSLATE(A1397, ""zh-CN"", ""ko"")"),"섬들")</f>
        <v>섬들</v>
      </c>
    </row>
    <row r="1398" ht="15.75" customHeight="1">
      <c r="A1398" s="1" t="s">
        <v>4139</v>
      </c>
      <c r="B1398" s="1">
        <v>5.0</v>
      </c>
      <c r="C1398" s="1" t="s">
        <v>4140</v>
      </c>
      <c r="D1398" s="1" t="s">
        <v>8</v>
      </c>
      <c r="E1398" s="1" t="s">
        <v>4141</v>
      </c>
      <c r="F1398" s="1" t="str">
        <f>IFERROR(__xludf.DUMMYFUNCTION("GOOGLETRANSLATE(A1398, ""zh-CN"", ""ko"")"),"~로 이어지다")</f>
        <v>~로 이어지다</v>
      </c>
    </row>
    <row r="1399" ht="15.75" customHeight="1">
      <c r="A1399" s="1" t="s">
        <v>4142</v>
      </c>
      <c r="B1399" s="1">
        <v>5.0</v>
      </c>
      <c r="C1399" s="1" t="s">
        <v>4143</v>
      </c>
      <c r="D1399" s="1" t="s">
        <v>8</v>
      </c>
      <c r="E1399" s="1" t="s">
        <v>4144</v>
      </c>
      <c r="F1399" s="1" t="str">
        <f>IFERROR(__xludf.DUMMYFUNCTION("GOOGLETRANSLATE(A1399, ""zh-CN"", ""ko"")"),"도착하다")</f>
        <v>도착하다</v>
      </c>
    </row>
    <row r="1400" ht="15.75" customHeight="1">
      <c r="A1400" s="1" t="s">
        <v>4145</v>
      </c>
      <c r="B1400" s="1">
        <v>5.0</v>
      </c>
      <c r="C1400" s="1" t="s">
        <v>4146</v>
      </c>
      <c r="D1400" s="1" t="s">
        <v>16</v>
      </c>
      <c r="E1400" s="1" t="s">
        <v>4147</v>
      </c>
      <c r="F1400" s="1" t="str">
        <f>IFERROR(__xludf.DUMMYFUNCTION("GOOGLETRANSLATE(A1400, ""zh-CN"", ""ko"")"),"도덕")</f>
        <v>도덕</v>
      </c>
    </row>
    <row r="1401" ht="15.75" customHeight="1">
      <c r="A1401" s="1" t="s">
        <v>4148</v>
      </c>
      <c r="B1401" s="1">
        <v>5.0</v>
      </c>
      <c r="C1401" s="1" t="s">
        <v>4149</v>
      </c>
      <c r="D1401" s="1" t="s">
        <v>16</v>
      </c>
      <c r="E1401" s="1" t="s">
        <v>4150</v>
      </c>
      <c r="F1401" s="1" t="str">
        <f>IFERROR(__xludf.DUMMYFUNCTION("GOOGLETRANSLATE(A1401, ""zh-CN"", ""ko"")"),"이유")</f>
        <v>이유</v>
      </c>
    </row>
    <row r="1402" ht="15.75" customHeight="1">
      <c r="A1402" s="1" t="s">
        <v>4151</v>
      </c>
      <c r="B1402" s="1">
        <v>5.0</v>
      </c>
      <c r="C1402" s="1" t="s">
        <v>4152</v>
      </c>
      <c r="D1402" s="1" t="s">
        <v>8</v>
      </c>
      <c r="E1402" s="1" t="s">
        <v>4153</v>
      </c>
      <c r="F1402" s="1" t="str">
        <f>IFERROR(__xludf.DUMMYFUNCTION("GOOGLETRANSLATE(A1402, ""zh-CN"", ""ko"")"),"등록")</f>
        <v>등록</v>
      </c>
    </row>
    <row r="1403" ht="15.75" customHeight="1">
      <c r="A1403" s="1" t="s">
        <v>4154</v>
      </c>
      <c r="B1403" s="1">
        <v>5.0</v>
      </c>
      <c r="C1403" s="1" t="s">
        <v>4155</v>
      </c>
      <c r="D1403" s="1" t="s">
        <v>8</v>
      </c>
      <c r="E1403" s="1" t="s">
        <v>4156</v>
      </c>
      <c r="F1403" s="1" t="str">
        <f>IFERROR(__xludf.DUMMYFUNCTION("GOOGLETRANSLATE(A1403, ""zh-CN"", ""ko"")"),"기다리다")</f>
        <v>기다리다</v>
      </c>
    </row>
    <row r="1404" ht="15.75" customHeight="1">
      <c r="A1404" s="1" t="s">
        <v>4157</v>
      </c>
      <c r="B1404" s="1">
        <v>5.0</v>
      </c>
      <c r="C1404" s="1" t="s">
        <v>4158</v>
      </c>
      <c r="D1404" s="1" t="s">
        <v>8</v>
      </c>
      <c r="E1404" s="1" t="s">
        <v>4159</v>
      </c>
      <c r="F1404" s="1" t="str">
        <f>IFERROR(__xludf.DUMMYFUNCTION("GOOGLETRANSLATE(A1404, ""zh-CN"", ""ko"")"),"동일한")</f>
        <v>동일한</v>
      </c>
    </row>
    <row r="1405" ht="15.75" customHeight="1">
      <c r="A1405" s="1" t="s">
        <v>4160</v>
      </c>
      <c r="B1405" s="1">
        <v>5.0</v>
      </c>
      <c r="C1405" s="1" t="s">
        <v>2030</v>
      </c>
      <c r="D1405" s="1" t="s">
        <v>26</v>
      </c>
      <c r="E1405" s="1" t="s">
        <v>4161</v>
      </c>
      <c r="F1405" s="1" t="str">
        <f>IFERROR(__xludf.DUMMYFUNCTION("GOOGLETRANSLATE(A1405, ""zh-CN"", ""ko"")"),"떨어지다")</f>
        <v>떨어지다</v>
      </c>
    </row>
    <row r="1406" ht="15.75" customHeight="1">
      <c r="A1406" s="1" t="s">
        <v>4162</v>
      </c>
      <c r="B1406" s="1">
        <v>5.0</v>
      </c>
      <c r="C1406" s="1" t="s">
        <v>4163</v>
      </c>
      <c r="D1406" s="1" t="s">
        <v>33</v>
      </c>
      <c r="E1406" s="1" t="s">
        <v>4164</v>
      </c>
      <c r="F1406" s="1" t="str">
        <f>IFERROR(__xludf.DUMMYFUNCTION("GOOGLETRANSLATE(A1406, ""zh-CN"", ""ko"")"),"물론")</f>
        <v>물론</v>
      </c>
    </row>
    <row r="1407" ht="15.75" customHeight="1">
      <c r="A1407" s="1" t="s">
        <v>4165</v>
      </c>
      <c r="B1407" s="1">
        <v>5.0</v>
      </c>
      <c r="C1407" s="1" t="s">
        <v>4166</v>
      </c>
      <c r="D1407" s="1" t="s">
        <v>16</v>
      </c>
      <c r="E1407" s="1" t="s">
        <v>4167</v>
      </c>
      <c r="F1407" s="1" t="str">
        <f>IFERROR(__xludf.DUMMYFUNCTION("GOOGLETRANSLATE(A1407, ""zh-CN"", ""ko"")"),"적")</f>
        <v>적</v>
      </c>
    </row>
    <row r="1408" ht="15.75" customHeight="1">
      <c r="A1408" s="1" t="s">
        <v>4168</v>
      </c>
      <c r="B1408" s="1">
        <v>5.0</v>
      </c>
      <c r="C1408" s="1" t="s">
        <v>4169</v>
      </c>
      <c r="D1408" s="1" t="s">
        <v>8</v>
      </c>
      <c r="E1408" s="1" t="s">
        <v>4170</v>
      </c>
      <c r="F1408" s="1" t="str">
        <f>IFERROR(__xludf.DUMMYFUNCTION("GOOGLETRANSLATE(A1408, ""zh-CN"", ""ko"")"),"배달")</f>
        <v>배달</v>
      </c>
    </row>
    <row r="1409" ht="15.75" customHeight="1">
      <c r="A1409" s="1" t="s">
        <v>4171</v>
      </c>
      <c r="B1409" s="1">
        <v>5.0</v>
      </c>
      <c r="C1409" s="1" t="s">
        <v>4172</v>
      </c>
      <c r="D1409" s="1" t="s">
        <v>52</v>
      </c>
      <c r="E1409" s="1" t="s">
        <v>4173</v>
      </c>
      <c r="F1409" s="1" t="str">
        <f>IFERROR(__xludf.DUMMYFUNCTION("GOOGLETRANSLATE(A1409, ""zh-CN"", ""ko"")"),"전형적인")</f>
        <v>전형적인</v>
      </c>
    </row>
    <row r="1410" ht="15.75" customHeight="1">
      <c r="A1410" s="1" t="s">
        <v>4174</v>
      </c>
      <c r="B1410" s="1">
        <v>5.0</v>
      </c>
      <c r="C1410" s="1" t="s">
        <v>4175</v>
      </c>
      <c r="D1410" s="1" t="s">
        <v>16</v>
      </c>
      <c r="E1410" s="1" t="s">
        <v>4176</v>
      </c>
      <c r="F1410" s="1" t="str">
        <f>IFERROR(__xludf.DUMMYFUNCTION("GOOGLETRANSLATE(A1410, ""zh-CN"", ""ko"")"),"지리학")</f>
        <v>지리학</v>
      </c>
    </row>
    <row r="1411" ht="15.75" customHeight="1">
      <c r="A1411" s="1" t="s">
        <v>4177</v>
      </c>
      <c r="B1411" s="1">
        <v>5.0</v>
      </c>
      <c r="C1411" s="1" t="s">
        <v>4178</v>
      </c>
      <c r="D1411" s="1" t="s">
        <v>16</v>
      </c>
      <c r="E1411" s="1" t="s">
        <v>4179</v>
      </c>
      <c r="F1411" s="1" t="str">
        <f>IFERROR(__xludf.DUMMYFUNCTION("GOOGLETRANSLATE(A1411, ""zh-CN"", ""ko"")"),"영역")</f>
        <v>영역</v>
      </c>
    </row>
    <row r="1412" ht="15.75" customHeight="1">
      <c r="A1412" s="1" t="s">
        <v>4180</v>
      </c>
      <c r="B1412" s="1">
        <v>5.0</v>
      </c>
      <c r="C1412" s="1" t="s">
        <v>4181</v>
      </c>
      <c r="D1412" s="1" t="s">
        <v>16</v>
      </c>
      <c r="E1412" s="1" t="s">
        <v>4182</v>
      </c>
      <c r="F1412" s="1" t="str">
        <f>IFERROR(__xludf.DUMMYFUNCTION("GOOGLETRANSLATE(A1412, ""zh-CN"", ""ko"")"),"양탄자")</f>
        <v>양탄자</v>
      </c>
    </row>
    <row r="1413" ht="15.75" customHeight="1">
      <c r="A1413" s="1" t="s">
        <v>4183</v>
      </c>
      <c r="B1413" s="1">
        <v>5.0</v>
      </c>
      <c r="C1413" s="1" t="s">
        <v>4184</v>
      </c>
      <c r="D1413" s="1" t="s">
        <v>16</v>
      </c>
      <c r="E1413" s="1" t="s">
        <v>4185</v>
      </c>
      <c r="F1413" s="1" t="str">
        <f>IFERROR(__xludf.DUMMYFUNCTION("GOOGLETRANSLATE(A1413, ""zh-CN"", ""ko"")"),"상태")</f>
        <v>상태</v>
      </c>
    </row>
    <row r="1414" ht="15.75" customHeight="1">
      <c r="A1414" s="1" t="s">
        <v>4186</v>
      </c>
      <c r="B1414" s="1">
        <v>5.0</v>
      </c>
      <c r="C1414" s="1" t="s">
        <v>4187</v>
      </c>
      <c r="D1414" s="1" t="s">
        <v>8</v>
      </c>
      <c r="E1414" s="1" t="s">
        <v>4188</v>
      </c>
      <c r="F1414" s="1" t="str">
        <f>IFERROR(__xludf.DUMMYFUNCTION("GOOGLETRANSLATE(A1414, ""zh-CN"", ""ko"")"),"지진")</f>
        <v>지진</v>
      </c>
    </row>
    <row r="1415" ht="15.75" customHeight="1">
      <c r="A1415" s="1" t="s">
        <v>4189</v>
      </c>
      <c r="B1415" s="1">
        <v>5.0</v>
      </c>
      <c r="C1415" s="1" t="s">
        <v>4190</v>
      </c>
      <c r="D1415" s="1" t="s">
        <v>16</v>
      </c>
      <c r="E1415" s="1" t="s">
        <v>4191</v>
      </c>
      <c r="F1415" s="1" t="str">
        <f>IFERROR(__xludf.DUMMYFUNCTION("GOOGLETRANSLATE(A1415, ""zh-CN"", ""ko"")"),"디저트")</f>
        <v>디저트</v>
      </c>
    </row>
    <row r="1416" ht="15.75" customHeight="1">
      <c r="A1416" s="1" t="s">
        <v>4192</v>
      </c>
      <c r="B1416" s="1">
        <v>5.0</v>
      </c>
      <c r="C1416" s="1" t="s">
        <v>4193</v>
      </c>
      <c r="D1416" s="1" t="s">
        <v>16</v>
      </c>
      <c r="E1416" s="1" t="s">
        <v>4194</v>
      </c>
      <c r="F1416" s="1" t="str">
        <f>IFERROR(__xludf.DUMMYFUNCTION("GOOGLETRANSLATE(A1416, ""zh-CN"", ""ko"")"),"배터리")</f>
        <v>배터리</v>
      </c>
    </row>
    <row r="1417" ht="15.75" customHeight="1">
      <c r="A1417" s="1" t="s">
        <v>4195</v>
      </c>
      <c r="B1417" s="1">
        <v>5.0</v>
      </c>
      <c r="C1417" s="1" t="s">
        <v>4196</v>
      </c>
      <c r="D1417" s="1" t="s">
        <v>16</v>
      </c>
      <c r="E1417" s="1" t="s">
        <v>4197</v>
      </c>
      <c r="F1417" s="1" t="str">
        <f>IFERROR(__xludf.DUMMYFUNCTION("GOOGLETRANSLATE(A1417, ""zh-CN"", ""ko"")"),"라디오 방송국")</f>
        <v>라디오 방송국</v>
      </c>
    </row>
    <row r="1418" ht="15.75" customHeight="1">
      <c r="A1418" s="1" t="s">
        <v>4198</v>
      </c>
      <c r="B1418" s="1">
        <v>5.0</v>
      </c>
      <c r="C1418" s="1" t="s">
        <v>2045</v>
      </c>
      <c r="D1418" s="1" t="s">
        <v>8</v>
      </c>
      <c r="E1418" s="1" t="s">
        <v>4199</v>
      </c>
      <c r="F1418" s="1" t="str">
        <f>IFERROR(__xludf.DUMMYFUNCTION("GOOGLETRANSLATE(A1418, ""zh-CN"", ""ko"")"),"어업")</f>
        <v>어업</v>
      </c>
    </row>
    <row r="1419" ht="15.75" customHeight="1">
      <c r="A1419" s="1" t="s">
        <v>4200</v>
      </c>
      <c r="B1419" s="1">
        <v>5.0</v>
      </c>
      <c r="C1419" s="1" t="s">
        <v>4201</v>
      </c>
      <c r="D1419" s="1" t="s">
        <v>4202</v>
      </c>
      <c r="E1419" s="1" t="s">
        <v>4203</v>
      </c>
      <c r="F1419" s="1" t="str">
        <f>IFERROR(__xludf.DUMMYFUNCTION("GOOGLETRANSLATE(A1419, ""zh-CN"", ""ko"")"),"맨 위")</f>
        <v>맨 위</v>
      </c>
    </row>
    <row r="1420" ht="15.75" customHeight="1">
      <c r="A1420" s="1" t="s">
        <v>4204</v>
      </c>
      <c r="B1420" s="1">
        <v>5.0</v>
      </c>
      <c r="C1420" s="1" t="s">
        <v>4205</v>
      </c>
      <c r="D1420" s="1" t="s">
        <v>16</v>
      </c>
      <c r="E1420" s="1" t="s">
        <v>4206</v>
      </c>
      <c r="F1420" s="1" t="str">
        <f>IFERROR(__xludf.DUMMYFUNCTION("GOOGLETRANSLATE(A1420, ""zh-CN"", ""ko"")"),"구멍")</f>
        <v>구멍</v>
      </c>
    </row>
    <row r="1421" ht="15.75" customHeight="1">
      <c r="A1421" s="1" t="s">
        <v>4207</v>
      </c>
      <c r="B1421" s="1">
        <v>5.0</v>
      </c>
      <c r="C1421" s="1" t="s">
        <v>4205</v>
      </c>
      <c r="D1421" s="1" t="s">
        <v>8</v>
      </c>
      <c r="E1421" s="1" t="s">
        <v>4208</v>
      </c>
      <c r="F1421" s="1" t="str">
        <f>IFERROR(__xludf.DUMMYFUNCTION("GOOGLETRANSLATE(A1421, ""zh-CN"", ""ko"")"),"꼭 매달리게 하다")</f>
        <v>꼭 매달리게 하다</v>
      </c>
    </row>
    <row r="1422" ht="15.75" customHeight="1">
      <c r="A1422" s="1" t="s">
        <v>4209</v>
      </c>
      <c r="B1422" s="1">
        <v>5.0</v>
      </c>
      <c r="C1422" s="1" t="s">
        <v>4210</v>
      </c>
      <c r="D1422" s="1" t="s">
        <v>16</v>
      </c>
      <c r="E1422" s="1" t="s">
        <v>4211</v>
      </c>
      <c r="F1422" s="1" t="str">
        <f>IFERROR(__xludf.DUMMYFUNCTION("GOOGLETRANSLATE(A1422, ""zh-CN"", ""ko"")"),"만화")</f>
        <v>만화</v>
      </c>
    </row>
    <row r="1423" ht="15.75" customHeight="1">
      <c r="A1423" s="1" t="s">
        <v>4212</v>
      </c>
      <c r="B1423" s="1">
        <v>5.0</v>
      </c>
      <c r="C1423" s="1" t="s">
        <v>4213</v>
      </c>
      <c r="D1423" s="1" t="s">
        <v>8</v>
      </c>
      <c r="E1423" s="1" t="s">
        <v>4214</v>
      </c>
      <c r="F1423" s="1" t="str">
        <f>IFERROR(__xludf.DUMMYFUNCTION("GOOGLETRANSLATE(A1423, ""zh-CN"", ""ko"")"),"놀리다")</f>
        <v>놀리다</v>
      </c>
    </row>
    <row r="1424" ht="15.75" customHeight="1">
      <c r="A1424" s="1" t="s">
        <v>4215</v>
      </c>
      <c r="B1424" s="1">
        <v>5.0</v>
      </c>
      <c r="C1424" s="1" t="s">
        <v>4216</v>
      </c>
      <c r="D1424" s="1" t="s">
        <v>16</v>
      </c>
      <c r="E1424" s="1" t="s">
        <v>4217</v>
      </c>
      <c r="F1424" s="1" t="str">
        <f>IFERROR(__xludf.DUMMYFUNCTION("GOOGLETRANSLATE(A1424, ""zh-CN"", ""ko"")"),"두부")</f>
        <v>두부</v>
      </c>
    </row>
    <row r="1425" ht="15.75" customHeight="1">
      <c r="A1425" s="1" t="s">
        <v>4218</v>
      </c>
      <c r="B1425" s="1">
        <v>5.0</v>
      </c>
      <c r="C1425" s="1" t="s">
        <v>4219</v>
      </c>
      <c r="D1425" s="1" t="s">
        <v>1003</v>
      </c>
      <c r="E1425" s="1" t="s">
        <v>4220</v>
      </c>
      <c r="F1425" s="1" t="str">
        <f>IFERROR(__xludf.DUMMYFUNCTION("GOOGLETRANSLATE(A1425, ""zh-CN"", ""ko"")"),"독립적인")</f>
        <v>독립적인</v>
      </c>
    </row>
    <row r="1426" ht="15.75" customHeight="1">
      <c r="A1426" s="1" t="s">
        <v>4221</v>
      </c>
      <c r="B1426" s="1">
        <v>5.0</v>
      </c>
      <c r="C1426" s="1" t="s">
        <v>4222</v>
      </c>
      <c r="D1426" s="1" t="s">
        <v>52</v>
      </c>
      <c r="E1426" s="1" t="s">
        <v>4223</v>
      </c>
      <c r="F1426" s="1" t="str">
        <f>IFERROR(__xludf.DUMMYFUNCTION("GOOGLETRANSLATE(A1426, ""zh-CN"", ""ko"")"),"고유한")</f>
        <v>고유한</v>
      </c>
    </row>
    <row r="1427" ht="15.75" customHeight="1">
      <c r="A1427" s="1" t="s">
        <v>4224</v>
      </c>
      <c r="B1427" s="1">
        <v>5.0</v>
      </c>
      <c r="C1427" s="1" t="s">
        <v>4225</v>
      </c>
      <c r="D1427" s="1" t="s">
        <v>8</v>
      </c>
      <c r="E1427" s="1" t="s">
        <v>4226</v>
      </c>
      <c r="F1427" s="1" t="str">
        <f>IFERROR(__xludf.DUMMYFUNCTION("GOOGLETRANSLATE(A1427, ""zh-CN"", ""ko"")"),"경비")</f>
        <v>경비</v>
      </c>
    </row>
    <row r="1428" ht="15.75" customHeight="1">
      <c r="A1428" s="1" t="s">
        <v>4227</v>
      </c>
      <c r="B1428" s="1">
        <v>5.0</v>
      </c>
      <c r="C1428" s="1" t="s">
        <v>1088</v>
      </c>
      <c r="D1428" s="1" t="s">
        <v>8</v>
      </c>
      <c r="E1428" s="1" t="s">
        <v>4228</v>
      </c>
      <c r="F1428" s="1" t="str">
        <f>IFERROR(__xludf.DUMMYFUNCTION("GOOGLETRANSLATE(A1428, ""zh-CN"", ""ko"")"),"고장난")</f>
        <v>고장난</v>
      </c>
    </row>
    <row r="1429" ht="15.75" customHeight="1">
      <c r="A1429" s="1" t="s">
        <v>4229</v>
      </c>
      <c r="B1429" s="1">
        <v>5.0</v>
      </c>
      <c r="C1429" s="1" t="s">
        <v>4230</v>
      </c>
      <c r="D1429" s="1" t="s">
        <v>4231</v>
      </c>
      <c r="E1429" s="1" t="s">
        <v>4232</v>
      </c>
      <c r="F1429" s="1" t="str">
        <f>IFERROR(__xludf.DUMMYFUNCTION("GOOGLETRANSLATE(A1429, ""zh-CN"", ""ko"")"),"더미")</f>
        <v>더미</v>
      </c>
    </row>
    <row r="1430" ht="15.75" customHeight="1">
      <c r="A1430" s="1" t="s">
        <v>4233</v>
      </c>
      <c r="B1430" s="1">
        <v>5.0</v>
      </c>
      <c r="C1430" s="1" t="s">
        <v>4234</v>
      </c>
      <c r="D1430" s="1" t="s">
        <v>8</v>
      </c>
      <c r="E1430" s="1" t="s">
        <v>4235</v>
      </c>
      <c r="F1430" s="1" t="str">
        <f>IFERROR(__xludf.DUMMYFUNCTION("GOOGLETRANSLATE(A1430, ""zh-CN"", ""ko"")"),"차이")</f>
        <v>차이</v>
      </c>
    </row>
    <row r="1431" ht="15.75" customHeight="1">
      <c r="A1431" s="1" t="s">
        <v>4236</v>
      </c>
      <c r="B1431" s="1">
        <v>5.0</v>
      </c>
      <c r="C1431" s="1" t="s">
        <v>4237</v>
      </c>
      <c r="D1431" s="1" t="s">
        <v>8</v>
      </c>
      <c r="E1431" s="1" t="s">
        <v>4238</v>
      </c>
      <c r="F1431" s="1" t="str">
        <f>IFERROR(__xludf.DUMMYFUNCTION("GOOGLETRANSLATE(A1431, ""zh-CN"", ""ko"")"),"대하다")</f>
        <v>대하다</v>
      </c>
    </row>
    <row r="1432" ht="15.75" customHeight="1">
      <c r="A1432" s="1" t="s">
        <v>4239</v>
      </c>
      <c r="B1432" s="1">
        <v>5.0</v>
      </c>
      <c r="C1432" s="1" t="s">
        <v>4240</v>
      </c>
      <c r="D1432" s="1" t="s">
        <v>16</v>
      </c>
      <c r="E1432" s="1" t="s">
        <v>4241</v>
      </c>
      <c r="F1432" s="1" t="str">
        <f>IFERROR(__xludf.DUMMYFUNCTION("GOOGLETRANSLATE(A1432, ""zh-CN"", ""ko"")"),"반대편")</f>
        <v>반대편</v>
      </c>
    </row>
    <row r="1433" ht="15.75" customHeight="1">
      <c r="A1433" s="1" t="s">
        <v>4242</v>
      </c>
      <c r="B1433" s="1">
        <v>5.0</v>
      </c>
      <c r="C1433" s="1" t="s">
        <v>4243</v>
      </c>
      <c r="D1433" s="1" t="s">
        <v>8</v>
      </c>
      <c r="E1433" s="1" t="s">
        <v>4244</v>
      </c>
      <c r="F1433" s="1" t="str">
        <f>IFERROR(__xludf.DUMMYFUNCTION("GOOGLETRANSLATE(A1433, ""zh-CN"", ""ko"")"),"교환")</f>
        <v>교환</v>
      </c>
    </row>
    <row r="1434" ht="15.75" customHeight="1">
      <c r="A1434" s="1" t="s">
        <v>4245</v>
      </c>
      <c r="B1434" s="1">
        <v>5.0</v>
      </c>
      <c r="C1434" s="1" t="s">
        <v>4246</v>
      </c>
      <c r="D1434" s="1" t="s">
        <v>16</v>
      </c>
      <c r="E1434" s="1" t="s">
        <v>4247</v>
      </c>
      <c r="F1434" s="1" t="str">
        <f>IFERROR(__xludf.DUMMYFUNCTION("GOOGLETRANSLATE(A1434, ""zh-CN"", ""ko"")"),"상대")</f>
        <v>상대</v>
      </c>
    </row>
    <row r="1435" ht="15.75" customHeight="1">
      <c r="A1435" s="1" t="s">
        <v>4248</v>
      </c>
      <c r="B1435" s="1">
        <v>5.0</v>
      </c>
      <c r="C1435" s="1" t="s">
        <v>4249</v>
      </c>
      <c r="D1435" s="1" t="s">
        <v>16</v>
      </c>
      <c r="E1435" s="1" t="s">
        <v>4250</v>
      </c>
      <c r="F1435" s="1" t="str">
        <f>IFERROR(__xludf.DUMMYFUNCTION("GOOGLETRANSLATE(A1435, ""zh-CN"", ""ko"")"),"물체")</f>
        <v>물체</v>
      </c>
    </row>
    <row r="1436" ht="15.75" customHeight="1">
      <c r="A1436" s="1" t="s">
        <v>4251</v>
      </c>
      <c r="B1436" s="1">
        <v>5.0</v>
      </c>
      <c r="C1436" s="1" t="s">
        <v>4252</v>
      </c>
      <c r="D1436" s="1" t="s">
        <v>26</v>
      </c>
      <c r="E1436" s="1" t="s">
        <v>4253</v>
      </c>
      <c r="F1436" s="1" t="str">
        <f>IFERROR(__xludf.DUMMYFUNCTION("GOOGLETRANSLATE(A1436, ""zh-CN"", ""ko"")"),"톤")</f>
        <v>톤</v>
      </c>
    </row>
    <row r="1437" ht="15.75" customHeight="1">
      <c r="A1437" s="1" t="s">
        <v>4254</v>
      </c>
      <c r="B1437" s="1">
        <v>5.0</v>
      </c>
      <c r="C1437" s="1" t="s">
        <v>4252</v>
      </c>
      <c r="D1437" s="1" t="s">
        <v>8</v>
      </c>
      <c r="E1437" s="1" t="s">
        <v>4255</v>
      </c>
      <c r="F1437" s="1" t="str">
        <f>IFERROR(__xludf.DUMMYFUNCTION("GOOGLETRANSLATE(A1437, ""zh-CN"", ""ko"")"),"쪼그리고 앉은")</f>
        <v>쪼그리고 앉은</v>
      </c>
    </row>
    <row r="1438" ht="15.75" customHeight="1">
      <c r="A1438" s="1" t="s">
        <v>4256</v>
      </c>
      <c r="B1438" s="1">
        <v>5.0</v>
      </c>
      <c r="C1438" s="1" t="s">
        <v>4257</v>
      </c>
      <c r="D1438" s="1" t="s">
        <v>26</v>
      </c>
      <c r="E1438" s="1" t="s">
        <v>4258</v>
      </c>
      <c r="F1438" s="1" t="str">
        <f>IFERROR(__xludf.DUMMYFUNCTION("GOOGLETRANSLATE(A1438, ""zh-CN"", ""ko"")"),"암갈색")</f>
        <v>암갈색</v>
      </c>
    </row>
    <row r="1439" ht="15.75" customHeight="1">
      <c r="A1439" s="1" t="s">
        <v>4259</v>
      </c>
      <c r="B1439" s="1">
        <v>5.0</v>
      </c>
      <c r="C1439" s="1" t="s">
        <v>4260</v>
      </c>
      <c r="D1439" s="1" t="s">
        <v>8</v>
      </c>
      <c r="E1439" s="1" t="s">
        <v>4261</v>
      </c>
      <c r="F1439" s="1" t="str">
        <f>IFERROR(__xludf.DUMMYFUNCTION("GOOGLETRANSLATE(A1439, ""zh-CN"", ""ko"")"),"감사해요")</f>
        <v>감사해요</v>
      </c>
    </row>
    <row r="1440" ht="15.75" customHeight="1">
      <c r="A1440" s="1" t="s">
        <v>4262</v>
      </c>
      <c r="B1440" s="1">
        <v>5.0</v>
      </c>
      <c r="C1440" s="1" t="s">
        <v>4263</v>
      </c>
      <c r="D1440" s="1" t="s">
        <v>52</v>
      </c>
      <c r="E1440" s="1" t="s">
        <v>4264</v>
      </c>
      <c r="F1440" s="1" t="str">
        <f>IFERROR(__xludf.DUMMYFUNCTION("GOOGLETRANSLATE(A1440, ""zh-CN"", ""ko"")"),"많은")</f>
        <v>많은</v>
      </c>
    </row>
    <row r="1441" ht="15.75" customHeight="1">
      <c r="A1441" s="1" t="s">
        <v>4265</v>
      </c>
      <c r="B1441" s="1">
        <v>5.0</v>
      </c>
      <c r="C1441" s="1" t="s">
        <v>4266</v>
      </c>
      <c r="D1441" s="1" t="s">
        <v>26</v>
      </c>
      <c r="E1441" s="1" t="s">
        <v>4267</v>
      </c>
      <c r="F1441" s="1" t="str">
        <f>IFERROR(__xludf.DUMMYFUNCTION("GOOGLETRANSLATE(A1441, ""zh-CN"", ""ko"")"),"듀오")</f>
        <v>듀오</v>
      </c>
    </row>
    <row r="1442" ht="15.75" customHeight="1">
      <c r="A1442" s="1" t="s">
        <v>4268</v>
      </c>
      <c r="B1442" s="1">
        <v>5.0</v>
      </c>
      <c r="C1442" s="1" t="s">
        <v>4269</v>
      </c>
      <c r="D1442" s="1" t="s">
        <v>8</v>
      </c>
      <c r="E1442" s="1" t="s">
        <v>4270</v>
      </c>
      <c r="F1442" s="1" t="str">
        <f>IFERROR(__xludf.DUMMYFUNCTION("GOOGLETRANSLATE(A1442, ""zh-CN"", ""ko"")"),"숨다")</f>
        <v>숨다</v>
      </c>
    </row>
    <row r="1443" ht="15.75" customHeight="1">
      <c r="A1443" s="1" t="s">
        <v>4271</v>
      </c>
      <c r="B1443" s="1">
        <v>5.0</v>
      </c>
      <c r="C1443" s="1" t="s">
        <v>4272</v>
      </c>
      <c r="D1443" s="1" t="s">
        <v>52</v>
      </c>
      <c r="E1443" s="1" t="s">
        <v>4273</v>
      </c>
      <c r="F1443" s="1" t="str">
        <f>IFERROR(__xludf.DUMMYFUNCTION("GOOGLETRANSLATE(A1443, ""zh-CN"", ""ko"")"),"나쁜")</f>
        <v>나쁜</v>
      </c>
    </row>
    <row r="1444" ht="15.75" customHeight="1">
      <c r="A1444" s="1" t="s">
        <v>4274</v>
      </c>
      <c r="B1444" s="1">
        <v>5.0</v>
      </c>
      <c r="C1444" s="1" t="s">
        <v>4275</v>
      </c>
      <c r="D1444" s="1" t="s">
        <v>16</v>
      </c>
      <c r="E1444" s="1" t="s">
        <v>4276</v>
      </c>
      <c r="F1444" s="1" t="str">
        <f>IFERROR(__xludf.DUMMYFUNCTION("GOOGLETRANSLATE(A1444, ""zh-CN"", ""ko"")"),"귀걸이")</f>
        <v>귀걸이</v>
      </c>
    </row>
    <row r="1445" ht="15.75" customHeight="1">
      <c r="A1445" s="1" t="s">
        <v>4277</v>
      </c>
      <c r="B1445" s="1">
        <v>5.0</v>
      </c>
      <c r="C1445" s="1" t="s">
        <v>4278</v>
      </c>
      <c r="D1445" s="1" t="s">
        <v>8</v>
      </c>
      <c r="E1445" s="1" t="s">
        <v>4279</v>
      </c>
      <c r="F1445" s="1" t="str">
        <f>IFERROR(__xludf.DUMMYFUNCTION("GOOGLETRANSLATE(A1445, ""zh-CN"", ""ko"")"),"게시")</f>
        <v>게시</v>
      </c>
    </row>
    <row r="1446" ht="15.75" customHeight="1">
      <c r="A1446" s="1" t="s">
        <v>4280</v>
      </c>
      <c r="B1446" s="1">
        <v>5.0</v>
      </c>
      <c r="C1446" s="1" t="s">
        <v>4281</v>
      </c>
      <c r="D1446" s="1" t="s">
        <v>8</v>
      </c>
      <c r="E1446" s="1" t="s">
        <v>4282</v>
      </c>
      <c r="F1446" s="1" t="str">
        <f>IFERROR(__xludf.DUMMYFUNCTION("GOOGLETRANSLATE(A1446, ""zh-CN"", ""ko"")"),"걱정하다")</f>
        <v>걱정하다</v>
      </c>
    </row>
    <row r="1447" ht="15.75" customHeight="1">
      <c r="A1447" s="1" t="s">
        <v>4283</v>
      </c>
      <c r="B1447" s="1">
        <v>5.0</v>
      </c>
      <c r="C1447" s="1" t="s">
        <v>4284</v>
      </c>
      <c r="D1447" s="1" t="s">
        <v>52</v>
      </c>
      <c r="E1447" s="1" t="s">
        <v>4285</v>
      </c>
      <c r="F1447" s="1" t="str">
        <f>IFERROR(__xludf.DUMMYFUNCTION("GOOGLETRANSLATE(A1447, ""zh-CN"", ""ko"")"),"개발됨")</f>
        <v>개발됨</v>
      </c>
    </row>
    <row r="1448" ht="15.75" customHeight="1">
      <c r="A1448" s="1" t="s">
        <v>4286</v>
      </c>
      <c r="B1448" s="1">
        <v>5.0</v>
      </c>
      <c r="C1448" s="1" t="s">
        <v>4287</v>
      </c>
      <c r="D1448" s="1" t="s">
        <v>8</v>
      </c>
      <c r="E1448" s="1" t="s">
        <v>4288</v>
      </c>
      <c r="F1448" s="1" t="str">
        <f>IFERROR(__xludf.DUMMYFUNCTION("GOOGLETRANSLATE(A1448, ""zh-CN"", ""ko"")"),"떨림")</f>
        <v>떨림</v>
      </c>
    </row>
    <row r="1449" ht="15.75" customHeight="1">
      <c r="A1449" s="1" t="s">
        <v>4289</v>
      </c>
      <c r="B1449" s="1">
        <v>5.0</v>
      </c>
      <c r="C1449" s="1" t="s">
        <v>4290</v>
      </c>
      <c r="D1449" s="1" t="s">
        <v>8</v>
      </c>
      <c r="E1449" s="1" t="s">
        <v>4291</v>
      </c>
      <c r="F1449" s="1" t="str">
        <f>IFERROR(__xludf.DUMMYFUNCTION("GOOGLETRANSLATE(A1449, ""zh-CN"", ""ko"")"),"놀다")</f>
        <v>놀다</v>
      </c>
    </row>
    <row r="1450" ht="15.75" customHeight="1">
      <c r="A1450" s="1" t="s">
        <v>4292</v>
      </c>
      <c r="B1450" s="1">
        <v>5.0</v>
      </c>
      <c r="C1450" s="1" t="s">
        <v>4293</v>
      </c>
      <c r="D1450" s="1" t="s">
        <v>113</v>
      </c>
      <c r="E1450" s="1" t="s">
        <v>4294</v>
      </c>
      <c r="F1450" s="1" t="str">
        <f>IFERROR(__xludf.DUMMYFUNCTION("GOOGLETRANSLATE(A1450, ""zh-CN"", ""ko"")"),"발명")</f>
        <v>발명</v>
      </c>
    </row>
    <row r="1451" ht="15.75" customHeight="1">
      <c r="A1451" s="1" t="s">
        <v>4295</v>
      </c>
      <c r="B1451" s="1">
        <v>5.0</v>
      </c>
      <c r="C1451" s="1" t="s">
        <v>4296</v>
      </c>
      <c r="D1451" s="1" t="s">
        <v>16</v>
      </c>
      <c r="E1451" s="1" t="s">
        <v>4297</v>
      </c>
      <c r="F1451" s="1" t="str">
        <f>IFERROR(__xludf.DUMMYFUNCTION("GOOGLETRANSLATE(A1451, ""zh-CN"", ""ko"")"),"청구서")</f>
        <v>청구서</v>
      </c>
    </row>
    <row r="1452" ht="15.75" customHeight="1">
      <c r="A1452" s="1" t="s">
        <v>4298</v>
      </c>
      <c r="B1452" s="1">
        <v>5.0</v>
      </c>
      <c r="C1452" s="1" t="s">
        <v>4299</v>
      </c>
      <c r="D1452" s="1" t="s">
        <v>8</v>
      </c>
      <c r="E1452" s="1" t="s">
        <v>4300</v>
      </c>
      <c r="F1452" s="1" t="str">
        <f>IFERROR(__xludf.DUMMYFUNCTION("GOOGLETRANSLATE(A1452, ""zh-CN"", ""ko"")"),"연설")</f>
        <v>연설</v>
      </c>
    </row>
    <row r="1453" ht="15.75" customHeight="1">
      <c r="A1453" s="1" t="s">
        <v>4301</v>
      </c>
      <c r="B1453" s="1">
        <v>5.0</v>
      </c>
      <c r="C1453" s="1" t="s">
        <v>4302</v>
      </c>
      <c r="D1453" s="1" t="s">
        <v>875</v>
      </c>
      <c r="E1453" s="1" t="s">
        <v>4303</v>
      </c>
      <c r="F1453" s="1" t="str">
        <f>IFERROR(__xludf.DUMMYFUNCTION("GOOGLETRANSLATE(A1453, ""zh-CN"", ""ko"")"),"괜찮은")</f>
        <v>괜찮은</v>
      </c>
    </row>
    <row r="1454" ht="15.75" customHeight="1">
      <c r="A1454" s="1" t="s">
        <v>4304</v>
      </c>
      <c r="B1454" s="1">
        <v>5.0</v>
      </c>
      <c r="C1454" s="1" t="s">
        <v>4305</v>
      </c>
      <c r="D1454" s="1" t="s">
        <v>16</v>
      </c>
      <c r="E1454" s="1" t="s">
        <v>4306</v>
      </c>
      <c r="F1454" s="1" t="str">
        <f>IFERROR(__xludf.DUMMYFUNCTION("GOOGLETRANSLATE(A1454, ""zh-CN"", ""ko"")"),"법원")</f>
        <v>법원</v>
      </c>
    </row>
    <row r="1455" ht="15.75" customHeight="1">
      <c r="A1455" s="1" t="s">
        <v>4307</v>
      </c>
      <c r="B1455" s="1">
        <v>5.0</v>
      </c>
      <c r="C1455" s="1" t="s">
        <v>4308</v>
      </c>
      <c r="D1455" s="1" t="s">
        <v>8</v>
      </c>
      <c r="E1455" s="1" t="s">
        <v>4309</v>
      </c>
      <c r="F1455" s="1" t="str">
        <f>IFERROR(__xludf.DUMMYFUNCTION("GOOGLETRANSLATE(A1455, ""zh-CN"", ""ko"")"),"회전하다")</f>
        <v>회전하다</v>
      </c>
    </row>
    <row r="1456" ht="15.75" customHeight="1">
      <c r="A1456" s="1" t="s">
        <v>4310</v>
      </c>
      <c r="B1456" s="1">
        <v>5.0</v>
      </c>
      <c r="C1456" s="1" t="s">
        <v>4311</v>
      </c>
      <c r="D1456" s="1" t="s">
        <v>52</v>
      </c>
      <c r="E1456" s="1" t="s">
        <v>4312</v>
      </c>
      <c r="F1456" s="1" t="str">
        <f>IFERROR(__xludf.DUMMYFUNCTION("GOOGLETRANSLATE(A1456, ""zh-CN"", ""ko"")"),"번영")</f>
        <v>번영</v>
      </c>
    </row>
    <row r="1457" ht="15.75" customHeight="1">
      <c r="A1457" s="1" t="s">
        <v>4313</v>
      </c>
      <c r="B1457" s="1">
        <v>5.0</v>
      </c>
      <c r="C1457" s="1" t="s">
        <v>4314</v>
      </c>
      <c r="D1457" s="1" t="s">
        <v>33</v>
      </c>
      <c r="E1457" s="1" t="s">
        <v>4315</v>
      </c>
      <c r="F1457" s="1" t="str">
        <f>IFERROR(__xludf.DUMMYFUNCTION("GOOGLETRANSLATE(A1457, ""zh-CN"", ""ko"")"),"대신에")</f>
        <v>대신에</v>
      </c>
    </row>
    <row r="1458" ht="15.75" customHeight="1">
      <c r="A1458" s="1" t="s">
        <v>4316</v>
      </c>
      <c r="B1458" s="1">
        <v>5.0</v>
      </c>
      <c r="C1458" s="1" t="s">
        <v>4317</v>
      </c>
      <c r="D1458" s="1" t="s">
        <v>4318</v>
      </c>
      <c r="E1458" s="1" t="s">
        <v>4319</v>
      </c>
      <c r="F1458" s="1" t="str">
        <f>IFERROR(__xludf.DUMMYFUNCTION("GOOGLETRANSLATE(A1458, ""zh-CN"", ""ko"")"),"자꾸")</f>
        <v>자꾸</v>
      </c>
    </row>
    <row r="1459" ht="15.75" customHeight="1">
      <c r="A1459" s="1" t="s">
        <v>4320</v>
      </c>
      <c r="B1459" s="1">
        <v>5.0</v>
      </c>
      <c r="C1459" s="1" t="s">
        <v>4321</v>
      </c>
      <c r="D1459" s="1" t="s">
        <v>875</v>
      </c>
      <c r="E1459" s="1" t="s">
        <v>4322</v>
      </c>
      <c r="F1459" s="1" t="str">
        <f>IFERROR(__xludf.DUMMYFUNCTION("GOOGLETRANSLATE(A1459, ""zh-CN"", ""ko"")"),"반응")</f>
        <v>반응</v>
      </c>
    </row>
    <row r="1460" ht="15.75" customHeight="1">
      <c r="A1460" s="1" t="s">
        <v>4323</v>
      </c>
      <c r="B1460" s="1">
        <v>5.0</v>
      </c>
      <c r="C1460" s="1" t="s">
        <v>4321</v>
      </c>
      <c r="D1460" s="1" t="s">
        <v>8</v>
      </c>
      <c r="E1460" s="1" t="s">
        <v>4324</v>
      </c>
      <c r="F1460" s="1" t="str">
        <f>IFERROR(__xludf.DUMMYFUNCTION("GOOGLETRANSLATE(A1460, ""zh-CN"", ""ko"")"),"반영하다")</f>
        <v>반영하다</v>
      </c>
    </row>
    <row r="1461" ht="15.75" customHeight="1">
      <c r="A1461" s="1" t="s">
        <v>4325</v>
      </c>
      <c r="B1461" s="1">
        <v>5.0</v>
      </c>
      <c r="C1461" s="1" t="s">
        <v>4326</v>
      </c>
      <c r="D1461" s="1" t="s">
        <v>33</v>
      </c>
      <c r="E1461" s="1" t="s">
        <v>4327</v>
      </c>
      <c r="F1461" s="1" t="str">
        <f>IFERROR(__xludf.DUMMYFUNCTION("GOOGLETRANSLATE(A1461, ""zh-CN"", ""ko"")"),"그래도")</f>
        <v>그래도</v>
      </c>
    </row>
    <row r="1462" ht="15.75" customHeight="1">
      <c r="A1462" s="1" t="s">
        <v>4328</v>
      </c>
      <c r="B1462" s="1">
        <v>5.0</v>
      </c>
      <c r="C1462" s="1" t="s">
        <v>4329</v>
      </c>
      <c r="D1462" s="1" t="s">
        <v>16</v>
      </c>
      <c r="E1462" s="1" t="s">
        <v>4330</v>
      </c>
      <c r="F1462" s="1" t="str">
        <f>IFERROR(__xludf.DUMMYFUNCTION("GOOGLETRANSLATE(A1462, ""zh-CN"", ""ko"")"),"범위")</f>
        <v>범위</v>
      </c>
    </row>
    <row r="1463" ht="15.75" customHeight="1">
      <c r="A1463" s="1" t="s">
        <v>4331</v>
      </c>
      <c r="B1463" s="1">
        <v>5.0</v>
      </c>
      <c r="C1463" s="1" t="s">
        <v>4332</v>
      </c>
      <c r="D1463" s="1" t="s">
        <v>52</v>
      </c>
      <c r="E1463" s="1" t="s">
        <v>4333</v>
      </c>
      <c r="F1463" s="1" t="str">
        <f>IFERROR(__xludf.DUMMYFUNCTION("GOOGLETRANSLATE(A1463, ""zh-CN"", ""ko"")"),"정사각형")</f>
        <v>정사각형</v>
      </c>
    </row>
    <row r="1464" ht="15.75" customHeight="1">
      <c r="A1464" s="1" t="s">
        <v>4334</v>
      </c>
      <c r="B1464" s="1">
        <v>5.0</v>
      </c>
      <c r="C1464" s="1" t="s">
        <v>4335</v>
      </c>
      <c r="D1464" s="1" t="s">
        <v>16</v>
      </c>
      <c r="E1464" s="1" t="s">
        <v>4336</v>
      </c>
      <c r="F1464" s="1" t="str">
        <f>IFERROR(__xludf.DUMMYFUNCTION("GOOGLETRANSLATE(A1464, ""zh-CN"", ""ko"")"),"계획")</f>
        <v>계획</v>
      </c>
    </row>
    <row r="1465" ht="15.75" customHeight="1">
      <c r="A1465" s="1" t="s">
        <v>4337</v>
      </c>
      <c r="B1465" s="1">
        <v>5.0</v>
      </c>
      <c r="C1465" s="1" t="s">
        <v>4338</v>
      </c>
      <c r="D1465" s="1" t="s">
        <v>8</v>
      </c>
      <c r="E1465" s="1" t="s">
        <v>4339</v>
      </c>
      <c r="F1465" s="1" t="str">
        <f>IFERROR(__xludf.DUMMYFUNCTION("GOOGLETRANSLATE(A1465, ""zh-CN"", ""ko"")"),"장애물")</f>
        <v>장애물</v>
      </c>
    </row>
    <row r="1466" ht="15.75" customHeight="1">
      <c r="A1466" s="1" t="s">
        <v>4340</v>
      </c>
      <c r="B1466" s="1">
        <v>5.0</v>
      </c>
      <c r="C1466" s="1" t="s">
        <v>4341</v>
      </c>
      <c r="D1466" s="1" t="s">
        <v>33</v>
      </c>
      <c r="E1466" s="1" t="s">
        <v>4342</v>
      </c>
      <c r="F1466" s="1" t="str">
        <f>IFERROR(__xludf.DUMMYFUNCTION("GOOGLETRANSLATE(A1466, ""zh-CN"", ""ko"")"),"마치")</f>
        <v>마치</v>
      </c>
    </row>
    <row r="1467" ht="15.75" customHeight="1">
      <c r="A1467" s="1" t="s">
        <v>4343</v>
      </c>
      <c r="B1467" s="1">
        <v>5.0</v>
      </c>
      <c r="C1467" s="1" t="s">
        <v>4344</v>
      </c>
      <c r="D1467" s="1" t="s">
        <v>33</v>
      </c>
      <c r="E1467" s="1" t="s">
        <v>4345</v>
      </c>
      <c r="F1467" s="1" t="str">
        <f>IFERROR(__xludf.DUMMYFUNCTION("GOOGLETRANSLATE(A1467, ""zh-CN"", ""ko"")"),"아니요")</f>
        <v>아니요</v>
      </c>
    </row>
    <row r="1468" ht="15.75" customHeight="1">
      <c r="A1468" s="1" t="s">
        <v>4346</v>
      </c>
      <c r="B1468" s="1">
        <v>5.0</v>
      </c>
      <c r="C1468" s="1" t="s">
        <v>4347</v>
      </c>
      <c r="D1468" s="1" t="s">
        <v>16</v>
      </c>
      <c r="E1468" s="1" t="s">
        <v>4348</v>
      </c>
      <c r="F1468" s="1" t="str">
        <f>IFERROR(__xludf.DUMMYFUNCTION("GOOGLETRANSLATE(A1468, ""zh-CN"", ""ko"")"),"비누")</f>
        <v>비누</v>
      </c>
    </row>
    <row r="1469" ht="15.75" customHeight="1">
      <c r="A1469" s="1" t="s">
        <v>4349</v>
      </c>
      <c r="B1469" s="1">
        <v>5.0</v>
      </c>
      <c r="C1469" s="1" t="s">
        <v>4350</v>
      </c>
      <c r="D1469" s="1" t="s">
        <v>16</v>
      </c>
      <c r="E1469" s="1" t="s">
        <v>4351</v>
      </c>
      <c r="F1469" s="1" t="str">
        <f>IFERROR(__xludf.DUMMYFUNCTION("GOOGLETRANSLATE(A1469, ""zh-CN"", ""ko"")"),"무의미한 말")</f>
        <v>무의미한 말</v>
      </c>
    </row>
    <row r="1470" ht="15.75" customHeight="1">
      <c r="A1470" s="1" t="s">
        <v>4352</v>
      </c>
      <c r="B1470" s="1">
        <v>5.0</v>
      </c>
      <c r="C1470" s="1" t="s">
        <v>4353</v>
      </c>
      <c r="D1470" s="1" t="s">
        <v>209</v>
      </c>
      <c r="E1470" s="1" t="s">
        <v>4354</v>
      </c>
      <c r="F1470" s="1" t="str">
        <f>IFERROR(__xludf.DUMMYFUNCTION("GOOGLETRANSLATE(A1470, ""zh-CN"", ""ko"")"),"각기")</f>
        <v>각기</v>
      </c>
    </row>
    <row r="1471" ht="15.75" customHeight="1">
      <c r="A1471" s="1" t="s">
        <v>4355</v>
      </c>
      <c r="B1471" s="1">
        <v>5.0</v>
      </c>
      <c r="C1471" s="1" t="s">
        <v>4356</v>
      </c>
      <c r="D1471" s="1" t="s">
        <v>8</v>
      </c>
      <c r="E1471" s="1" t="s">
        <v>4357</v>
      </c>
      <c r="F1471" s="1" t="str">
        <f>IFERROR(__xludf.DUMMYFUNCTION("GOOGLETRANSLATE(A1471, ""zh-CN"", ""ko"")"),"배포됨")</f>
        <v>배포됨</v>
      </c>
    </row>
    <row r="1472" ht="15.75" customHeight="1">
      <c r="A1472" s="1" t="s">
        <v>4358</v>
      </c>
      <c r="B1472" s="1">
        <v>5.0</v>
      </c>
      <c r="C1472" s="1" t="s">
        <v>4359</v>
      </c>
      <c r="D1472" s="1" t="s">
        <v>33</v>
      </c>
      <c r="E1472" s="1" t="s">
        <v>4360</v>
      </c>
      <c r="F1472" s="1" t="str">
        <f>IFERROR(__xludf.DUMMYFUNCTION("GOOGLETRANSLATE(A1472, ""zh-CN"", ""ko"")"),"하나씩 차례로")</f>
        <v>하나씩 차례로</v>
      </c>
    </row>
    <row r="1473" ht="15.75" customHeight="1">
      <c r="A1473" s="1" t="s">
        <v>4361</v>
      </c>
      <c r="B1473" s="1">
        <v>5.0</v>
      </c>
      <c r="C1473" s="1" t="s">
        <v>4362</v>
      </c>
      <c r="D1473" s="1" t="s">
        <v>8</v>
      </c>
      <c r="E1473" s="1" t="s">
        <v>4363</v>
      </c>
      <c r="F1473" s="1" t="str">
        <f>IFERROR(__xludf.DUMMYFUNCTION("GOOGLETRANSLATE(A1473, ""zh-CN"", ""ko"")"),"분배하다")</f>
        <v>분배하다</v>
      </c>
    </row>
    <row r="1474" ht="15.75" customHeight="1">
      <c r="A1474" s="1" t="s">
        <v>4364</v>
      </c>
      <c r="B1474" s="1">
        <v>5.0</v>
      </c>
      <c r="C1474" s="1" t="s">
        <v>4365</v>
      </c>
      <c r="D1474" s="1" t="s">
        <v>8</v>
      </c>
      <c r="E1474" s="1" t="s">
        <v>4366</v>
      </c>
      <c r="F1474" s="1" t="str">
        <f>IFERROR(__xludf.DUMMYFUNCTION("GOOGLETRANSLATE(A1474, ""zh-CN"", ""ko"")"),"분리된")</f>
        <v>분리된</v>
      </c>
    </row>
    <row r="1475" ht="15.75" customHeight="1">
      <c r="A1475" s="1" t="s">
        <v>4367</v>
      </c>
      <c r="B1475" s="1">
        <v>5.0</v>
      </c>
      <c r="C1475" s="1" t="s">
        <v>4368</v>
      </c>
      <c r="D1475" s="1" t="s">
        <v>8</v>
      </c>
      <c r="E1475" s="1" t="s">
        <v>4369</v>
      </c>
      <c r="F1475" s="1" t="str">
        <f>IFERROR(__xludf.DUMMYFUNCTION("GOOGLETRANSLATE(A1475, ""zh-CN"", ""ko"")"),"분석하다")</f>
        <v>분석하다</v>
      </c>
    </row>
    <row r="1476" ht="15.75" customHeight="1">
      <c r="A1476" s="1" t="s">
        <v>4370</v>
      </c>
      <c r="B1476" s="1">
        <v>5.0</v>
      </c>
      <c r="C1476" s="1" t="s">
        <v>4371</v>
      </c>
      <c r="D1476" s="1" t="s">
        <v>8</v>
      </c>
      <c r="E1476" s="1" t="s">
        <v>4372</v>
      </c>
      <c r="F1476" s="1" t="str">
        <f>IFERROR(__xludf.DUMMYFUNCTION("GOOGLETRANSLATE(A1476, ""zh-CN"", ""ko"")"),"고심하다")</f>
        <v>고심하다</v>
      </c>
    </row>
    <row r="1477" ht="15.75" customHeight="1">
      <c r="A1477" s="1" t="s">
        <v>4373</v>
      </c>
      <c r="B1477" s="1">
        <v>5.0</v>
      </c>
      <c r="C1477" s="1" t="s">
        <v>4374</v>
      </c>
      <c r="D1477" s="1" t="s">
        <v>16</v>
      </c>
      <c r="E1477" s="1" t="s">
        <v>4375</v>
      </c>
      <c r="F1477" s="1" t="str">
        <f>IFERROR(__xludf.DUMMYFUNCTION("GOOGLETRANSLATE(A1477, ""zh-CN"", ""ko"")"),"스타일")</f>
        <v>스타일</v>
      </c>
    </row>
    <row r="1478" ht="15.75" customHeight="1">
      <c r="A1478" s="1" t="s">
        <v>4376</v>
      </c>
      <c r="B1478" s="1">
        <v>5.0</v>
      </c>
      <c r="C1478" s="1" t="s">
        <v>4377</v>
      </c>
      <c r="D1478" s="1" t="s">
        <v>16</v>
      </c>
      <c r="E1478" s="1" t="s">
        <v>4378</v>
      </c>
      <c r="F1478" s="1" t="str">
        <f>IFERROR(__xludf.DUMMYFUNCTION("GOOGLETRANSLATE(A1478, ""zh-CN"", ""ko"")"),"풍경")</f>
        <v>풍경</v>
      </c>
    </row>
    <row r="1479" ht="15.75" customHeight="1">
      <c r="A1479" s="1" t="s">
        <v>4379</v>
      </c>
      <c r="B1479" s="1">
        <v>5.0</v>
      </c>
      <c r="C1479" s="1" t="s">
        <v>4380</v>
      </c>
      <c r="D1479" s="1" t="s">
        <v>52</v>
      </c>
      <c r="E1479" s="1" t="s">
        <v>4381</v>
      </c>
      <c r="F1479" s="1" t="str">
        <f>IFERROR(__xludf.DUMMYFUNCTION("GOOGLETRANSLATE(A1479, ""zh-CN"", ""ko"")"),"미친")</f>
        <v>미친</v>
      </c>
    </row>
    <row r="1480" ht="15.75" customHeight="1">
      <c r="A1480" s="1" t="s">
        <v>4382</v>
      </c>
      <c r="B1480" s="1">
        <v>5.0</v>
      </c>
      <c r="C1480" s="1" t="s">
        <v>4383</v>
      </c>
      <c r="D1480" s="1" t="s">
        <v>16</v>
      </c>
      <c r="E1480" s="1" t="s">
        <v>4384</v>
      </c>
      <c r="F1480" s="1" t="str">
        <f>IFERROR(__xludf.DUMMYFUNCTION("GOOGLETRANSLATE(A1480, ""zh-CN"", ""ko"")"),"관습")</f>
        <v>관습</v>
      </c>
    </row>
    <row r="1481" ht="15.75" customHeight="1">
      <c r="A1481" s="1" t="s">
        <v>4385</v>
      </c>
      <c r="B1481" s="1">
        <v>5.0</v>
      </c>
      <c r="C1481" s="1" t="s">
        <v>4386</v>
      </c>
      <c r="D1481" s="1" t="s">
        <v>16</v>
      </c>
      <c r="E1481" s="1" t="s">
        <v>4387</v>
      </c>
      <c r="F1481" s="1" t="str">
        <f>IFERROR(__xludf.DUMMYFUNCTION("GOOGLETRANSLATE(A1481, ""zh-CN"", ""ko"")"),"위험")</f>
        <v>위험</v>
      </c>
    </row>
    <row r="1482" ht="15.75" customHeight="1">
      <c r="A1482" s="1" t="s">
        <v>4388</v>
      </c>
      <c r="B1482" s="1">
        <v>5.0</v>
      </c>
      <c r="C1482" s="1" t="s">
        <v>4389</v>
      </c>
      <c r="D1482" s="1" t="s">
        <v>8</v>
      </c>
      <c r="E1482" s="1" t="s">
        <v>4390</v>
      </c>
      <c r="F1482" s="1" t="str">
        <f>IFERROR(__xludf.DUMMYFUNCTION("GOOGLETRANSLATE(A1482, ""zh-CN"", ""ko"")"),"풍자")</f>
        <v>풍자</v>
      </c>
    </row>
    <row r="1483" ht="15.75" customHeight="1">
      <c r="A1483" s="1" t="s">
        <v>4391</v>
      </c>
      <c r="B1483" s="1">
        <v>5.0</v>
      </c>
      <c r="C1483" s="1" t="s">
        <v>4392</v>
      </c>
      <c r="D1483" s="1" t="s">
        <v>8</v>
      </c>
      <c r="E1483" s="1" t="s">
        <v>4393</v>
      </c>
      <c r="F1483" s="1" t="str">
        <f>IFERROR(__xludf.DUMMYFUNCTION("GOOGLETRANSLATE(A1483, ""zh-CN"", ""ko"")"),"부정적인")</f>
        <v>부정적인</v>
      </c>
    </row>
    <row r="1484" ht="15.75" customHeight="1">
      <c r="A1484" s="1" t="s">
        <v>4394</v>
      </c>
      <c r="B1484" s="1">
        <v>5.0</v>
      </c>
      <c r="C1484" s="1" t="s">
        <v>4395</v>
      </c>
      <c r="D1484" s="1" t="s">
        <v>8</v>
      </c>
      <c r="E1484" s="1" t="s">
        <v>4396</v>
      </c>
      <c r="F1484" s="1" t="str">
        <f>IFERROR(__xludf.DUMMYFUNCTION("GOOGLETRANSLATE(A1484, ""zh-CN"", ""ko"")"),"부인하다")</f>
        <v>부인하다</v>
      </c>
    </row>
    <row r="1485" ht="15.75" customHeight="1">
      <c r="A1485" s="1" t="s">
        <v>4397</v>
      </c>
      <c r="B1485" s="1">
        <v>5.0</v>
      </c>
      <c r="C1485" s="1" t="s">
        <v>4398</v>
      </c>
      <c r="D1485" s="1" t="s">
        <v>8</v>
      </c>
      <c r="E1485" s="1" t="s">
        <v>4399</v>
      </c>
      <c r="F1485" s="1" t="str">
        <f>IFERROR(__xludf.DUMMYFUNCTION("GOOGLETRANSLATE(A1485, ""zh-CN"", ""ko"")"),"돕다")</f>
        <v>돕다</v>
      </c>
    </row>
    <row r="1486" ht="15.75" customHeight="1">
      <c r="A1486" s="1" t="s">
        <v>4400</v>
      </c>
      <c r="B1486" s="1">
        <v>5.0</v>
      </c>
      <c r="C1486" s="1" t="s">
        <v>4398</v>
      </c>
      <c r="D1486" s="1" t="s">
        <v>26</v>
      </c>
      <c r="E1486" s="1" t="s">
        <v>4401</v>
      </c>
      <c r="F1486" s="1" t="str">
        <f>IFERROR(__xludf.DUMMYFUNCTION("GOOGLETRANSLATE(A1486, ""zh-CN"", ""ko"")"),"액자")</f>
        <v>액자</v>
      </c>
    </row>
    <row r="1487" ht="15.75" customHeight="1">
      <c r="A1487" s="1" t="s">
        <v>4402</v>
      </c>
      <c r="B1487" s="1">
        <v>5.0</v>
      </c>
      <c r="C1487" s="1" t="s">
        <v>4403</v>
      </c>
      <c r="D1487" s="1" t="s">
        <v>16</v>
      </c>
      <c r="E1487" s="1" t="s">
        <v>4404</v>
      </c>
      <c r="F1487" s="1" t="str">
        <f>IFERROR(__xludf.DUMMYFUNCTION("GOOGLETRANSLATE(A1487, ""zh-CN"", ""ko"")"),"의류")</f>
        <v>의류</v>
      </c>
    </row>
    <row r="1488" ht="15.75" customHeight="1">
      <c r="A1488" s="1" t="s">
        <v>4405</v>
      </c>
      <c r="B1488" s="1">
        <v>5.0</v>
      </c>
      <c r="C1488" s="1" t="s">
        <v>4406</v>
      </c>
      <c r="D1488" s="1" t="s">
        <v>8</v>
      </c>
      <c r="E1488" s="1" t="s">
        <v>4407</v>
      </c>
      <c r="F1488" s="1" t="str">
        <f>IFERROR(__xludf.DUMMYFUNCTION("GOOGLETRANSLATE(A1488, ""zh-CN"", ""ko"")"),"과외")</f>
        <v>과외</v>
      </c>
    </row>
    <row r="1489" ht="15.75" customHeight="1">
      <c r="A1489" s="1" t="s">
        <v>4408</v>
      </c>
      <c r="B1489" s="1">
        <v>5.0</v>
      </c>
      <c r="C1489" s="1" t="s">
        <v>4409</v>
      </c>
      <c r="D1489" s="1" t="s">
        <v>16</v>
      </c>
      <c r="E1489" s="1" t="s">
        <v>4410</v>
      </c>
      <c r="F1489" s="1" t="str">
        <f>IFERROR(__xludf.DUMMYFUNCTION("GOOGLETRANSLATE(A1489, ""zh-CN"", ""ko"")"),"여성")</f>
        <v>여성</v>
      </c>
    </row>
    <row r="1490" ht="15.75" customHeight="1">
      <c r="A1490" s="1" t="s">
        <v>4411</v>
      </c>
      <c r="B1490" s="1">
        <v>5.0</v>
      </c>
      <c r="C1490" s="1" t="s">
        <v>4412</v>
      </c>
      <c r="D1490" s="1" t="s">
        <v>8</v>
      </c>
      <c r="E1490" s="1" t="s">
        <v>4413</v>
      </c>
      <c r="F1490" s="1" t="str">
        <f>IFERROR(__xludf.DUMMYFUNCTION("GOOGLETRANSLATE(A1490, ""zh-CN"", ""ko"")"),"복사")</f>
        <v>복사</v>
      </c>
    </row>
    <row r="1491" ht="15.75" customHeight="1">
      <c r="A1491" s="1" t="s">
        <v>4414</v>
      </c>
      <c r="B1491" s="1">
        <v>5.0</v>
      </c>
      <c r="C1491" s="1" t="s">
        <v>4415</v>
      </c>
      <c r="D1491" s="1" t="s">
        <v>8</v>
      </c>
      <c r="E1491" s="1" t="s">
        <v>4416</v>
      </c>
      <c r="F1491" s="1" t="str">
        <f>IFERROR(__xludf.DUMMYFUNCTION("GOOGLETRANSLATE(A1491, ""zh-CN"", ""ko"")"),"개정")</f>
        <v>개정</v>
      </c>
    </row>
    <row r="1492" ht="15.75" customHeight="1">
      <c r="A1492" s="1" t="s">
        <v>4417</v>
      </c>
      <c r="B1492" s="1">
        <v>5.0</v>
      </c>
      <c r="C1492" s="1" t="s">
        <v>4418</v>
      </c>
      <c r="D1492" s="1" t="s">
        <v>8</v>
      </c>
      <c r="E1492" s="1" t="s">
        <v>4419</v>
      </c>
      <c r="F1492" s="1" t="str">
        <f>IFERROR(__xludf.DUMMYFUNCTION("GOOGLETRANSLATE(A1492, ""zh-CN"", ""ko"")"),"개선하다")</f>
        <v>개선하다</v>
      </c>
    </row>
    <row r="1493" ht="15.75" customHeight="1">
      <c r="A1493" s="1" t="s">
        <v>4420</v>
      </c>
      <c r="B1493" s="1">
        <v>5.0</v>
      </c>
      <c r="C1493" s="1" t="s">
        <v>4421</v>
      </c>
      <c r="D1493" s="1" t="s">
        <v>8</v>
      </c>
      <c r="E1493" s="1" t="s">
        <v>4422</v>
      </c>
      <c r="F1493" s="1" t="str">
        <f>IFERROR(__xludf.DUMMYFUNCTION("GOOGLETRANSLATE(A1493, ""zh-CN"", ""ko"")"),"개선하다")</f>
        <v>개선하다</v>
      </c>
    </row>
    <row r="1494" ht="15.75" customHeight="1">
      <c r="A1494" s="1" t="s">
        <v>4423</v>
      </c>
      <c r="B1494" s="1">
        <v>5.0</v>
      </c>
      <c r="C1494" s="1" t="s">
        <v>4424</v>
      </c>
      <c r="D1494" s="1" t="s">
        <v>8</v>
      </c>
      <c r="E1494" s="1" t="s">
        <v>4425</v>
      </c>
      <c r="F1494" s="1" t="str">
        <f>IFERROR(__xludf.DUMMYFUNCTION("GOOGLETRANSLATE(A1494, ""zh-CN"", ""ko"")"),"옳은")</f>
        <v>옳은</v>
      </c>
    </row>
    <row r="1495" ht="15.75" customHeight="1">
      <c r="A1495" s="1" t="s">
        <v>4426</v>
      </c>
      <c r="B1495" s="1">
        <v>5.0</v>
      </c>
      <c r="C1495" s="1" t="s">
        <v>4427</v>
      </c>
      <c r="D1495" s="1" t="s">
        <v>8</v>
      </c>
      <c r="E1495" s="1" t="s">
        <v>4428</v>
      </c>
      <c r="F1495" s="1" t="str">
        <f>IFERROR(__xludf.DUMMYFUNCTION("GOOGLETRANSLATE(A1495, ""zh-CN"", ""ko"")"),"짓다")</f>
        <v>짓다</v>
      </c>
    </row>
    <row r="1496" ht="15.75" customHeight="1">
      <c r="A1496" s="1" t="s">
        <v>4429</v>
      </c>
      <c r="B1496" s="1">
        <v>5.0</v>
      </c>
      <c r="C1496" s="1" t="s">
        <v>4430</v>
      </c>
      <c r="D1496" s="1" t="s">
        <v>8</v>
      </c>
      <c r="E1496" s="1" t="s">
        <v>4431</v>
      </c>
      <c r="F1496" s="1" t="str">
        <f>IFERROR(__xludf.DUMMYFUNCTION("GOOGLETRANSLATE(A1496, ""zh-CN"", ""ko"")"),"요약")</f>
        <v>요약</v>
      </c>
    </row>
    <row r="1497" ht="15.75" customHeight="1">
      <c r="A1497" s="1" t="s">
        <v>4432</v>
      </c>
      <c r="B1497" s="1">
        <v>5.0</v>
      </c>
      <c r="C1497" s="1" t="s">
        <v>4433</v>
      </c>
      <c r="D1497" s="1" t="s">
        <v>16</v>
      </c>
      <c r="E1497" s="1" t="s">
        <v>4434</v>
      </c>
      <c r="F1497" s="1" t="str">
        <f>IFERROR(__xludf.DUMMYFUNCTION("GOOGLETRANSLATE(A1497, ""zh-CN"", ""ko"")"),"개념")</f>
        <v>개념</v>
      </c>
    </row>
    <row r="1498" ht="15.75" customHeight="1">
      <c r="A1498" s="1" t="s">
        <v>4435</v>
      </c>
      <c r="B1498" s="1">
        <v>5.0</v>
      </c>
      <c r="C1498" s="1" t="s">
        <v>4436</v>
      </c>
      <c r="D1498" s="1" t="s">
        <v>33</v>
      </c>
      <c r="E1498" s="1" t="s">
        <v>4437</v>
      </c>
      <c r="F1498" s="1" t="str">
        <f>IFERROR(__xludf.DUMMYFUNCTION("GOOGLETRANSLATE(A1498, ""zh-CN"", ""ko"")"),"간단히")</f>
        <v>간단히</v>
      </c>
    </row>
    <row r="1499" ht="15.75" customHeight="1">
      <c r="A1499" s="1" t="s">
        <v>4438</v>
      </c>
      <c r="B1499" s="1">
        <v>5.0</v>
      </c>
      <c r="C1499" s="1" t="s">
        <v>4439</v>
      </c>
      <c r="D1499" s="1" t="s">
        <v>52</v>
      </c>
      <c r="E1499" s="1" t="s">
        <v>4440</v>
      </c>
      <c r="F1499" s="1" t="str">
        <f>IFERROR(__xludf.DUMMYFUNCTION("GOOGLETRANSLATE(A1499, ""zh-CN"", ""ko"")"),"마른")</f>
        <v>마른</v>
      </c>
    </row>
    <row r="1500" ht="15.75" customHeight="1">
      <c r="A1500" s="1" t="s">
        <v>4441</v>
      </c>
      <c r="B1500" s="1">
        <v>5.0</v>
      </c>
      <c r="C1500" s="1" t="s">
        <v>4442</v>
      </c>
      <c r="D1500" s="1" t="s">
        <v>8</v>
      </c>
      <c r="E1500" s="1" t="s">
        <v>4443</v>
      </c>
      <c r="F1500" s="1" t="str">
        <f>IFERROR(__xludf.DUMMYFUNCTION("GOOGLETRANSLATE(A1500, ""zh-CN"", ""ko"")"),"고마움")</f>
        <v>고마움</v>
      </c>
    </row>
    <row r="1501" ht="15.75" customHeight="1">
      <c r="A1501" s="1" t="s">
        <v>4444</v>
      </c>
      <c r="B1501" s="1">
        <v>5.0</v>
      </c>
      <c r="C1501" s="1" t="s">
        <v>4445</v>
      </c>
      <c r="D1501" s="1" t="s">
        <v>33</v>
      </c>
      <c r="E1501" s="1" t="s">
        <v>4446</v>
      </c>
      <c r="F1501" s="1" t="str">
        <f>IFERROR(__xludf.DUMMYFUNCTION("GOOGLETRANSLATE(A1501, ""zh-CN"", ""ko"")"),"서두르다")</f>
        <v>서두르다</v>
      </c>
    </row>
    <row r="1502" ht="15.75" customHeight="1">
      <c r="A1502" s="1" t="s">
        <v>4447</v>
      </c>
      <c r="B1502" s="1">
        <v>5.0</v>
      </c>
      <c r="C1502" s="1" t="s">
        <v>4448</v>
      </c>
      <c r="D1502" s="1" t="s">
        <v>33</v>
      </c>
      <c r="E1502" s="1" t="s">
        <v>4449</v>
      </c>
      <c r="F1502" s="1" t="str">
        <f>IFERROR(__xludf.DUMMYFUNCTION("GOOGLETRANSLATE(A1502, ""zh-CN"", ""ko"")"),"서둘러요")</f>
        <v>서둘러요</v>
      </c>
    </row>
    <row r="1503" ht="15.75" customHeight="1">
      <c r="A1503" s="1" t="s">
        <v>4450</v>
      </c>
      <c r="B1503" s="1">
        <v>5.0</v>
      </c>
      <c r="C1503" s="1" t="s">
        <v>4451</v>
      </c>
      <c r="D1503" s="1" t="s">
        <v>875</v>
      </c>
      <c r="E1503" s="1" t="s">
        <v>4452</v>
      </c>
      <c r="F1503" s="1" t="str">
        <f>IFERROR(__xludf.DUMMYFUNCTION("GOOGLETRANSLATE(A1503, ""zh-CN"", ""ko"")"),"감정")</f>
        <v>감정</v>
      </c>
    </row>
    <row r="1504" ht="15.75" customHeight="1">
      <c r="A1504" s="1" t="s">
        <v>4453</v>
      </c>
      <c r="B1504" s="1">
        <v>5.0</v>
      </c>
      <c r="C1504" s="1" t="s">
        <v>4454</v>
      </c>
      <c r="D1504" s="1" t="s">
        <v>16</v>
      </c>
      <c r="E1504" s="1" t="s">
        <v>4455</v>
      </c>
      <c r="F1504" s="1" t="str">
        <f>IFERROR(__xludf.DUMMYFUNCTION("GOOGLETRANSLATE(A1504, ""zh-CN"", ""ko"")"),"생각들")</f>
        <v>생각들</v>
      </c>
    </row>
    <row r="1505" ht="15.75" customHeight="1">
      <c r="A1505" s="1" t="s">
        <v>4456</v>
      </c>
      <c r="B1505" s="1">
        <v>5.0</v>
      </c>
      <c r="C1505" s="1" t="s">
        <v>4457</v>
      </c>
      <c r="D1505" s="1" t="s">
        <v>8</v>
      </c>
      <c r="E1505" s="1" t="s">
        <v>4458</v>
      </c>
      <c r="F1505" s="1" t="str">
        <f>IFERROR(__xludf.DUMMYFUNCTION("GOOGLETRANSLATE(A1505, ""zh-CN"", ""ko"")"),"일하다")</f>
        <v>일하다</v>
      </c>
    </row>
    <row r="1506" ht="15.75" customHeight="1">
      <c r="A1506" s="1" t="s">
        <v>4459</v>
      </c>
      <c r="B1506" s="1">
        <v>5.0</v>
      </c>
      <c r="C1506" s="1" t="s">
        <v>4460</v>
      </c>
      <c r="D1506" s="1" t="s">
        <v>16</v>
      </c>
      <c r="E1506" s="1" t="s">
        <v>4461</v>
      </c>
      <c r="F1506" s="1" t="str">
        <f>IFERROR(__xludf.DUMMYFUNCTION("GOOGLETRANSLATE(A1506, ""zh-CN"", ""ko"")"),"강철")</f>
        <v>강철</v>
      </c>
    </row>
    <row r="1507" ht="15.75" customHeight="1">
      <c r="A1507" s="1" t="s">
        <v>4462</v>
      </c>
      <c r="B1507" s="1">
        <v>5.0</v>
      </c>
      <c r="C1507" s="1" t="s">
        <v>4463</v>
      </c>
      <c r="D1507" s="1" t="s">
        <v>52</v>
      </c>
      <c r="E1507" s="1" t="s">
        <v>4464</v>
      </c>
      <c r="F1507" s="1" t="str">
        <f>IFERROR(__xludf.DUMMYFUNCTION("GOOGLETRANSLATE(A1507, ""zh-CN"", ""ko"")"),"고급스러운")</f>
        <v>고급스러운</v>
      </c>
    </row>
    <row r="1508" ht="15.75" customHeight="1">
      <c r="A1508" s="1" t="s">
        <v>4465</v>
      </c>
      <c r="B1508" s="1">
        <v>5.0</v>
      </c>
      <c r="C1508" s="1" t="s">
        <v>4466</v>
      </c>
      <c r="D1508" s="1" t="s">
        <v>52</v>
      </c>
      <c r="E1508" s="1" t="s">
        <v>4467</v>
      </c>
      <c r="F1508" s="1" t="str">
        <f>IFERROR(__xludf.DUMMYFUNCTION("GOOGLETRANSLATE(A1508, ""zh-CN"", ""ko"")"),"고급의")</f>
        <v>고급의</v>
      </c>
    </row>
    <row r="1509" ht="15.75" customHeight="1">
      <c r="A1509" s="1" t="s">
        <v>4468</v>
      </c>
      <c r="B1509" s="1">
        <v>5.0</v>
      </c>
      <c r="C1509" s="1" t="s">
        <v>4469</v>
      </c>
      <c r="D1509" s="1" t="s">
        <v>8</v>
      </c>
      <c r="E1509" s="1" t="s">
        <v>4470</v>
      </c>
      <c r="F1509" s="1" t="str">
        <f>IFERROR(__xludf.DUMMYFUNCTION("GOOGLETRANSLATE(A1509, ""zh-CN"", ""ko"")"),"하다")</f>
        <v>하다</v>
      </c>
    </row>
    <row r="1510" ht="15.75" customHeight="1">
      <c r="A1510" s="1" t="s">
        <v>4471</v>
      </c>
      <c r="B1510" s="1">
        <v>5.0</v>
      </c>
      <c r="C1510" s="1" t="s">
        <v>4472</v>
      </c>
      <c r="D1510" s="1" t="s">
        <v>8</v>
      </c>
      <c r="E1510" s="1" t="s">
        <v>4473</v>
      </c>
      <c r="F1510" s="1" t="str">
        <f>IFERROR(__xludf.DUMMYFUNCTION("GOOGLETRANSLATE(A1510, ""zh-CN"", ""ko"")"),"작별 인사를 하세요")</f>
        <v>작별 인사를 하세요</v>
      </c>
    </row>
    <row r="1511" ht="15.75" customHeight="1">
      <c r="A1511" s="1" t="s">
        <v>4474</v>
      </c>
      <c r="B1511" s="1">
        <v>5.0</v>
      </c>
      <c r="C1511" s="1" t="s">
        <v>4475</v>
      </c>
      <c r="D1511" s="1" t="s">
        <v>16</v>
      </c>
      <c r="E1511" s="1" t="s">
        <v>4476</v>
      </c>
      <c r="F1511" s="1" t="str">
        <f>IFERROR(__xludf.DUMMYFUNCTION("GOOGLETRANSLATE(A1511, ""zh-CN"", ""ko"")"),"바로 옆집")</f>
        <v>바로 옆집</v>
      </c>
    </row>
    <row r="1512" ht="15.75" customHeight="1">
      <c r="A1512" s="1" t="s">
        <v>4477</v>
      </c>
      <c r="B1512" s="1">
        <v>5.0</v>
      </c>
      <c r="C1512" s="1" t="s">
        <v>4478</v>
      </c>
      <c r="D1512" s="1" t="s">
        <v>33</v>
      </c>
      <c r="E1512" s="1" t="s">
        <v>4479</v>
      </c>
      <c r="F1512" s="1" t="str">
        <f>IFERROR(__xludf.DUMMYFUNCTION("GOOGLETRANSLATE(A1512, ""zh-CN"", ""ko"")"),"특히")</f>
        <v>특히</v>
      </c>
    </row>
    <row r="1513" ht="15.75" customHeight="1">
      <c r="A1513" s="1" t="s">
        <v>4480</v>
      </c>
      <c r="B1513" s="1">
        <v>5.0</v>
      </c>
      <c r="C1513" s="1" t="s">
        <v>4481</v>
      </c>
      <c r="D1513" s="1" t="s">
        <v>33</v>
      </c>
      <c r="E1513" s="1" t="s">
        <v>4482</v>
      </c>
      <c r="F1513" s="1" t="str">
        <f>IFERROR(__xludf.DUMMYFUNCTION("GOOGLETRANSLATE(A1513, ""zh-CN"", ""ko"")"),"개인")</f>
        <v>개인</v>
      </c>
    </row>
    <row r="1514" ht="15.75" customHeight="1">
      <c r="A1514" s="1" t="s">
        <v>4483</v>
      </c>
      <c r="B1514" s="1">
        <v>5.0</v>
      </c>
      <c r="C1514" s="1" t="s">
        <v>4484</v>
      </c>
      <c r="D1514" s="1" t="s">
        <v>16</v>
      </c>
      <c r="E1514" s="1" t="s">
        <v>4485</v>
      </c>
      <c r="F1514" s="1" t="str">
        <f>IFERROR(__xludf.DUMMYFUNCTION("GOOGLETRANSLATE(A1514, ""zh-CN"", ""ko"")"),"개인의")</f>
        <v>개인의</v>
      </c>
    </row>
    <row r="1515" ht="15.75" customHeight="1">
      <c r="A1515" s="1" t="s">
        <v>4486</v>
      </c>
      <c r="B1515" s="1">
        <v>5.0</v>
      </c>
      <c r="C1515" s="1" t="s">
        <v>4487</v>
      </c>
      <c r="D1515" s="1" t="s">
        <v>16</v>
      </c>
      <c r="E1515" s="1" t="s">
        <v>4488</v>
      </c>
      <c r="F1515" s="1" t="str">
        <f>IFERROR(__xludf.DUMMYFUNCTION("GOOGLETRANSLATE(A1515, ""zh-CN"", ""ko"")"),"성격")</f>
        <v>성격</v>
      </c>
    </row>
    <row r="1516" ht="15.75" customHeight="1">
      <c r="A1516" s="1" t="s">
        <v>4489</v>
      </c>
      <c r="B1516" s="1">
        <v>5.0</v>
      </c>
      <c r="C1516" s="1" t="s">
        <v>4490</v>
      </c>
      <c r="D1516" s="1" t="s">
        <v>88</v>
      </c>
      <c r="E1516" s="1" t="s">
        <v>4491</v>
      </c>
      <c r="F1516" s="1" t="str">
        <f>IFERROR(__xludf.DUMMYFUNCTION("GOOGLETRANSLATE(A1516, ""zh-CN"", ""ko"")"),"각각의")</f>
        <v>각각의</v>
      </c>
    </row>
    <row r="1517" ht="15.75" customHeight="1">
      <c r="A1517" s="1" t="s">
        <v>4492</v>
      </c>
      <c r="B1517" s="1">
        <v>5.0</v>
      </c>
      <c r="C1517" s="1" t="s">
        <v>1145</v>
      </c>
      <c r="D1517" s="1" t="s">
        <v>26</v>
      </c>
      <c r="E1517" s="1" t="s">
        <v>4493</v>
      </c>
      <c r="F1517" s="1" t="str">
        <f>IFERROR(__xludf.DUMMYFUNCTION("GOOGLETRANSLATE(A1517, ""zh-CN"", ""ko"")"),"뿌리")</f>
        <v>뿌리</v>
      </c>
    </row>
    <row r="1518" ht="15.75" customHeight="1">
      <c r="A1518" s="1" t="s">
        <v>4494</v>
      </c>
      <c r="B1518" s="1">
        <v>5.0</v>
      </c>
      <c r="C1518" s="1" t="s">
        <v>4495</v>
      </c>
      <c r="D1518" s="1" t="s">
        <v>33</v>
      </c>
      <c r="E1518" s="1" t="s">
        <v>4496</v>
      </c>
      <c r="F1518" s="1" t="str">
        <f>IFERROR(__xludf.DUMMYFUNCTION("GOOGLETRANSLATE(A1518, ""zh-CN"", ""ko"")"),"근본적인")</f>
        <v>근본적인</v>
      </c>
    </row>
    <row r="1519" ht="15.75" customHeight="1">
      <c r="A1519" s="1" t="s">
        <v>4497</v>
      </c>
      <c r="B1519" s="1">
        <v>5.0</v>
      </c>
      <c r="C1519" s="1" t="s">
        <v>4498</v>
      </c>
      <c r="D1519" s="1" t="s">
        <v>8</v>
      </c>
      <c r="E1519" s="1" t="s">
        <v>4499</v>
      </c>
      <c r="F1519" s="1" t="str">
        <f>IFERROR(__xludf.DUMMYFUNCTION("GOOGLETRANSLATE(A1519, ""zh-CN"", ""ko"")"),"발표")</f>
        <v>발표</v>
      </c>
    </row>
    <row r="1520" ht="15.75" customHeight="1">
      <c r="A1520" s="1" t="s">
        <v>4500</v>
      </c>
      <c r="B1520" s="1">
        <v>5.0</v>
      </c>
      <c r="C1520" s="1" t="s">
        <v>4501</v>
      </c>
      <c r="D1520" s="1" t="s">
        <v>16</v>
      </c>
      <c r="E1520" s="1" t="s">
        <v>4502</v>
      </c>
      <c r="F1520" s="1" t="str">
        <f>IFERROR(__xludf.DUMMYFUNCTION("GOOGLETRANSLATE(A1520, ""zh-CN"", ""ko"")"),"공장")</f>
        <v>공장</v>
      </c>
    </row>
    <row r="1521" ht="15.75" customHeight="1">
      <c r="A1521" s="1" t="s">
        <v>4503</v>
      </c>
      <c r="B1521" s="1">
        <v>5.0</v>
      </c>
      <c r="C1521" s="1" t="s">
        <v>4504</v>
      </c>
      <c r="D1521" s="1" t="s">
        <v>16</v>
      </c>
      <c r="E1521" s="1" t="s">
        <v>4505</v>
      </c>
      <c r="F1521" s="1" t="str">
        <f>IFERROR(__xludf.DUMMYFUNCTION("GOOGLETRANSLATE(A1521, ""zh-CN"", ""ko"")"),"엔지니어")</f>
        <v>엔지니어</v>
      </c>
    </row>
    <row r="1522" ht="15.75" customHeight="1">
      <c r="A1522" s="1" t="s">
        <v>4506</v>
      </c>
      <c r="B1522" s="1">
        <v>5.0</v>
      </c>
      <c r="C1522" s="1" t="s">
        <v>4507</v>
      </c>
      <c r="D1522" s="1" t="s">
        <v>16</v>
      </c>
      <c r="E1522" s="1" t="s">
        <v>4508</v>
      </c>
      <c r="F1522" s="1" t="str">
        <f>IFERROR(__xludf.DUMMYFUNCTION("GOOGLETRANSLATE(A1522, ""zh-CN"", ""ko"")"),"도구")</f>
        <v>도구</v>
      </c>
    </row>
    <row r="1523" ht="15.75" customHeight="1">
      <c r="A1523" s="1" t="s">
        <v>4509</v>
      </c>
      <c r="B1523" s="1">
        <v>5.0</v>
      </c>
      <c r="C1523" s="1" t="s">
        <v>4510</v>
      </c>
      <c r="D1523" s="1" t="s">
        <v>1003</v>
      </c>
      <c r="E1523" s="1" t="s">
        <v>4511</v>
      </c>
      <c r="F1523" s="1" t="str">
        <f>IFERROR(__xludf.DUMMYFUNCTION("GOOGLETRANSLATE(A1523, ""zh-CN"", ""ko"")"),"공공의")</f>
        <v>공공의</v>
      </c>
    </row>
    <row r="1524" ht="15.75" customHeight="1">
      <c r="A1524" s="1" t="s">
        <v>4512</v>
      </c>
      <c r="B1524" s="1">
        <v>5.0</v>
      </c>
      <c r="C1524" s="1" t="s">
        <v>4513</v>
      </c>
      <c r="D1524" s="1" t="s">
        <v>16</v>
      </c>
      <c r="E1524" s="1" t="s">
        <v>4514</v>
      </c>
      <c r="F1524" s="1" t="str">
        <f>IFERROR(__xludf.DUMMYFUNCTION("GOOGLETRANSLATE(A1524, ""zh-CN"", ""ko"")"),"기능")</f>
        <v>기능</v>
      </c>
    </row>
    <row r="1525" ht="15.75" customHeight="1">
      <c r="A1525" s="1" t="s">
        <v>4515</v>
      </c>
      <c r="B1525" s="1">
        <v>5.0</v>
      </c>
      <c r="C1525" s="1" t="s">
        <v>4516</v>
      </c>
      <c r="D1525" s="1" t="s">
        <v>52</v>
      </c>
      <c r="E1525" s="1" t="s">
        <v>4517</v>
      </c>
      <c r="F1525" s="1" t="str">
        <f>IFERROR(__xludf.DUMMYFUNCTION("GOOGLETRANSLATE(A1525, ""zh-CN"", ""ko"")"),"공정한")</f>
        <v>공정한</v>
      </c>
    </row>
    <row r="1526" ht="15.75" customHeight="1">
      <c r="A1526" s="1" t="s">
        <v>4518</v>
      </c>
      <c r="B1526" s="1">
        <v>5.0</v>
      </c>
      <c r="C1526" s="1" t="s">
        <v>4519</v>
      </c>
      <c r="D1526" s="1" t="s">
        <v>16</v>
      </c>
      <c r="E1526" s="1" t="s">
        <v>4520</v>
      </c>
      <c r="F1526" s="1" t="str">
        <f>IFERROR(__xludf.DUMMYFUNCTION("GOOGLETRANSLATE(A1526, ""zh-CN"", ""ko"")"),"노동자")</f>
        <v>노동자</v>
      </c>
    </row>
    <row r="1527" ht="15.75" customHeight="1">
      <c r="A1527" s="1" t="s">
        <v>4521</v>
      </c>
      <c r="B1527" s="1">
        <v>5.0</v>
      </c>
      <c r="C1527" s="1" t="s">
        <v>4522</v>
      </c>
      <c r="D1527" s="1" t="s">
        <v>8</v>
      </c>
      <c r="E1527" s="1" t="s">
        <v>4523</v>
      </c>
      <c r="F1527" s="1" t="str">
        <f>IFERROR(__xludf.DUMMYFUNCTION("GOOGLETRANSLATE(A1527, ""zh-CN"", ""ko"")"),"축하해요")</f>
        <v>축하해요</v>
      </c>
    </row>
    <row r="1528" ht="15.75" customHeight="1">
      <c r="A1528" s="1" t="s">
        <v>4524</v>
      </c>
      <c r="B1528" s="1">
        <v>5.0</v>
      </c>
      <c r="C1528" s="1" t="s">
        <v>4525</v>
      </c>
      <c r="D1528" s="1" t="s">
        <v>16</v>
      </c>
      <c r="E1528" s="1" t="s">
        <v>4526</v>
      </c>
      <c r="F1528" s="1" t="str">
        <f>IFERROR(__xludf.DUMMYFUNCTION("GOOGLETRANSLATE(A1528, ""zh-CN"", ""ko"")"),"산업")</f>
        <v>산업</v>
      </c>
    </row>
    <row r="1529" ht="15.75" customHeight="1">
      <c r="A1529" s="1" t="s">
        <v>4527</v>
      </c>
      <c r="B1529" s="1">
        <v>5.0</v>
      </c>
      <c r="C1529" s="1" t="s">
        <v>4528</v>
      </c>
      <c r="D1529" s="1" t="s">
        <v>16</v>
      </c>
      <c r="E1529" s="1" t="s">
        <v>4529</v>
      </c>
      <c r="F1529" s="1" t="str">
        <f>IFERROR(__xludf.DUMMYFUNCTION("GOOGLETRANSLATE(A1529, ""zh-CN"", ""ko"")"),"아파트")</f>
        <v>아파트</v>
      </c>
    </row>
    <row r="1530" ht="15.75" customHeight="1">
      <c r="A1530" s="1" t="s">
        <v>4530</v>
      </c>
      <c r="B1530" s="1">
        <v>5.0</v>
      </c>
      <c r="C1530" s="1" t="s">
        <v>1158</v>
      </c>
      <c r="D1530" s="1" t="s">
        <v>16</v>
      </c>
      <c r="E1530" s="1" t="s">
        <v>4531</v>
      </c>
      <c r="F1530" s="1" t="str">
        <f>IFERROR(__xludf.DUMMYFUNCTION("GOOGLETRANSLATE(A1530, ""zh-CN"", ""ko"")"),"서기")</f>
        <v>서기</v>
      </c>
    </row>
    <row r="1531" ht="15.75" customHeight="1">
      <c r="A1531" s="1" t="s">
        <v>4532</v>
      </c>
      <c r="B1531" s="1">
        <v>5.0</v>
      </c>
      <c r="C1531" s="1" t="s">
        <v>4533</v>
      </c>
      <c r="D1531" s="1" t="s">
        <v>16</v>
      </c>
      <c r="E1531" s="1" t="s">
        <v>4534</v>
      </c>
      <c r="F1531" s="1" t="str">
        <f>IFERROR(__xludf.DUMMYFUNCTION("GOOGLETRANSLATE(A1531, ""zh-CN"", ""ko"")"),"공주")</f>
        <v>공주</v>
      </c>
    </row>
    <row r="1532" ht="15.75" customHeight="1">
      <c r="A1532" s="1" t="s">
        <v>4535</v>
      </c>
      <c r="B1532" s="1">
        <v>5.0</v>
      </c>
      <c r="C1532" s="1" t="s">
        <v>4536</v>
      </c>
      <c r="D1532" s="1" t="s">
        <v>16</v>
      </c>
      <c r="E1532" s="1" t="s">
        <v>4537</v>
      </c>
      <c r="F1532" s="1" t="str">
        <f>IFERROR(__xludf.DUMMYFUNCTION("GOOGLETRANSLATE(A1532, ""zh-CN"", ""ko"")"),"기여하다")</f>
        <v>기여하다</v>
      </c>
    </row>
    <row r="1533" ht="15.75" customHeight="1">
      <c r="A1533" s="1" t="s">
        <v>4538</v>
      </c>
      <c r="B1533" s="1">
        <v>5.0</v>
      </c>
      <c r="C1533" s="1" t="s">
        <v>4539</v>
      </c>
      <c r="D1533" s="1" t="s">
        <v>8</v>
      </c>
      <c r="E1533" s="1" t="s">
        <v>4540</v>
      </c>
      <c r="F1533" s="1" t="str">
        <f>IFERROR(__xludf.DUMMYFUNCTION("GOOGLETRANSLATE(A1533, ""zh-CN"", ""ko"")"),"의사소통하다")</f>
        <v>의사소통하다</v>
      </c>
    </row>
    <row r="1534" ht="15.75" customHeight="1">
      <c r="A1534" s="1" t="s">
        <v>4541</v>
      </c>
      <c r="B1534" s="1">
        <v>5.0</v>
      </c>
      <c r="C1534" s="1" t="s">
        <v>4542</v>
      </c>
      <c r="D1534" s="1" t="s">
        <v>16</v>
      </c>
      <c r="E1534" s="1" t="s">
        <v>4543</v>
      </c>
      <c r="F1534" s="1" t="str">
        <f>IFERROR(__xludf.DUMMYFUNCTION("GOOGLETRANSLATE(A1534, ""zh-CN"", ""ko"")"),"구성하다")</f>
        <v>구성하다</v>
      </c>
    </row>
    <row r="1535" ht="15.75" customHeight="1">
      <c r="A1535" s="1" t="s">
        <v>4544</v>
      </c>
      <c r="B1535" s="1">
        <v>5.0</v>
      </c>
      <c r="C1535" s="1" t="s">
        <v>4545</v>
      </c>
      <c r="D1535" s="1" t="s">
        <v>16</v>
      </c>
      <c r="E1535" s="1" t="s">
        <v>4546</v>
      </c>
      <c r="F1535" s="1" t="str">
        <f>IFERROR(__xludf.DUMMYFUNCTION("GOOGLETRANSLATE(A1535, ""zh-CN"", ""ko"")"),"이모")</f>
        <v>이모</v>
      </c>
    </row>
    <row r="1536" ht="15.75" customHeight="1">
      <c r="A1536" s="1" t="s">
        <v>4547</v>
      </c>
      <c r="B1536" s="1">
        <v>5.0</v>
      </c>
      <c r="C1536" s="1" t="s">
        <v>4548</v>
      </c>
      <c r="D1536" s="1" t="s">
        <v>16</v>
      </c>
      <c r="E1536" s="1" t="s">
        <v>4549</v>
      </c>
      <c r="F1536" s="1" t="str">
        <f>IFERROR(__xludf.DUMMYFUNCTION("GOOGLETRANSLATE(A1536, ""zh-CN"", ""ko"")"),"소녀")</f>
        <v>소녀</v>
      </c>
    </row>
    <row r="1537" ht="15.75" customHeight="1">
      <c r="A1537" s="1" t="s">
        <v>4550</v>
      </c>
      <c r="B1537" s="1">
        <v>5.0</v>
      </c>
      <c r="C1537" s="1" t="s">
        <v>4551</v>
      </c>
      <c r="D1537" s="1" t="s">
        <v>16</v>
      </c>
      <c r="E1537" s="1" t="s">
        <v>4552</v>
      </c>
      <c r="F1537" s="1" t="str">
        <f>IFERROR(__xludf.DUMMYFUNCTION("GOOGLETRANSLATE(A1537, ""zh-CN"", ""ko"")"),"고대의")</f>
        <v>고대의</v>
      </c>
    </row>
    <row r="1538" ht="15.75" customHeight="1">
      <c r="A1538" s="1" t="s">
        <v>4553</v>
      </c>
      <c r="B1538" s="1">
        <v>5.0</v>
      </c>
      <c r="C1538" s="1" t="s">
        <v>4554</v>
      </c>
      <c r="D1538" s="1" t="s">
        <v>52</v>
      </c>
      <c r="E1538" s="1" t="s">
        <v>4555</v>
      </c>
      <c r="F1538" s="1" t="str">
        <f>IFERROR(__xludf.DUMMYFUNCTION("GOOGLETRANSLATE(A1538, ""zh-CN"", ""ko"")"),"고전")</f>
        <v>고전</v>
      </c>
    </row>
    <row r="1539" ht="15.75" customHeight="1">
      <c r="A1539" s="1" t="s">
        <v>4556</v>
      </c>
      <c r="B1539" s="1">
        <v>5.0</v>
      </c>
      <c r="C1539" s="1" t="s">
        <v>4557</v>
      </c>
      <c r="D1539" s="1" t="s">
        <v>16</v>
      </c>
      <c r="E1539" s="1" t="s">
        <v>4558</v>
      </c>
      <c r="F1539" s="1" t="str">
        <f>IFERROR(__xludf.DUMMYFUNCTION("GOOGLETRANSLATE(A1539, ""zh-CN"", ""ko"")"),"재고")</f>
        <v>재고</v>
      </c>
    </row>
    <row r="1540" ht="15.75" customHeight="1">
      <c r="A1540" s="1" t="s">
        <v>4559</v>
      </c>
      <c r="B1540" s="1">
        <v>5.0</v>
      </c>
      <c r="C1540" s="1" t="s">
        <v>4560</v>
      </c>
      <c r="D1540" s="1" t="s">
        <v>16</v>
      </c>
      <c r="E1540" s="1" t="s">
        <v>4561</v>
      </c>
      <c r="F1540" s="1" t="str">
        <f>IFERROR(__xludf.DUMMYFUNCTION("GOOGLETRANSLATE(A1540, ""zh-CN"", ""ko"")"),"뼈")</f>
        <v>뼈</v>
      </c>
    </row>
    <row r="1541" ht="15.75" customHeight="1">
      <c r="A1541" s="1" t="s">
        <v>4562</v>
      </c>
      <c r="B1541" s="1">
        <v>5.0</v>
      </c>
      <c r="C1541" s="1" t="s">
        <v>4563</v>
      </c>
      <c r="D1541" s="1" t="s">
        <v>8</v>
      </c>
      <c r="E1541" s="1" t="s">
        <v>4564</v>
      </c>
      <c r="F1541" s="1" t="str">
        <f>IFERROR(__xludf.DUMMYFUNCTION("GOOGLETRANSLATE(A1541, ""zh-CN"", ""ko"")"),"격려")</f>
        <v>격려</v>
      </c>
    </row>
    <row r="1542" ht="15.75" customHeight="1">
      <c r="A1542" s="1" t="s">
        <v>4565</v>
      </c>
      <c r="B1542" s="1">
        <v>5.0</v>
      </c>
      <c r="C1542" s="1" t="s">
        <v>4566</v>
      </c>
      <c r="D1542" s="1" t="s">
        <v>8</v>
      </c>
      <c r="E1542" s="1" t="s">
        <v>4567</v>
      </c>
      <c r="F1542" s="1" t="str">
        <f>IFERROR(__xludf.DUMMYFUNCTION("GOOGLETRANSLATE(A1542, ""zh-CN"", ""ko"")"),"박수")</f>
        <v>박수</v>
      </c>
    </row>
    <row r="1543" ht="15.75" customHeight="1">
      <c r="A1543" s="1" t="s">
        <v>4568</v>
      </c>
      <c r="B1543" s="1">
        <v>5.0</v>
      </c>
      <c r="C1543" s="1" t="s">
        <v>4569</v>
      </c>
      <c r="D1543" s="1" t="s">
        <v>8</v>
      </c>
      <c r="E1543" s="1" t="s">
        <v>4570</v>
      </c>
      <c r="F1543" s="1" t="str">
        <f>IFERROR(__xludf.DUMMYFUNCTION("GOOGLETRANSLATE(A1543, ""zh-CN"", ""ko"")"),"결정된")</f>
        <v>결정된</v>
      </c>
    </row>
    <row r="1544" ht="15.75" customHeight="1">
      <c r="A1544" s="1" t="s">
        <v>4571</v>
      </c>
      <c r="B1544" s="1">
        <v>5.0</v>
      </c>
      <c r="C1544" s="1" t="s">
        <v>4572</v>
      </c>
      <c r="D1544" s="1" t="s">
        <v>8</v>
      </c>
      <c r="E1544" s="1" t="s">
        <v>4573</v>
      </c>
      <c r="F1544" s="1" t="str">
        <f>IFERROR(__xludf.DUMMYFUNCTION("GOOGLETRANSLATE(A1544, ""zh-CN"", ""ko"")"),"등기")</f>
        <v>등기</v>
      </c>
    </row>
    <row r="1545" ht="15.75" customHeight="1">
      <c r="A1545" s="1" t="s">
        <v>4574</v>
      </c>
      <c r="B1545" s="1">
        <v>5.0</v>
      </c>
      <c r="C1545" s="1" t="s">
        <v>4575</v>
      </c>
      <c r="D1545" s="1" t="s">
        <v>52</v>
      </c>
      <c r="E1545" s="1" t="s">
        <v>4576</v>
      </c>
      <c r="F1545" s="1" t="str">
        <f>IFERROR(__xludf.DUMMYFUNCTION("GOOGLETRANSLATE(A1545, ""zh-CN"", ""ko"")"),"좋은")</f>
        <v>좋은</v>
      </c>
    </row>
    <row r="1546" ht="15.75" customHeight="1">
      <c r="A1546" s="1" t="s">
        <v>4577</v>
      </c>
      <c r="B1546" s="1">
        <v>5.0</v>
      </c>
      <c r="C1546" s="1" t="s">
        <v>4578</v>
      </c>
      <c r="D1546" s="1" t="s">
        <v>8</v>
      </c>
      <c r="E1546" s="1" t="s">
        <v>4579</v>
      </c>
      <c r="F1546" s="1" t="str">
        <f>IFERROR(__xludf.DUMMYFUNCTION("GOOGLETRANSLATE(A1546, ""zh-CN"", ""ko"")"),"회전하다")</f>
        <v>회전하다</v>
      </c>
    </row>
    <row r="1547" ht="15.75" customHeight="1">
      <c r="A1547" s="1" t="s">
        <v>4580</v>
      </c>
      <c r="B1547" s="1">
        <v>5.0</v>
      </c>
      <c r="C1547" s="1" t="s">
        <v>4581</v>
      </c>
      <c r="D1547" s="1" t="s">
        <v>33</v>
      </c>
      <c r="E1547" s="1" t="s">
        <v>4582</v>
      </c>
      <c r="F1547" s="1" t="str">
        <f>IFERROR(__xludf.DUMMYFUNCTION("GOOGLETRANSLATE(A1547, ""zh-CN"", ""ko"")"),"놀랄 일도 아니다")</f>
        <v>놀랄 일도 아니다</v>
      </c>
    </row>
    <row r="1548" ht="15.75" customHeight="1">
      <c r="A1548" s="1" t="s">
        <v>4583</v>
      </c>
      <c r="B1548" s="1">
        <v>5.0</v>
      </c>
      <c r="C1548" s="1" t="s">
        <v>1167</v>
      </c>
      <c r="D1548" s="1" t="s">
        <v>16</v>
      </c>
      <c r="E1548" s="1" t="s">
        <v>4584</v>
      </c>
      <c r="F1548" s="1" t="str">
        <f>IFERROR(__xludf.DUMMYFUNCTION("GOOGLETRANSLATE(A1548, ""zh-CN"", ""ko"")"),"공식적인")</f>
        <v>공식적인</v>
      </c>
    </row>
    <row r="1549" ht="15.75" customHeight="1">
      <c r="A1549" s="1" t="s">
        <v>4585</v>
      </c>
      <c r="B1549" s="1">
        <v>5.0</v>
      </c>
      <c r="C1549" s="1" t="s">
        <v>4586</v>
      </c>
      <c r="D1549" s="1" t="s">
        <v>8</v>
      </c>
      <c r="E1549" s="1" t="s">
        <v>4587</v>
      </c>
      <c r="F1549" s="1" t="str">
        <f>IFERROR(__xludf.DUMMYFUNCTION("GOOGLETRANSLATE(A1549, ""zh-CN"", ""ko"")"),"폐쇄")</f>
        <v>폐쇄</v>
      </c>
    </row>
    <row r="1550" ht="15.75" customHeight="1">
      <c r="A1550" s="1" t="s">
        <v>4588</v>
      </c>
      <c r="B1550" s="1">
        <v>5.0</v>
      </c>
      <c r="C1550" s="1" t="s">
        <v>4589</v>
      </c>
      <c r="D1550" s="1" t="s">
        <v>8</v>
      </c>
      <c r="E1550" s="1" t="s">
        <v>4590</v>
      </c>
      <c r="F1550" s="1" t="str">
        <f>IFERROR(__xludf.DUMMYFUNCTION("GOOGLETRANSLATE(A1550, ""zh-CN"", ""ko"")"),"관찰하다")</f>
        <v>관찰하다</v>
      </c>
    </row>
    <row r="1551" ht="15.75" customHeight="1">
      <c r="A1551" s="1" t="s">
        <v>4591</v>
      </c>
      <c r="B1551" s="1">
        <v>5.0</v>
      </c>
      <c r="C1551" s="1" t="s">
        <v>4592</v>
      </c>
      <c r="D1551" s="1" t="s">
        <v>16</v>
      </c>
      <c r="E1551" s="1" t="s">
        <v>4593</v>
      </c>
      <c r="F1551" s="1" t="str">
        <f>IFERROR(__xludf.DUMMYFUNCTION("GOOGLETRANSLATE(A1551, ""zh-CN"", ""ko"")"),"의견")</f>
        <v>의견</v>
      </c>
    </row>
    <row r="1552" ht="15.75" customHeight="1">
      <c r="A1552" s="1" t="s">
        <v>4594</v>
      </c>
      <c r="B1552" s="1">
        <v>5.0</v>
      </c>
      <c r="C1552" s="1" t="s">
        <v>4595</v>
      </c>
      <c r="D1552" s="1" t="s">
        <v>16</v>
      </c>
      <c r="E1552" s="1" t="s">
        <v>4596</v>
      </c>
      <c r="F1552" s="1" t="str">
        <f>IFERROR(__xludf.DUMMYFUNCTION("GOOGLETRANSLATE(A1552, ""zh-CN"", ""ko"")"),"개념")</f>
        <v>개념</v>
      </c>
    </row>
    <row r="1553" ht="15.75" customHeight="1">
      <c r="A1553" s="1" t="s">
        <v>4597</v>
      </c>
      <c r="B1553" s="1">
        <v>5.0</v>
      </c>
      <c r="C1553" s="1" t="s">
        <v>4598</v>
      </c>
      <c r="D1553" s="1" t="s">
        <v>8</v>
      </c>
      <c r="E1553" s="1" t="s">
        <v>4599</v>
      </c>
      <c r="F1553" s="1" t="str">
        <f>IFERROR(__xludf.DUMMYFUNCTION("GOOGLETRANSLATE(A1553, ""zh-CN"", ""ko"")"),"튜브")</f>
        <v>튜브</v>
      </c>
    </row>
    <row r="1554" ht="15.75" customHeight="1">
      <c r="A1554" s="1" t="s">
        <v>4600</v>
      </c>
      <c r="B1554" s="1">
        <v>5.0</v>
      </c>
      <c r="C1554" s="1" t="s">
        <v>4601</v>
      </c>
      <c r="D1554" s="1" t="s">
        <v>16</v>
      </c>
      <c r="E1554" s="1" t="s">
        <v>4602</v>
      </c>
      <c r="F1554" s="1" t="str">
        <f>IFERROR(__xludf.DUMMYFUNCTION("GOOGLETRANSLATE(A1554, ""zh-CN"", ""ko"")"),"챔피언")</f>
        <v>챔피언</v>
      </c>
    </row>
    <row r="1555" ht="15.75" customHeight="1">
      <c r="A1555" s="1" t="s">
        <v>4603</v>
      </c>
      <c r="B1555" s="1">
        <v>5.0</v>
      </c>
      <c r="C1555" s="1" t="s">
        <v>4604</v>
      </c>
      <c r="D1555" s="1" t="s">
        <v>52</v>
      </c>
      <c r="E1555" s="1" t="s">
        <v>4605</v>
      </c>
      <c r="F1555" s="1" t="str">
        <f>IFERROR(__xludf.DUMMYFUNCTION("GOOGLETRANSLATE(A1555, ""zh-CN"", ""ko"")"),"매끄러운")</f>
        <v>매끄러운</v>
      </c>
    </row>
    <row r="1556" ht="15.75" customHeight="1">
      <c r="A1556" s="1" t="s">
        <v>4606</v>
      </c>
      <c r="B1556" s="1">
        <v>5.0</v>
      </c>
      <c r="C1556" s="1" t="s">
        <v>4607</v>
      </c>
      <c r="D1556" s="1" t="s">
        <v>8</v>
      </c>
      <c r="E1556" s="1" t="s">
        <v>4608</v>
      </c>
      <c r="F1556" s="1" t="str">
        <f>IFERROR(__xludf.DUMMYFUNCTION("GOOGLETRANSLATE(A1556, ""zh-CN"", ""ko"")"),"방문하다")</f>
        <v>방문하다</v>
      </c>
    </row>
    <row r="1557" ht="15.75" customHeight="1">
      <c r="A1557" s="1" t="s">
        <v>4609</v>
      </c>
      <c r="B1557" s="1">
        <v>5.0</v>
      </c>
      <c r="C1557" s="1" t="s">
        <v>4610</v>
      </c>
      <c r="D1557" s="1" t="s">
        <v>52</v>
      </c>
      <c r="E1557" s="1" t="s">
        <v>4611</v>
      </c>
      <c r="F1557" s="1" t="str">
        <f>IFERROR(__xludf.DUMMYFUNCTION("GOOGLETRANSLATE(A1557, ""zh-CN"", ""ko"")"),"밝은")</f>
        <v>밝은</v>
      </c>
    </row>
    <row r="1558" ht="15.75" customHeight="1">
      <c r="A1558" s="1" t="s">
        <v>4612</v>
      </c>
      <c r="B1558" s="1">
        <v>5.0</v>
      </c>
      <c r="C1558" s="1" t="s">
        <v>4613</v>
      </c>
      <c r="D1558" s="1" t="s">
        <v>16</v>
      </c>
      <c r="E1558" s="1" t="s">
        <v>4614</v>
      </c>
      <c r="F1558" s="1" t="str">
        <f>IFERROR(__xludf.DUMMYFUNCTION("GOOGLETRANSLATE(A1558, ""zh-CN"", ""ko"")"),"CD")</f>
        <v>CD</v>
      </c>
    </row>
    <row r="1559" ht="15.75" customHeight="1">
      <c r="A1559" s="1" t="s">
        <v>4615</v>
      </c>
      <c r="B1559" s="1">
        <v>5.0</v>
      </c>
      <c r="C1559" s="1" t="s">
        <v>4616</v>
      </c>
      <c r="D1559" s="1" t="s">
        <v>16</v>
      </c>
      <c r="E1559" s="1" t="s">
        <v>4617</v>
      </c>
      <c r="F1559" s="1" t="str">
        <f>IFERROR(__xludf.DUMMYFUNCTION("GOOGLETRANSLATE(A1559, ""zh-CN"", ""ko"")"),"정사각형")</f>
        <v>정사각형</v>
      </c>
    </row>
    <row r="1560" ht="15.75" customHeight="1">
      <c r="A1560" s="1" t="s">
        <v>4618</v>
      </c>
      <c r="B1560" s="1">
        <v>5.0</v>
      </c>
      <c r="C1560" s="1" t="s">
        <v>4619</v>
      </c>
      <c r="D1560" s="1" t="s">
        <v>52</v>
      </c>
      <c r="E1560" s="1" t="s">
        <v>4620</v>
      </c>
      <c r="F1560" s="1" t="str">
        <f>IFERROR(__xludf.DUMMYFUNCTION("GOOGLETRANSLATE(A1560, ""zh-CN"", ""ko"")"),"대단한")</f>
        <v>대단한</v>
      </c>
    </row>
    <row r="1561" ht="15.75" customHeight="1">
      <c r="A1561" s="1" t="s">
        <v>4621</v>
      </c>
      <c r="B1561" s="1">
        <v>5.0</v>
      </c>
      <c r="C1561" s="1" t="s">
        <v>4622</v>
      </c>
      <c r="D1561" s="1" t="s">
        <v>52</v>
      </c>
      <c r="E1561" s="1" t="s">
        <v>4623</v>
      </c>
      <c r="F1561" s="1" t="str">
        <f>IFERROR(__xludf.DUMMYFUNCTION("GOOGLETRANSLATE(A1561, ""zh-CN"", ""ko"")"),"넓게")</f>
        <v>넓게</v>
      </c>
    </row>
    <row r="1562" ht="15.75" customHeight="1">
      <c r="A1562" s="1" t="s">
        <v>4624</v>
      </c>
      <c r="B1562" s="1">
        <v>5.0</v>
      </c>
      <c r="C1562" s="1" t="s">
        <v>4625</v>
      </c>
      <c r="D1562" s="1" t="s">
        <v>16</v>
      </c>
      <c r="E1562" s="1" t="s">
        <v>4626</v>
      </c>
      <c r="F1562" s="1" t="str">
        <f>IFERROR(__xludf.DUMMYFUNCTION("GOOGLETRANSLATE(A1562, ""zh-CN"", ""ko"")"),"규칙")</f>
        <v>규칙</v>
      </c>
    </row>
    <row r="1563" ht="15.75" customHeight="1">
      <c r="A1563" s="1" t="s">
        <v>4627</v>
      </c>
      <c r="B1563" s="1">
        <v>5.0</v>
      </c>
      <c r="C1563" s="1" t="s">
        <v>4628</v>
      </c>
      <c r="D1563" s="1" t="s">
        <v>16</v>
      </c>
      <c r="E1563" s="1" t="s">
        <v>4629</v>
      </c>
      <c r="F1563" s="1" t="str">
        <f>IFERROR(__xludf.DUMMYFUNCTION("GOOGLETRANSLATE(A1563, ""zh-CN"", ""ko"")"),"법")</f>
        <v>법</v>
      </c>
    </row>
    <row r="1564" ht="15.75" customHeight="1">
      <c r="A1564" s="1" t="s">
        <v>4630</v>
      </c>
      <c r="B1564" s="1">
        <v>5.0</v>
      </c>
      <c r="C1564" s="1" t="s">
        <v>4631</v>
      </c>
      <c r="D1564" s="1" t="s">
        <v>16</v>
      </c>
      <c r="E1564" s="1" t="s">
        <v>4632</v>
      </c>
      <c r="F1564" s="1" t="str">
        <f>IFERROR(__xludf.DUMMYFUNCTION("GOOGLETRANSLATE(A1564, ""zh-CN"", ""ko"")"),"규모")</f>
        <v>규모</v>
      </c>
    </row>
    <row r="1565" ht="15.75" customHeight="1">
      <c r="A1565" s="1" t="s">
        <v>4633</v>
      </c>
      <c r="B1565" s="1">
        <v>5.0</v>
      </c>
      <c r="C1565" s="1" t="s">
        <v>4634</v>
      </c>
      <c r="D1565" s="1" t="s">
        <v>8</v>
      </c>
      <c r="E1565" s="1" t="s">
        <v>4635</v>
      </c>
      <c r="F1565" s="1" t="str">
        <f>IFERROR(__xludf.DUMMYFUNCTION("GOOGLETRANSLATE(A1565, ""zh-CN"", ""ko"")"),"유도")</f>
        <v>유도</v>
      </c>
    </row>
    <row r="1566" ht="15.75" customHeight="1">
      <c r="A1566" s="1" t="s">
        <v>4636</v>
      </c>
      <c r="B1566" s="1">
        <v>5.0</v>
      </c>
      <c r="C1566" s="1" t="s">
        <v>4637</v>
      </c>
      <c r="D1566" s="1" t="s">
        <v>16</v>
      </c>
      <c r="E1566" s="1" t="s">
        <v>4638</v>
      </c>
      <c r="F1566" s="1" t="str">
        <f>IFERROR(__xludf.DUMMYFUNCTION("GOOGLETRANSLATE(A1566, ""zh-CN"", ""ko"")"),"규칙")</f>
        <v>규칙</v>
      </c>
    </row>
    <row r="1567" ht="15.75" customHeight="1">
      <c r="A1567" s="1" t="s">
        <v>4639</v>
      </c>
      <c r="B1567" s="1">
        <v>5.0</v>
      </c>
      <c r="C1567" s="1" t="s">
        <v>4640</v>
      </c>
      <c r="D1567" s="1" t="s">
        <v>16</v>
      </c>
      <c r="E1567" s="1" t="s">
        <v>4641</v>
      </c>
      <c r="F1567" s="1" t="str">
        <f>IFERROR(__xludf.DUMMYFUNCTION("GOOGLETRANSLATE(A1567, ""zh-CN"", ""ko"")"),"계수기")</f>
        <v>계수기</v>
      </c>
    </row>
    <row r="1568" ht="15.75" customHeight="1">
      <c r="A1568" s="1" t="s">
        <v>4642</v>
      </c>
      <c r="B1568" s="1">
        <v>5.0</v>
      </c>
      <c r="C1568" s="1" t="s">
        <v>4643</v>
      </c>
      <c r="D1568" s="1" t="s">
        <v>8</v>
      </c>
      <c r="E1568" s="1" t="s">
        <v>4644</v>
      </c>
      <c r="F1568" s="1" t="str">
        <f>IFERROR(__xludf.DUMMYFUNCTION("GOOGLETRANSLATE(A1568, ""zh-CN"", ""ko"")"),"연타")</f>
        <v>연타</v>
      </c>
    </row>
    <row r="1569" ht="15.75" customHeight="1">
      <c r="A1569" s="1" t="s">
        <v>4645</v>
      </c>
      <c r="B1569" s="1">
        <v>5.0</v>
      </c>
      <c r="C1569" s="1" t="s">
        <v>4646</v>
      </c>
      <c r="D1569" s="1" t="s">
        <v>16</v>
      </c>
      <c r="E1569" s="1" t="s">
        <v>4647</v>
      </c>
      <c r="F1569" s="1" t="str">
        <f>IFERROR(__xludf.DUMMYFUNCTION("GOOGLETRANSLATE(A1569, ""zh-CN"", ""ko"")"),"냄비")</f>
        <v>냄비</v>
      </c>
    </row>
    <row r="1570" ht="15.75" customHeight="1">
      <c r="A1570" s="1" t="s">
        <v>4648</v>
      </c>
      <c r="B1570" s="1">
        <v>5.0</v>
      </c>
      <c r="C1570" s="1" t="s">
        <v>4649</v>
      </c>
      <c r="D1570" s="1" t="s">
        <v>16</v>
      </c>
      <c r="E1570" s="1" t="s">
        <v>4650</v>
      </c>
      <c r="F1570" s="1" t="str">
        <f>IFERROR(__xludf.DUMMYFUNCTION("GOOGLETRANSLATE(A1570, ""zh-CN"", ""ko"")"),"국경일")</f>
        <v>국경일</v>
      </c>
    </row>
    <row r="1571" ht="15.75" customHeight="1">
      <c r="A1571" s="1" t="s">
        <v>4651</v>
      </c>
      <c r="B1571" s="1">
        <v>5.0</v>
      </c>
      <c r="C1571" s="1" t="s">
        <v>4652</v>
      </c>
      <c r="D1571" s="1" t="s">
        <v>16</v>
      </c>
      <c r="E1571" s="1" t="s">
        <v>4653</v>
      </c>
      <c r="F1571" s="1" t="str">
        <f>IFERROR(__xludf.DUMMYFUNCTION("GOOGLETRANSLATE(A1571, ""zh-CN"", ""ko"")"),"왕")</f>
        <v>왕</v>
      </c>
    </row>
    <row r="1572" ht="15.75" customHeight="1">
      <c r="A1572" s="1" t="s">
        <v>4654</v>
      </c>
      <c r="B1572" s="1">
        <v>5.0</v>
      </c>
      <c r="C1572" s="1" t="s">
        <v>4655</v>
      </c>
      <c r="D1572" s="1" t="s">
        <v>33</v>
      </c>
      <c r="E1572" s="1" t="s">
        <v>4656</v>
      </c>
      <c r="F1572" s="1" t="str">
        <f>IFERROR(__xludf.DUMMYFUNCTION("GOOGLETRANSLATE(A1572, ""zh-CN"", ""ko"")"),"정말")</f>
        <v>정말</v>
      </c>
    </row>
    <row r="1573" ht="15.75" customHeight="1">
      <c r="A1573" s="1" t="s">
        <v>4657</v>
      </c>
      <c r="B1573" s="1">
        <v>5.0</v>
      </c>
      <c r="C1573" s="1" t="s">
        <v>4658</v>
      </c>
      <c r="D1573" s="1" t="s">
        <v>16</v>
      </c>
      <c r="E1573" s="1" t="s">
        <v>4659</v>
      </c>
      <c r="F1573" s="1" t="str">
        <f>IFERROR(__xludf.DUMMYFUNCTION("GOOGLETRANSLATE(A1573, ""zh-CN"", ""ko"")"),"과일")</f>
        <v>과일</v>
      </c>
    </row>
    <row r="1574" ht="15.75" customHeight="1">
      <c r="A1574" s="1" t="s">
        <v>4660</v>
      </c>
      <c r="B1574" s="1">
        <v>5.0</v>
      </c>
      <c r="C1574" s="1" t="s">
        <v>4661</v>
      </c>
      <c r="D1574" s="1" t="s">
        <v>52</v>
      </c>
      <c r="E1574" s="1" t="s">
        <v>4662</v>
      </c>
      <c r="F1574" s="1" t="str">
        <f>IFERROR(__xludf.DUMMYFUNCTION("GOOGLETRANSLATE(A1574, ""zh-CN"", ""ko"")"),"과도한")</f>
        <v>과도한</v>
      </c>
    </row>
    <row r="1575" ht="15.75" customHeight="1">
      <c r="A1575" s="1" t="s">
        <v>4663</v>
      </c>
      <c r="B1575" s="1">
        <v>5.0</v>
      </c>
      <c r="C1575" s="1" t="s">
        <v>4664</v>
      </c>
      <c r="D1575" s="1" t="s">
        <v>8</v>
      </c>
      <c r="E1575" s="1" t="s">
        <v>4665</v>
      </c>
      <c r="F1575" s="1" t="str">
        <f>IFERROR(__xludf.DUMMYFUNCTION("GOOGLETRANSLATE(A1575, ""zh-CN"", ""ko"")"),"알레르기")</f>
        <v>알레르기</v>
      </c>
    </row>
    <row r="1576" ht="15.75" customHeight="1">
      <c r="A1576" s="1" t="s">
        <v>4666</v>
      </c>
      <c r="B1576" s="1">
        <v>5.0</v>
      </c>
      <c r="C1576" s="1" t="s">
        <v>4667</v>
      </c>
      <c r="D1576" s="1" t="s">
        <v>8</v>
      </c>
      <c r="E1576" s="1" t="s">
        <v>4668</v>
      </c>
      <c r="F1576" s="1" t="str">
        <f>IFERROR(__xludf.DUMMYFUNCTION("GOOGLETRANSLATE(A1576, ""zh-CN"", ""ko"")"),"만료됨")</f>
        <v>만료됨</v>
      </c>
    </row>
    <row r="1577" ht="15.75" customHeight="1">
      <c r="A1577" s="1" t="s">
        <v>4669</v>
      </c>
      <c r="B1577" s="1">
        <v>5.0</v>
      </c>
      <c r="C1577" s="1" t="s">
        <v>4670</v>
      </c>
      <c r="D1577" s="1" t="s">
        <v>3541</v>
      </c>
      <c r="E1577" s="1" t="s">
        <v>4671</v>
      </c>
      <c r="F1577" s="1" t="str">
        <f>IFERROR(__xludf.DUMMYFUNCTION("GOOGLETRANSLATE(A1577, ""zh-CN"", ""ko"")"),"하아")</f>
        <v>하아</v>
      </c>
    </row>
    <row r="1578" ht="15.75" customHeight="1">
      <c r="A1578" s="1" t="s">
        <v>4672</v>
      </c>
      <c r="B1578" s="1">
        <v>5.0</v>
      </c>
      <c r="C1578" s="1" t="s">
        <v>4673</v>
      </c>
      <c r="D1578" s="1" t="s">
        <v>16</v>
      </c>
      <c r="E1578" s="1" t="s">
        <v>4674</v>
      </c>
      <c r="F1578" s="1" t="str">
        <f>IFERROR(__xludf.DUMMYFUNCTION("GOOGLETRANSLATE(A1578, ""zh-CN"", ""ko"")"),"세관")</f>
        <v>세관</v>
      </c>
    </row>
    <row r="1579" ht="15.75" customHeight="1">
      <c r="A1579" s="1" t="s">
        <v>4675</v>
      </c>
      <c r="B1579" s="1">
        <v>5.0</v>
      </c>
      <c r="C1579" s="1" t="s">
        <v>4676</v>
      </c>
      <c r="D1579" s="1" t="s">
        <v>16</v>
      </c>
      <c r="E1579" s="1" t="s">
        <v>4677</v>
      </c>
      <c r="F1579" s="1" t="str">
        <f>IFERROR(__xludf.DUMMYFUNCTION("GOOGLETRANSLATE(A1579, ""zh-CN"", ""ko"")"),"해산물")</f>
        <v>해산물</v>
      </c>
    </row>
    <row r="1580" ht="15.75" customHeight="1">
      <c r="A1580" s="1" t="s">
        <v>4678</v>
      </c>
      <c r="B1580" s="1">
        <v>5.0</v>
      </c>
      <c r="C1580" s="1" t="s">
        <v>4679</v>
      </c>
      <c r="D1580" s="1" t="s">
        <v>8</v>
      </c>
      <c r="E1580" s="1" t="s">
        <v>4680</v>
      </c>
      <c r="F1580" s="1" t="str">
        <f>IFERROR(__xludf.DUMMYFUNCTION("GOOGLETRANSLATE(A1580, ""zh-CN"", ""ko"")"),"부르다")</f>
        <v>부르다</v>
      </c>
    </row>
    <row r="1581" ht="15.75" customHeight="1">
      <c r="A1581" s="1" t="s">
        <v>4681</v>
      </c>
      <c r="B1581" s="1">
        <v>5.0</v>
      </c>
      <c r="C1581" s="1" t="s">
        <v>4682</v>
      </c>
      <c r="D1581" s="1" t="s">
        <v>16</v>
      </c>
      <c r="E1581" s="1" t="s">
        <v>4683</v>
      </c>
      <c r="F1581" s="1" t="str">
        <f>IFERROR(__xludf.DUMMYFUNCTION("GOOGLETRANSLATE(A1581, ""zh-CN"", ""ko"")"),"산업")</f>
        <v>산업</v>
      </c>
    </row>
    <row r="1582" ht="15.75" customHeight="1">
      <c r="A1582" s="1" t="s">
        <v>4684</v>
      </c>
      <c r="B1582" s="1">
        <v>5.0</v>
      </c>
      <c r="C1582" s="1" t="s">
        <v>4685</v>
      </c>
      <c r="D1582" s="1" t="s">
        <v>52</v>
      </c>
      <c r="E1582" s="1" t="s">
        <v>4686</v>
      </c>
      <c r="F1582" s="1" t="str">
        <f>IFERROR(__xludf.DUMMYFUNCTION("GOOGLETRANSLATE(A1582, ""zh-CN"", ""ko"")"),"사치")</f>
        <v>사치</v>
      </c>
    </row>
    <row r="1583" ht="15.75" customHeight="1">
      <c r="A1583" s="1" t="s">
        <v>4687</v>
      </c>
      <c r="B1583" s="1">
        <v>5.0</v>
      </c>
      <c r="C1583" s="1" t="s">
        <v>4688</v>
      </c>
      <c r="D1583" s="1" t="s">
        <v>52</v>
      </c>
      <c r="E1583" s="1" t="s">
        <v>4689</v>
      </c>
      <c r="F1583" s="1" t="str">
        <f>IFERROR(__xludf.DUMMYFUNCTION("GOOGLETRANSLATE(A1583, ""zh-CN"", ""ko"")"),"친절한")</f>
        <v>친절한</v>
      </c>
    </row>
    <row r="1584" ht="15.75" customHeight="1">
      <c r="A1584" s="1" t="s">
        <v>4690</v>
      </c>
      <c r="B1584" s="1">
        <v>5.0</v>
      </c>
      <c r="C1584" s="1" t="s">
        <v>4691</v>
      </c>
      <c r="D1584" s="1" t="s">
        <v>52</v>
      </c>
      <c r="E1584" s="1" t="s">
        <v>4692</v>
      </c>
      <c r="F1584" s="1" t="str">
        <f>IFERROR(__xludf.DUMMYFUNCTION("GOOGLETRANSLATE(A1584, ""zh-CN"", ""ko"")"),"궁금한")</f>
        <v>궁금한</v>
      </c>
    </row>
    <row r="1585" ht="15.75" customHeight="1">
      <c r="A1585" s="1" t="s">
        <v>4693</v>
      </c>
      <c r="B1585" s="1">
        <v>5.0</v>
      </c>
      <c r="C1585" s="1" t="s">
        <v>4694</v>
      </c>
      <c r="D1585" s="1" t="s">
        <v>33</v>
      </c>
      <c r="E1585" s="1" t="s">
        <v>4695</v>
      </c>
      <c r="F1585" s="1" t="str">
        <f>IFERROR(__xludf.DUMMYFUNCTION("GOOGLETRANSLATE(A1585, ""zh-CN"", ""ko"")"),"왜 굳이 애써야 하지?")</f>
        <v>왜 굳이 애써야 하지?</v>
      </c>
    </row>
    <row r="1586" ht="15.75" customHeight="1">
      <c r="A1586" s="1" t="s">
        <v>4696</v>
      </c>
      <c r="B1586" s="1">
        <v>5.0</v>
      </c>
      <c r="C1586" s="1" t="s">
        <v>4697</v>
      </c>
      <c r="D1586" s="1" t="s">
        <v>52</v>
      </c>
      <c r="E1586" s="1" t="s">
        <v>4698</v>
      </c>
      <c r="F1586" s="1" t="str">
        <f>IFERROR(__xludf.DUMMYFUNCTION("GOOGLETRANSLATE(A1586, ""zh-CN"", ""ko"")"),"정당한")</f>
        <v>정당한</v>
      </c>
    </row>
    <row r="1587" ht="15.75" customHeight="1">
      <c r="A1587" s="1" t="s">
        <v>4699</v>
      </c>
      <c r="B1587" s="1">
        <v>5.0</v>
      </c>
      <c r="C1587" s="1" t="s">
        <v>4700</v>
      </c>
      <c r="D1587" s="1" t="s">
        <v>1473</v>
      </c>
      <c r="E1587" s="1" t="s">
        <v>4701</v>
      </c>
      <c r="F1587" s="1" t="str">
        <f>IFERROR(__xludf.DUMMYFUNCTION("GOOGLETRANSLATE(A1587, ""zh-CN"", ""ko"")"),"게다가")</f>
        <v>게다가</v>
      </c>
    </row>
    <row r="1588" ht="15.75" customHeight="1">
      <c r="A1588" s="1" t="s">
        <v>4702</v>
      </c>
      <c r="B1588" s="1">
        <v>5.0</v>
      </c>
      <c r="C1588" s="1" t="s">
        <v>4703</v>
      </c>
      <c r="D1588" s="1" t="s">
        <v>52</v>
      </c>
      <c r="E1588" s="1" t="s">
        <v>4704</v>
      </c>
      <c r="F1588" s="1" t="str">
        <f>IFERROR(__xludf.DUMMYFUNCTION("GOOGLETRANSLATE(A1588, ""zh-CN"", ""ko"")"),"합리적인")</f>
        <v>합리적인</v>
      </c>
    </row>
    <row r="1589" ht="15.75" customHeight="1">
      <c r="A1589" s="1" t="s">
        <v>4705</v>
      </c>
      <c r="B1589" s="1">
        <v>5.0</v>
      </c>
      <c r="C1589" s="1" t="s">
        <v>4706</v>
      </c>
      <c r="D1589" s="1" t="s">
        <v>16</v>
      </c>
      <c r="E1589" s="1" t="s">
        <v>4707</v>
      </c>
      <c r="F1589" s="1" t="str">
        <f>IFERROR(__xludf.DUMMYFUNCTION("GOOGLETRANSLATE(A1589, ""zh-CN"", ""ko"")"),"평화")</f>
        <v>평화</v>
      </c>
    </row>
    <row r="1590" ht="15.75" customHeight="1">
      <c r="A1590" s="1" t="s">
        <v>4708</v>
      </c>
      <c r="B1590" s="1">
        <v>5.0</v>
      </c>
      <c r="C1590" s="1" t="s">
        <v>4709</v>
      </c>
      <c r="D1590" s="1" t="s">
        <v>16</v>
      </c>
      <c r="E1590" s="1" t="s">
        <v>4710</v>
      </c>
      <c r="F1590" s="1" t="str">
        <f>IFERROR(__xludf.DUMMYFUNCTION("GOOGLETRANSLATE(A1590, ""zh-CN"", ""ko"")"),"계약")</f>
        <v>계약</v>
      </c>
    </row>
    <row r="1591" ht="15.75" customHeight="1">
      <c r="A1591" s="1" t="s">
        <v>4711</v>
      </c>
      <c r="B1591" s="1">
        <v>5.0</v>
      </c>
      <c r="C1591" s="1" t="s">
        <v>4712</v>
      </c>
      <c r="D1591" s="1" t="s">
        <v>16</v>
      </c>
      <c r="E1591" s="1" t="s">
        <v>4713</v>
      </c>
      <c r="F1591" s="1" t="str">
        <f>IFERROR(__xludf.DUMMYFUNCTION("GOOGLETRANSLATE(A1591, ""zh-CN"", ""ko"")"),"핵심")</f>
        <v>핵심</v>
      </c>
    </row>
    <row r="1592" ht="15.75" customHeight="1">
      <c r="A1592" s="1" t="s">
        <v>4714</v>
      </c>
      <c r="B1592" s="1">
        <v>5.0</v>
      </c>
      <c r="C1592" s="1" t="s">
        <v>4715</v>
      </c>
      <c r="D1592" s="1" t="s">
        <v>8</v>
      </c>
      <c r="E1592" s="1" t="s">
        <v>4716</v>
      </c>
      <c r="F1592" s="1" t="str">
        <f>IFERROR(__xludf.DUMMYFUNCTION("GOOGLETRANSLATE(A1592, ""zh-CN"", ""ko"")"),"단체 사진")</f>
        <v>단체 사진</v>
      </c>
    </row>
    <row r="1593" ht="15.75" customHeight="1">
      <c r="A1593" s="1" t="s">
        <v>4717</v>
      </c>
      <c r="B1593" s="1">
        <v>5.0</v>
      </c>
      <c r="C1593" s="1" t="s">
        <v>4718</v>
      </c>
      <c r="D1593" s="1" t="s">
        <v>8</v>
      </c>
      <c r="E1593" s="1" t="s">
        <v>4719</v>
      </c>
      <c r="F1593" s="1" t="str">
        <f>IFERROR(__xludf.DUMMYFUNCTION("GOOGLETRANSLATE(A1593, ""zh-CN"", ""ko"")"),"맞잡다")</f>
        <v>맞잡다</v>
      </c>
    </row>
    <row r="1594" ht="15.75" customHeight="1">
      <c r="A1594" s="1" t="s">
        <v>4720</v>
      </c>
      <c r="B1594" s="1">
        <v>5.0</v>
      </c>
      <c r="C1594" s="1" t="s">
        <v>4721</v>
      </c>
      <c r="D1594" s="1" t="s">
        <v>8</v>
      </c>
      <c r="E1594" s="1" t="s">
        <v>4722</v>
      </c>
      <c r="F1594" s="1" t="str">
        <f>IFERROR(__xludf.DUMMYFUNCTION("GOOGLETRANSLATE(A1594, ""zh-CN"", ""ko"")"),"증오")</f>
        <v>증오</v>
      </c>
    </row>
    <row r="1595" ht="15.75" customHeight="1">
      <c r="A1595" s="1" t="s">
        <v>4723</v>
      </c>
      <c r="B1595" s="1">
        <v>5.0</v>
      </c>
      <c r="C1595" s="1" t="s">
        <v>4724</v>
      </c>
      <c r="D1595" s="1" t="s">
        <v>16</v>
      </c>
      <c r="E1595" s="1" t="s">
        <v>4725</v>
      </c>
      <c r="F1595" s="1" t="str">
        <f>IFERROR(__xludf.DUMMYFUNCTION("GOOGLETRANSLATE(A1595, ""zh-CN"", ""ko"")"),"원숭이")</f>
        <v>원숭이</v>
      </c>
    </row>
    <row r="1596" ht="15.75" customHeight="1">
      <c r="A1596" s="1" t="s">
        <v>4726</v>
      </c>
      <c r="B1596" s="1">
        <v>5.0</v>
      </c>
      <c r="C1596" s="1" t="s">
        <v>4727</v>
      </c>
      <c r="D1596" s="1" t="s">
        <v>16</v>
      </c>
      <c r="E1596" s="1" t="s">
        <v>3627</v>
      </c>
      <c r="F1596" s="1" t="str">
        <f>IFERROR(__xludf.DUMMYFUNCTION("GOOGLETRANSLATE(A1596, ""zh-CN"", ""ko"")"),"뒤쪽에")</f>
        <v>뒤쪽에</v>
      </c>
    </row>
    <row r="1597" ht="15.75" customHeight="1">
      <c r="A1597" s="1" t="s">
        <v>4728</v>
      </c>
      <c r="B1597" s="1">
        <v>5.0</v>
      </c>
      <c r="C1597" s="1" t="s">
        <v>4729</v>
      </c>
      <c r="D1597" s="1" t="s">
        <v>16</v>
      </c>
      <c r="E1597" s="1" t="s">
        <v>4730</v>
      </c>
      <c r="F1597" s="1" t="str">
        <f>IFERROR(__xludf.DUMMYFUNCTION("GOOGLETRANSLATE(A1597, ""zh-CN"", ""ko"")"),"~의 결과로")</f>
        <v>~의 결과로</v>
      </c>
    </row>
    <row r="1598" ht="15.75" customHeight="1">
      <c r="A1598" s="1" t="s">
        <v>4731</v>
      </c>
      <c r="B1598" s="1">
        <v>5.0</v>
      </c>
      <c r="C1598" s="1" t="s">
        <v>4732</v>
      </c>
      <c r="D1598" s="1" t="s">
        <v>33</v>
      </c>
      <c r="E1598" s="1" t="s">
        <v>1566</v>
      </c>
      <c r="F1598" s="1" t="str">
        <f>IFERROR(__xludf.DUMMYFUNCTION("GOOGLETRANSLATE(A1598, ""zh-CN"", ""ko"")"),"갑자기")</f>
        <v>갑자기</v>
      </c>
    </row>
    <row r="1599" ht="15.75" customHeight="1">
      <c r="A1599" s="1" t="s">
        <v>4733</v>
      </c>
      <c r="B1599" s="1">
        <v>5.0</v>
      </c>
      <c r="C1599" s="1" t="s">
        <v>4734</v>
      </c>
      <c r="D1599" s="1" t="s">
        <v>8</v>
      </c>
      <c r="E1599" s="1" t="s">
        <v>4735</v>
      </c>
      <c r="F1599" s="1" t="str">
        <f>IFERROR(__xludf.DUMMYFUNCTION("GOOGLETRANSLATE(A1599, ""zh-CN"", ""ko"")"),"무시하다")</f>
        <v>무시하다</v>
      </c>
    </row>
    <row r="1600" ht="15.75" customHeight="1">
      <c r="A1600" s="1" t="s">
        <v>4736</v>
      </c>
      <c r="B1600" s="1">
        <v>5.0</v>
      </c>
      <c r="C1600" s="1" t="s">
        <v>4737</v>
      </c>
      <c r="D1600" s="1" t="s">
        <v>8</v>
      </c>
      <c r="E1600" s="1" t="s">
        <v>4738</v>
      </c>
      <c r="F1600" s="1" t="str">
        <f>IFERROR(__xludf.DUMMYFUNCTION("GOOGLETRANSLATE(A1600, ""zh-CN"", ""ko"")"),"숨 쉬다")</f>
        <v>숨 쉬다</v>
      </c>
    </row>
    <row r="1601" ht="15.75" customHeight="1">
      <c r="A1601" s="1" t="s">
        <v>4739</v>
      </c>
      <c r="B1601" s="1">
        <v>5.0</v>
      </c>
      <c r="C1601" s="1" t="s">
        <v>4740</v>
      </c>
      <c r="D1601" s="1" t="s">
        <v>16</v>
      </c>
      <c r="E1601" s="1" t="s">
        <v>4741</v>
      </c>
      <c r="F1601" s="1" t="str">
        <f>IFERROR(__xludf.DUMMYFUNCTION("GOOGLETRANSLATE(A1601, ""zh-CN"", ""ko"")"),"냄비")</f>
        <v>냄비</v>
      </c>
    </row>
    <row r="1602" ht="15.75" customHeight="1">
      <c r="A1602" s="1" t="s">
        <v>4742</v>
      </c>
      <c r="B1602" s="1">
        <v>5.0</v>
      </c>
      <c r="C1602" s="1" t="s">
        <v>4743</v>
      </c>
      <c r="D1602" s="1" t="s">
        <v>16</v>
      </c>
      <c r="E1602" s="1" t="s">
        <v>4744</v>
      </c>
      <c r="F1602" s="1" t="str">
        <f>IFERROR(__xludf.DUMMYFUNCTION("GOOGLETRANSLATE(A1602, ""zh-CN"", ""ko"")"),"나비")</f>
        <v>나비</v>
      </c>
    </row>
    <row r="1603" ht="15.75" customHeight="1">
      <c r="A1603" s="1" t="s">
        <v>4745</v>
      </c>
      <c r="B1603" s="1">
        <v>5.0</v>
      </c>
      <c r="C1603" s="1" t="s">
        <v>4746</v>
      </c>
      <c r="D1603" s="1" t="s">
        <v>8</v>
      </c>
      <c r="E1603" s="1" t="s">
        <v>4747</v>
      </c>
      <c r="F1603" s="1" t="str">
        <f>IFERROR(__xludf.DUMMYFUNCTION("GOOGLETRANSLATE(A1603, ""zh-CN"", ""ko"")"),"무의미한 말")</f>
        <v>무의미한 말</v>
      </c>
    </row>
    <row r="1604" ht="15.75" customHeight="1">
      <c r="A1604" s="1" t="s">
        <v>4748</v>
      </c>
      <c r="B1604" s="1">
        <v>5.0</v>
      </c>
      <c r="C1604" s="1" t="s">
        <v>4749</v>
      </c>
      <c r="D1604" s="1" t="s">
        <v>16</v>
      </c>
      <c r="E1604" s="1" t="s">
        <v>4750</v>
      </c>
      <c r="F1604" s="1" t="str">
        <f>IFERROR(__xludf.DUMMYFUNCTION("GOOGLETRANSLATE(A1604, ""zh-CN"", ""ko"")"),"골목")</f>
        <v>골목</v>
      </c>
    </row>
    <row r="1605" ht="15.75" customHeight="1">
      <c r="A1605" s="1" t="s">
        <v>4751</v>
      </c>
      <c r="B1605" s="1">
        <v>5.0</v>
      </c>
      <c r="C1605" s="1" t="s">
        <v>4752</v>
      </c>
      <c r="D1605" s="1" t="s">
        <v>52</v>
      </c>
      <c r="E1605" s="1" t="s">
        <v>4753</v>
      </c>
      <c r="F1605" s="1" t="str">
        <f>IFERROR(__xludf.DUMMYFUNCTION("GOOGLETRANSLATE(A1605, ""zh-CN"", ""ko"")"),"어리둥절한")</f>
        <v>어리둥절한</v>
      </c>
    </row>
    <row r="1606" ht="15.75" customHeight="1">
      <c r="A1606" s="1" t="s">
        <v>4754</v>
      </c>
      <c r="B1606" s="1">
        <v>5.0</v>
      </c>
      <c r="C1606" s="1" t="s">
        <v>4755</v>
      </c>
      <c r="D1606" s="1" t="s">
        <v>16</v>
      </c>
      <c r="E1606" s="1" t="s">
        <v>4756</v>
      </c>
      <c r="F1606" s="1" t="str">
        <f>IFERROR(__xludf.DUMMYFUNCTION("GOOGLETRANSLATE(A1606, ""zh-CN"", ""ko"")"),"땅콩")</f>
        <v>땅콩</v>
      </c>
    </row>
    <row r="1607" ht="15.75" customHeight="1">
      <c r="A1607" s="1" t="s">
        <v>4757</v>
      </c>
      <c r="B1607" s="1">
        <v>5.0</v>
      </c>
      <c r="C1607" s="1" t="s">
        <v>4758</v>
      </c>
      <c r="D1607" s="1" t="s">
        <v>52</v>
      </c>
      <c r="E1607" s="1" t="s">
        <v>4759</v>
      </c>
      <c r="F1607" s="1" t="str">
        <f>IFERROR(__xludf.DUMMYFUNCTION("GOOGLETRANSLATE(A1607, ""zh-CN"", ""ko"")"),"슬립")</f>
        <v>슬립</v>
      </c>
    </row>
    <row r="1608" ht="15.75" customHeight="1">
      <c r="A1608" s="1" t="s">
        <v>4760</v>
      </c>
      <c r="B1608" s="1">
        <v>5.0</v>
      </c>
      <c r="C1608" s="1" t="s">
        <v>4761</v>
      </c>
      <c r="D1608" s="1" t="s">
        <v>16</v>
      </c>
      <c r="E1608" s="1" t="s">
        <v>4762</v>
      </c>
      <c r="F1608" s="1" t="str">
        <f>IFERROR(__xludf.DUMMYFUNCTION("GOOGLETRANSLATE(A1608, ""zh-CN"", ""ko"")"),"중국인")</f>
        <v>중국인</v>
      </c>
    </row>
    <row r="1609" ht="15.75" customHeight="1">
      <c r="A1609" s="1" t="s">
        <v>4763</v>
      </c>
      <c r="B1609" s="1">
        <v>5.0</v>
      </c>
      <c r="C1609" s="1" t="s">
        <v>1204</v>
      </c>
      <c r="D1609" s="1" t="s">
        <v>8</v>
      </c>
      <c r="E1609" s="1" t="s">
        <v>4764</v>
      </c>
      <c r="F1609" s="1" t="str">
        <f>IFERROR(__xludf.DUMMYFUNCTION("GOOGLETRANSLATE(A1609, ""zh-CN"", ""ko"")"),"계획")</f>
        <v>계획</v>
      </c>
    </row>
    <row r="1610" ht="15.75" customHeight="1">
      <c r="A1610" s="1" t="s">
        <v>4765</v>
      </c>
      <c r="B1610" s="1">
        <v>5.0</v>
      </c>
      <c r="C1610" s="1" t="s">
        <v>4766</v>
      </c>
      <c r="D1610" s="1" t="s">
        <v>16</v>
      </c>
      <c r="E1610" s="1" t="s">
        <v>4767</v>
      </c>
      <c r="F1610" s="1" t="str">
        <f>IFERROR(__xludf.DUMMYFUNCTION("GOOGLETRANSLATE(A1610, ""zh-CN"", ""ko"")"),"주제")</f>
        <v>주제</v>
      </c>
    </row>
    <row r="1611" ht="15.75" customHeight="1">
      <c r="A1611" s="1" t="s">
        <v>4768</v>
      </c>
      <c r="B1611" s="1">
        <v>5.0</v>
      </c>
      <c r="C1611" s="1" t="s">
        <v>4769</v>
      </c>
      <c r="D1611" s="1" t="s">
        <v>16</v>
      </c>
      <c r="E1611" s="1" t="s">
        <v>4770</v>
      </c>
      <c r="F1611" s="1" t="str">
        <f>IFERROR(__xludf.DUMMYFUNCTION("GOOGLETRANSLATE(A1611, ""zh-CN"", ""ko"")"),"화학적인")</f>
        <v>화학적인</v>
      </c>
    </row>
    <row r="1612" ht="15.75" customHeight="1">
      <c r="A1612" s="1" t="s">
        <v>4771</v>
      </c>
      <c r="B1612" s="1">
        <v>5.0</v>
      </c>
      <c r="C1612" s="1" t="s">
        <v>4772</v>
      </c>
      <c r="D1612" s="1" t="s">
        <v>8</v>
      </c>
      <c r="E1612" s="1" t="s">
        <v>4773</v>
      </c>
      <c r="F1612" s="1" t="str">
        <f>IFERROR(__xludf.DUMMYFUNCTION("GOOGLETRANSLATE(A1612, ""zh-CN"", ""ko"")"),"노스탤지어")</f>
        <v>노스탤지어</v>
      </c>
    </row>
    <row r="1613" ht="15.75" customHeight="1">
      <c r="A1613" s="1" t="s">
        <v>4774</v>
      </c>
      <c r="B1613" s="1">
        <v>5.0</v>
      </c>
      <c r="C1613" s="1" t="s">
        <v>4775</v>
      </c>
      <c r="D1613" s="1" t="s">
        <v>8</v>
      </c>
      <c r="E1613" s="1" t="s">
        <v>4776</v>
      </c>
      <c r="F1613" s="1" t="str">
        <f>IFERROR(__xludf.DUMMYFUNCTION("GOOGLETRANSLATE(A1613, ""zh-CN"", ""ko"")"),"임신한")</f>
        <v>임신한</v>
      </c>
    </row>
    <row r="1614" ht="15.75" customHeight="1">
      <c r="A1614" s="1" t="s">
        <v>4777</v>
      </c>
      <c r="B1614" s="1">
        <v>5.0</v>
      </c>
      <c r="C1614" s="1" t="s">
        <v>4778</v>
      </c>
      <c r="D1614" s="1" t="s">
        <v>8</v>
      </c>
      <c r="E1614" s="1" t="s">
        <v>4779</v>
      </c>
      <c r="F1614" s="1" t="str">
        <f>IFERROR(__xludf.DUMMYFUNCTION("GOOGLETRANSLATE(A1614, ""zh-CN"", ""ko"")"),"쉬움")</f>
        <v>쉬움</v>
      </c>
    </row>
    <row r="1615" ht="15.75" customHeight="1">
      <c r="A1615" s="1" t="s">
        <v>4780</v>
      </c>
      <c r="B1615" s="1">
        <v>5.0</v>
      </c>
      <c r="C1615" s="1" t="s">
        <v>4781</v>
      </c>
      <c r="D1615" s="1" t="s">
        <v>8</v>
      </c>
      <c r="E1615" s="1" t="s">
        <v>4782</v>
      </c>
      <c r="F1615" s="1" t="str">
        <f>IFERROR(__xludf.DUMMYFUNCTION("GOOGLETRANSLATE(A1615, ""zh-CN"", ""ko"")"),"공상")</f>
        <v>공상</v>
      </c>
    </row>
    <row r="1616" ht="15.75" customHeight="1">
      <c r="A1616" s="1" t="s">
        <v>4783</v>
      </c>
      <c r="B1616" s="1">
        <v>5.0</v>
      </c>
      <c r="C1616" s="1" t="s">
        <v>4784</v>
      </c>
      <c r="D1616" s="1" t="s">
        <v>52</v>
      </c>
      <c r="E1616" s="1" t="s">
        <v>4785</v>
      </c>
      <c r="F1616" s="1" t="str">
        <f>IFERROR(__xludf.DUMMYFUNCTION("GOOGLETRANSLATE(A1616, ""zh-CN"", ""ko"")"),"공황")</f>
        <v>공황</v>
      </c>
    </row>
    <row r="1617" ht="15.75" customHeight="1">
      <c r="A1617" s="1" t="s">
        <v>4786</v>
      </c>
      <c r="B1617" s="1">
        <v>5.0</v>
      </c>
      <c r="C1617" s="1" t="s">
        <v>4787</v>
      </c>
      <c r="D1617" s="1" t="s">
        <v>16</v>
      </c>
      <c r="E1617" s="1" t="s">
        <v>4788</v>
      </c>
      <c r="F1617" s="1" t="str">
        <f>IFERROR(__xludf.DUMMYFUNCTION("GOOGLETRANSLATE(A1617, ""zh-CN"", ""ko"")"),"금")</f>
        <v>금</v>
      </c>
    </row>
    <row r="1618" ht="15.75" customHeight="1">
      <c r="A1618" s="1" t="s">
        <v>4789</v>
      </c>
      <c r="B1618" s="1">
        <v>5.0</v>
      </c>
      <c r="C1618" s="1" t="s">
        <v>4790</v>
      </c>
      <c r="D1618" s="1" t="s">
        <v>8</v>
      </c>
      <c r="E1618" s="1" t="s">
        <v>4791</v>
      </c>
      <c r="F1618" s="1" t="str">
        <f>IFERROR(__xludf.DUMMYFUNCTION("GOOGLETRANSLATE(A1618, ""zh-CN"", ""ko"")"),"파도")</f>
        <v>파도</v>
      </c>
    </row>
    <row r="1619" ht="15.75" customHeight="1">
      <c r="A1619" s="1" t="s">
        <v>4792</v>
      </c>
      <c r="B1619" s="1">
        <v>5.0</v>
      </c>
      <c r="C1619" s="1" t="s">
        <v>4790</v>
      </c>
      <c r="D1619" s="1" t="s">
        <v>52</v>
      </c>
      <c r="E1619" s="1" t="s">
        <v>4793</v>
      </c>
      <c r="F1619" s="1" t="str">
        <f>IFERROR(__xludf.DUMMYFUNCTION("GOOGLETRANSLATE(A1619, ""zh-CN"", ""ko"")"),"금연 건강 증진 협회")</f>
        <v>금연 건강 증진 협회</v>
      </c>
    </row>
    <row r="1620" ht="15.75" customHeight="1">
      <c r="A1620" s="1" t="s">
        <v>4794</v>
      </c>
      <c r="B1620" s="1">
        <v>5.0</v>
      </c>
      <c r="C1620" s="1" t="s">
        <v>4795</v>
      </c>
      <c r="D1620" s="1" t="s">
        <v>16</v>
      </c>
      <c r="E1620" s="1" t="s">
        <v>4796</v>
      </c>
      <c r="F1620" s="1" t="str">
        <f>IFERROR(__xludf.DUMMYFUNCTION("GOOGLETRANSLATE(A1620, ""zh-CN"", ""ko"")"),"먼지")</f>
        <v>먼지</v>
      </c>
    </row>
    <row r="1621" ht="15.75" customHeight="1">
      <c r="A1621" s="1" t="s">
        <v>4797</v>
      </c>
      <c r="B1621" s="1">
        <v>5.0</v>
      </c>
      <c r="C1621" s="1" t="s">
        <v>4798</v>
      </c>
      <c r="D1621" s="1" t="s">
        <v>8</v>
      </c>
      <c r="E1621" s="1" t="s">
        <v>4799</v>
      </c>
      <c r="F1621" s="1" t="str">
        <f>IFERROR(__xludf.DUMMYFUNCTION("GOOGLETRANSLATE(A1621, ""zh-CN"", ""ko"")"),"다시 덮다")</f>
        <v>다시 덮다</v>
      </c>
    </row>
    <row r="1622" ht="15.75" customHeight="1">
      <c r="A1622" s="1" t="s">
        <v>4800</v>
      </c>
      <c r="B1622" s="1">
        <v>5.0</v>
      </c>
      <c r="C1622" s="1" t="s">
        <v>4801</v>
      </c>
      <c r="D1622" s="1" t="s">
        <v>52</v>
      </c>
      <c r="E1622" s="1" t="s">
        <v>4802</v>
      </c>
      <c r="F1622" s="1" t="str">
        <f>IFERROR(__xludf.DUMMYFUNCTION("GOOGLETRANSLATE(A1622, ""zh-CN"", ""ko"")"),"낙담한")</f>
        <v>낙담한</v>
      </c>
    </row>
    <row r="1623" ht="15.75" customHeight="1">
      <c r="A1623" s="1" t="s">
        <v>4803</v>
      </c>
      <c r="B1623" s="1">
        <v>5.0</v>
      </c>
      <c r="C1623" s="1" t="s">
        <v>4804</v>
      </c>
      <c r="D1623" s="1" t="s">
        <v>16</v>
      </c>
      <c r="E1623" s="1" t="s">
        <v>4805</v>
      </c>
      <c r="F1623" s="1" t="str">
        <f>IFERROR(__xludf.DUMMYFUNCTION("GOOGLETRANSLATE(A1623, ""zh-CN"", ""ko"")"),"환율")</f>
        <v>환율</v>
      </c>
    </row>
    <row r="1624" ht="15.75" customHeight="1">
      <c r="A1624" s="1" t="s">
        <v>4806</v>
      </c>
      <c r="B1624" s="1">
        <v>5.0</v>
      </c>
      <c r="C1624" s="1" t="s">
        <v>4807</v>
      </c>
      <c r="D1624" s="1" t="s">
        <v>16</v>
      </c>
      <c r="E1624" s="1" t="s">
        <v>4808</v>
      </c>
      <c r="F1624" s="1" t="str">
        <f>IFERROR(__xludf.DUMMYFUNCTION("GOOGLETRANSLATE(A1624, ""zh-CN"", ""ko"")"),"혼례")</f>
        <v>혼례</v>
      </c>
    </row>
    <row r="1625" ht="15.75" customHeight="1">
      <c r="A1625" s="1" t="s">
        <v>4809</v>
      </c>
      <c r="B1625" s="1">
        <v>5.0</v>
      </c>
      <c r="C1625" s="1" t="s">
        <v>4810</v>
      </c>
      <c r="D1625" s="1" t="s">
        <v>16</v>
      </c>
      <c r="E1625" s="1" t="s">
        <v>4811</v>
      </c>
      <c r="F1625" s="1" t="str">
        <f>IFERROR(__xludf.DUMMYFUNCTION("GOOGLETRANSLATE(A1625, ""zh-CN"", ""ko"")"),"결혼")</f>
        <v>결혼</v>
      </c>
    </row>
    <row r="1626" ht="15.75" customHeight="1">
      <c r="A1626" s="1" t="s">
        <v>4812</v>
      </c>
      <c r="B1626" s="1">
        <v>5.0</v>
      </c>
      <c r="C1626" s="1" t="s">
        <v>4813</v>
      </c>
      <c r="D1626" s="1" t="s">
        <v>52</v>
      </c>
      <c r="E1626" s="1" t="s">
        <v>4814</v>
      </c>
      <c r="F1626" s="1" t="str">
        <f>IFERROR(__xludf.DUMMYFUNCTION("GOOGLETRANSLATE(A1626, ""zh-CN"", ""ko"")"),"활동적인")</f>
        <v>활동적인</v>
      </c>
    </row>
    <row r="1627" ht="15.75" customHeight="1">
      <c r="A1627" s="1" t="s">
        <v>4815</v>
      </c>
      <c r="B1627" s="1">
        <v>5.0</v>
      </c>
      <c r="C1627" s="1" t="s">
        <v>4816</v>
      </c>
      <c r="D1627" s="1" t="s">
        <v>16</v>
      </c>
      <c r="E1627" s="1" t="s">
        <v>4817</v>
      </c>
      <c r="F1627" s="1" t="str">
        <f>IFERROR(__xludf.DUMMYFUNCTION("GOOGLETRANSLATE(A1627, ""zh-CN"", ""ko"")"),"파트너")</f>
        <v>파트너</v>
      </c>
    </row>
    <row r="1628" ht="15.75" customHeight="1">
      <c r="A1628" s="1" t="s">
        <v>4818</v>
      </c>
      <c r="B1628" s="1">
        <v>5.0</v>
      </c>
      <c r="C1628" s="1" t="s">
        <v>4819</v>
      </c>
      <c r="D1628" s="1" t="s">
        <v>16</v>
      </c>
      <c r="E1628" s="1" t="s">
        <v>4820</v>
      </c>
      <c r="F1628" s="1" t="str">
        <f>IFERROR(__xludf.DUMMYFUNCTION("GOOGLETRANSLATE(A1628, ""zh-CN"", ""ko"")"),"성냥")</f>
        <v>성냥</v>
      </c>
    </row>
    <row r="1629" ht="15.75" customHeight="1">
      <c r="A1629" s="1" t="s">
        <v>4821</v>
      </c>
      <c r="B1629" s="1">
        <v>5.0</v>
      </c>
      <c r="C1629" s="1" t="s">
        <v>4822</v>
      </c>
      <c r="D1629" s="1" t="s">
        <v>33</v>
      </c>
      <c r="E1629" s="1" t="s">
        <v>4823</v>
      </c>
      <c r="F1629" s="1" t="str">
        <f>IFERROR(__xludf.DUMMYFUNCTION("GOOGLETRANSLATE(A1629, ""zh-CN"", ""ko"")"),"아마도")</f>
        <v>아마도</v>
      </c>
    </row>
    <row r="1630" ht="15.75" customHeight="1">
      <c r="A1630" s="1" t="s">
        <v>4824</v>
      </c>
      <c r="B1630" s="1">
        <v>5.0</v>
      </c>
      <c r="C1630" s="1" t="s">
        <v>4825</v>
      </c>
      <c r="D1630" s="1" t="s">
        <v>52</v>
      </c>
      <c r="E1630" s="1" t="s">
        <v>4826</v>
      </c>
      <c r="F1630" s="1" t="str">
        <f>IFERROR(__xludf.DUMMYFUNCTION("GOOGLETRANSLATE(A1630, ""zh-CN"", ""ko"")"),"기초적인")</f>
        <v>기초적인</v>
      </c>
    </row>
    <row r="1631" ht="15.75" customHeight="1">
      <c r="A1631" s="1" t="s">
        <v>4827</v>
      </c>
      <c r="B1631" s="1">
        <v>5.0</v>
      </c>
      <c r="C1631" s="1" t="s">
        <v>4828</v>
      </c>
      <c r="D1631" s="1" t="s">
        <v>52</v>
      </c>
      <c r="E1631" s="1" t="s">
        <v>4829</v>
      </c>
      <c r="F1631" s="1" t="str">
        <f>IFERROR(__xludf.DUMMYFUNCTION("GOOGLETRANSLATE(A1631, ""zh-CN"", ""ko"")"),"사나운")</f>
        <v>사나운</v>
      </c>
    </row>
    <row r="1632" ht="15.75" customHeight="1">
      <c r="A1632" s="1" t="s">
        <v>4830</v>
      </c>
      <c r="B1632" s="1">
        <v>5.0</v>
      </c>
      <c r="C1632" s="1" t="s">
        <v>4831</v>
      </c>
      <c r="D1632" s="1" t="s">
        <v>16</v>
      </c>
      <c r="E1632" s="1" t="s">
        <v>4832</v>
      </c>
      <c r="F1632" s="1" t="str">
        <f>IFERROR(__xludf.DUMMYFUNCTION("GOOGLETRANSLATE(A1632, ""zh-CN"", ""ko"")"),"기계")</f>
        <v>기계</v>
      </c>
    </row>
    <row r="1633" ht="15.75" customHeight="1">
      <c r="A1633" s="1" t="s">
        <v>4833</v>
      </c>
      <c r="B1633" s="1">
        <v>5.0</v>
      </c>
      <c r="C1633" s="1" t="s">
        <v>4834</v>
      </c>
      <c r="D1633" s="1" t="s">
        <v>16</v>
      </c>
      <c r="E1633" s="1" t="s">
        <v>4835</v>
      </c>
      <c r="F1633" s="1" t="str">
        <f>IFERROR(__xludf.DUMMYFUNCTION("GOOGLETRANSLATE(A1633, ""zh-CN"", ""ko"")"),"근")</f>
        <v>근</v>
      </c>
    </row>
    <row r="1634" ht="15.75" customHeight="1">
      <c r="A1634" s="1" t="s">
        <v>4836</v>
      </c>
      <c r="B1634" s="1">
        <v>5.0</v>
      </c>
      <c r="C1634" s="1" t="s">
        <v>4837</v>
      </c>
      <c r="D1634" s="1" t="s">
        <v>8</v>
      </c>
      <c r="E1634" s="1" t="s">
        <v>4838</v>
      </c>
      <c r="F1634" s="1" t="str">
        <f>IFERROR(__xludf.DUMMYFUNCTION("GOOGLETRANSLATE(A1634, ""zh-CN"", ""ko"")"),"통과하다")</f>
        <v>통과하다</v>
      </c>
    </row>
    <row r="1635" ht="15.75" customHeight="1">
      <c r="A1635" s="1" t="s">
        <v>4839</v>
      </c>
      <c r="B1635" s="1">
        <v>5.0</v>
      </c>
      <c r="C1635" s="1" t="s">
        <v>4840</v>
      </c>
      <c r="D1635" s="1" t="s">
        <v>8</v>
      </c>
      <c r="E1635" s="1" t="s">
        <v>4841</v>
      </c>
      <c r="F1635" s="1" t="str">
        <f>IFERROR(__xludf.DUMMYFUNCTION("GOOGLETRANSLATE(A1635, ""zh-CN"", ""ko"")"),"모으다")</f>
        <v>모으다</v>
      </c>
    </row>
    <row r="1636" ht="15.75" customHeight="1">
      <c r="A1636" s="1" t="s">
        <v>4842</v>
      </c>
      <c r="B1636" s="1">
        <v>5.0</v>
      </c>
      <c r="C1636" s="1" t="s">
        <v>4843</v>
      </c>
      <c r="D1636" s="1" t="s">
        <v>33</v>
      </c>
      <c r="E1636" s="1" t="s">
        <v>4844</v>
      </c>
      <c r="F1636" s="1" t="str">
        <f>IFERROR(__xludf.DUMMYFUNCTION("GOOGLETRANSLATE(A1636, ""zh-CN"", ""ko"")"),"황급히")</f>
        <v>황급히</v>
      </c>
    </row>
    <row r="1637" ht="15.75" customHeight="1">
      <c r="A1637" s="1" t="s">
        <v>4845</v>
      </c>
      <c r="B1637" s="1">
        <v>5.0</v>
      </c>
      <c r="C1637" s="1" t="s">
        <v>4846</v>
      </c>
      <c r="D1637" s="1" t="s">
        <v>33</v>
      </c>
      <c r="E1637" s="1" t="s">
        <v>548</v>
      </c>
      <c r="F1637" s="1" t="str">
        <f>IFERROR(__xludf.DUMMYFUNCTION("GOOGLETRANSLATE(A1637, ""zh-CN"", ""ko"")"),"극도로")</f>
        <v>극도로</v>
      </c>
    </row>
    <row r="1638" ht="15.75" customHeight="1">
      <c r="A1638" s="1" t="s">
        <v>4847</v>
      </c>
      <c r="B1638" s="1">
        <v>5.0</v>
      </c>
      <c r="C1638" s="1" t="s">
        <v>4848</v>
      </c>
      <c r="D1638" s="1" t="s">
        <v>16</v>
      </c>
      <c r="E1638" s="1" t="s">
        <v>4849</v>
      </c>
      <c r="F1638" s="1" t="str">
        <f>IFERROR(__xludf.DUMMYFUNCTION("GOOGLETRANSLATE(A1638, ""zh-CN"", ""ko"")"),"집단")</f>
        <v>집단</v>
      </c>
    </row>
    <row r="1639" ht="15.75" customHeight="1">
      <c r="A1639" s="1" t="s">
        <v>4850</v>
      </c>
      <c r="B1639" s="1">
        <v>5.0</v>
      </c>
      <c r="C1639" s="1" t="s">
        <v>4851</v>
      </c>
      <c r="D1639" s="1" t="s">
        <v>8</v>
      </c>
      <c r="E1639" s="1" t="s">
        <v>4852</v>
      </c>
      <c r="F1639" s="1" t="str">
        <f>IFERROR(__xludf.DUMMYFUNCTION("GOOGLETRANSLATE(A1639, ""zh-CN"", ""ko"")"),"비상")</f>
        <v>비상</v>
      </c>
    </row>
    <row r="1640" ht="15.75" customHeight="1">
      <c r="A1640" s="1" t="s">
        <v>4853</v>
      </c>
      <c r="B1640" s="1">
        <v>5.0</v>
      </c>
      <c r="C1640" s="1" t="s">
        <v>4854</v>
      </c>
      <c r="D1640" s="1" t="s">
        <v>8</v>
      </c>
      <c r="E1640" s="1" t="s">
        <v>4855</v>
      </c>
      <c r="F1640" s="1" t="str">
        <f>IFERROR(__xludf.DUMMYFUNCTION("GOOGLETRANSLATE(A1640, ""zh-CN"", ""ko"")"),"집중된")</f>
        <v>집중된</v>
      </c>
    </row>
    <row r="1641" ht="15.75" customHeight="1">
      <c r="A1641" s="1" t="s">
        <v>4856</v>
      </c>
      <c r="B1641" s="1">
        <v>5.0</v>
      </c>
      <c r="C1641" s="1" t="s">
        <v>4857</v>
      </c>
      <c r="E1641" s="1" t="s">
        <v>4858</v>
      </c>
      <c r="F1641" s="1" t="str">
        <f>IFERROR(__xludf.DUMMYFUNCTION("GOOGLETRANSLATE(A1641, ""zh-CN"", ""ko"")"),"묶다")</f>
        <v>묶다</v>
      </c>
    </row>
    <row r="1642" ht="15.75" customHeight="1">
      <c r="A1642" s="1" t="s">
        <v>4859</v>
      </c>
      <c r="B1642" s="1">
        <v>5.0</v>
      </c>
      <c r="C1642" s="1" t="s">
        <v>4860</v>
      </c>
      <c r="D1642" s="1" t="s">
        <v>8</v>
      </c>
      <c r="E1642" s="1" t="s">
        <v>4861</v>
      </c>
      <c r="F1642" s="1" t="str">
        <f>IFERROR(__xludf.DUMMYFUNCTION("GOOGLETRANSLATE(A1642, ""zh-CN"", ""ko"")"),"기록")</f>
        <v>기록</v>
      </c>
    </row>
    <row r="1643" ht="15.75" customHeight="1">
      <c r="A1643" s="1" t="s">
        <v>4862</v>
      </c>
      <c r="B1643" s="1">
        <v>5.0</v>
      </c>
      <c r="C1643" s="1" t="s">
        <v>4860</v>
      </c>
      <c r="D1643" s="1" t="s">
        <v>8</v>
      </c>
      <c r="E1643" s="1" t="s">
        <v>4863</v>
      </c>
      <c r="F1643" s="1" t="str">
        <f>IFERROR(__xludf.DUMMYFUNCTION("GOOGLETRANSLATE(A1643, ""zh-CN"", ""ko"")"),"기록")</f>
        <v>기록</v>
      </c>
    </row>
    <row r="1644" ht="15.75" customHeight="1">
      <c r="A1644" s="1" t="s">
        <v>4864</v>
      </c>
      <c r="B1644" s="1">
        <v>5.0</v>
      </c>
      <c r="C1644" s="1" t="s">
        <v>4865</v>
      </c>
      <c r="D1644" s="1" t="s">
        <v>16</v>
      </c>
      <c r="E1644" s="1" t="s">
        <v>4866</v>
      </c>
      <c r="F1644" s="1" t="str">
        <f>IFERROR(__xludf.DUMMYFUNCTION("GOOGLETRANSLATE(A1644, ""zh-CN"", ""ko"")"),"규율")</f>
        <v>규율</v>
      </c>
    </row>
    <row r="1645" ht="15.75" customHeight="1">
      <c r="A1645" s="1" t="s">
        <v>4867</v>
      </c>
      <c r="B1645" s="1">
        <v>5.0</v>
      </c>
      <c r="C1645" s="1" t="s">
        <v>4868</v>
      </c>
      <c r="D1645" s="1" t="s">
        <v>52</v>
      </c>
      <c r="E1645" s="1" t="s">
        <v>4869</v>
      </c>
      <c r="F1645" s="1" t="str">
        <f>IFERROR(__xludf.DUMMYFUNCTION("GOOGLETRANSLATE(A1645, ""zh-CN"", ""ko"")"),"외로운")</f>
        <v>외로운</v>
      </c>
    </row>
    <row r="1646" ht="15.75" customHeight="1">
      <c r="A1646" s="1" t="s">
        <v>4870</v>
      </c>
      <c r="B1646" s="1">
        <v>5.0</v>
      </c>
      <c r="C1646" s="1" t="s">
        <v>4871</v>
      </c>
      <c r="D1646" s="1" t="s">
        <v>8</v>
      </c>
      <c r="E1646" s="1" t="s">
        <v>4872</v>
      </c>
      <c r="F1646" s="1" t="str">
        <f>IFERROR(__xludf.DUMMYFUNCTION("GOOGLETRANSLATE(A1646, ""zh-CN"", ""ko"")"),"기념하다")</f>
        <v>기념하다</v>
      </c>
    </row>
    <row r="1647" ht="15.75" customHeight="1">
      <c r="A1647" s="1" t="s">
        <v>4873</v>
      </c>
      <c r="B1647" s="1">
        <v>5.0</v>
      </c>
      <c r="C1647" s="1" t="s">
        <v>4874</v>
      </c>
      <c r="D1647" s="1" t="s">
        <v>8</v>
      </c>
      <c r="E1647" s="1" t="s">
        <v>4875</v>
      </c>
      <c r="F1647" s="1" t="str">
        <f>IFERROR(__xludf.DUMMYFUNCTION("GOOGLETRANSLATE(A1647, ""zh-CN"", ""ko"")"),"믿다")</f>
        <v>믿다</v>
      </c>
    </row>
    <row r="1648" ht="15.75" customHeight="1">
      <c r="A1648" s="1" t="s">
        <v>4876</v>
      </c>
      <c r="B1648" s="1">
        <v>5.0</v>
      </c>
      <c r="C1648" s="1" t="s">
        <v>4877</v>
      </c>
      <c r="D1648" s="1" t="s">
        <v>16</v>
      </c>
      <c r="E1648" s="1" t="s">
        <v>4878</v>
      </c>
      <c r="F1648" s="1" t="str">
        <f>IFERROR(__xludf.DUMMYFUNCTION("GOOGLETRANSLATE(A1648, ""zh-CN"", ""ko"")"),"메모리")</f>
        <v>메모리</v>
      </c>
    </row>
    <row r="1649" ht="15.75" customHeight="1">
      <c r="A1649" s="1" t="s">
        <v>4879</v>
      </c>
      <c r="B1649" s="1">
        <v>5.0</v>
      </c>
      <c r="C1649" s="1" t="s">
        <v>4880</v>
      </c>
      <c r="D1649" s="1" t="s">
        <v>16</v>
      </c>
      <c r="E1649" s="1" t="s">
        <v>4881</v>
      </c>
      <c r="F1649" s="1" t="str">
        <f>IFERROR(__xludf.DUMMYFUNCTION("GOOGLETRANSLATE(A1649, ""zh-CN"", ""ko"")"),"손님")</f>
        <v>손님</v>
      </c>
    </row>
    <row r="1650" ht="15.75" customHeight="1">
      <c r="A1650" s="1" t="s">
        <v>4882</v>
      </c>
      <c r="B1650" s="1">
        <v>5.0</v>
      </c>
      <c r="C1650" s="1" t="s">
        <v>4883</v>
      </c>
      <c r="D1650" s="1" t="s">
        <v>16</v>
      </c>
      <c r="E1650" s="1" t="s">
        <v>4884</v>
      </c>
      <c r="F1650" s="1" t="str">
        <f>IFERROR(__xludf.DUMMYFUNCTION("GOOGLETRANSLATE(A1650, ""zh-CN"", ""ko"")"),"가족")</f>
        <v>가족</v>
      </c>
    </row>
    <row r="1651" ht="15.75" customHeight="1">
      <c r="A1651" s="1" t="s">
        <v>4885</v>
      </c>
      <c r="B1651" s="1">
        <v>5.0</v>
      </c>
      <c r="C1651" s="1" t="s">
        <v>4886</v>
      </c>
      <c r="D1651" s="1" t="s">
        <v>16</v>
      </c>
      <c r="E1651" s="1" t="s">
        <v>4887</v>
      </c>
      <c r="F1651" s="1" t="str">
        <f>IFERROR(__xludf.DUMMYFUNCTION("GOOGLETRANSLATE(A1651, ""zh-CN"", ""ko"")"),"안일")</f>
        <v>안일</v>
      </c>
    </row>
    <row r="1652" ht="15.75" customHeight="1">
      <c r="A1652" s="1" t="s">
        <v>4888</v>
      </c>
      <c r="B1652" s="1">
        <v>5.0</v>
      </c>
      <c r="C1652" s="1" t="s">
        <v>4889</v>
      </c>
      <c r="D1652" s="1" t="s">
        <v>16</v>
      </c>
      <c r="E1652" s="1" t="s">
        <v>4890</v>
      </c>
      <c r="F1652" s="1" t="str">
        <f>IFERROR(__xludf.DUMMYFUNCTION("GOOGLETRANSLATE(A1652, ""zh-CN"", ""ko"")"),"고향")</f>
        <v>고향</v>
      </c>
    </row>
    <row r="1653" ht="15.75" customHeight="1">
      <c r="A1653" s="1" t="s">
        <v>4891</v>
      </c>
      <c r="B1653" s="1">
        <v>5.0</v>
      </c>
      <c r="C1653" s="1" t="s">
        <v>4892</v>
      </c>
      <c r="D1653" s="1" t="s">
        <v>16</v>
      </c>
      <c r="E1653" s="1" t="s">
        <v>4893</v>
      </c>
      <c r="F1653" s="1" t="str">
        <f>IFERROR(__xludf.DUMMYFUNCTION("GOOGLETRANSLATE(A1653, ""zh-CN"", ""ko"")"),"클립")</f>
        <v>클립</v>
      </c>
    </row>
    <row r="1654" ht="15.75" customHeight="1">
      <c r="A1654" s="1" t="s">
        <v>4894</v>
      </c>
      <c r="B1654" s="1">
        <v>5.0</v>
      </c>
      <c r="C1654" s="1" t="s">
        <v>2367</v>
      </c>
      <c r="D1654" s="1" t="s">
        <v>16</v>
      </c>
      <c r="E1654" s="1" t="s">
        <v>4895</v>
      </c>
      <c r="F1654" s="1" t="str">
        <f>IFERROR(__xludf.DUMMYFUNCTION("GOOGLETRANSLATE(A1654, ""zh-CN"", ""ko"")"),"첫 번째")</f>
        <v>첫 번째</v>
      </c>
    </row>
    <row r="1655" ht="15.75" customHeight="1">
      <c r="A1655" s="1" t="s">
        <v>4896</v>
      </c>
      <c r="B1655" s="1">
        <v>5.0</v>
      </c>
      <c r="C1655" s="1" t="s">
        <v>4897</v>
      </c>
      <c r="D1655" s="1" t="s">
        <v>1473</v>
      </c>
      <c r="E1655" s="1" t="s">
        <v>4898</v>
      </c>
      <c r="F1655" s="1" t="str">
        <f>IFERROR(__xludf.DUMMYFUNCTION("GOOGLETRANSLATE(A1655, ""zh-CN"", ""ko"")"),"만약에")</f>
        <v>만약에</v>
      </c>
    </row>
    <row r="1656" ht="15.75" customHeight="1">
      <c r="A1656" s="1" t="s">
        <v>4899</v>
      </c>
      <c r="B1656" s="1">
        <v>5.0</v>
      </c>
      <c r="C1656" s="1" t="s">
        <v>4900</v>
      </c>
      <c r="D1656" s="1" t="s">
        <v>8</v>
      </c>
      <c r="E1656" s="1" t="s">
        <v>4901</v>
      </c>
      <c r="F1656" s="1" t="str">
        <f>IFERROR(__xludf.DUMMYFUNCTION("GOOGLETRANSLATE(A1656, ""zh-CN"", ""ko"")"),"추정")</f>
        <v>추정</v>
      </c>
    </row>
    <row r="1657" ht="15.75" customHeight="1">
      <c r="A1657" s="1" t="s">
        <v>4902</v>
      </c>
      <c r="B1657" s="1">
        <v>5.0</v>
      </c>
      <c r="C1657" s="1" t="s">
        <v>4903</v>
      </c>
      <c r="D1657" s="1" t="s">
        <v>8</v>
      </c>
      <c r="E1657" s="1" t="s">
        <v>4904</v>
      </c>
      <c r="F1657" s="1" t="str">
        <f>IFERROR(__xludf.DUMMYFUNCTION("GOOGLETRANSLATE(A1657, ""zh-CN"", ""ko"")"),"~인 척하다")</f>
        <v>~인 척하다</v>
      </c>
    </row>
    <row r="1658" ht="15.75" customHeight="1">
      <c r="A1658" s="1" t="s">
        <v>4905</v>
      </c>
      <c r="B1658" s="1">
        <v>5.0</v>
      </c>
      <c r="C1658" s="1" t="s">
        <v>4906</v>
      </c>
      <c r="D1658" s="1" t="s">
        <v>8</v>
      </c>
      <c r="E1658" s="1" t="s">
        <v>4907</v>
      </c>
      <c r="F1658" s="1" t="str">
        <f>IFERROR(__xludf.DUMMYFUNCTION("GOOGLETRANSLATE(A1658, ""zh-CN"", ""ko"")"),"결혼하다")</f>
        <v>결혼하다</v>
      </c>
    </row>
    <row r="1659" ht="15.75" customHeight="1">
      <c r="A1659" s="1" t="s">
        <v>4908</v>
      </c>
      <c r="B1659" s="1">
        <v>5.0</v>
      </c>
      <c r="C1659" s="1" t="s">
        <v>4909</v>
      </c>
      <c r="D1659" s="1" t="s">
        <v>8</v>
      </c>
      <c r="E1659" s="1" t="s">
        <v>4910</v>
      </c>
      <c r="F1659" s="1" t="str">
        <f>IFERROR(__xludf.DUMMYFUNCTION("GOOGLETRANSLATE(A1659, ""zh-CN"", ""ko"")"),"운전하다")</f>
        <v>운전하다</v>
      </c>
    </row>
    <row r="1660" ht="15.75" customHeight="1">
      <c r="A1660" s="1" t="s">
        <v>4911</v>
      </c>
      <c r="B1660" s="1">
        <v>5.0</v>
      </c>
      <c r="C1660" s="1" t="s">
        <v>4912</v>
      </c>
      <c r="D1660" s="1" t="s">
        <v>16</v>
      </c>
      <c r="E1660" s="1" t="s">
        <v>4913</v>
      </c>
      <c r="F1660" s="1" t="str">
        <f>IFERROR(__xludf.DUMMYFUNCTION("GOOGLETRANSLATE(A1660, ""zh-CN"", ""ko"")"),"값")</f>
        <v>값</v>
      </c>
    </row>
    <row r="1661" ht="15.75" customHeight="1">
      <c r="A1661" s="1" t="s">
        <v>4914</v>
      </c>
      <c r="B1661" s="1">
        <v>5.0</v>
      </c>
      <c r="C1661" s="1" t="s">
        <v>4915</v>
      </c>
      <c r="D1661" s="1" t="s">
        <v>16</v>
      </c>
      <c r="E1661" s="1" t="s">
        <v>4916</v>
      </c>
      <c r="F1661" s="1" t="str">
        <f>IFERROR(__xludf.DUMMYFUNCTION("GOOGLETRANSLATE(A1661, ""zh-CN"", ""ko"")"),"어깨")</f>
        <v>어깨</v>
      </c>
    </row>
    <row r="1662" ht="15.75" customHeight="1">
      <c r="A1662" s="1" t="s">
        <v>4917</v>
      </c>
      <c r="B1662" s="1">
        <v>5.0</v>
      </c>
      <c r="C1662" s="1" t="s">
        <v>4918</v>
      </c>
      <c r="D1662" s="1" t="s">
        <v>52</v>
      </c>
      <c r="E1662" s="1" t="s">
        <v>4919</v>
      </c>
      <c r="F1662" s="1" t="str">
        <f>IFERROR(__xludf.DUMMYFUNCTION("GOOGLETRANSLATE(A1662, ""zh-CN"", ""ko"")"),"어려운")</f>
        <v>어려운</v>
      </c>
    </row>
    <row r="1663" ht="15.75" customHeight="1">
      <c r="A1663" s="1" t="s">
        <v>4920</v>
      </c>
      <c r="B1663" s="1">
        <v>5.0</v>
      </c>
      <c r="C1663" s="1" t="s">
        <v>4921</v>
      </c>
      <c r="D1663" s="1" t="s">
        <v>52</v>
      </c>
      <c r="E1663" s="1" t="s">
        <v>4922</v>
      </c>
      <c r="F1663" s="1" t="str">
        <f>IFERROR(__xludf.DUMMYFUNCTION("GOOGLETRANSLATE(A1663, ""zh-CN"", ""ko"")"),"단호한")</f>
        <v>단호한</v>
      </c>
    </row>
    <row r="1664" ht="15.75" customHeight="1">
      <c r="A1664" s="1" t="s">
        <v>4923</v>
      </c>
      <c r="B1664" s="1">
        <v>5.0</v>
      </c>
      <c r="C1664" s="1" t="s">
        <v>4924</v>
      </c>
      <c r="D1664" s="1" t="s">
        <v>52</v>
      </c>
      <c r="E1664" s="1" t="s">
        <v>4925</v>
      </c>
      <c r="F1664" s="1" t="str">
        <f>IFERROR(__xludf.DUMMYFUNCTION("GOOGLETRANSLATE(A1664, ""zh-CN"", ""ko"")"),"딱딱한")</f>
        <v>딱딱한</v>
      </c>
    </row>
    <row r="1665" ht="15.75" customHeight="1">
      <c r="A1665" s="1" t="s">
        <v>4926</v>
      </c>
      <c r="B1665" s="1">
        <v>5.0</v>
      </c>
      <c r="C1665" s="1" t="s">
        <v>4927</v>
      </c>
      <c r="D1665" s="1" t="s">
        <v>52</v>
      </c>
      <c r="E1665" s="1" t="s">
        <v>4928</v>
      </c>
      <c r="F1665" s="1" t="str">
        <f>IFERROR(__xludf.DUMMYFUNCTION("GOOGLETRANSLATE(A1665, ""zh-CN"", ""ko"")"),"강한")</f>
        <v>강한</v>
      </c>
    </row>
    <row r="1666" ht="15.75" customHeight="1">
      <c r="A1666" s="1" t="s">
        <v>4929</v>
      </c>
      <c r="B1666" s="1">
        <v>5.0</v>
      </c>
      <c r="C1666" s="1" t="s">
        <v>4930</v>
      </c>
      <c r="D1666" s="1" t="s">
        <v>16</v>
      </c>
      <c r="E1666" s="1" t="s">
        <v>4931</v>
      </c>
      <c r="F1666" s="1" t="str">
        <f>IFERROR(__xludf.DUMMYFUNCTION("GOOGLETRANSLATE(A1666, ""zh-CN"", ""ko"")"),"파트타임")</f>
        <v>파트타임</v>
      </c>
    </row>
    <row r="1667" ht="15.75" customHeight="1">
      <c r="A1667" s="1" t="s">
        <v>4932</v>
      </c>
      <c r="B1667" s="1">
        <v>5.0</v>
      </c>
      <c r="C1667" s="1" t="s">
        <v>4933</v>
      </c>
      <c r="D1667" s="1" t="s">
        <v>8</v>
      </c>
      <c r="E1667" s="1" t="s">
        <v>4934</v>
      </c>
      <c r="F1667" s="1" t="str">
        <f>IFERROR(__xludf.DUMMYFUNCTION("GOOGLETRANSLATE(A1667, ""zh-CN"", ""ko"")"),"찾다")</f>
        <v>찾다</v>
      </c>
    </row>
    <row r="1668" ht="15.75" customHeight="1">
      <c r="A1668" s="1" t="s">
        <v>4935</v>
      </c>
      <c r="B1668" s="1">
        <v>5.0</v>
      </c>
      <c r="C1668" s="1" t="s">
        <v>4936</v>
      </c>
      <c r="D1668" s="1" t="s">
        <v>16</v>
      </c>
      <c r="E1668" s="1" t="s">
        <v>4937</v>
      </c>
      <c r="F1668" s="1" t="str">
        <f>IFERROR(__xludf.DUMMYFUNCTION("GOOGLETRANSLATE(A1668, ""zh-CN"", ""ko"")"),"가위")</f>
        <v>가위</v>
      </c>
    </row>
    <row r="1669" ht="15.75" customHeight="1">
      <c r="A1669" s="1" t="s">
        <v>4938</v>
      </c>
      <c r="B1669" s="1">
        <v>5.0</v>
      </c>
      <c r="C1669" s="1" t="s">
        <v>4939</v>
      </c>
      <c r="D1669" s="1" t="s">
        <v>16</v>
      </c>
      <c r="E1669" s="1" t="s">
        <v>4940</v>
      </c>
      <c r="F1669" s="1" t="str">
        <f>IFERROR(__xludf.DUMMYFUNCTION("GOOGLETRANSLATE(A1669, ""zh-CN"", ""ko"")"),"이력서")</f>
        <v>이력서</v>
      </c>
    </row>
    <row r="1670" ht="15.75" customHeight="1">
      <c r="A1670" s="1" t="s">
        <v>4941</v>
      </c>
      <c r="B1670" s="1">
        <v>5.0</v>
      </c>
      <c r="C1670" s="1" t="s">
        <v>4942</v>
      </c>
      <c r="D1670" s="1" t="s">
        <v>33</v>
      </c>
      <c r="E1670" s="1" t="s">
        <v>618</v>
      </c>
      <c r="F1670" s="1" t="str">
        <f>IFERROR(__xludf.DUMMYFUNCTION("GOOGLETRANSLATE(A1670, ""zh-CN"", ""ko"")"),"간단히")</f>
        <v>간단히</v>
      </c>
    </row>
    <row r="1671" ht="15.75" customHeight="1">
      <c r="A1671" s="1" t="s">
        <v>4943</v>
      </c>
      <c r="B1671" s="1">
        <v>5.0</v>
      </c>
      <c r="C1671" s="1" t="s">
        <v>4944</v>
      </c>
      <c r="D1671" s="1" t="s">
        <v>8</v>
      </c>
      <c r="E1671" s="1" t="s">
        <v>4945</v>
      </c>
      <c r="F1671" s="1" t="str">
        <f>IFERROR(__xludf.DUMMYFUNCTION("GOOGLETRANSLATE(A1671, ""zh-CN"", ""ko"")"),"설립하다")</f>
        <v>설립하다</v>
      </c>
    </row>
    <row r="1672" ht="15.75" customHeight="1">
      <c r="A1672" s="1" t="s">
        <v>4946</v>
      </c>
      <c r="B1672" s="1">
        <v>5.0</v>
      </c>
      <c r="C1672" s="1" t="s">
        <v>4947</v>
      </c>
      <c r="D1672" s="1" t="s">
        <v>16</v>
      </c>
      <c r="E1672" s="1" t="s">
        <v>4948</v>
      </c>
      <c r="F1672" s="1" t="str">
        <f>IFERROR(__xludf.DUMMYFUNCTION("GOOGLETRANSLATE(A1672, ""zh-CN"", ""ko"")"),"건반")</f>
        <v>건반</v>
      </c>
    </row>
    <row r="1673" ht="15.75" customHeight="1">
      <c r="A1673" s="1" t="s">
        <v>4949</v>
      </c>
      <c r="B1673" s="1">
        <v>5.0</v>
      </c>
      <c r="C1673" s="1" t="s">
        <v>4950</v>
      </c>
      <c r="D1673" s="1" t="s">
        <v>8</v>
      </c>
      <c r="E1673" s="1" t="s">
        <v>4951</v>
      </c>
      <c r="F1673" s="1" t="str">
        <f>IFERROR(__xludf.DUMMYFUNCTION("GOOGLETRANSLATE(A1673, ""zh-CN"", ""ko"")"),"건설")</f>
        <v>건설</v>
      </c>
    </row>
    <row r="1674" ht="15.75" customHeight="1">
      <c r="A1674" s="1" t="s">
        <v>4952</v>
      </c>
      <c r="B1674" s="1">
        <v>5.0</v>
      </c>
      <c r="C1674" s="1" t="s">
        <v>4953</v>
      </c>
      <c r="D1674" s="1" t="s">
        <v>8</v>
      </c>
      <c r="E1674" s="1" t="s">
        <v>4954</v>
      </c>
      <c r="F1674" s="1" t="str">
        <f>IFERROR(__xludf.DUMMYFUNCTION("GOOGLETRANSLATE(A1674, ""zh-CN"", ""ko"")"),"적합")</f>
        <v>적합</v>
      </c>
    </row>
    <row r="1675" ht="15.75" customHeight="1">
      <c r="A1675" s="1" t="s">
        <v>4955</v>
      </c>
      <c r="B1675" s="1">
        <v>5.0</v>
      </c>
      <c r="C1675" s="1" t="s">
        <v>4956</v>
      </c>
      <c r="D1675" s="1" t="s">
        <v>16</v>
      </c>
      <c r="E1675" s="1" t="s">
        <v>4957</v>
      </c>
      <c r="F1675" s="1" t="str">
        <f>IFERROR(__xludf.DUMMYFUNCTION("GOOGLETRANSLATE(A1675, ""zh-CN"", ""ko"")"),"건축학")</f>
        <v>건축학</v>
      </c>
    </row>
    <row r="1676" ht="15.75" customHeight="1">
      <c r="A1676" s="1" t="s">
        <v>4958</v>
      </c>
      <c r="B1676" s="1">
        <v>5.0</v>
      </c>
      <c r="C1676" s="1" t="s">
        <v>4959</v>
      </c>
      <c r="D1676" s="1" t="s">
        <v>8</v>
      </c>
      <c r="E1676" s="1" t="s">
        <v>4960</v>
      </c>
      <c r="F1676" s="1" t="str">
        <f>IFERROR(__xludf.DUMMYFUNCTION("GOOGLETRANSLATE(A1676, ""zh-CN"", ""ko"")"),"주의하세요")</f>
        <v>주의하세요</v>
      </c>
    </row>
    <row r="1677" ht="15.75" customHeight="1">
      <c r="A1677" s="1" t="s">
        <v>4961</v>
      </c>
      <c r="B1677" s="1">
        <v>5.0</v>
      </c>
      <c r="C1677" s="1" t="s">
        <v>4962</v>
      </c>
      <c r="D1677" s="1" t="s">
        <v>16</v>
      </c>
      <c r="E1677" s="1" t="s">
        <v>4963</v>
      </c>
      <c r="F1677" s="1" t="str">
        <f>IFERROR(__xludf.DUMMYFUNCTION("GOOGLETRANSLATE(A1677, ""zh-CN"", ""ko"")"),"강의")</f>
        <v>강의</v>
      </c>
    </row>
    <row r="1678" ht="15.75" customHeight="1">
      <c r="A1678" s="1" t="s">
        <v>4964</v>
      </c>
      <c r="B1678" s="1">
        <v>5.0</v>
      </c>
      <c r="C1678" s="1" t="s">
        <v>4965</v>
      </c>
      <c r="D1678" s="1" t="s">
        <v>16</v>
      </c>
      <c r="E1678" s="1" t="s">
        <v>4966</v>
      </c>
      <c r="F1678" s="1" t="str">
        <f>IFERROR(__xludf.DUMMYFUNCTION("GOOGLETRANSLATE(A1678, ""zh-CN"", ""ko"")"),"간장")</f>
        <v>간장</v>
      </c>
    </row>
    <row r="1679" ht="15.75" customHeight="1">
      <c r="A1679" s="1" t="s">
        <v>4967</v>
      </c>
      <c r="B1679" s="1">
        <v>5.0</v>
      </c>
      <c r="C1679" s="1" t="s">
        <v>1260</v>
      </c>
      <c r="D1679" s="1" t="s">
        <v>8</v>
      </c>
      <c r="E1679" s="1" t="s">
        <v>4968</v>
      </c>
      <c r="F1679" s="1" t="str">
        <f>IFERROR(__xludf.DUMMYFUNCTION("GOOGLETRANSLATE(A1679, ""zh-CN"", ""ko"")"),"붓는 것")</f>
        <v>붓는 것</v>
      </c>
    </row>
    <row r="1680" ht="15.75" customHeight="1">
      <c r="A1680" s="1" t="s">
        <v>4969</v>
      </c>
      <c r="B1680" s="1">
        <v>5.0</v>
      </c>
      <c r="C1680" s="1" t="s">
        <v>4970</v>
      </c>
      <c r="D1680" s="1" t="s">
        <v>8</v>
      </c>
      <c r="E1680" s="1" t="s">
        <v>4971</v>
      </c>
      <c r="F1680" s="1" t="str">
        <f>IFERROR(__xludf.DUMMYFUNCTION("GOOGLETRANSLATE(A1680, ""zh-CN"", ""ko"")"),"교환")</f>
        <v>교환</v>
      </c>
    </row>
    <row r="1681" ht="15.75" customHeight="1">
      <c r="A1681" s="1" t="s">
        <v>4972</v>
      </c>
      <c r="B1681" s="1">
        <v>5.0</v>
      </c>
      <c r="C1681" s="1" t="s">
        <v>4973</v>
      </c>
      <c r="D1681" s="1" t="s">
        <v>8</v>
      </c>
      <c r="E1681" s="1" t="s">
        <v>4974</v>
      </c>
      <c r="F1681" s="1" t="str">
        <f>IFERROR(__xludf.DUMMYFUNCTION("GOOGLETRANSLATE(A1681, ""zh-CN"", ""ko"")"),"의사소통")</f>
        <v>의사소통</v>
      </c>
    </row>
    <row r="1682" ht="15.75" customHeight="1">
      <c r="A1682" s="1" t="s">
        <v>4975</v>
      </c>
      <c r="B1682" s="1">
        <v>5.0</v>
      </c>
      <c r="C1682" s="1" t="s">
        <v>4976</v>
      </c>
      <c r="D1682" s="1" t="s">
        <v>16</v>
      </c>
      <c r="E1682" s="1" t="s">
        <v>4977</v>
      </c>
      <c r="F1682" s="1" t="str">
        <f>IFERROR(__xludf.DUMMYFUNCTION("GOOGLETRANSLATE(A1682, ""zh-CN"", ""ko"")"),"아교")</f>
        <v>아교</v>
      </c>
    </row>
    <row r="1683" ht="15.75" customHeight="1">
      <c r="A1683" s="1" t="s">
        <v>4978</v>
      </c>
      <c r="B1683" s="1">
        <v>5.0</v>
      </c>
      <c r="C1683" s="1" t="s">
        <v>4979</v>
      </c>
      <c r="D1683" s="1" t="s">
        <v>8</v>
      </c>
      <c r="E1683" s="1" t="s">
        <v>4980</v>
      </c>
      <c r="F1683" s="1" t="str">
        <f>IFERROR(__xludf.DUMMYFUNCTION("GOOGLETRANSLATE(A1683, ""zh-CN"", ""ko"")"),"상호 작용")</f>
        <v>상호 작용</v>
      </c>
    </row>
    <row r="1684" ht="15.75" customHeight="1">
      <c r="A1684" s="1" t="s">
        <v>4981</v>
      </c>
      <c r="B1684" s="1">
        <v>5.0</v>
      </c>
      <c r="C1684" s="1" t="s">
        <v>4982</v>
      </c>
      <c r="D1684" s="1" t="s">
        <v>16</v>
      </c>
      <c r="E1684" s="1" t="s">
        <v>4983</v>
      </c>
      <c r="F1684" s="1" t="str">
        <f>IFERROR(__xludf.DUMMYFUNCTION("GOOGLETRANSLATE(A1684, ""zh-CN"", ""ko"")"),"각도")</f>
        <v>각도</v>
      </c>
    </row>
    <row r="1685" ht="15.75" customHeight="1">
      <c r="A1685" s="1" t="s">
        <v>4984</v>
      </c>
      <c r="B1685" s="1">
        <v>5.0</v>
      </c>
      <c r="C1685" s="1" t="s">
        <v>4985</v>
      </c>
      <c r="D1685" s="1" t="s">
        <v>52</v>
      </c>
      <c r="E1685" s="1" t="s">
        <v>4986</v>
      </c>
      <c r="F1685" s="1" t="str">
        <f>IFERROR(__xludf.DUMMYFUNCTION("GOOGLETRANSLATE(A1685, ""zh-CN"", ""ko"")"),"교활한")</f>
        <v>교활한</v>
      </c>
    </row>
    <row r="1686" ht="15.75" customHeight="1">
      <c r="A1686" s="1" t="s">
        <v>4987</v>
      </c>
      <c r="B1686" s="1">
        <v>5.0</v>
      </c>
      <c r="C1686" s="1" t="s">
        <v>4988</v>
      </c>
      <c r="D1686" s="1" t="s">
        <v>16</v>
      </c>
      <c r="E1686" s="1" t="s">
        <v>4989</v>
      </c>
      <c r="F1686" s="1" t="str">
        <f>IFERROR(__xludf.DUMMYFUNCTION("GOOGLETRANSLATE(A1686, ""zh-CN"", ""ko"")"),"교과서")</f>
        <v>교과서</v>
      </c>
    </row>
    <row r="1687" ht="15.75" customHeight="1">
      <c r="A1687" s="1" t="s">
        <v>4990</v>
      </c>
      <c r="B1687" s="1">
        <v>5.0</v>
      </c>
      <c r="C1687" s="1" t="s">
        <v>4991</v>
      </c>
      <c r="D1687" s="1" t="s">
        <v>16</v>
      </c>
      <c r="E1687" s="1" t="s">
        <v>4992</v>
      </c>
      <c r="F1687" s="1" t="str">
        <f>IFERROR(__xludf.DUMMYFUNCTION("GOOGLETRANSLATE(A1687, ""zh-CN"", ""ko"")"),"코치")</f>
        <v>코치</v>
      </c>
    </row>
    <row r="1688" ht="15.75" customHeight="1">
      <c r="A1688" s="1" t="s">
        <v>4993</v>
      </c>
      <c r="B1688" s="1">
        <v>5.0</v>
      </c>
      <c r="C1688" s="1" t="s">
        <v>4994</v>
      </c>
      <c r="D1688" s="1" t="s">
        <v>875</v>
      </c>
      <c r="E1688" s="1" t="s">
        <v>4995</v>
      </c>
      <c r="F1688" s="1" t="str">
        <f>IFERROR(__xludf.DUMMYFUNCTION("GOOGLETRANSLATE(A1688, ""zh-CN"", ""ko"")"),"수업")</f>
        <v>수업</v>
      </c>
    </row>
    <row r="1689" ht="15.75" customHeight="1">
      <c r="A1689" s="1" t="s">
        <v>4996</v>
      </c>
      <c r="B1689" s="1">
        <v>5.0</v>
      </c>
      <c r="C1689" s="1" t="s">
        <v>4997</v>
      </c>
      <c r="D1689" s="1" t="s">
        <v>8</v>
      </c>
      <c r="E1689" s="1" t="s">
        <v>4998</v>
      </c>
      <c r="F1689" s="1" t="str">
        <f>IFERROR(__xludf.DUMMYFUNCTION("GOOGLETRANSLATE(A1689, ""zh-CN"", ""ko"")"),"만지다")</f>
        <v>만지다</v>
      </c>
    </row>
    <row r="1690" ht="15.75" customHeight="1">
      <c r="A1690" s="1" t="s">
        <v>4999</v>
      </c>
      <c r="B1690" s="1">
        <v>5.0</v>
      </c>
      <c r="C1690" s="1" t="s">
        <v>5000</v>
      </c>
      <c r="D1690" s="1" t="s">
        <v>8</v>
      </c>
      <c r="E1690" s="1" t="s">
        <v>5001</v>
      </c>
      <c r="F1690" s="1" t="str">
        <f>IFERROR(__xludf.DUMMYFUNCTION("GOOGLETRANSLATE(A1690, ""zh-CN"", ""ko"")"),"리셉션")</f>
        <v>리셉션</v>
      </c>
    </row>
    <row r="1691" ht="15.75" customHeight="1">
      <c r="A1691" s="1" t="s">
        <v>5002</v>
      </c>
      <c r="B1691" s="1">
        <v>5.0</v>
      </c>
      <c r="C1691" s="1" t="s">
        <v>5003</v>
      </c>
      <c r="D1691" s="1" t="s">
        <v>16</v>
      </c>
      <c r="E1691" s="1" t="s">
        <v>5004</v>
      </c>
      <c r="F1691" s="1" t="str">
        <f>IFERROR(__xludf.DUMMYFUNCTION("GOOGLETRANSLATE(A1691, ""zh-CN"", ""ko"")"),"단계")</f>
        <v>단계</v>
      </c>
    </row>
    <row r="1692" ht="15.75" customHeight="1">
      <c r="A1692" s="1" t="s">
        <v>5005</v>
      </c>
      <c r="B1692" s="1">
        <v>5.0</v>
      </c>
      <c r="C1692" s="1" t="s">
        <v>5006</v>
      </c>
      <c r="D1692" s="1" t="s">
        <v>8</v>
      </c>
      <c r="E1692" s="1" t="s">
        <v>5007</v>
      </c>
      <c r="F1692" s="1" t="str">
        <f>IFERROR(__xludf.DUMMYFUNCTION("GOOGLETRANSLATE(A1692, ""zh-CN"", ""ko"")"),"가까운")</f>
        <v>가까운</v>
      </c>
    </row>
    <row r="1693" ht="15.75" customHeight="1">
      <c r="A1693" s="1" t="s">
        <v>5008</v>
      </c>
      <c r="B1693" s="1">
        <v>5.0</v>
      </c>
      <c r="C1693" s="1" t="s">
        <v>5009</v>
      </c>
      <c r="D1693" s="1" t="s">
        <v>52</v>
      </c>
      <c r="E1693" s="1" t="s">
        <v>5010</v>
      </c>
      <c r="F1693" s="1" t="str">
        <f>IFERROR(__xludf.DUMMYFUNCTION("GOOGLETRANSLATE(A1693, ""zh-CN"", ""ko"")"),"단단한")</f>
        <v>단단한</v>
      </c>
    </row>
    <row r="1694" ht="15.75" customHeight="1">
      <c r="A1694" s="1" t="s">
        <v>5011</v>
      </c>
      <c r="B1694" s="1">
        <v>5.0</v>
      </c>
      <c r="C1694" s="1" t="s">
        <v>5012</v>
      </c>
      <c r="D1694" s="1" t="s">
        <v>16</v>
      </c>
      <c r="E1694" s="1" t="s">
        <v>5013</v>
      </c>
      <c r="F1694" s="1" t="str">
        <f>IFERROR(__xludf.DUMMYFUNCTION("GOOGLETRANSLATE(A1694, ""zh-CN"", ""ko"")"),"구조")</f>
        <v>구조</v>
      </c>
    </row>
    <row r="1695" ht="15.75" customHeight="1">
      <c r="A1695" s="1" t="s">
        <v>5014</v>
      </c>
      <c r="B1695" s="1">
        <v>5.0</v>
      </c>
      <c r="C1695" s="1" t="s">
        <v>5015</v>
      </c>
      <c r="D1695" s="1" t="s">
        <v>8</v>
      </c>
      <c r="E1695" s="1" t="s">
        <v>5016</v>
      </c>
      <c r="F1695" s="1" t="str">
        <f>IFERROR(__xludf.DUMMYFUNCTION("GOOGLETRANSLATE(A1695, ""zh-CN"", ""ko"")"),"콤비네이션")</f>
        <v>콤비네이션</v>
      </c>
    </row>
    <row r="1696" ht="15.75" customHeight="1">
      <c r="A1696" s="1" t="s">
        <v>5017</v>
      </c>
      <c r="B1696" s="1">
        <v>5.0</v>
      </c>
      <c r="C1696" s="1" t="s">
        <v>5018</v>
      </c>
      <c r="D1696" s="1" t="s">
        <v>16</v>
      </c>
      <c r="E1696" s="1" t="s">
        <v>5019</v>
      </c>
      <c r="F1696" s="1" t="str">
        <f>IFERROR(__xludf.DUMMYFUNCTION("GOOGLETRANSLATE(A1696, ""zh-CN"", ""ko"")"),"결론적으로")</f>
        <v>결론적으로</v>
      </c>
    </row>
    <row r="1697" ht="15.75" customHeight="1">
      <c r="A1697" s="1" t="s">
        <v>5020</v>
      </c>
      <c r="B1697" s="1">
        <v>5.0</v>
      </c>
      <c r="C1697" s="1" t="s">
        <v>5021</v>
      </c>
      <c r="D1697" s="1" t="s">
        <v>8</v>
      </c>
      <c r="E1697" s="1" t="s">
        <v>5022</v>
      </c>
      <c r="F1697" s="1" t="str">
        <f>IFERROR(__xludf.DUMMYFUNCTION("GOOGLETRANSLATE(A1697, ""zh-CN"", ""ko"")"),"구하다")</f>
        <v>구하다</v>
      </c>
    </row>
    <row r="1698" ht="15.75" customHeight="1">
      <c r="A1698" s="1" t="s">
        <v>5023</v>
      </c>
      <c r="B1698" s="1">
        <v>5.0</v>
      </c>
      <c r="C1698" s="1" t="s">
        <v>5024</v>
      </c>
      <c r="D1698" s="1" t="s">
        <v>8</v>
      </c>
      <c r="E1698" s="1" t="s">
        <v>5025</v>
      </c>
      <c r="F1698" s="1" t="str">
        <f>IFERROR(__xludf.DUMMYFUNCTION("GOOGLETRANSLATE(A1698, ""zh-CN"", ""ko"")"),"빌, 부탁해요")</f>
        <v>빌, 부탁해요</v>
      </c>
    </row>
    <row r="1699" ht="15.75" customHeight="1">
      <c r="A1699" s="1" t="s">
        <v>5026</v>
      </c>
      <c r="B1699" s="1">
        <v>5.0</v>
      </c>
      <c r="C1699" s="1" t="s">
        <v>1289</v>
      </c>
      <c r="D1699" s="1" t="s">
        <v>8</v>
      </c>
      <c r="E1699" s="1" t="s">
        <v>5027</v>
      </c>
      <c r="F1699" s="1" t="str">
        <f>IFERROR(__xludf.DUMMYFUNCTION("GOOGLETRANSLATE(A1699, ""zh-CN"", ""ko"")"),"기권하다")</f>
        <v>기권하다</v>
      </c>
    </row>
    <row r="1700" ht="15.75" customHeight="1">
      <c r="A1700" s="1" t="s">
        <v>5028</v>
      </c>
      <c r="B1700" s="1">
        <v>5.0</v>
      </c>
      <c r="C1700" s="1" t="s">
        <v>1289</v>
      </c>
      <c r="D1700" s="1" t="s">
        <v>26</v>
      </c>
      <c r="E1700" s="1" t="s">
        <v>5029</v>
      </c>
      <c r="F1700" s="1" t="str">
        <f>IFERROR(__xludf.DUMMYFUNCTION("GOOGLETRANSLATE(A1700, ""zh-CN"", ""ko"")"),"세션")</f>
        <v>세션</v>
      </c>
    </row>
    <row r="1701" ht="15.75" customHeight="1">
      <c r="A1701" s="1" t="s">
        <v>5030</v>
      </c>
      <c r="B1701" s="1">
        <v>5.0</v>
      </c>
      <c r="C1701" s="1" t="s">
        <v>5031</v>
      </c>
      <c r="D1701" s="1" t="s">
        <v>16</v>
      </c>
      <c r="E1701" s="1" t="s">
        <v>5032</v>
      </c>
      <c r="F1701" s="1" t="str">
        <f>IFERROR(__xludf.DUMMYFUNCTION("GOOGLETRANSLATE(A1701, ""zh-CN"", ""ko"")"),"변명")</f>
        <v>변명</v>
      </c>
    </row>
    <row r="1702" ht="15.75" customHeight="1">
      <c r="A1702" s="1" t="s">
        <v>5033</v>
      </c>
      <c r="B1702" s="1">
        <v>5.0</v>
      </c>
      <c r="C1702" s="1" t="s">
        <v>5034</v>
      </c>
      <c r="D1702" s="1" t="s">
        <v>16</v>
      </c>
      <c r="E1702" s="1" t="s">
        <v>5035</v>
      </c>
      <c r="F1702" s="1" t="str">
        <f>IFERROR(__xludf.DUMMYFUNCTION("GOOGLETRANSLATE(A1702, ""zh-CN"", ""ko"")"),"반지")</f>
        <v>반지</v>
      </c>
    </row>
    <row r="1703" ht="15.75" customHeight="1">
      <c r="A1703" s="1" t="s">
        <v>5036</v>
      </c>
      <c r="B1703" s="1">
        <v>5.0</v>
      </c>
      <c r="C1703" s="1" t="s">
        <v>5037</v>
      </c>
      <c r="D1703" s="1" t="s">
        <v>16</v>
      </c>
      <c r="E1703" s="1" t="s">
        <v>5038</v>
      </c>
      <c r="F1703" s="1" t="str">
        <f>IFERROR(__xludf.DUMMYFUNCTION("GOOGLETRANSLATE(A1703, ""zh-CN"", ""ko"")"),"금속")</f>
        <v>금속</v>
      </c>
    </row>
    <row r="1704" ht="15.75" customHeight="1">
      <c r="A1704" s="1" t="s">
        <v>5039</v>
      </c>
      <c r="B1704" s="1">
        <v>5.0</v>
      </c>
      <c r="C1704" s="1" t="s">
        <v>5040</v>
      </c>
      <c r="D1704" s="1" t="s">
        <v>52</v>
      </c>
      <c r="E1704" s="1" t="s">
        <v>5041</v>
      </c>
      <c r="F1704" s="1" t="str">
        <f>IFERROR(__xludf.DUMMYFUNCTION("GOOGLETRANSLATE(A1704, ""zh-CN"", ""ko"")"),"긴급한")</f>
        <v>긴급한</v>
      </c>
    </row>
    <row r="1705" ht="15.75" customHeight="1">
      <c r="A1705" s="1" t="s">
        <v>5042</v>
      </c>
      <c r="B1705" s="1">
        <v>5.0</v>
      </c>
      <c r="C1705" s="1" t="s">
        <v>5043</v>
      </c>
      <c r="D1705" s="1" t="s">
        <v>33</v>
      </c>
      <c r="E1705" s="1" t="s">
        <v>5044</v>
      </c>
      <c r="F1705" s="1" t="str">
        <f>IFERROR(__xludf.DUMMYFUNCTION("GOOGLETRANSLATE(A1705, ""zh-CN"", ""ko"")"),"최대한 빨리")</f>
        <v>최대한 빨리</v>
      </c>
    </row>
    <row r="1706" ht="15.75" customHeight="1">
      <c r="A1706" s="1" t="s">
        <v>5045</v>
      </c>
      <c r="B1706" s="1">
        <v>5.0</v>
      </c>
      <c r="C1706" s="1" t="s">
        <v>5046</v>
      </c>
      <c r="D1706" s="1" t="s">
        <v>52</v>
      </c>
      <c r="E1706" s="1" t="s">
        <v>5047</v>
      </c>
      <c r="F1706" s="1" t="str">
        <f>IFERROR(__xludf.DUMMYFUNCTION("GOOGLETRANSLATE(A1706, ""zh-CN"", ""ko"")"),"조심성 있는")</f>
        <v>조심성 있는</v>
      </c>
    </row>
    <row r="1707" ht="15.75" customHeight="1">
      <c r="A1707" s="1" t="s">
        <v>5048</v>
      </c>
      <c r="B1707" s="1">
        <v>5.0</v>
      </c>
      <c r="C1707" s="1" t="s">
        <v>5049</v>
      </c>
      <c r="D1707" s="1" t="s">
        <v>8</v>
      </c>
      <c r="E1707" s="1" t="s">
        <v>5050</v>
      </c>
      <c r="F1707" s="1" t="str">
        <f>IFERROR(__xludf.DUMMYFUNCTION("GOOGLETRANSLATE(A1707, ""zh-CN"", ""ko"")"),"진전")</f>
        <v>진전</v>
      </c>
    </row>
    <row r="1708" ht="15.75" customHeight="1">
      <c r="A1708" s="1" t="s">
        <v>5051</v>
      </c>
      <c r="B1708" s="1">
        <v>5.0</v>
      </c>
      <c r="C1708" s="1" t="s">
        <v>5052</v>
      </c>
      <c r="D1708" s="1" t="s">
        <v>16</v>
      </c>
      <c r="E1708" s="1" t="s">
        <v>5053</v>
      </c>
      <c r="F1708" s="1" t="str">
        <f>IFERROR(__xludf.DUMMYFUNCTION("GOOGLETRANSLATE(A1708, ""zh-CN"", ""ko"")"),"현대 시대")</f>
        <v>현대 시대</v>
      </c>
    </row>
    <row r="1709" ht="15.75" customHeight="1">
      <c r="A1709" s="1" t="s">
        <v>5054</v>
      </c>
      <c r="B1709" s="1">
        <v>5.0</v>
      </c>
      <c r="C1709" s="1" t="s">
        <v>5055</v>
      </c>
      <c r="D1709" s="1" t="s">
        <v>8</v>
      </c>
      <c r="E1709" s="1" t="s">
        <v>5056</v>
      </c>
      <c r="F1709" s="1" t="str">
        <f>IFERROR(__xludf.DUMMYFUNCTION("GOOGLETRANSLATE(A1709, ""zh-CN"", ""ko"")"),"수입")</f>
        <v>수입</v>
      </c>
    </row>
    <row r="1710" ht="15.75" customHeight="1">
      <c r="A1710" s="1" t="s">
        <v>5057</v>
      </c>
      <c r="B1710" s="1">
        <v>5.0</v>
      </c>
      <c r="C1710" s="1" t="s">
        <v>5058</v>
      </c>
      <c r="D1710" s="1" t="s">
        <v>8</v>
      </c>
      <c r="E1710" s="1" t="s">
        <v>5059</v>
      </c>
      <c r="F1710" s="1" t="str">
        <f>IFERROR(__xludf.DUMMYFUNCTION("GOOGLETRANSLATE(A1710, ""zh-CN"", ""ko"")"),"최선을 다해 보세요")</f>
        <v>최선을 다해 보세요</v>
      </c>
    </row>
    <row r="1711" ht="15.75" customHeight="1">
      <c r="A1711" s="1" t="s">
        <v>5060</v>
      </c>
      <c r="B1711" s="1">
        <v>5.0</v>
      </c>
      <c r="C1711" s="1" t="s">
        <v>5061</v>
      </c>
      <c r="D1711" s="1" t="s">
        <v>33</v>
      </c>
      <c r="E1711" s="1" t="s">
        <v>5062</v>
      </c>
      <c r="F1711" s="1" t="str">
        <f>IFERROR(__xludf.DUMMYFUNCTION("GOOGLETRANSLATE(A1711, ""zh-CN"", ""ko"")"),"최선을 다해 보세요")</f>
        <v>최선을 다해 보세요</v>
      </c>
    </row>
    <row r="1712" ht="15.75" customHeight="1">
      <c r="A1712" s="1" t="s">
        <v>5063</v>
      </c>
      <c r="B1712" s="1">
        <v>5.0</v>
      </c>
      <c r="C1712" s="1" t="s">
        <v>5064</v>
      </c>
      <c r="D1712" s="1" t="s">
        <v>52</v>
      </c>
      <c r="E1712" s="1" t="s">
        <v>5065</v>
      </c>
      <c r="F1712" s="1" t="str">
        <f>IFERROR(__xludf.DUMMYFUNCTION("GOOGLETRANSLATE(A1712, ""zh-CN"", ""ko"")"),"권위 있는")</f>
        <v>권위 있는</v>
      </c>
    </row>
    <row r="1713" ht="15.75" customHeight="1">
      <c r="A1713" s="1" t="s">
        <v>5066</v>
      </c>
      <c r="B1713" s="1">
        <v>5.0</v>
      </c>
      <c r="C1713" s="1" t="s">
        <v>2459</v>
      </c>
      <c r="D1713" s="1" t="s">
        <v>16</v>
      </c>
      <c r="E1713" s="1" t="s">
        <v>5067</v>
      </c>
      <c r="F1713" s="1" t="str">
        <f>IFERROR(__xludf.DUMMYFUNCTION("GOOGLETRANSLATE(A1713, ""zh-CN"", ""ko"")"),"에너지")</f>
        <v>에너지</v>
      </c>
    </row>
    <row r="1714" ht="15.75" customHeight="1">
      <c r="A1714" s="1" t="s">
        <v>5068</v>
      </c>
      <c r="B1714" s="1">
        <v>5.0</v>
      </c>
      <c r="C1714" s="1" t="s">
        <v>5069</v>
      </c>
      <c r="D1714" s="1" t="s">
        <v>8</v>
      </c>
      <c r="E1714" s="1" t="s">
        <v>5070</v>
      </c>
      <c r="F1714" s="1" t="str">
        <f>IFERROR(__xludf.DUMMYFUNCTION("GOOGLETRANSLATE(A1714, ""zh-CN"", ""ko"")"),"사업하기")</f>
        <v>사업하기</v>
      </c>
    </row>
    <row r="1715" ht="15.75" customHeight="1">
      <c r="A1715" s="1" t="s">
        <v>5071</v>
      </c>
      <c r="B1715" s="1">
        <v>5.0</v>
      </c>
      <c r="C1715" s="1" t="s">
        <v>5072</v>
      </c>
      <c r="D1715" s="1" t="s">
        <v>16</v>
      </c>
      <c r="E1715" s="1" t="s">
        <v>5073</v>
      </c>
      <c r="F1715" s="1" t="str">
        <f>IFERROR(__xludf.DUMMYFUNCTION("GOOGLETRANSLATE(A1715, ""zh-CN"", ""ko"")"),"영혼")</f>
        <v>영혼</v>
      </c>
    </row>
    <row r="1716" ht="15.75" customHeight="1">
      <c r="A1716" s="1" t="s">
        <v>5074</v>
      </c>
      <c r="B1716" s="1">
        <v>5.0</v>
      </c>
      <c r="C1716" s="1" t="s">
        <v>5075</v>
      </c>
      <c r="D1716" s="1" t="s">
        <v>8</v>
      </c>
      <c r="E1716" s="1" t="s">
        <v>5076</v>
      </c>
      <c r="F1716" s="1" t="str">
        <f>IFERROR(__xludf.DUMMYFUNCTION("GOOGLETRANSLATE(A1716, ""zh-CN"", ""ko"")"),"사업")</f>
        <v>사업</v>
      </c>
    </row>
    <row r="1717" ht="15.75" customHeight="1">
      <c r="A1717" s="1" t="s">
        <v>5077</v>
      </c>
      <c r="B1717" s="1">
        <v>5.0</v>
      </c>
      <c r="C1717" s="1" t="s">
        <v>5078</v>
      </c>
      <c r="D1717" s="1" t="s">
        <v>16</v>
      </c>
      <c r="E1717" s="1" t="s">
        <v>5079</v>
      </c>
      <c r="F1717" s="1" t="str">
        <f>IFERROR(__xludf.DUMMYFUNCTION("GOOGLETRANSLATE(A1717, ""zh-CN"", ""ko"")"),"술집")</f>
        <v>술집</v>
      </c>
    </row>
    <row r="1718" ht="15.75" customHeight="1">
      <c r="A1718" s="1" t="s">
        <v>5080</v>
      </c>
      <c r="B1718" s="1">
        <v>5.0</v>
      </c>
      <c r="C1718" s="1" t="s">
        <v>617</v>
      </c>
      <c r="D1718" s="1" t="s">
        <v>8</v>
      </c>
      <c r="E1718" s="1" t="s">
        <v>5081</v>
      </c>
      <c r="F1718" s="1" t="str">
        <f>IFERROR(__xludf.DUMMYFUNCTION("GOOGLETRANSLATE(A1718, ""zh-CN"", ""ko"")"),"구하다")</f>
        <v>구하다</v>
      </c>
    </row>
    <row r="1719" ht="15.75" customHeight="1">
      <c r="A1719" s="1" t="s">
        <v>5082</v>
      </c>
      <c r="B1719" s="1">
        <v>5.0</v>
      </c>
      <c r="C1719" s="1" t="s">
        <v>5083</v>
      </c>
      <c r="D1719" s="1" t="s">
        <v>16</v>
      </c>
      <c r="E1719" s="1" t="s">
        <v>5084</v>
      </c>
      <c r="F1719" s="1" t="str">
        <f>IFERROR(__xludf.DUMMYFUNCTION("GOOGLETRANSLATE(A1719, ""zh-CN"", ""ko"")"),"구급차")</f>
        <v>구급차</v>
      </c>
    </row>
    <row r="1720" ht="15.75" customHeight="1">
      <c r="A1720" s="1" t="s">
        <v>5085</v>
      </c>
      <c r="B1720" s="1">
        <v>5.0</v>
      </c>
      <c r="C1720" s="1" t="s">
        <v>5086</v>
      </c>
      <c r="D1720" s="1" t="s">
        <v>16</v>
      </c>
      <c r="E1720" s="1" t="s">
        <v>5087</v>
      </c>
      <c r="F1720" s="1" t="str">
        <f>IFERROR(__xludf.DUMMYFUNCTION("GOOGLETRANSLATE(A1720, ""zh-CN"", ""ko"")"),"삼촌")</f>
        <v>삼촌</v>
      </c>
    </row>
    <row r="1721" ht="15.75" customHeight="1">
      <c r="A1721" s="1" t="s">
        <v>5088</v>
      </c>
      <c r="B1721" s="1">
        <v>5.0</v>
      </c>
      <c r="C1721" s="1" t="s">
        <v>5089</v>
      </c>
      <c r="D1721" s="1" t="s">
        <v>33</v>
      </c>
      <c r="E1721" s="1" t="s">
        <v>5090</v>
      </c>
      <c r="F1721" s="1" t="str">
        <f>IFERROR(__xludf.DUMMYFUNCTION("GOOGLETRANSLATE(A1721, ""zh-CN"", ""ko"")"),"놀랍게도")</f>
        <v>놀랍게도</v>
      </c>
    </row>
    <row r="1722" ht="15.75" customHeight="1">
      <c r="A1722" s="1" t="s">
        <v>5091</v>
      </c>
      <c r="B1722" s="1">
        <v>5.0</v>
      </c>
      <c r="C1722" s="1" t="s">
        <v>5092</v>
      </c>
      <c r="D1722" s="1" t="s">
        <v>16</v>
      </c>
      <c r="E1722" s="1" t="s">
        <v>5093</v>
      </c>
      <c r="F1722" s="1" t="str">
        <f>IFERROR(__xludf.DUMMYFUNCTION("GOOGLETRANSLATE(A1722, ""zh-CN"", ""ko"")"),"주황색")</f>
        <v>주황색</v>
      </c>
    </row>
    <row r="1723" ht="15.75" customHeight="1">
      <c r="A1723" s="1" t="s">
        <v>5094</v>
      </c>
      <c r="B1723" s="1">
        <v>5.0</v>
      </c>
      <c r="C1723" s="1" t="s">
        <v>5095</v>
      </c>
      <c r="D1723" s="1" t="s">
        <v>8</v>
      </c>
      <c r="E1723" s="1" t="s">
        <v>5096</v>
      </c>
      <c r="F1723" s="1" t="str">
        <f>IFERROR(__xludf.DUMMYFUNCTION("GOOGLETRANSLATE(A1723, ""zh-CN"", ""ko"")"),"가지다")</f>
        <v>가지다</v>
      </c>
    </row>
    <row r="1724" ht="15.75" customHeight="1">
      <c r="A1724" s="1" t="s">
        <v>5097</v>
      </c>
      <c r="B1724" s="1">
        <v>5.0</v>
      </c>
      <c r="C1724" s="1" t="s">
        <v>5098</v>
      </c>
      <c r="D1724" s="1" t="s">
        <v>52</v>
      </c>
      <c r="E1724" s="1" t="s">
        <v>5099</v>
      </c>
      <c r="F1724" s="1" t="str">
        <f>IFERROR(__xludf.DUMMYFUNCTION("GOOGLETRANSLATE(A1724, ""zh-CN"", ""ko"")"),"거대한")</f>
        <v>거대한</v>
      </c>
    </row>
    <row r="1725" ht="15.75" customHeight="1">
      <c r="A1725" s="1" t="s">
        <v>5100</v>
      </c>
      <c r="B1725" s="1">
        <v>5.0</v>
      </c>
      <c r="C1725" s="1" t="s">
        <v>5101</v>
      </c>
      <c r="D1725" s="1" t="s">
        <v>16</v>
      </c>
      <c r="E1725" s="1" t="s">
        <v>5102</v>
      </c>
      <c r="F1725" s="1" t="str">
        <f>IFERROR(__xludf.DUMMYFUNCTION("GOOGLETRANSLATE(A1725, ""zh-CN"", ""ko"")"),"클럽")</f>
        <v>클럽</v>
      </c>
    </row>
    <row r="1726" ht="15.75" customHeight="1">
      <c r="A1726" s="1" t="s">
        <v>5103</v>
      </c>
      <c r="B1726" s="1">
        <v>5.0</v>
      </c>
      <c r="C1726" s="1" t="s">
        <v>5104</v>
      </c>
      <c r="D1726" s="1" t="s">
        <v>8</v>
      </c>
      <c r="E1726" s="1" t="s">
        <v>5105</v>
      </c>
      <c r="F1726" s="1" t="str">
        <f>IFERROR(__xludf.DUMMYFUNCTION("GOOGLETRANSLATE(A1726, ""zh-CN"", ""ko"")"),"전해진다")</f>
        <v>전해진다</v>
      </c>
    </row>
    <row r="1727" ht="15.75" customHeight="1">
      <c r="A1727" s="1" t="s">
        <v>5106</v>
      </c>
      <c r="B1727" s="1">
        <v>5.0</v>
      </c>
      <c r="C1727" s="1" t="s">
        <v>5107</v>
      </c>
      <c r="D1727" s="1" t="s">
        <v>52</v>
      </c>
      <c r="E1727" s="1" t="s">
        <v>5108</v>
      </c>
      <c r="F1727" s="1" t="str">
        <f>IFERROR(__xludf.DUMMYFUNCTION("GOOGLETRANSLATE(A1727, ""zh-CN"", ""ko"")"),"특정한")</f>
        <v>특정한</v>
      </c>
    </row>
    <row r="1728" ht="15.75" customHeight="1">
      <c r="A1728" s="1" t="s">
        <v>5109</v>
      </c>
      <c r="B1728" s="1">
        <v>5.0</v>
      </c>
      <c r="C1728" s="1" t="s">
        <v>5110</v>
      </c>
      <c r="D1728" s="1" t="s">
        <v>8</v>
      </c>
      <c r="E1728" s="1" t="s">
        <v>5111</v>
      </c>
      <c r="F1728" s="1" t="str">
        <f>IFERROR(__xludf.DUMMYFUNCTION("GOOGLETRANSLATE(A1728, ""zh-CN"", ""ko"")"),"기부하세요")</f>
        <v>기부하세요</v>
      </c>
    </row>
    <row r="1729" ht="15.75" customHeight="1">
      <c r="A1729" s="1" t="s">
        <v>5112</v>
      </c>
      <c r="B1729" s="1">
        <v>5.0</v>
      </c>
      <c r="C1729" s="1" t="s">
        <v>5113</v>
      </c>
      <c r="D1729" s="1" t="s">
        <v>33</v>
      </c>
      <c r="E1729" s="1" t="s">
        <v>5114</v>
      </c>
      <c r="F1729" s="1" t="str">
        <f>IFERROR(__xludf.DUMMYFUNCTION("GOOGLETRANSLATE(A1729, ""zh-CN"", ""ko"")"),"순수한")</f>
        <v>순수한</v>
      </c>
    </row>
    <row r="1730" ht="15.75" customHeight="1">
      <c r="A1730" s="1" t="s">
        <v>5115</v>
      </c>
      <c r="B1730" s="1">
        <v>5.0</v>
      </c>
      <c r="C1730" s="1" t="s">
        <v>5116</v>
      </c>
      <c r="D1730" s="1" t="s">
        <v>16</v>
      </c>
      <c r="E1730" s="1" t="s">
        <v>5117</v>
      </c>
      <c r="F1730" s="1" t="str">
        <f>IFERROR(__xludf.DUMMYFUNCTION("GOOGLETRANSLATE(A1730, ""zh-CN"", ""ko"")"),"결승")</f>
        <v>결승</v>
      </c>
    </row>
    <row r="1731" ht="15.75" customHeight="1">
      <c r="A1731" s="1" t="s">
        <v>5118</v>
      </c>
      <c r="B1731" s="1">
        <v>5.0</v>
      </c>
      <c r="C1731" s="1" t="s">
        <v>5119</v>
      </c>
      <c r="D1731" s="1" t="s">
        <v>16</v>
      </c>
      <c r="E1731" s="1" t="s">
        <v>5120</v>
      </c>
      <c r="F1731" s="1" t="str">
        <f>IFERROR(__xludf.DUMMYFUNCTION("GOOGLETRANSLATE(A1731, ""zh-CN"", ""ko"")"),"역할")</f>
        <v>역할</v>
      </c>
    </row>
    <row r="1732" ht="15.75" customHeight="1">
      <c r="A1732" s="1" t="s">
        <v>5121</v>
      </c>
      <c r="B1732" s="1">
        <v>5.0</v>
      </c>
      <c r="C1732" s="1" t="s">
        <v>5122</v>
      </c>
      <c r="D1732" s="1" t="s">
        <v>16</v>
      </c>
      <c r="E1732" s="1" t="s">
        <v>5123</v>
      </c>
      <c r="F1732" s="1" t="str">
        <f>IFERROR(__xludf.DUMMYFUNCTION("GOOGLETRANSLATE(A1732, ""zh-CN"", ""ko"")"),"결정")</f>
        <v>결정</v>
      </c>
    </row>
    <row r="1733" ht="15.75" customHeight="1">
      <c r="A1733" s="1" t="s">
        <v>5124</v>
      </c>
      <c r="B1733" s="1">
        <v>5.0</v>
      </c>
      <c r="C1733" s="1" t="s">
        <v>5125</v>
      </c>
      <c r="D1733" s="1" t="s">
        <v>16</v>
      </c>
      <c r="E1733" s="1" t="s">
        <v>5126</v>
      </c>
      <c r="F1733" s="1" t="str">
        <f>IFERROR(__xludf.DUMMYFUNCTION("GOOGLETRANSLATE(A1733, ""zh-CN"", ""ko"")"),"군대")</f>
        <v>군대</v>
      </c>
    </row>
    <row r="1734" ht="15.75" customHeight="1">
      <c r="A1734" s="1" t="s">
        <v>5127</v>
      </c>
      <c r="B1734" s="1">
        <v>5.0</v>
      </c>
      <c r="C1734" s="1" t="s">
        <v>5128</v>
      </c>
      <c r="D1734" s="1" t="s">
        <v>52</v>
      </c>
      <c r="E1734" s="1" t="s">
        <v>5129</v>
      </c>
      <c r="F1734" s="1" t="str">
        <f>IFERROR(__xludf.DUMMYFUNCTION("GOOGLETRANSLATE(A1734, ""zh-CN"", ""ko"")"),"제복")</f>
        <v>제복</v>
      </c>
    </row>
    <row r="1735" ht="15.75" customHeight="1">
      <c r="A1735" s="1" t="s">
        <v>5130</v>
      </c>
      <c r="B1735" s="1">
        <v>5.0</v>
      </c>
      <c r="C1735" s="1" t="s">
        <v>5131</v>
      </c>
      <c r="D1735" s="1" t="s">
        <v>16</v>
      </c>
      <c r="E1735" s="1" t="s">
        <v>5132</v>
      </c>
      <c r="F1735" s="1" t="str">
        <f>IFERROR(__xludf.DUMMYFUNCTION("GOOGLETRANSLATE(A1735, ""zh-CN"", ""ko"")"),"트럭")</f>
        <v>트럭</v>
      </c>
    </row>
    <row r="1736" ht="15.75" customHeight="1">
      <c r="A1736" s="1" t="s">
        <v>5133</v>
      </c>
      <c r="B1736" s="1">
        <v>5.0</v>
      </c>
      <c r="C1736" s="1" t="s">
        <v>5134</v>
      </c>
      <c r="D1736" s="1" t="s">
        <v>8</v>
      </c>
      <c r="E1736" s="1" t="s">
        <v>5135</v>
      </c>
      <c r="F1736" s="1" t="str">
        <f>IFERROR(__xludf.DUMMYFUNCTION("GOOGLETRANSLATE(A1736, ""zh-CN"", ""ko"")"),"개발")</f>
        <v>개발</v>
      </c>
    </row>
    <row r="1737" ht="15.75" customHeight="1">
      <c r="A1737" s="1" t="s">
        <v>5136</v>
      </c>
      <c r="B1737" s="1">
        <v>5.0</v>
      </c>
      <c r="C1737" s="1" t="s">
        <v>5137</v>
      </c>
      <c r="D1737" s="1" t="s">
        <v>1003</v>
      </c>
      <c r="E1737" s="1" t="s">
        <v>5138</v>
      </c>
      <c r="F1737" s="1" t="str">
        <f>IFERROR(__xludf.DUMMYFUNCTION("GOOGLETRANSLATE(A1737, ""zh-CN"", ""ko"")"),"열려 있는")</f>
        <v>열려 있는</v>
      </c>
    </row>
    <row r="1738" ht="15.75" customHeight="1">
      <c r="A1738" s="1" t="s">
        <v>5139</v>
      </c>
      <c r="B1738" s="1">
        <v>5.0</v>
      </c>
      <c r="C1738" s="1" t="s">
        <v>5140</v>
      </c>
      <c r="D1738" s="1" t="s">
        <v>16</v>
      </c>
      <c r="E1738" s="1" t="s">
        <v>5141</v>
      </c>
      <c r="F1738" s="1" t="str">
        <f>IFERROR(__xludf.DUMMYFUNCTION("GOOGLETRANSLATE(A1738, ""zh-CN"", ""ko"")"),"개막식")</f>
        <v>개막식</v>
      </c>
    </row>
    <row r="1739" ht="15.75" customHeight="1">
      <c r="A1739" s="1" t="s">
        <v>5142</v>
      </c>
      <c r="B1739" s="1">
        <v>5.0</v>
      </c>
      <c r="C1739" s="1" t="s">
        <v>5143</v>
      </c>
      <c r="D1739" s="1" t="s">
        <v>16</v>
      </c>
      <c r="E1739" s="1" t="s">
        <v>5144</v>
      </c>
      <c r="F1739" s="1" t="str">
        <f>IFERROR(__xludf.DUMMYFUNCTION("GOOGLETRANSLATE(A1739, ""zh-CN"", ""ko"")"),"끓는 물")</f>
        <v>끓는 물</v>
      </c>
    </row>
    <row r="1740" ht="15.75" customHeight="1">
      <c r="A1740" s="1" t="s">
        <v>5145</v>
      </c>
      <c r="B1740" s="1">
        <v>5.0</v>
      </c>
      <c r="C1740" s="1" t="s">
        <v>5146</v>
      </c>
      <c r="D1740" s="1" t="s">
        <v>8</v>
      </c>
      <c r="E1740" s="1" t="s">
        <v>5147</v>
      </c>
      <c r="F1740" s="1" t="str">
        <f>IFERROR(__xludf.DUMMYFUNCTION("GOOGLETRANSLATE(A1740, ""zh-CN"", ""ko"")"),"자르다")</f>
        <v>자르다</v>
      </c>
    </row>
    <row r="1741" ht="15.75" customHeight="1">
      <c r="A1741" s="1" t="s">
        <v>5148</v>
      </c>
      <c r="B1741" s="1">
        <v>5.0</v>
      </c>
      <c r="C1741" s="1" t="s">
        <v>5149</v>
      </c>
      <c r="D1741" s="1" t="s">
        <v>8</v>
      </c>
      <c r="E1741" s="1" t="s">
        <v>5150</v>
      </c>
      <c r="F1741" s="1" t="str">
        <f>IFERROR(__xludf.DUMMYFUNCTION("GOOGLETRANSLATE(A1741, ""zh-CN"", ""ko"")"),"경멸하다")</f>
        <v>경멸하다</v>
      </c>
    </row>
    <row r="1742" ht="15.75" customHeight="1">
      <c r="A1742" s="1" t="s">
        <v>5151</v>
      </c>
      <c r="B1742" s="1">
        <v>5.0</v>
      </c>
      <c r="C1742" s="1" t="s">
        <v>5152</v>
      </c>
      <c r="D1742" s="1" t="s">
        <v>8</v>
      </c>
      <c r="E1742" s="1" t="s">
        <v>5153</v>
      </c>
      <c r="F1742" s="1" t="str">
        <f>IFERROR(__xludf.DUMMYFUNCTION("GOOGLETRANSLATE(A1742, ""zh-CN"", ""ko"")"),"방문하다")</f>
        <v>방문하다</v>
      </c>
    </row>
    <row r="1743" ht="15.75" customHeight="1">
      <c r="A1743" s="1" t="s">
        <v>5154</v>
      </c>
      <c r="B1743" s="1">
        <v>5.0</v>
      </c>
      <c r="C1743" s="1" t="s">
        <v>5155</v>
      </c>
      <c r="D1743" s="1" t="s">
        <v>8</v>
      </c>
      <c r="E1743" s="1" t="s">
        <v>5156</v>
      </c>
      <c r="F1743" s="1" t="str">
        <f>IFERROR(__xludf.DUMMYFUNCTION("GOOGLETRANSLATE(A1743, ""zh-CN"", ""ko"")"),"~에 의존하다")</f>
        <v>~에 의존하다</v>
      </c>
    </row>
    <row r="1744" ht="15.75" customHeight="1">
      <c r="A1744" s="1" t="s">
        <v>5157</v>
      </c>
      <c r="B1744" s="1">
        <v>5.0</v>
      </c>
      <c r="C1744" s="1" t="s">
        <v>2514</v>
      </c>
      <c r="D1744" s="1" t="s">
        <v>26</v>
      </c>
      <c r="E1744" s="1" t="s">
        <v>5158</v>
      </c>
      <c r="F1744" s="1" t="str">
        <f>IFERROR(__xludf.DUMMYFUNCTION("GOOGLETRANSLATE(A1744, ""zh-CN"", ""ko"")"),"곡물")</f>
        <v>곡물</v>
      </c>
    </row>
    <row r="1745" ht="15.75" customHeight="1">
      <c r="A1745" s="1" t="s">
        <v>5159</v>
      </c>
      <c r="B1745" s="1">
        <v>5.0</v>
      </c>
      <c r="C1745" s="1" t="s">
        <v>5160</v>
      </c>
      <c r="D1745" s="1" t="s">
        <v>1473</v>
      </c>
      <c r="E1745" s="1" t="s">
        <v>5161</v>
      </c>
      <c r="F1745" s="1" t="str">
        <f>IFERROR(__xludf.DUMMYFUNCTION("GOOGLETRANSLATE(A1745, ""zh-CN"", ""ko"")"),"보이는")</f>
        <v>보이는</v>
      </c>
    </row>
    <row r="1746" ht="15.75" customHeight="1">
      <c r="A1746" s="1" t="s">
        <v>5162</v>
      </c>
      <c r="B1746" s="1">
        <v>5.0</v>
      </c>
      <c r="C1746" s="1" t="s">
        <v>5163</v>
      </c>
      <c r="D1746" s="1" t="s">
        <v>52</v>
      </c>
      <c r="E1746" s="1" t="s">
        <v>5164</v>
      </c>
      <c r="F1746" s="1" t="str">
        <f>IFERROR(__xludf.DUMMYFUNCTION("GOOGLETRANSLATE(A1746, ""zh-CN"", ""ko"")"),"믿을 수 있는")</f>
        <v>믿을 수 있는</v>
      </c>
    </row>
    <row r="1747" ht="15.75" customHeight="1">
      <c r="A1747" s="1" t="s">
        <v>5165</v>
      </c>
      <c r="B1747" s="1">
        <v>5.0</v>
      </c>
      <c r="C1747" s="1" t="s">
        <v>5166</v>
      </c>
      <c r="D1747" s="1" t="s">
        <v>52</v>
      </c>
      <c r="E1747" s="1" t="s">
        <v>5167</v>
      </c>
      <c r="F1747" s="1" t="str">
        <f>IFERROR(__xludf.DUMMYFUNCTION("GOOGLETRANSLATE(A1747, ""zh-CN"", ""ko"")"),"끔찍해")</f>
        <v>끔찍해</v>
      </c>
    </row>
    <row r="1748" ht="15.75" customHeight="1">
      <c r="A1748" s="1" t="s">
        <v>5168</v>
      </c>
      <c r="B1748" s="1">
        <v>5.0</v>
      </c>
      <c r="C1748" s="1" t="s">
        <v>638</v>
      </c>
      <c r="D1748" s="1" t="s">
        <v>26</v>
      </c>
      <c r="E1748" s="1" t="s">
        <v>5169</v>
      </c>
      <c r="F1748" s="1" t="str">
        <f>IFERROR(__xludf.DUMMYFUNCTION("GOOGLETRANSLATE(A1748, ""zh-CN"", ""ko"")"),"그램")</f>
        <v>그램</v>
      </c>
    </row>
    <row r="1749" ht="15.75" customHeight="1">
      <c r="A1749" s="1" t="s">
        <v>5170</v>
      </c>
      <c r="B1749" s="1">
        <v>5.0</v>
      </c>
      <c r="C1749" s="1" t="s">
        <v>5171</v>
      </c>
      <c r="D1749" s="1" t="s">
        <v>16</v>
      </c>
      <c r="E1749" s="1" t="s">
        <v>5172</v>
      </c>
      <c r="F1749" s="1" t="str">
        <f>IFERROR(__xludf.DUMMYFUNCTION("GOOGLETRANSLATE(A1749, ""zh-CN"", ""ko"")"),"강의")</f>
        <v>강의</v>
      </c>
    </row>
    <row r="1750" ht="15.75" customHeight="1">
      <c r="A1750" s="1" t="s">
        <v>5173</v>
      </c>
      <c r="B1750" s="1">
        <v>5.0</v>
      </c>
      <c r="C1750" s="1" t="s">
        <v>5174</v>
      </c>
      <c r="D1750" s="1" t="s">
        <v>8</v>
      </c>
      <c r="E1750" s="1" t="s">
        <v>5175</v>
      </c>
      <c r="F1750" s="1" t="str">
        <f>IFERROR(__xludf.DUMMYFUNCTION("GOOGLETRANSLATE(A1750, ""zh-CN"", ""ko"")"),"극복하다")</f>
        <v>극복하다</v>
      </c>
    </row>
    <row r="1751" ht="15.75" customHeight="1">
      <c r="A1751" s="1" t="s">
        <v>5176</v>
      </c>
      <c r="B1751" s="1">
        <v>5.0</v>
      </c>
      <c r="C1751" s="1" t="s">
        <v>5177</v>
      </c>
      <c r="D1751" s="1" t="s">
        <v>52</v>
      </c>
      <c r="E1751" s="1" t="s">
        <v>5178</v>
      </c>
      <c r="F1751" s="1" t="str">
        <f>IFERROR(__xludf.DUMMYFUNCTION("GOOGLETRANSLATE(A1751, ""zh-CN"", ""ko"")"),"목적")</f>
        <v>목적</v>
      </c>
    </row>
    <row r="1752" ht="15.75" customHeight="1">
      <c r="A1752" s="1" t="s">
        <v>5179</v>
      </c>
      <c r="B1752" s="1">
        <v>5.0</v>
      </c>
      <c r="C1752" s="1" t="s">
        <v>5180</v>
      </c>
      <c r="D1752" s="1" t="s">
        <v>52</v>
      </c>
      <c r="E1752" s="1" t="s">
        <v>5181</v>
      </c>
      <c r="F1752" s="1" t="str">
        <f>IFERROR(__xludf.DUMMYFUNCTION("GOOGLETRANSLATE(A1752, ""zh-CN"", ""ko"")"),"노력")</f>
        <v>노력</v>
      </c>
    </row>
    <row r="1753" ht="15.75" customHeight="1">
      <c r="A1753" s="1" t="s">
        <v>5182</v>
      </c>
      <c r="B1753" s="1">
        <v>5.0</v>
      </c>
      <c r="C1753" s="1" t="s">
        <v>5183</v>
      </c>
      <c r="D1753" s="1" t="s">
        <v>16</v>
      </c>
      <c r="E1753" s="1" t="s">
        <v>5184</v>
      </c>
      <c r="F1753" s="1" t="str">
        <f>IFERROR(__xludf.DUMMYFUNCTION("GOOGLETRANSLATE(A1753, ""zh-CN"", ""ko"")"),"공간")</f>
        <v>공간</v>
      </c>
    </row>
    <row r="1754" ht="15.75" customHeight="1">
      <c r="A1754" s="1" t="s">
        <v>5185</v>
      </c>
      <c r="B1754" s="1">
        <v>5.0</v>
      </c>
      <c r="C1754" s="1" t="s">
        <v>5186</v>
      </c>
      <c r="D1754" s="1" t="s">
        <v>52</v>
      </c>
      <c r="E1754" s="1" t="s">
        <v>5187</v>
      </c>
      <c r="F1754" s="1" t="str">
        <f>IFERROR(__xludf.DUMMYFUNCTION("GOOGLETRANSLATE(A1754, ""zh-CN"", ""ko"")"),"게으른")</f>
        <v>게으른</v>
      </c>
    </row>
    <row r="1755" ht="15.75" customHeight="1">
      <c r="A1755" s="1" t="s">
        <v>5188</v>
      </c>
      <c r="B1755" s="1">
        <v>5.0</v>
      </c>
      <c r="C1755" s="1" t="s">
        <v>5189</v>
      </c>
      <c r="D1755" s="1" t="s">
        <v>8</v>
      </c>
      <c r="E1755" s="1" t="s">
        <v>5190</v>
      </c>
      <c r="F1755" s="1" t="str">
        <f>IFERROR(__xludf.DUMMYFUNCTION("GOOGLETRANSLATE(A1755, ""zh-CN"", ""ko"")"),"제어")</f>
        <v>제어</v>
      </c>
    </row>
    <row r="1756" ht="15.75" customHeight="1">
      <c r="A1756" s="1" t="s">
        <v>5191</v>
      </c>
      <c r="B1756" s="1">
        <v>5.0</v>
      </c>
      <c r="C1756" s="1" t="s">
        <v>5192</v>
      </c>
      <c r="D1756" s="1" t="s">
        <v>16</v>
      </c>
      <c r="E1756" s="1" t="s">
        <v>5193</v>
      </c>
      <c r="F1756" s="1" t="str">
        <f>IFERROR(__xludf.DUMMYFUNCTION("GOOGLETRANSLATE(A1756, ""zh-CN"", ""ko"")"),"맛")</f>
        <v>맛</v>
      </c>
    </row>
    <row r="1757" ht="15.75" customHeight="1">
      <c r="A1757" s="1" t="s">
        <v>5194</v>
      </c>
      <c r="B1757" s="1">
        <v>5.0</v>
      </c>
      <c r="C1757" s="1" t="s">
        <v>5195</v>
      </c>
      <c r="D1757" s="1" t="s">
        <v>8</v>
      </c>
      <c r="E1757" s="1" t="s">
        <v>5196</v>
      </c>
      <c r="F1757" s="1" t="str">
        <f>IFERROR(__xludf.DUMMYFUNCTION("GOOGLETRANSLATE(A1757, ""zh-CN"", ""ko"")"),"자랑")</f>
        <v>자랑</v>
      </c>
    </row>
    <row r="1758" ht="15.75" customHeight="1">
      <c r="A1758" s="1" t="s">
        <v>5197</v>
      </c>
      <c r="B1758" s="1">
        <v>5.0</v>
      </c>
      <c r="C1758" s="1" t="s">
        <v>5198</v>
      </c>
      <c r="D1758" s="1" t="s">
        <v>52</v>
      </c>
      <c r="E1758" s="1" t="s">
        <v>5199</v>
      </c>
      <c r="F1758" s="1" t="str">
        <f>IFERROR(__xludf.DUMMYFUNCTION("GOOGLETRANSLATE(A1758, ""zh-CN"", ""ko"")"),"과장하다")</f>
        <v>과장하다</v>
      </c>
    </row>
    <row r="1759" ht="15.75" customHeight="1">
      <c r="A1759" s="1" t="s">
        <v>5200</v>
      </c>
      <c r="B1759" s="1">
        <v>5.0</v>
      </c>
      <c r="C1759" s="1" t="s">
        <v>5201</v>
      </c>
      <c r="D1759" s="1" t="s">
        <v>16</v>
      </c>
      <c r="E1759" s="1" t="s">
        <v>5202</v>
      </c>
      <c r="F1759" s="1" t="str">
        <f>IFERROR(__xludf.DUMMYFUNCTION("GOOGLETRANSLATE(A1759, ""zh-CN"", ""ko"")"),"회계")</f>
        <v>회계</v>
      </c>
    </row>
    <row r="1760" ht="15.75" customHeight="1">
      <c r="A1760" s="1" t="s">
        <v>5203</v>
      </c>
      <c r="B1760" s="1">
        <v>5.0</v>
      </c>
      <c r="C1760" s="1" t="s">
        <v>5204</v>
      </c>
      <c r="D1760" s="1" t="s">
        <v>52</v>
      </c>
      <c r="E1760" s="1" t="s">
        <v>5205</v>
      </c>
      <c r="F1760" s="1" t="str">
        <f>IFERROR(__xludf.DUMMYFUNCTION("GOOGLETRANSLATE(A1760, ""zh-CN"", ""ko"")"),"너비")</f>
        <v>너비</v>
      </c>
    </row>
    <row r="1761" ht="15.75" customHeight="1">
      <c r="A1761" s="1" t="s">
        <v>5206</v>
      </c>
      <c r="B1761" s="1">
        <v>5.0</v>
      </c>
      <c r="C1761" s="1" t="s">
        <v>5207</v>
      </c>
      <c r="D1761" s="1" t="s">
        <v>16</v>
      </c>
      <c r="E1761" s="1" t="s">
        <v>5208</v>
      </c>
      <c r="F1761" s="1" t="str">
        <f>IFERROR(__xludf.DUMMYFUNCTION("GOOGLETRANSLATE(A1761, ""zh-CN"", ""ko"")"),"곤충")</f>
        <v>곤충</v>
      </c>
    </row>
    <row r="1762" ht="15.75" customHeight="1">
      <c r="A1762" s="1" t="s">
        <v>5209</v>
      </c>
      <c r="B1762" s="1">
        <v>5.0</v>
      </c>
      <c r="C1762" s="1" t="s">
        <v>5210</v>
      </c>
      <c r="D1762" s="1" t="s">
        <v>8</v>
      </c>
      <c r="E1762" s="1" t="s">
        <v>5211</v>
      </c>
      <c r="F1762" s="1" t="str">
        <f>IFERROR(__xludf.DUMMYFUNCTION("GOOGLETRANSLATE(A1762, ""zh-CN"", ""ko"")"),"확장하다")</f>
        <v>확장하다</v>
      </c>
    </row>
    <row r="1763" ht="15.75" customHeight="1">
      <c r="A1763" s="1" t="s">
        <v>5212</v>
      </c>
      <c r="B1763" s="1">
        <v>5.0</v>
      </c>
      <c r="C1763" s="1" t="s">
        <v>5213</v>
      </c>
      <c r="D1763" s="1" t="s">
        <v>16</v>
      </c>
      <c r="E1763" s="1" t="s">
        <v>5214</v>
      </c>
      <c r="F1763" s="1" t="str">
        <f>IFERROR(__xludf.DUMMYFUNCTION("GOOGLETRANSLATE(A1763, ""zh-CN"", ""ko"")"),"칠리")</f>
        <v>칠리</v>
      </c>
    </row>
    <row r="1764" ht="15.75" customHeight="1">
      <c r="A1764" s="1" t="s">
        <v>5215</v>
      </c>
      <c r="B1764" s="1">
        <v>5.0</v>
      </c>
      <c r="C1764" s="1" t="s">
        <v>1337</v>
      </c>
      <c r="D1764" s="1" t="s">
        <v>8</v>
      </c>
      <c r="E1764" s="1" t="s">
        <v>5216</v>
      </c>
      <c r="F1764" s="1" t="str">
        <f>IFERROR(__xludf.DUMMYFUNCTION("GOOGLETRANSLATE(A1764, ""zh-CN"", ""ko"")"),"술집")</f>
        <v>술집</v>
      </c>
    </row>
    <row r="1765" ht="15.75" customHeight="1">
      <c r="A1765" s="1" t="s">
        <v>5217</v>
      </c>
      <c r="B1765" s="1">
        <v>5.0</v>
      </c>
      <c r="C1765" s="1" t="s">
        <v>5218</v>
      </c>
      <c r="D1765" s="1" t="s">
        <v>52</v>
      </c>
      <c r="E1765" s="1" t="s">
        <v>5219</v>
      </c>
      <c r="F1765" s="1" t="str">
        <f>IFERROR(__xludf.DUMMYFUNCTION("GOOGLETRANSLATE(A1765, ""zh-CN"", ""ko"")"),"썩은")</f>
        <v>썩은</v>
      </c>
    </row>
    <row r="1766" ht="15.75" customHeight="1">
      <c r="A1766" s="1" t="s">
        <v>5220</v>
      </c>
      <c r="B1766" s="1">
        <v>5.0</v>
      </c>
      <c r="C1766" s="1" t="s">
        <v>5221</v>
      </c>
      <c r="D1766" s="1" t="s">
        <v>8</v>
      </c>
      <c r="E1766" s="1" t="s">
        <v>5222</v>
      </c>
      <c r="F1766" s="1" t="str">
        <f>IFERROR(__xludf.DUMMYFUNCTION("GOOGLETRANSLATE(A1766, ""zh-CN"", ""ko"")"),"소리내어 읽으세요")</f>
        <v>소리내어 읽으세요</v>
      </c>
    </row>
    <row r="1767" ht="15.75" customHeight="1">
      <c r="A1767" s="1" t="s">
        <v>5223</v>
      </c>
      <c r="B1767" s="1">
        <v>5.0</v>
      </c>
      <c r="C1767" s="1" t="s">
        <v>5224</v>
      </c>
      <c r="D1767" s="1" t="s">
        <v>8</v>
      </c>
      <c r="E1767" s="1" t="s">
        <v>5225</v>
      </c>
      <c r="F1767" s="1" t="str">
        <f>IFERROR(__xludf.DUMMYFUNCTION("GOOGLETRANSLATE(A1767, ""zh-CN"", ""ko"")"),"노동")</f>
        <v>노동</v>
      </c>
    </row>
    <row r="1768" ht="15.75" customHeight="1">
      <c r="A1768" s="1" t="s">
        <v>5226</v>
      </c>
      <c r="B1768" s="1">
        <v>5.0</v>
      </c>
      <c r="C1768" s="1" t="s">
        <v>5227</v>
      </c>
      <c r="D1768" s="1" t="s">
        <v>8</v>
      </c>
      <c r="E1768" s="1" t="s">
        <v>5228</v>
      </c>
      <c r="F1768" s="1" t="str">
        <f>IFERROR(__xludf.DUMMYFUNCTION("GOOGLETRANSLATE(A1768, ""zh-CN"", ""ko"")"),"실례합니다")</f>
        <v>실례합니다</v>
      </c>
    </row>
    <row r="1769" ht="15.75" customHeight="1">
      <c r="A1769" s="1" t="s">
        <v>5229</v>
      </c>
      <c r="B1769" s="1">
        <v>5.0</v>
      </c>
      <c r="C1769" s="1" t="s">
        <v>5230</v>
      </c>
      <c r="D1769" s="1" t="s">
        <v>16</v>
      </c>
      <c r="E1769" s="1" t="s">
        <v>5231</v>
      </c>
      <c r="F1769" s="1" t="str">
        <f>IFERROR(__xludf.DUMMYFUNCTION("GOOGLETRANSLATE(A1769, ""zh-CN"", ""ko"")"),"평범한 사람들")</f>
        <v>평범한 사람들</v>
      </c>
    </row>
    <row r="1770" ht="15.75" customHeight="1">
      <c r="A1770" s="1" t="s">
        <v>5232</v>
      </c>
      <c r="B1770" s="1">
        <v>5.0</v>
      </c>
      <c r="C1770" s="1" t="s">
        <v>5233</v>
      </c>
      <c r="D1770" s="1" t="s">
        <v>16</v>
      </c>
      <c r="E1770" s="1" t="s">
        <v>5234</v>
      </c>
      <c r="F1770" s="1" t="str">
        <f>IFERROR(__xludf.DUMMYFUNCTION("GOOGLETRANSLATE(A1770, ""zh-CN"", ""ko"")"),"사장")</f>
        <v>사장</v>
      </c>
    </row>
    <row r="1771" ht="15.75" customHeight="1">
      <c r="A1771" s="1" t="s">
        <v>5235</v>
      </c>
      <c r="B1771" s="1">
        <v>5.0</v>
      </c>
      <c r="C1771" s="1" t="s">
        <v>5236</v>
      </c>
      <c r="D1771" s="1" t="s">
        <v>16</v>
      </c>
      <c r="E1771" s="1" t="s">
        <v>5237</v>
      </c>
      <c r="F1771" s="1" t="str">
        <f>IFERROR(__xludf.DUMMYFUNCTION("GOOGLETRANSLATE(A1771, ""zh-CN"", ""ko"")"),"할머니")</f>
        <v>할머니</v>
      </c>
    </row>
    <row r="1772" ht="15.75" customHeight="1">
      <c r="A1772" s="1" t="s">
        <v>5238</v>
      </c>
      <c r="B1772" s="1">
        <v>5.0</v>
      </c>
      <c r="C1772" s="1" t="s">
        <v>5239</v>
      </c>
      <c r="D1772" s="1" t="s">
        <v>16</v>
      </c>
      <c r="E1772" s="1" t="s">
        <v>5240</v>
      </c>
      <c r="F1772" s="1" t="str">
        <f>IFERROR(__xludf.DUMMYFUNCTION("GOOGLETRANSLATE(A1772, ""zh-CN"", ""ko"")"),"부인")</f>
        <v>부인</v>
      </c>
    </row>
    <row r="1773" ht="15.75" customHeight="1">
      <c r="A1773" s="1" t="s">
        <v>5241</v>
      </c>
      <c r="B1773" s="1">
        <v>5.0</v>
      </c>
      <c r="C1773" s="1" t="s">
        <v>5242</v>
      </c>
      <c r="D1773" s="1" t="s">
        <v>52</v>
      </c>
      <c r="E1773" s="1" t="s">
        <v>5243</v>
      </c>
      <c r="F1773" s="1" t="str">
        <f>IFERROR(__xludf.DUMMYFUNCTION("GOOGLETRANSLATE(A1773, ""zh-CN"", ""ko"")"),"솔직한")</f>
        <v>솔직한</v>
      </c>
    </row>
    <row r="1774" ht="15.75" customHeight="1">
      <c r="A1774" s="1" t="s">
        <v>5244</v>
      </c>
      <c r="B1774" s="1">
        <v>5.0</v>
      </c>
      <c r="C1774" s="1" t="s">
        <v>5245</v>
      </c>
      <c r="D1774" s="1" t="s">
        <v>16</v>
      </c>
      <c r="E1774" s="1" t="s">
        <v>5246</v>
      </c>
      <c r="F1774" s="1" t="str">
        <f>IFERROR(__xludf.DUMMYFUNCTION("GOOGLETRANSLATE(A1774, ""zh-CN"", ""ko"")"),"생쥐")</f>
        <v>생쥐</v>
      </c>
    </row>
    <row r="1775" ht="15.75" customHeight="1">
      <c r="A1775" s="1" t="s">
        <v>5247</v>
      </c>
      <c r="B1775" s="1">
        <v>5.0</v>
      </c>
      <c r="C1775" s="1" t="s">
        <v>5248</v>
      </c>
      <c r="D1775" s="1" t="s">
        <v>52</v>
      </c>
      <c r="E1775" s="1" t="s">
        <v>5249</v>
      </c>
      <c r="F1775" s="1" t="str">
        <f>IFERROR(__xludf.DUMMYFUNCTION("GOOGLETRANSLATE(A1775, ""zh-CN"", ""ko"")"),"낙천주의")</f>
        <v>낙천주의</v>
      </c>
    </row>
    <row r="1776" ht="15.75" customHeight="1">
      <c r="A1776" s="1" t="s">
        <v>5250</v>
      </c>
      <c r="B1776" s="1">
        <v>5.0</v>
      </c>
      <c r="C1776" s="1" t="s">
        <v>5251</v>
      </c>
      <c r="D1776" s="1" t="s">
        <v>16</v>
      </c>
      <c r="E1776" s="1" t="s">
        <v>5252</v>
      </c>
      <c r="F1776" s="1" t="str">
        <f>IFERROR(__xludf.DUMMYFUNCTION("GOOGLETRANSLATE(A1776, ""zh-CN"", ""ko"")"),"우뢰")</f>
        <v>우뢰</v>
      </c>
    </row>
    <row r="1777" ht="15.75" customHeight="1">
      <c r="A1777" s="1" t="s">
        <v>5253</v>
      </c>
      <c r="B1777" s="1">
        <v>5.0</v>
      </c>
      <c r="C1777" s="1" t="s">
        <v>5254</v>
      </c>
      <c r="D1777" s="1" t="s">
        <v>16</v>
      </c>
      <c r="E1777" s="1" t="s">
        <v>5255</v>
      </c>
      <c r="F1777" s="1" t="str">
        <f>IFERROR(__xludf.DUMMYFUNCTION("GOOGLETRANSLATE(A1777, ""zh-CN"", ""ko"")"),"유형")</f>
        <v>유형</v>
      </c>
    </row>
    <row r="1778" ht="15.75" customHeight="1">
      <c r="A1778" s="1" t="s">
        <v>5256</v>
      </c>
      <c r="B1778" s="1">
        <v>5.0</v>
      </c>
      <c r="C1778" s="1" t="s">
        <v>5257</v>
      </c>
      <c r="D1778" s="1" t="s">
        <v>52</v>
      </c>
      <c r="E1778" s="1" t="s">
        <v>5258</v>
      </c>
      <c r="F1778" s="1" t="str">
        <f>IFERROR(__xludf.DUMMYFUNCTION("GOOGLETRANSLATE(A1778, ""zh-CN"", ""ko"")"),"추운")</f>
        <v>추운</v>
      </c>
    </row>
    <row r="1779" ht="15.75" customHeight="1">
      <c r="A1779" s="1" t="s">
        <v>5259</v>
      </c>
      <c r="B1779" s="1">
        <v>5.0</v>
      </c>
      <c r="C1779" s="1" t="s">
        <v>649</v>
      </c>
      <c r="D1779" s="1" t="s">
        <v>16</v>
      </c>
      <c r="E1779" s="1" t="s">
        <v>5260</v>
      </c>
      <c r="F1779" s="1" t="str">
        <f>IFERROR(__xludf.DUMMYFUNCTION("GOOGLETRANSLATE(A1779, ""zh-CN"", ""ko"")"),"배")</f>
        <v>배</v>
      </c>
    </row>
    <row r="1780" ht="15.75" customHeight="1">
      <c r="A1780" s="1" t="s">
        <v>5261</v>
      </c>
      <c r="B1780" s="1">
        <v>5.0</v>
      </c>
      <c r="C1780" s="1" t="s">
        <v>5262</v>
      </c>
      <c r="D1780" s="1" t="s">
        <v>8</v>
      </c>
      <c r="E1780" s="1" t="s">
        <v>5263</v>
      </c>
      <c r="F1780" s="1" t="str">
        <f>IFERROR(__xludf.DUMMYFUNCTION("GOOGLETRANSLATE(A1780, ""zh-CN"", ""ko"")"),"이혼")</f>
        <v>이혼</v>
      </c>
    </row>
    <row r="1781" ht="15.75" customHeight="1">
      <c r="A1781" s="1" t="s">
        <v>5264</v>
      </c>
      <c r="B1781" s="1">
        <v>5.0</v>
      </c>
      <c r="C1781" s="1" t="s">
        <v>5265</v>
      </c>
      <c r="D1781" s="1" t="s">
        <v>26</v>
      </c>
      <c r="E1781" s="1" t="s">
        <v>5266</v>
      </c>
      <c r="F1781" s="1" t="str">
        <f>IFERROR(__xludf.DUMMYFUNCTION("GOOGLETRANSLATE(A1781, ""zh-CN"", ""ko"")"),"센티미터")</f>
        <v>센티미터</v>
      </c>
    </row>
    <row r="1782" ht="15.75" customHeight="1">
      <c r="A1782" s="1" t="s">
        <v>5267</v>
      </c>
      <c r="B1782" s="1">
        <v>5.0</v>
      </c>
      <c r="C1782" s="1" t="s">
        <v>5268</v>
      </c>
      <c r="D1782" s="1" t="s">
        <v>16</v>
      </c>
      <c r="E1782" s="1" t="s">
        <v>5269</v>
      </c>
      <c r="F1782" s="1" t="str">
        <f>IFERROR(__xludf.DUMMYFUNCTION("GOOGLETRANSLATE(A1782, ""zh-CN"", ""ko"")"),"이론")</f>
        <v>이론</v>
      </c>
    </row>
    <row r="1783" ht="15.75" customHeight="1">
      <c r="A1783" s="1" t="s">
        <v>5270</v>
      </c>
      <c r="B1783" s="1">
        <v>5.0</v>
      </c>
      <c r="C1783" s="1" t="s">
        <v>5271</v>
      </c>
      <c r="D1783" s="1" t="s">
        <v>16</v>
      </c>
      <c r="E1783" s="1" t="s">
        <v>5272</v>
      </c>
      <c r="F1783" s="1" t="str">
        <f>IFERROR(__xludf.DUMMYFUNCTION("GOOGLETRANSLATE(A1783, ""zh-CN"", ""ko"")"),"이유")</f>
        <v>이유</v>
      </c>
    </row>
    <row r="1784" ht="15.75" customHeight="1">
      <c r="A1784" s="1" t="s">
        <v>5273</v>
      </c>
      <c r="B1784" s="1">
        <v>5.0</v>
      </c>
      <c r="C1784" s="1" t="s">
        <v>5274</v>
      </c>
      <c r="D1784" s="1" t="s">
        <v>33</v>
      </c>
      <c r="E1784" s="1" t="s">
        <v>5275</v>
      </c>
      <c r="F1784" s="1" t="str">
        <f>IFERROR(__xludf.DUMMYFUNCTION("GOOGLETRANSLATE(A1784, ""zh-CN"", ""ko"")"),"즉시")</f>
        <v>즉시</v>
      </c>
    </row>
    <row r="1785" ht="15.75" customHeight="1">
      <c r="A1785" s="1" t="s">
        <v>5276</v>
      </c>
      <c r="B1785" s="1">
        <v>5.0</v>
      </c>
      <c r="C1785" s="1" t="s">
        <v>5277</v>
      </c>
      <c r="D1785" s="1" t="s">
        <v>33</v>
      </c>
      <c r="E1785" s="1" t="s">
        <v>5278</v>
      </c>
      <c r="F1785" s="1" t="str">
        <f>IFERROR(__xludf.DUMMYFUNCTION("GOOGLETRANSLATE(A1785, ""zh-CN"", ""ko"")"),"즉시")</f>
        <v>즉시</v>
      </c>
    </row>
    <row r="1786" ht="15.75" customHeight="1">
      <c r="A1786" s="1" t="s">
        <v>5279</v>
      </c>
      <c r="B1786" s="1">
        <v>5.0</v>
      </c>
      <c r="C1786" s="1" t="s">
        <v>5280</v>
      </c>
      <c r="D1786" s="1" t="s">
        <v>16</v>
      </c>
      <c r="E1786" s="1" t="s">
        <v>5281</v>
      </c>
      <c r="F1786" s="1" t="str">
        <f>IFERROR(__xludf.DUMMYFUNCTION("GOOGLETRANSLATE(A1786, ""zh-CN"", ""ko"")"),"힘")</f>
        <v>힘</v>
      </c>
    </row>
    <row r="1787" ht="15.75" customHeight="1">
      <c r="A1787" s="1" t="s">
        <v>5282</v>
      </c>
      <c r="B1787" s="1">
        <v>5.0</v>
      </c>
      <c r="C1787" s="1" t="s">
        <v>5283</v>
      </c>
      <c r="D1787" s="1" t="s">
        <v>16</v>
      </c>
      <c r="E1787" s="1" t="s">
        <v>5284</v>
      </c>
      <c r="F1787" s="1" t="str">
        <f>IFERROR(__xludf.DUMMYFUNCTION("GOOGLETRANSLATE(A1787, ""zh-CN"", ""ko"")"),"이익")</f>
        <v>이익</v>
      </c>
    </row>
    <row r="1788" ht="15.75" customHeight="1">
      <c r="A1788" s="1" t="s">
        <v>5285</v>
      </c>
      <c r="B1788" s="1">
        <v>5.0</v>
      </c>
      <c r="C1788" s="1" t="s">
        <v>5286</v>
      </c>
      <c r="D1788" s="1" t="s">
        <v>16</v>
      </c>
      <c r="E1788" s="1" t="s">
        <v>5287</v>
      </c>
      <c r="F1788" s="1" t="str">
        <f>IFERROR(__xludf.DUMMYFUNCTION("GOOGLETRANSLATE(A1788, ""zh-CN"", ""ko"")"),"관심")</f>
        <v>관심</v>
      </c>
    </row>
    <row r="1789" ht="15.75" customHeight="1">
      <c r="A1789" s="1" t="s">
        <v>5288</v>
      </c>
      <c r="B1789" s="1">
        <v>5.0</v>
      </c>
      <c r="C1789" s="1" t="s">
        <v>5289</v>
      </c>
      <c r="D1789" s="1" t="s">
        <v>16</v>
      </c>
      <c r="E1789" s="1" t="s">
        <v>5290</v>
      </c>
      <c r="F1789" s="1" t="str">
        <f>IFERROR(__xludf.DUMMYFUNCTION("GOOGLETRANSLATE(A1789, ""zh-CN"", ""ko"")"),"혜택")</f>
        <v>혜택</v>
      </c>
    </row>
    <row r="1790" ht="15.75" customHeight="1">
      <c r="A1790" s="1" t="s">
        <v>5291</v>
      </c>
      <c r="B1790" s="1">
        <v>5.0</v>
      </c>
      <c r="C1790" s="1" t="s">
        <v>5292</v>
      </c>
      <c r="D1790" s="1" t="s">
        <v>8</v>
      </c>
      <c r="E1790" s="1" t="s">
        <v>5293</v>
      </c>
      <c r="F1790" s="1" t="str">
        <f>IFERROR(__xludf.DUMMYFUNCTION("GOOGLETRANSLATE(A1790, ""zh-CN"", ""ko"")"),"사용")</f>
        <v>사용</v>
      </c>
    </row>
    <row r="1791" ht="15.75" customHeight="1">
      <c r="A1791" s="1" t="s">
        <v>5294</v>
      </c>
      <c r="B1791" s="1">
        <v>5.0</v>
      </c>
      <c r="C1791" s="1" t="s">
        <v>5295</v>
      </c>
      <c r="D1791" s="1" t="s">
        <v>8</v>
      </c>
      <c r="E1791" s="1" t="s">
        <v>5296</v>
      </c>
      <c r="F1791" s="1" t="str">
        <f>IFERROR(__xludf.DUMMYFUNCTION("GOOGLETRANSLATE(A1791, ""zh-CN"", ""ko"")"),"관절")</f>
        <v>관절</v>
      </c>
    </row>
    <row r="1792" ht="15.75" customHeight="1">
      <c r="A1792" s="1" t="s">
        <v>5297</v>
      </c>
      <c r="B1792" s="1">
        <v>5.0</v>
      </c>
      <c r="C1792" s="1" t="s">
        <v>5298</v>
      </c>
      <c r="D1792" s="1" t="s">
        <v>33</v>
      </c>
      <c r="E1792" s="1" t="s">
        <v>5299</v>
      </c>
      <c r="F1792" s="1" t="str">
        <f>IFERROR(__xludf.DUMMYFUNCTION("GOOGLETRANSLATE(A1792, ""zh-CN"", ""ko"")"),"즉시")</f>
        <v>즉시</v>
      </c>
    </row>
    <row r="1793" ht="15.75" customHeight="1">
      <c r="A1793" s="1" t="s">
        <v>5300</v>
      </c>
      <c r="B1793" s="1">
        <v>5.0</v>
      </c>
      <c r="C1793" s="1" t="s">
        <v>5301</v>
      </c>
      <c r="D1793" s="1" t="s">
        <v>52</v>
      </c>
      <c r="E1793" s="1" t="s">
        <v>5302</v>
      </c>
      <c r="F1793" s="1" t="str">
        <f>IFERROR(__xludf.DUMMYFUNCTION("GOOGLETRANSLATE(A1793, ""zh-CN"", ""ko"")"),"마디 없는")</f>
        <v>마디 없는</v>
      </c>
    </row>
    <row r="1794" ht="15.75" customHeight="1">
      <c r="A1794" s="1" t="s">
        <v>5303</v>
      </c>
      <c r="B1794" s="1">
        <v>5.0</v>
      </c>
      <c r="C1794" s="1" t="s">
        <v>5304</v>
      </c>
      <c r="D1794" s="1" t="s">
        <v>8</v>
      </c>
      <c r="E1794" s="1" t="s">
        <v>5305</v>
      </c>
      <c r="F1794" s="1" t="str">
        <f>IFERROR(__xludf.DUMMYFUNCTION("GOOGLETRANSLATE(A1794, ""zh-CN"", ""ko"")"),"사랑에 빠지다")</f>
        <v>사랑에 빠지다</v>
      </c>
    </row>
    <row r="1795" ht="15.75" customHeight="1">
      <c r="A1795" s="1" t="s">
        <v>5306</v>
      </c>
      <c r="B1795" s="1">
        <v>5.0</v>
      </c>
      <c r="C1795" s="1" t="s">
        <v>5307</v>
      </c>
      <c r="D1795" s="1" t="s">
        <v>52</v>
      </c>
      <c r="E1795" s="1" t="s">
        <v>5308</v>
      </c>
      <c r="F1795" s="1" t="str">
        <f>IFERROR(__xludf.DUMMYFUNCTION("GOOGLETRANSLATE(A1795, ""zh-CN"", ""ko"")"),"좋은")</f>
        <v>좋은</v>
      </c>
    </row>
    <row r="1796" ht="15.75" customHeight="1">
      <c r="A1796" s="1" t="s">
        <v>5309</v>
      </c>
      <c r="B1796" s="1">
        <v>5.0</v>
      </c>
      <c r="C1796" s="1" t="s">
        <v>5310</v>
      </c>
      <c r="D1796" s="1" t="s">
        <v>16</v>
      </c>
      <c r="E1796" s="1" t="s">
        <v>5311</v>
      </c>
      <c r="F1796" s="1" t="str">
        <f>IFERROR(__xludf.DUMMYFUNCTION("GOOGLETRANSLATE(A1796, ""zh-CN"", ""ko"")"),"음식")</f>
        <v>음식</v>
      </c>
    </row>
    <row r="1797" ht="15.75" customHeight="1">
      <c r="A1797" s="1" t="s">
        <v>5312</v>
      </c>
      <c r="B1797" s="1">
        <v>5.0</v>
      </c>
      <c r="C1797" s="1" t="s">
        <v>1358</v>
      </c>
      <c r="D1797" s="1" t="s">
        <v>52</v>
      </c>
      <c r="E1797" s="1" t="s">
        <v>5313</v>
      </c>
      <c r="F1797" s="1" t="str">
        <f>IFERROR(__xludf.DUMMYFUNCTION("GOOGLETRANSLATE(A1797, ""zh-CN"", ""ko"")"),"밝은")</f>
        <v>밝은</v>
      </c>
    </row>
    <row r="1798" ht="15.75" customHeight="1">
      <c r="A1798" s="1" t="s">
        <v>5314</v>
      </c>
      <c r="B1798" s="1">
        <v>5.0</v>
      </c>
      <c r="C1798" s="1" t="s">
        <v>5315</v>
      </c>
      <c r="D1798" s="1" t="s">
        <v>52</v>
      </c>
      <c r="E1798" s="1" t="s">
        <v>5316</v>
      </c>
      <c r="F1798" s="1" t="str">
        <f>IFERROR(__xludf.DUMMYFUNCTION("GOOGLETRANSLATE(A1798, ""zh-CN"", ""ko"")"),"놀라운")</f>
        <v>놀라운</v>
      </c>
    </row>
    <row r="1799" ht="15.75" customHeight="1">
      <c r="A1799" s="1" t="s">
        <v>5317</v>
      </c>
      <c r="B1799" s="1">
        <v>5.0</v>
      </c>
      <c r="C1799" s="1" t="s">
        <v>5318</v>
      </c>
      <c r="D1799" s="1" t="s">
        <v>16</v>
      </c>
      <c r="E1799" s="1" t="s">
        <v>5319</v>
      </c>
      <c r="F1799" s="1" t="str">
        <f>IFERROR(__xludf.DUMMYFUNCTION("GOOGLETRANSLATE(A1799, ""zh-CN"", ""ko"")"),"기차")</f>
        <v>기차</v>
      </c>
    </row>
    <row r="1800" ht="15.75" customHeight="1">
      <c r="A1800" s="1" t="s">
        <v>5320</v>
      </c>
      <c r="B1800" s="1">
        <v>5.0</v>
      </c>
      <c r="C1800" s="1" t="s">
        <v>5321</v>
      </c>
      <c r="D1800" s="1" t="s">
        <v>1538</v>
      </c>
      <c r="E1800" s="1" t="s">
        <v>5322</v>
      </c>
      <c r="F1800" s="1" t="str">
        <f>IFERROR(__xludf.DUMMYFUNCTION("GOOGLETRANSLATE(A1800, ""zh-CN"", ""ko"")"),"일시적인")</f>
        <v>일시적인</v>
      </c>
    </row>
    <row r="1801" ht="15.75" customHeight="1">
      <c r="A1801" s="1" t="s">
        <v>5323</v>
      </c>
      <c r="B1801" s="1">
        <v>5.0</v>
      </c>
      <c r="C1801" s="1" t="s">
        <v>655</v>
      </c>
      <c r="D1801" s="1" t="s">
        <v>16</v>
      </c>
      <c r="E1801" s="1" t="s">
        <v>5324</v>
      </c>
      <c r="F1801" s="1" t="str">
        <f>IFERROR(__xludf.DUMMYFUNCTION("GOOGLETRANSLATE(A1801, ""zh-CN"", ""ko"")"),"벨")</f>
        <v>벨</v>
      </c>
    </row>
    <row r="1802" ht="15.75" customHeight="1">
      <c r="A1802" s="1" t="s">
        <v>5325</v>
      </c>
      <c r="B1802" s="1">
        <v>5.0</v>
      </c>
      <c r="C1802" s="1" t="s">
        <v>5326</v>
      </c>
      <c r="D1802" s="1" t="s">
        <v>52</v>
      </c>
      <c r="E1802" s="1" t="s">
        <v>5327</v>
      </c>
      <c r="F1802" s="1" t="str">
        <f>IFERROR(__xludf.DUMMYFUNCTION("GOOGLETRANSLATE(A1802, ""zh-CN"", ""ko"")"),"유연한")</f>
        <v>유연한</v>
      </c>
    </row>
    <row r="1803" ht="15.75" customHeight="1">
      <c r="A1803" s="1" t="s">
        <v>5328</v>
      </c>
      <c r="B1803" s="1">
        <v>5.0</v>
      </c>
      <c r="C1803" s="1" t="s">
        <v>5329</v>
      </c>
      <c r="D1803" s="1" t="s">
        <v>16</v>
      </c>
      <c r="E1803" s="1" t="s">
        <v>5330</v>
      </c>
      <c r="F1803" s="1" t="str">
        <f>IFERROR(__xludf.DUMMYFUNCTION("GOOGLETRANSLATE(A1803, ""zh-CN"", ""ko"")"),"요소")</f>
        <v>요소</v>
      </c>
    </row>
    <row r="1804" ht="15.75" customHeight="1">
      <c r="A1804" s="1" t="s">
        <v>5331</v>
      </c>
      <c r="B1804" s="1">
        <v>5.0</v>
      </c>
      <c r="C1804" s="1" t="s">
        <v>5332</v>
      </c>
      <c r="D1804" s="1" t="s">
        <v>16</v>
      </c>
      <c r="E1804" s="1" t="s">
        <v>5333</v>
      </c>
      <c r="F1804" s="1" t="str">
        <f>IFERROR(__xludf.DUMMYFUNCTION("GOOGLETRANSLATE(A1804, ""zh-CN"", ""ko"")"),"간식")</f>
        <v>간식</v>
      </c>
    </row>
    <row r="1805" ht="15.75" customHeight="1">
      <c r="A1805" s="1" t="s">
        <v>5334</v>
      </c>
      <c r="B1805" s="1">
        <v>5.0</v>
      </c>
      <c r="C1805" s="1" t="s">
        <v>5335</v>
      </c>
      <c r="D1805" s="1" t="s">
        <v>875</v>
      </c>
      <c r="E1805" s="1" t="s">
        <v>5336</v>
      </c>
      <c r="F1805" s="1" t="str">
        <f>IFERROR(__xludf.DUMMYFUNCTION("GOOGLETRANSLATE(A1805, ""zh-CN"", ""ko"")"),"선두")</f>
        <v>선두</v>
      </c>
    </row>
    <row r="1806" ht="15.75" customHeight="1">
      <c r="A1806" s="1" t="s">
        <v>5337</v>
      </c>
      <c r="B1806" s="1">
        <v>5.0</v>
      </c>
      <c r="C1806" s="1" t="s">
        <v>5338</v>
      </c>
      <c r="D1806" s="1" t="s">
        <v>16</v>
      </c>
      <c r="E1806" s="1" t="s">
        <v>5339</v>
      </c>
      <c r="F1806" s="1" t="str">
        <f>IFERROR(__xludf.DUMMYFUNCTION("GOOGLETRANSLATE(A1806, ""zh-CN"", ""ko"")"),"필드")</f>
        <v>필드</v>
      </c>
    </row>
    <row r="1807" ht="15.75" customHeight="1">
      <c r="A1807" s="1" t="s">
        <v>5340</v>
      </c>
      <c r="B1807" s="1">
        <v>5.0</v>
      </c>
      <c r="C1807" s="1" t="s">
        <v>5341</v>
      </c>
      <c r="D1807" s="1" t="s">
        <v>8</v>
      </c>
      <c r="E1807" s="1" t="s">
        <v>5342</v>
      </c>
      <c r="F1807" s="1" t="str">
        <f>IFERROR(__xludf.DUMMYFUNCTION("GOOGLETRANSLATE(A1807, ""zh-CN"", ""ko"")"),"확산")</f>
        <v>확산</v>
      </c>
    </row>
    <row r="1808" ht="15.75" customHeight="1">
      <c r="A1808" s="1" t="s">
        <v>5343</v>
      </c>
      <c r="B1808" s="1">
        <v>5.0</v>
      </c>
      <c r="C1808" s="1" t="s">
        <v>5344</v>
      </c>
      <c r="D1808" s="1" t="s">
        <v>8</v>
      </c>
      <c r="E1808" s="1" t="s">
        <v>5345</v>
      </c>
      <c r="F1808" s="1" t="str">
        <f>IFERROR(__xludf.DUMMYFUNCTION("GOOGLETRANSLATE(A1808, ""zh-CN"", ""ko"")"),"먹다")</f>
        <v>먹다</v>
      </c>
    </row>
    <row r="1809" ht="15.75" customHeight="1">
      <c r="A1809" s="1" t="s">
        <v>5346</v>
      </c>
      <c r="B1809" s="1">
        <v>5.0</v>
      </c>
      <c r="C1809" s="1" t="s">
        <v>5347</v>
      </c>
      <c r="D1809" s="1" t="s">
        <v>8</v>
      </c>
      <c r="E1809" s="1" t="s">
        <v>5348</v>
      </c>
      <c r="F1809" s="1" t="str">
        <f>IFERROR(__xludf.DUMMYFUNCTION("GOOGLETRANSLATE(A1809, ""zh-CN"", ""ko"")"),"눈물")</f>
        <v>눈물</v>
      </c>
    </row>
    <row r="1810" ht="15.75" customHeight="1">
      <c r="A1810" s="1" t="s">
        <v>5349</v>
      </c>
      <c r="B1810" s="1">
        <v>5.0</v>
      </c>
      <c r="C1810" s="1" t="s">
        <v>5350</v>
      </c>
      <c r="D1810" s="1" t="s">
        <v>16</v>
      </c>
      <c r="E1810" s="1" t="s">
        <v>5351</v>
      </c>
      <c r="F1810" s="1" t="str">
        <f>IFERROR(__xludf.DUMMYFUNCTION("GOOGLETRANSLATE(A1810, ""zh-CN"", ""ko"")"),"용")</f>
        <v>용</v>
      </c>
    </row>
    <row r="1811" ht="15.75" customHeight="1">
      <c r="A1811" s="1" t="s">
        <v>5352</v>
      </c>
      <c r="B1811" s="1">
        <v>5.0</v>
      </c>
      <c r="C1811" s="1" t="s">
        <v>5353</v>
      </c>
      <c r="D1811" s="1" t="s">
        <v>8</v>
      </c>
      <c r="E1811" s="1" t="s">
        <v>5354</v>
      </c>
      <c r="F1811" s="1" t="str">
        <f>IFERROR(__xludf.DUMMYFUNCTION("GOOGLETRANSLATE(A1811, ""zh-CN"", ""ko"")"),"새다")</f>
        <v>새다</v>
      </c>
    </row>
    <row r="1812" ht="15.75" customHeight="1">
      <c r="A1812" s="1" t="s">
        <v>5355</v>
      </c>
      <c r="B1812" s="1">
        <v>5.0</v>
      </c>
      <c r="C1812" s="1" t="s">
        <v>5356</v>
      </c>
      <c r="D1812" s="1" t="s">
        <v>16</v>
      </c>
      <c r="E1812" s="1" t="s">
        <v>5357</v>
      </c>
      <c r="F1812" s="1" t="str">
        <f>IFERROR(__xludf.DUMMYFUNCTION("GOOGLETRANSLATE(A1812, ""zh-CN"", ""ko"")"),"땅")</f>
        <v>땅</v>
      </c>
    </row>
    <row r="1813" ht="15.75" customHeight="1">
      <c r="A1813" s="1" t="s">
        <v>5358</v>
      </c>
      <c r="B1813" s="1">
        <v>5.0</v>
      </c>
      <c r="C1813" s="1" t="s">
        <v>5359</v>
      </c>
      <c r="D1813" s="1" t="s">
        <v>8</v>
      </c>
      <c r="E1813" s="1" t="s">
        <v>5360</v>
      </c>
      <c r="F1813" s="1" t="str">
        <f>IFERROR(__xludf.DUMMYFUNCTION("GOOGLETRANSLATE(A1813, ""zh-CN"", ""ko"")"),"가입")</f>
        <v>가입</v>
      </c>
    </row>
    <row r="1814" ht="15.75" customHeight="1">
      <c r="A1814" s="1" t="s">
        <v>5361</v>
      </c>
      <c r="B1814" s="1">
        <v>5.0</v>
      </c>
      <c r="C1814" s="1" t="s">
        <v>5362</v>
      </c>
      <c r="D1814" s="1" t="s">
        <v>33</v>
      </c>
      <c r="E1814" s="1" t="s">
        <v>4360</v>
      </c>
      <c r="F1814" s="1" t="str">
        <f>IFERROR(__xludf.DUMMYFUNCTION("GOOGLETRANSLATE(A1814, ""zh-CN"", ""ko"")"),"하나씩 차례로")</f>
        <v>하나씩 차례로</v>
      </c>
    </row>
    <row r="1815" ht="15.75" customHeight="1">
      <c r="A1815" s="1" t="s">
        <v>5363</v>
      </c>
      <c r="B1815" s="1">
        <v>5.0</v>
      </c>
      <c r="C1815" s="1" t="s">
        <v>5364</v>
      </c>
      <c r="D1815" s="1" t="s">
        <v>8</v>
      </c>
      <c r="E1815" s="1" t="s">
        <v>5365</v>
      </c>
      <c r="F1815" s="1" t="str">
        <f>IFERROR(__xludf.DUMMYFUNCTION("GOOGLETRANSLATE(A1815, ""zh-CN"", ""ko"")"),"녹음")</f>
        <v>녹음</v>
      </c>
    </row>
    <row r="1816" ht="15.75" customHeight="1">
      <c r="A1816" s="1" t="s">
        <v>5366</v>
      </c>
      <c r="B1816" s="1">
        <v>5.0</v>
      </c>
      <c r="C1816" s="1" t="s">
        <v>5367</v>
      </c>
      <c r="D1816" s="1" t="s">
        <v>8</v>
      </c>
      <c r="E1816" s="1" t="s">
        <v>5368</v>
      </c>
      <c r="F1816" s="1" t="str">
        <f>IFERROR(__xludf.DUMMYFUNCTION("GOOGLETRANSLATE(A1816, ""zh-CN"", ""ko"")"),"회전하다")</f>
        <v>회전하다</v>
      </c>
    </row>
    <row r="1817" ht="15.75" customHeight="1">
      <c r="A1817" s="1" t="s">
        <v>5369</v>
      </c>
      <c r="B1817" s="1">
        <v>5.0</v>
      </c>
      <c r="C1817" s="1" t="s">
        <v>5370</v>
      </c>
      <c r="D1817" s="1" t="s">
        <v>16</v>
      </c>
      <c r="E1817" s="1" t="s">
        <v>5371</v>
      </c>
      <c r="F1817" s="1" t="str">
        <f>IFERROR(__xludf.DUMMYFUNCTION("GOOGLETRANSLATE(A1817, ""zh-CN"", ""ko"")"),"종이")</f>
        <v>종이</v>
      </c>
    </row>
    <row r="1818" ht="15.75" customHeight="1">
      <c r="A1818" s="1" t="s">
        <v>5372</v>
      </c>
      <c r="B1818" s="1">
        <v>5.0</v>
      </c>
      <c r="C1818" s="1" t="s">
        <v>5373</v>
      </c>
      <c r="D1818" s="1" t="s">
        <v>16</v>
      </c>
      <c r="E1818" s="1" t="s">
        <v>5374</v>
      </c>
      <c r="F1818" s="1" t="str">
        <f>IFERROR(__xludf.DUMMYFUNCTION("GOOGLETRANSLATE(A1818, ""zh-CN"", ""ko"")"),"논리")</f>
        <v>논리</v>
      </c>
    </row>
    <row r="1819" ht="15.75" customHeight="1">
      <c r="A1819" s="1" t="s">
        <v>5375</v>
      </c>
      <c r="B1819" s="1">
        <v>5.0</v>
      </c>
      <c r="C1819" s="1" t="s">
        <v>5376</v>
      </c>
      <c r="D1819" s="1" t="s">
        <v>52</v>
      </c>
      <c r="E1819" s="1" t="s">
        <v>5377</v>
      </c>
      <c r="F1819" s="1" t="str">
        <f>IFERROR(__xludf.DUMMYFUNCTION("GOOGLETRANSLATE(A1819, ""zh-CN"", ""ko"")"),"뒤에")</f>
        <v>뒤에</v>
      </c>
    </row>
    <row r="1820" ht="15.75" customHeight="1">
      <c r="A1820" s="1" t="s">
        <v>5378</v>
      </c>
      <c r="B1820" s="1">
        <v>5.0</v>
      </c>
      <c r="C1820" s="1" t="s">
        <v>5379</v>
      </c>
      <c r="D1820" s="1" t="s">
        <v>8</v>
      </c>
      <c r="E1820" s="1" t="s">
        <v>5380</v>
      </c>
      <c r="F1820" s="1" t="str">
        <f>IFERROR(__xludf.DUMMYFUNCTION("GOOGLETRANSLATE(A1820, ""zh-CN"", ""ko"")"),"꾸짖다")</f>
        <v>꾸짖다</v>
      </c>
    </row>
    <row r="1821" ht="15.75" customHeight="1">
      <c r="A1821" s="1" t="s">
        <v>5381</v>
      </c>
      <c r="B1821" s="1">
        <v>5.0</v>
      </c>
      <c r="C1821" s="1" t="s">
        <v>5382</v>
      </c>
      <c r="D1821" s="1" t="s">
        <v>16</v>
      </c>
      <c r="E1821" s="1" t="s">
        <v>5383</v>
      </c>
      <c r="F1821" s="1" t="str">
        <f>IFERROR(__xludf.DUMMYFUNCTION("GOOGLETRANSLATE(A1821, ""zh-CN"", ""ko"")"),"마이크로폰")</f>
        <v>마이크로폰</v>
      </c>
    </row>
    <row r="1822" ht="15.75" customHeight="1">
      <c r="A1822" s="1" t="s">
        <v>5384</v>
      </c>
      <c r="B1822" s="1">
        <v>5.0</v>
      </c>
      <c r="C1822" s="1" t="s">
        <v>5385</v>
      </c>
      <c r="D1822" s="1" t="s">
        <v>16</v>
      </c>
      <c r="E1822" s="1" t="s">
        <v>5386</v>
      </c>
      <c r="F1822" s="1" t="str">
        <f>IFERROR(__xludf.DUMMYFUNCTION("GOOGLETRANSLATE(A1822, ""zh-CN"", ""ko"")"),"찐빵")</f>
        <v>찐빵</v>
      </c>
    </row>
    <row r="1823" ht="15.75" customHeight="1">
      <c r="A1823" s="1" t="s">
        <v>5387</v>
      </c>
      <c r="B1823" s="1">
        <v>5.0</v>
      </c>
      <c r="C1823" s="1" t="s">
        <v>5388</v>
      </c>
      <c r="D1823" s="1" t="s">
        <v>8</v>
      </c>
      <c r="E1823" s="1" t="s">
        <v>5389</v>
      </c>
      <c r="F1823" s="1" t="str">
        <f>IFERROR(__xludf.DUMMYFUNCTION("GOOGLETRANSLATE(A1823, ""zh-CN"", ""ko"")"),"풀다")</f>
        <v>풀다</v>
      </c>
    </row>
    <row r="1824" ht="15.75" customHeight="1">
      <c r="A1824" s="1" t="s">
        <v>5390</v>
      </c>
      <c r="B1824" s="1">
        <v>5.0</v>
      </c>
      <c r="C1824" s="1" t="s">
        <v>5391</v>
      </c>
      <c r="D1824" s="1" t="s">
        <v>16</v>
      </c>
      <c r="E1824" s="1" t="s">
        <v>5392</v>
      </c>
      <c r="F1824" s="1" t="str">
        <f>IFERROR(__xludf.DUMMYFUNCTION("GOOGLETRANSLATE(A1824, ""zh-CN"", ""ko"")"),"문제")</f>
        <v>문제</v>
      </c>
    </row>
    <row r="1825" ht="15.75" customHeight="1">
      <c r="A1825" s="1" t="s">
        <v>5393</v>
      </c>
      <c r="B1825" s="1">
        <v>5.0</v>
      </c>
      <c r="C1825" s="1" t="s">
        <v>5394</v>
      </c>
      <c r="D1825" s="1" t="s">
        <v>1842</v>
      </c>
      <c r="E1825" s="1" t="s">
        <v>5395</v>
      </c>
      <c r="F1825" s="1" t="str">
        <f>IFERROR(__xludf.DUMMYFUNCTION("GOOGLETRANSLATE(A1825, ""zh-CN"", ""ko"")"),"모순")</f>
        <v>모순</v>
      </c>
    </row>
    <row r="1826" ht="15.75" customHeight="1">
      <c r="A1826" s="1" t="s">
        <v>5396</v>
      </c>
      <c r="B1826" s="1">
        <v>5.0</v>
      </c>
      <c r="C1826" s="1" t="s">
        <v>5397</v>
      </c>
      <c r="D1826" s="1" t="s">
        <v>8</v>
      </c>
      <c r="E1826" s="1" t="s">
        <v>5398</v>
      </c>
      <c r="F1826" s="1" t="str">
        <f>IFERROR(__xludf.DUMMYFUNCTION("GOOGLETRANSLATE(A1826, ""zh-CN"", ""ko"")"),"모험")</f>
        <v>모험</v>
      </c>
    </row>
    <row r="1827" ht="15.75" customHeight="1">
      <c r="A1827" s="1" t="s">
        <v>5399</v>
      </c>
      <c r="B1827" s="1">
        <v>5.0</v>
      </c>
      <c r="C1827" s="1" t="s">
        <v>5400</v>
      </c>
      <c r="D1827" s="1" t="s">
        <v>16</v>
      </c>
      <c r="E1827" s="1" t="s">
        <v>5401</v>
      </c>
      <c r="F1827" s="1" t="str">
        <f>IFERROR(__xludf.DUMMYFUNCTION("GOOGLETRANSLATE(A1827, ""zh-CN"", ""ko"")"),"거래")</f>
        <v>거래</v>
      </c>
    </row>
    <row r="1828" ht="15.75" customHeight="1">
      <c r="A1828" s="1" t="s">
        <v>5402</v>
      </c>
      <c r="B1828" s="1">
        <v>5.0</v>
      </c>
      <c r="C1828" s="1" t="s">
        <v>5403</v>
      </c>
      <c r="D1828" s="1" t="s">
        <v>16</v>
      </c>
      <c r="E1828" s="1" t="s">
        <v>5404</v>
      </c>
      <c r="F1828" s="1" t="str">
        <f>IFERROR(__xludf.DUMMYFUNCTION("GOOGLETRANSLATE(A1828, ""zh-CN"", ""ko"")"),"눈썹")</f>
        <v>눈썹</v>
      </c>
    </row>
    <row r="1829" ht="15.75" customHeight="1">
      <c r="A1829" s="1" t="s">
        <v>5405</v>
      </c>
      <c r="B1829" s="1">
        <v>5.0</v>
      </c>
      <c r="C1829" s="1" t="s">
        <v>5406</v>
      </c>
      <c r="D1829" s="1" t="s">
        <v>16</v>
      </c>
      <c r="E1829" s="1" t="s">
        <v>5407</v>
      </c>
      <c r="F1829" s="1" t="str">
        <f>IFERROR(__xludf.DUMMYFUNCTION("GOOGLETRANSLATE(A1829, ""zh-CN"", ""ko"")"),"석탄")</f>
        <v>석탄</v>
      </c>
    </row>
    <row r="1830" ht="15.75" customHeight="1">
      <c r="A1830" s="1" t="s">
        <v>5408</v>
      </c>
      <c r="B1830" s="1">
        <v>5.0</v>
      </c>
      <c r="C1830" s="1" t="s">
        <v>5409</v>
      </c>
      <c r="D1830" s="1" t="s">
        <v>16</v>
      </c>
      <c r="E1830" s="1" t="s">
        <v>5410</v>
      </c>
      <c r="F1830" s="1" t="str">
        <f>IFERROR(__xludf.DUMMYFUNCTION("GOOGLETRANSLATE(A1830, ""zh-CN"", ""ko"")"),"메디아")</f>
        <v>메디아</v>
      </c>
    </row>
    <row r="1831" ht="15.75" customHeight="1">
      <c r="A1831" s="1" t="s">
        <v>5411</v>
      </c>
      <c r="B1831" s="1">
        <v>5.0</v>
      </c>
      <c r="C1831" s="1" t="s">
        <v>5412</v>
      </c>
      <c r="D1831" s="1" t="s">
        <v>16</v>
      </c>
      <c r="E1831" s="1" t="s">
        <v>3286</v>
      </c>
      <c r="F1831" s="1" t="str">
        <f>IFERROR(__xludf.DUMMYFUNCTION("GOOGLETRANSLATE(A1831, ""zh-CN"", ""ko"")"),"미술")</f>
        <v>미술</v>
      </c>
    </row>
    <row r="1832" ht="15.75" customHeight="1">
      <c r="A1832" s="1" t="s">
        <v>5413</v>
      </c>
      <c r="B1832" s="1">
        <v>5.0</v>
      </c>
      <c r="C1832" s="1" t="s">
        <v>5414</v>
      </c>
      <c r="D1832" s="1" t="s">
        <v>16</v>
      </c>
      <c r="E1832" s="1" t="s">
        <v>5415</v>
      </c>
      <c r="F1832" s="1" t="str">
        <f>IFERROR(__xludf.DUMMYFUNCTION("GOOGLETRANSLATE(A1832, ""zh-CN"", ""ko"")"),"매력")</f>
        <v>매력</v>
      </c>
    </row>
    <row r="1833" ht="15.75" customHeight="1">
      <c r="A1833" s="1" t="s">
        <v>5416</v>
      </c>
      <c r="B1833" s="1">
        <v>5.0</v>
      </c>
      <c r="C1833" s="1" t="s">
        <v>5417</v>
      </c>
      <c r="D1833" s="1" t="s">
        <v>16</v>
      </c>
      <c r="E1833" s="1" t="s">
        <v>5418</v>
      </c>
      <c r="F1833" s="1" t="str">
        <f>IFERROR(__xludf.DUMMYFUNCTION("GOOGLETRANSLATE(A1833, ""zh-CN"", ""ko"")"),"꿈")</f>
        <v>꿈</v>
      </c>
    </row>
    <row r="1834" ht="15.75" customHeight="1">
      <c r="A1834" s="1" t="s">
        <v>5419</v>
      </c>
      <c r="B1834" s="1">
        <v>5.0</v>
      </c>
      <c r="C1834" s="1" t="s">
        <v>5420</v>
      </c>
      <c r="D1834" s="1" t="s">
        <v>16</v>
      </c>
      <c r="E1834" s="1" t="s">
        <v>5421</v>
      </c>
      <c r="F1834" s="1" t="str">
        <f>IFERROR(__xludf.DUMMYFUNCTION("GOOGLETRANSLATE(A1834, ""zh-CN"", ""ko"")"),"벌")</f>
        <v>벌</v>
      </c>
    </row>
    <row r="1835" ht="15.75" customHeight="1">
      <c r="A1835" s="1" t="s">
        <v>5422</v>
      </c>
      <c r="B1835" s="1">
        <v>5.0</v>
      </c>
      <c r="C1835" s="1" t="s">
        <v>5423</v>
      </c>
      <c r="D1835" s="1" t="s">
        <v>16</v>
      </c>
      <c r="E1835" s="1" t="s">
        <v>5424</v>
      </c>
      <c r="F1835" s="1" t="str">
        <f>IFERROR(__xludf.DUMMYFUNCTION("GOOGLETRANSLATE(A1835, ""zh-CN"", ""ko"")"),"비밀")</f>
        <v>비밀</v>
      </c>
    </row>
    <row r="1836" ht="15.75" customHeight="1">
      <c r="A1836" s="1" t="s">
        <v>5425</v>
      </c>
      <c r="B1836" s="1">
        <v>5.0</v>
      </c>
      <c r="C1836" s="1" t="s">
        <v>5426</v>
      </c>
      <c r="D1836" s="1" t="s">
        <v>52</v>
      </c>
      <c r="E1836" s="1" t="s">
        <v>5427</v>
      </c>
      <c r="F1836" s="1" t="str">
        <f>IFERROR(__xludf.DUMMYFUNCTION("GOOGLETRANSLATE(A1836, ""zh-CN"", ""ko"")"),"닫다")</f>
        <v>닫다</v>
      </c>
    </row>
    <row r="1837" ht="15.75" customHeight="1">
      <c r="A1837" s="1" t="s">
        <v>5428</v>
      </c>
      <c r="B1837" s="1">
        <v>5.0</v>
      </c>
      <c r="C1837" s="1" t="s">
        <v>5429</v>
      </c>
      <c r="D1837" s="1" t="s">
        <v>16</v>
      </c>
      <c r="E1837" s="1" t="s">
        <v>5430</v>
      </c>
      <c r="F1837" s="1" t="str">
        <f>IFERROR(__xludf.DUMMYFUNCTION("GOOGLETRANSLATE(A1837, ""zh-CN"", ""ko"")"),"비서")</f>
        <v>비서</v>
      </c>
    </row>
    <row r="1838" ht="15.75" customHeight="1">
      <c r="A1838" s="1" t="s">
        <v>5431</v>
      </c>
      <c r="B1838" s="1">
        <v>5.0</v>
      </c>
      <c r="C1838" s="1" t="s">
        <v>5432</v>
      </c>
      <c r="D1838" s="1" t="s">
        <v>8</v>
      </c>
      <c r="E1838" s="1" t="s">
        <v>5433</v>
      </c>
      <c r="F1838" s="1" t="str">
        <f>IFERROR(__xludf.DUMMYFUNCTION("GOOGLETRANSLATE(A1838, ""zh-CN"", ""ko"")"),"얼굴")</f>
        <v>얼굴</v>
      </c>
    </row>
    <row r="1839" ht="15.75" customHeight="1">
      <c r="A1839" s="1" t="s">
        <v>5434</v>
      </c>
      <c r="B1839" s="1">
        <v>5.0</v>
      </c>
      <c r="C1839" s="1" t="s">
        <v>5435</v>
      </c>
      <c r="D1839" s="1" t="s">
        <v>16</v>
      </c>
      <c r="E1839" s="1" t="s">
        <v>5436</v>
      </c>
      <c r="F1839" s="1" t="str">
        <f>IFERROR(__xludf.DUMMYFUNCTION("GOOGLETRANSLATE(A1839, ""zh-CN"", ""ko"")"),"영역")</f>
        <v>영역</v>
      </c>
    </row>
    <row r="1840" ht="15.75" customHeight="1">
      <c r="A1840" s="1" t="s">
        <v>5437</v>
      </c>
      <c r="B1840" s="1">
        <v>5.0</v>
      </c>
      <c r="C1840" s="1" t="s">
        <v>5438</v>
      </c>
      <c r="D1840" s="1" t="s">
        <v>8</v>
      </c>
      <c r="E1840" s="1" t="s">
        <v>5439</v>
      </c>
      <c r="F1840" s="1" t="str">
        <f>IFERROR(__xludf.DUMMYFUNCTION("GOOGLETRANSLATE(A1840, ""zh-CN"", ""ko"")"),"깃 달기")</f>
        <v>깃 달기</v>
      </c>
    </row>
    <row r="1841" ht="15.75" customHeight="1">
      <c r="A1841" s="1" t="s">
        <v>5440</v>
      </c>
      <c r="B1841" s="1">
        <v>5.0</v>
      </c>
      <c r="C1841" s="1" t="s">
        <v>5441</v>
      </c>
      <c r="D1841" s="1" t="s">
        <v>52</v>
      </c>
      <c r="E1841" s="1" t="s">
        <v>5442</v>
      </c>
      <c r="F1841" s="1" t="str">
        <f>IFERROR(__xludf.DUMMYFUNCTION("GOOGLETRANSLATE(A1841, ""zh-CN"", ""ko"")"),"아주 적은")</f>
        <v>아주 적은</v>
      </c>
    </row>
    <row r="1842" ht="15.75" customHeight="1">
      <c r="A1842" s="1" t="s">
        <v>5443</v>
      </c>
      <c r="B1842" s="1">
        <v>5.0</v>
      </c>
      <c r="C1842" s="1" t="s">
        <v>5444</v>
      </c>
      <c r="D1842" s="1" t="s">
        <v>8</v>
      </c>
      <c r="E1842" s="1" t="s">
        <v>5445</v>
      </c>
      <c r="F1842" s="1" t="str">
        <f>IFERROR(__xludf.DUMMYFUNCTION("GOOGLETRANSLATE(A1842, ""zh-CN"", ""ko"")"),"설명")</f>
        <v>설명</v>
      </c>
    </row>
    <row r="1843" ht="15.75" customHeight="1">
      <c r="A1843" s="1" t="s">
        <v>5446</v>
      </c>
      <c r="B1843" s="1">
        <v>5.0</v>
      </c>
      <c r="C1843" s="1" t="s">
        <v>5447</v>
      </c>
      <c r="D1843" s="1" t="s">
        <v>52</v>
      </c>
      <c r="E1843" s="1" t="s">
        <v>5448</v>
      </c>
      <c r="F1843" s="1" t="str">
        <f>IFERROR(__xludf.DUMMYFUNCTION("GOOGLETRANSLATE(A1843, ""zh-CN"", ""ko"")"),"예민한")</f>
        <v>예민한</v>
      </c>
    </row>
    <row r="1844" ht="15.75" customHeight="1">
      <c r="A1844" s="1" t="s">
        <v>5449</v>
      </c>
      <c r="B1844" s="1">
        <v>5.0</v>
      </c>
      <c r="C1844" s="1" t="s">
        <v>5450</v>
      </c>
      <c r="D1844" s="1" t="s">
        <v>16</v>
      </c>
      <c r="E1844" s="1" t="s">
        <v>5451</v>
      </c>
      <c r="F1844" s="1" t="str">
        <f>IFERROR(__xludf.DUMMYFUNCTION("GOOGLETRANSLATE(A1844, ""zh-CN"", ""ko"")"),"유명 브랜드")</f>
        <v>유명 브랜드</v>
      </c>
    </row>
    <row r="1845" ht="15.75" customHeight="1">
      <c r="A1845" s="1" t="s">
        <v>5452</v>
      </c>
      <c r="B1845" s="1">
        <v>5.0</v>
      </c>
      <c r="C1845" s="1" t="s">
        <v>5453</v>
      </c>
      <c r="D1845" s="1" t="s">
        <v>16</v>
      </c>
      <c r="E1845" s="1" t="s">
        <v>5454</v>
      </c>
      <c r="F1845" s="1" t="str">
        <f>IFERROR(__xludf.DUMMYFUNCTION("GOOGLETRANSLATE(A1845, ""zh-CN"", ""ko"")"),"명함")</f>
        <v>명함</v>
      </c>
    </row>
    <row r="1846" ht="15.75" customHeight="1">
      <c r="A1846" s="1" t="s">
        <v>5455</v>
      </c>
      <c r="B1846" s="1">
        <v>5.0</v>
      </c>
      <c r="C1846" s="1" t="s">
        <v>5456</v>
      </c>
      <c r="D1846" s="1" t="s">
        <v>1003</v>
      </c>
      <c r="E1846" s="1" t="s">
        <v>5457</v>
      </c>
      <c r="F1846" s="1" t="str">
        <f>IFERROR(__xludf.DUMMYFUNCTION("GOOGLETRANSLATE(A1846, ""zh-CN"", ""ko"")"),"분명한")</f>
        <v>분명한</v>
      </c>
    </row>
    <row r="1847" ht="15.75" customHeight="1">
      <c r="A1847" s="1" t="s">
        <v>5458</v>
      </c>
      <c r="B1847" s="1">
        <v>5.0</v>
      </c>
      <c r="C1847" s="1" t="s">
        <v>5459</v>
      </c>
      <c r="E1847" s="1" t="s">
        <v>5460</v>
      </c>
      <c r="F1847" s="1" t="str">
        <f>IFERROR(__xludf.DUMMYFUNCTION("GOOGLETRANSLATE(A1847, ""zh-CN"", ""ko"")"),"경치 좋은 곳과 역사 유적지")</f>
        <v>경치 좋은 곳과 역사 유적지</v>
      </c>
    </row>
    <row r="1848" ht="15.75" customHeight="1">
      <c r="A1848" s="1" t="s">
        <v>5461</v>
      </c>
      <c r="B1848" s="1">
        <v>5.0</v>
      </c>
      <c r="C1848" s="1" t="s">
        <v>5462</v>
      </c>
      <c r="D1848" s="1" t="s">
        <v>52</v>
      </c>
      <c r="E1848" s="1" t="s">
        <v>5463</v>
      </c>
      <c r="F1848" s="1" t="str">
        <f>IFERROR(__xludf.DUMMYFUNCTION("GOOGLETRANSLATE(A1848, ""zh-CN"", ""ko"")"),"분명한")</f>
        <v>분명한</v>
      </c>
    </row>
    <row r="1849" ht="15.75" customHeight="1">
      <c r="A1849" s="1" t="s">
        <v>5464</v>
      </c>
      <c r="B1849" s="1">
        <v>5.0</v>
      </c>
      <c r="C1849" s="1" t="s">
        <v>5465</v>
      </c>
      <c r="D1849" s="1" t="s">
        <v>16</v>
      </c>
      <c r="E1849" s="1" t="s">
        <v>5466</v>
      </c>
      <c r="F1849" s="1" t="str">
        <f>IFERROR(__xludf.DUMMYFUNCTION("GOOGLETRANSLATE(A1849, ""zh-CN"", ""ko"")"),"별")</f>
        <v>별</v>
      </c>
    </row>
    <row r="1850" ht="15.75" customHeight="1">
      <c r="A1850" s="1" t="s">
        <v>5467</v>
      </c>
      <c r="B1850" s="1">
        <v>5.0</v>
      </c>
      <c r="C1850" s="1" t="s">
        <v>5468</v>
      </c>
      <c r="D1850" s="1" t="s">
        <v>113</v>
      </c>
      <c r="E1850" s="1" t="s">
        <v>5469</v>
      </c>
      <c r="F1850" s="1" t="str">
        <f>IFERROR(__xludf.DUMMYFUNCTION("GOOGLETRANSLATE(A1850, ""zh-CN"", ""ko"")"),"주문하다")</f>
        <v>주문하다</v>
      </c>
    </row>
    <row r="1851" ht="15.75" customHeight="1">
      <c r="A1851" s="1" t="s">
        <v>5470</v>
      </c>
      <c r="B1851" s="1">
        <v>5.0</v>
      </c>
      <c r="C1851" s="1" t="s">
        <v>5471</v>
      </c>
      <c r="D1851" s="1" t="s">
        <v>16</v>
      </c>
      <c r="E1851" s="1" t="s">
        <v>5472</v>
      </c>
      <c r="F1851" s="1" t="str">
        <f>IFERROR(__xludf.DUMMYFUNCTION("GOOGLETRANSLATE(A1851, ""zh-CN"", ""ko"")"),"운명")</f>
        <v>운명</v>
      </c>
    </row>
    <row r="1852" ht="15.75" customHeight="1">
      <c r="A1852" s="1" t="s">
        <v>5473</v>
      </c>
      <c r="B1852" s="1">
        <v>5.0</v>
      </c>
      <c r="C1852" s="1" t="s">
        <v>5474</v>
      </c>
      <c r="D1852" s="1" t="s">
        <v>8</v>
      </c>
      <c r="E1852" s="1" t="s">
        <v>5475</v>
      </c>
      <c r="F1852" s="1" t="str">
        <f>IFERROR(__xludf.DUMMYFUNCTION("GOOGLETRANSLATE(A1852, ""zh-CN"", ""ko"")"),"만지다")</f>
        <v>만지다</v>
      </c>
    </row>
    <row r="1853" ht="15.75" customHeight="1">
      <c r="A1853" s="1" t="s">
        <v>5476</v>
      </c>
      <c r="B1853" s="1">
        <v>5.0</v>
      </c>
      <c r="C1853" s="1" t="s">
        <v>5477</v>
      </c>
      <c r="D1853" s="1" t="s">
        <v>8</v>
      </c>
      <c r="E1853" s="1" t="s">
        <v>5478</v>
      </c>
      <c r="F1853" s="1" t="str">
        <f>IFERROR(__xludf.DUMMYFUNCTION("GOOGLETRANSLATE(A1853, ""zh-CN"", ""ko"")"),"본뜨다")</f>
        <v>본뜨다</v>
      </c>
    </row>
    <row r="1854" ht="15.75" customHeight="1">
      <c r="A1854" s="1" t="s">
        <v>5479</v>
      </c>
      <c r="B1854" s="1">
        <v>5.0</v>
      </c>
      <c r="C1854" s="1" t="s">
        <v>5480</v>
      </c>
      <c r="D1854" s="1" t="s">
        <v>52</v>
      </c>
      <c r="E1854" s="1" t="s">
        <v>5481</v>
      </c>
      <c r="F1854" s="1" t="str">
        <f>IFERROR(__xludf.DUMMYFUNCTION("GOOGLETRANSLATE(A1854, ""zh-CN"", ""ko"")"),"희미한")</f>
        <v>희미한</v>
      </c>
    </row>
    <row r="1855" ht="15.75" customHeight="1">
      <c r="A1855" s="1" t="s">
        <v>5482</v>
      </c>
      <c r="B1855" s="1">
        <v>5.0</v>
      </c>
      <c r="C1855" s="1" t="s">
        <v>5483</v>
      </c>
      <c r="D1855" s="1" t="s">
        <v>16</v>
      </c>
      <c r="E1855" s="1" t="s">
        <v>5484</v>
      </c>
      <c r="F1855" s="1" t="str">
        <f>IFERROR(__xludf.DUMMYFUNCTION("GOOGLETRANSLATE(A1855, ""zh-CN"", ""ko"")"),"모델")</f>
        <v>모델</v>
      </c>
    </row>
    <row r="1856" ht="15.75" customHeight="1">
      <c r="A1856" s="1" t="s">
        <v>5485</v>
      </c>
      <c r="B1856" s="1">
        <v>5.0</v>
      </c>
      <c r="C1856" s="1" t="s">
        <v>5486</v>
      </c>
      <c r="D1856" s="1" t="s">
        <v>16</v>
      </c>
      <c r="E1856" s="1" t="s">
        <v>5487</v>
      </c>
      <c r="F1856" s="1" t="str">
        <f>IFERROR(__xludf.DUMMYFUNCTION("GOOGLETRANSLATE(A1856, ""zh-CN"", ""ko"")"),"오토바이")</f>
        <v>오토바이</v>
      </c>
    </row>
    <row r="1857" ht="15.75" customHeight="1">
      <c r="A1857" s="1" t="s">
        <v>5488</v>
      </c>
      <c r="B1857" s="1">
        <v>5.0</v>
      </c>
      <c r="C1857" s="1" t="s">
        <v>5489</v>
      </c>
      <c r="D1857" s="1" t="s">
        <v>52</v>
      </c>
      <c r="E1857" s="1" t="s">
        <v>5490</v>
      </c>
      <c r="F1857" s="1" t="str">
        <f>IFERROR(__xludf.DUMMYFUNCTION("GOOGLETRANSLATE(A1857, ""zh-CN"", ""ko"")"),"기묘")</f>
        <v>기묘</v>
      </c>
    </row>
    <row r="1858" ht="15.75" customHeight="1">
      <c r="A1858" s="1" t="s">
        <v>5491</v>
      </c>
      <c r="B1858" s="1">
        <v>5.0</v>
      </c>
      <c r="C1858" s="1" t="s">
        <v>5492</v>
      </c>
      <c r="D1858" s="1" t="s">
        <v>88</v>
      </c>
      <c r="E1858" s="1" t="s">
        <v>5493</v>
      </c>
      <c r="F1858" s="1" t="str">
        <f>IFERROR(__xludf.DUMMYFUNCTION("GOOGLETRANSLATE(A1858, ""zh-CN"", ""ko"")"),"확실한")</f>
        <v>확실한</v>
      </c>
    </row>
    <row r="1859" ht="15.75" customHeight="1">
      <c r="A1859" s="1" t="s">
        <v>5494</v>
      </c>
      <c r="B1859" s="1">
        <v>5.0</v>
      </c>
      <c r="C1859" s="1" t="s">
        <v>5495</v>
      </c>
      <c r="D1859" s="1" t="s">
        <v>16</v>
      </c>
      <c r="E1859" s="1" t="s">
        <v>5496</v>
      </c>
      <c r="F1859" s="1" t="str">
        <f>IFERROR(__xludf.DUMMYFUNCTION("GOOGLETRANSLATE(A1859, ""zh-CN"", ""ko"")"),"목표")</f>
        <v>목표</v>
      </c>
    </row>
    <row r="1860" ht="15.75" customHeight="1">
      <c r="A1860" s="1" t="s">
        <v>5497</v>
      </c>
      <c r="B1860" s="1">
        <v>5.0</v>
      </c>
      <c r="C1860" s="1" t="s">
        <v>5498</v>
      </c>
      <c r="D1860" s="1" t="s">
        <v>16</v>
      </c>
      <c r="E1860" s="1" t="s">
        <v>5499</v>
      </c>
      <c r="F1860" s="1" t="str">
        <f>IFERROR(__xludf.DUMMYFUNCTION("GOOGLETRANSLATE(A1860, ""zh-CN"", ""ko"")"),"목차")</f>
        <v>목차</v>
      </c>
    </row>
    <row r="1861" ht="15.75" customHeight="1">
      <c r="A1861" s="1" t="s">
        <v>5500</v>
      </c>
      <c r="B1861" s="1">
        <v>5.0</v>
      </c>
      <c r="C1861" s="1" t="s">
        <v>5501</v>
      </c>
      <c r="D1861" s="1" t="s">
        <v>16</v>
      </c>
      <c r="E1861" s="1" t="s">
        <v>5502</v>
      </c>
      <c r="F1861" s="1" t="str">
        <f>IFERROR(__xludf.DUMMYFUNCTION("GOOGLETRANSLATE(A1861, ""zh-CN"", ""ko"")"),"현재")</f>
        <v>현재</v>
      </c>
    </row>
    <row r="1862" ht="15.75" customHeight="1">
      <c r="A1862" s="1" t="s">
        <v>5503</v>
      </c>
      <c r="B1862" s="1">
        <v>5.0</v>
      </c>
      <c r="C1862" s="1" t="s">
        <v>5504</v>
      </c>
      <c r="D1862" s="1" t="s">
        <v>16</v>
      </c>
      <c r="E1862" s="1" t="s">
        <v>5505</v>
      </c>
      <c r="F1862" s="1" t="str">
        <f>IFERROR(__xludf.DUMMYFUNCTION("GOOGLETRANSLATE(A1862, ""zh-CN"", ""ko"")"),"목재")</f>
        <v>목재</v>
      </c>
    </row>
    <row r="1863" ht="15.75" customHeight="1">
      <c r="A1863" s="1" t="s">
        <v>5506</v>
      </c>
      <c r="B1863" s="1">
        <v>5.0</v>
      </c>
      <c r="C1863" s="1" t="s">
        <v>5507</v>
      </c>
      <c r="D1863" s="1" t="s">
        <v>1473</v>
      </c>
      <c r="E1863" s="1" t="s">
        <v>5508</v>
      </c>
      <c r="F1863" s="1" t="str">
        <f>IFERROR(__xludf.DUMMYFUNCTION("GOOGLETRANSLATE(A1863, ""zh-CN"", ""ko"")"),"설사")</f>
        <v>설사</v>
      </c>
    </row>
    <row r="1864" ht="15.75" customHeight="1">
      <c r="A1864" s="1" t="s">
        <v>5509</v>
      </c>
      <c r="B1864" s="1">
        <v>5.0</v>
      </c>
      <c r="C1864" s="1" t="s">
        <v>5510</v>
      </c>
      <c r="D1864" s="1" t="s">
        <v>33</v>
      </c>
      <c r="E1864" s="1" t="s">
        <v>5511</v>
      </c>
      <c r="F1864" s="1" t="str">
        <f>IFERROR(__xludf.DUMMYFUNCTION("GOOGLETRANSLATE(A1864, ""zh-CN"", ""ko"")"),"놀랄 일도 아니다")</f>
        <v>놀랄 일도 아니다</v>
      </c>
    </row>
    <row r="1865" ht="15.75" customHeight="1">
      <c r="A1865" s="1" t="s">
        <v>5512</v>
      </c>
      <c r="B1865" s="1">
        <v>5.0</v>
      </c>
      <c r="C1865" s="1" t="s">
        <v>5513</v>
      </c>
      <c r="D1865" s="1" t="s">
        <v>52</v>
      </c>
      <c r="E1865" s="1" t="s">
        <v>5514</v>
      </c>
      <c r="F1865" s="1" t="str">
        <f>IFERROR(__xludf.DUMMYFUNCTION("GOOGLETRANSLATE(A1865, ""zh-CN"", ""ko"")"),"필연적으로")</f>
        <v>필연적으로</v>
      </c>
    </row>
    <row r="1866" ht="15.75" customHeight="1">
      <c r="A1866" s="1" t="s">
        <v>5515</v>
      </c>
      <c r="B1866" s="1">
        <v>5.0</v>
      </c>
      <c r="C1866" s="1" t="s">
        <v>5516</v>
      </c>
      <c r="D1866" s="1" t="s">
        <v>16</v>
      </c>
      <c r="E1866" s="1" t="s">
        <v>5517</v>
      </c>
      <c r="F1866" s="1" t="str">
        <f>IFERROR(__xludf.DUMMYFUNCTION("GOOGLETRANSLATE(A1866, ""zh-CN"", ""ko"")"),"머리")</f>
        <v>머리</v>
      </c>
    </row>
    <row r="1867" ht="15.75" customHeight="1">
      <c r="A1867" s="1" t="s">
        <v>5518</v>
      </c>
      <c r="B1867" s="1">
        <v>5.0</v>
      </c>
      <c r="C1867" s="1" t="s">
        <v>5519</v>
      </c>
      <c r="D1867" s="1" t="s">
        <v>16</v>
      </c>
      <c r="E1867" s="1" t="s">
        <v>5520</v>
      </c>
      <c r="F1867" s="1" t="str">
        <f>IFERROR(__xludf.DUMMYFUNCTION("GOOGLETRANSLATE(A1867, ""zh-CN"", ""ko"")"),"내부")</f>
        <v>내부</v>
      </c>
    </row>
    <row r="1868" ht="15.75" customHeight="1">
      <c r="A1868" s="1" t="s">
        <v>5521</v>
      </c>
      <c r="B1868" s="1">
        <v>5.0</v>
      </c>
      <c r="C1868" s="1" t="s">
        <v>5522</v>
      </c>
      <c r="D1868" s="1" t="s">
        <v>16</v>
      </c>
      <c r="E1868" s="1" t="s">
        <v>5523</v>
      </c>
      <c r="F1868" s="1" t="str">
        <f>IFERROR(__xludf.DUMMYFUNCTION("GOOGLETRANSLATE(A1868, ""zh-CN"", ""ko"")"),"내과")</f>
        <v>내과</v>
      </c>
    </row>
    <row r="1869" ht="15.75" customHeight="1">
      <c r="A1869" s="1" t="s">
        <v>5524</v>
      </c>
      <c r="B1869" s="1">
        <v>5.0</v>
      </c>
      <c r="C1869" s="1" t="s">
        <v>5525</v>
      </c>
      <c r="D1869" s="1" t="s">
        <v>52</v>
      </c>
      <c r="E1869" s="1" t="s">
        <v>5526</v>
      </c>
      <c r="F1869" s="1" t="str">
        <f>IFERROR(__xludf.DUMMYFUNCTION("GOOGLETRANSLATE(A1869, ""zh-CN"", ""ko"")"),"부드러운")</f>
        <v>부드러운</v>
      </c>
    </row>
    <row r="1870" ht="15.75" customHeight="1">
      <c r="A1870" s="1" t="s">
        <v>5527</v>
      </c>
      <c r="B1870" s="1">
        <v>5.0</v>
      </c>
      <c r="C1870" s="1" t="s">
        <v>5528</v>
      </c>
      <c r="D1870" s="1" t="s">
        <v>52</v>
      </c>
      <c r="E1870" s="1" t="s">
        <v>5529</v>
      </c>
      <c r="F1870" s="1" t="str">
        <f>IFERROR(__xludf.DUMMYFUNCTION("GOOGLETRANSLATE(A1870, ""zh-CN"", ""ko"")"),"유능한")</f>
        <v>유능한</v>
      </c>
    </row>
    <row r="1871" ht="15.75" customHeight="1">
      <c r="A1871" s="1" t="s">
        <v>5530</v>
      </c>
      <c r="B1871" s="1">
        <v>5.0</v>
      </c>
      <c r="C1871" s="1" t="s">
        <v>5531</v>
      </c>
      <c r="D1871" s="1" t="s">
        <v>16</v>
      </c>
      <c r="E1871" s="1" t="s">
        <v>5532</v>
      </c>
      <c r="F1871" s="1" t="str">
        <f>IFERROR(__xludf.DUMMYFUNCTION("GOOGLETRANSLATE(A1871, ""zh-CN"", ""ko"")"),"에너지")</f>
        <v>에너지</v>
      </c>
    </row>
    <row r="1872" ht="15.75" customHeight="1">
      <c r="A1872" s="1" t="s">
        <v>5533</v>
      </c>
      <c r="B1872" s="1">
        <v>5.0</v>
      </c>
      <c r="C1872" s="1" t="s">
        <v>5534</v>
      </c>
      <c r="D1872" s="1" t="s">
        <v>3541</v>
      </c>
      <c r="E1872" s="1" t="s">
        <v>5535</v>
      </c>
      <c r="F1872" s="1" t="str">
        <f>IFERROR(__xludf.DUMMYFUNCTION("GOOGLETRANSLATE(A1872, ""zh-CN"", ""ko"")"),"음")</f>
        <v>음</v>
      </c>
    </row>
    <row r="1873" ht="15.75" customHeight="1">
      <c r="A1873" s="1" t="s">
        <v>5536</v>
      </c>
      <c r="B1873" s="1">
        <v>5.0</v>
      </c>
      <c r="C1873" s="1" t="s">
        <v>5537</v>
      </c>
      <c r="D1873" s="1" t="s">
        <v>16</v>
      </c>
      <c r="E1873" s="1" t="s">
        <v>5538</v>
      </c>
      <c r="F1873" s="1" t="str">
        <f>IFERROR(__xludf.DUMMYFUNCTION("GOOGLETRANSLATE(A1873, ""zh-CN"", ""ko"")"),"연대")</f>
        <v>연대</v>
      </c>
    </row>
    <row r="1874" ht="15.75" customHeight="1">
      <c r="A1874" s="1" t="s">
        <v>5539</v>
      </c>
      <c r="B1874" s="1">
        <v>5.0</v>
      </c>
      <c r="C1874" s="1" t="s">
        <v>5540</v>
      </c>
      <c r="D1874" s="1" t="s">
        <v>16</v>
      </c>
      <c r="E1874" s="1" t="s">
        <v>2708</v>
      </c>
      <c r="F1874" s="1" t="str">
        <f>IFERROR(__xludf.DUMMYFUNCTION("GOOGLETRANSLATE(A1874, ""zh-CN"", ""ko"")"),"나이")</f>
        <v>나이</v>
      </c>
    </row>
    <row r="1875" ht="15.75" customHeight="1">
      <c r="A1875" s="1" t="s">
        <v>5541</v>
      </c>
      <c r="B1875" s="1">
        <v>5.0</v>
      </c>
      <c r="C1875" s="1" t="s">
        <v>5542</v>
      </c>
      <c r="D1875" s="1" t="s">
        <v>8</v>
      </c>
      <c r="E1875" s="1" t="s">
        <v>5543</v>
      </c>
      <c r="F1875" s="1" t="str">
        <f>IFERROR(__xludf.DUMMYFUNCTION("GOOGLETRANSLATE(A1875, ""zh-CN"", ""ko"")"),"읽다")</f>
        <v>읽다</v>
      </c>
    </row>
    <row r="1876" ht="15.75" customHeight="1">
      <c r="A1876" s="1" t="s">
        <v>5544</v>
      </c>
      <c r="B1876" s="1">
        <v>5.0</v>
      </c>
      <c r="C1876" s="1" t="s">
        <v>5545</v>
      </c>
      <c r="D1876" s="1" t="s">
        <v>33</v>
      </c>
      <c r="E1876" s="1" t="s">
        <v>5546</v>
      </c>
      <c r="F1876" s="1" t="str">
        <f>IFERROR(__xludf.DUMMYFUNCTION("GOOGLETRANSLATE(A1876, ""zh-CN"", ""ko"")"),"꽤")</f>
        <v>꽤</v>
      </c>
    </row>
    <row r="1877" ht="15.75" customHeight="1">
      <c r="A1877" s="1" t="s">
        <v>5547</v>
      </c>
      <c r="B1877" s="1">
        <v>5.0</v>
      </c>
      <c r="C1877" s="1" t="s">
        <v>5548</v>
      </c>
      <c r="D1877" s="1" t="s">
        <v>16</v>
      </c>
      <c r="E1877" s="1" t="s">
        <v>5549</v>
      </c>
      <c r="F1877" s="1" t="str">
        <f>IFERROR(__xludf.DUMMYFUNCTION("GOOGLETRANSLATE(A1877, ""zh-CN"", ""ko"")"),"청바지")</f>
        <v>청바지</v>
      </c>
    </row>
    <row r="1878" ht="15.75" customHeight="1">
      <c r="A1878" s="1" t="s">
        <v>5550</v>
      </c>
      <c r="B1878" s="1">
        <v>5.0</v>
      </c>
      <c r="C1878" s="1" t="s">
        <v>5551</v>
      </c>
      <c r="D1878" s="1" t="s">
        <v>52</v>
      </c>
      <c r="E1878" s="1" t="s">
        <v>5552</v>
      </c>
      <c r="F1878" s="1" t="str">
        <f>IFERROR(__xludf.DUMMYFUNCTION("GOOGLETRANSLATE(A1878, ""zh-CN"", ""ko"")"),"집중된")</f>
        <v>집중된</v>
      </c>
    </row>
    <row r="1879" ht="15.75" customHeight="1">
      <c r="A1879" s="1" t="s">
        <v>5553</v>
      </c>
      <c r="B1879" s="1">
        <v>5.0</v>
      </c>
      <c r="C1879" s="1" t="s">
        <v>5554</v>
      </c>
      <c r="D1879" s="1" t="s">
        <v>16</v>
      </c>
      <c r="E1879" s="1" t="s">
        <v>5555</v>
      </c>
      <c r="F1879" s="1" t="str">
        <f>IFERROR(__xludf.DUMMYFUNCTION("GOOGLETRANSLATE(A1879, ""zh-CN"", ""ko"")"),"농촌 지역")</f>
        <v>농촌 지역</v>
      </c>
    </row>
    <row r="1880" ht="15.75" customHeight="1">
      <c r="A1880" s="1" t="s">
        <v>5556</v>
      </c>
      <c r="B1880" s="1">
        <v>5.0</v>
      </c>
      <c r="C1880" s="1" t="s">
        <v>5557</v>
      </c>
      <c r="D1880" s="1" t="s">
        <v>16</v>
      </c>
      <c r="E1880" s="1" t="s">
        <v>5558</v>
      </c>
      <c r="F1880" s="1" t="str">
        <f>IFERROR(__xludf.DUMMYFUNCTION("GOOGLETRANSLATE(A1880, ""zh-CN"", ""ko"")"),"농부들")</f>
        <v>농부들</v>
      </c>
    </row>
    <row r="1881" ht="15.75" customHeight="1">
      <c r="A1881" s="1" t="s">
        <v>5559</v>
      </c>
      <c r="B1881" s="1">
        <v>5.0</v>
      </c>
      <c r="C1881" s="1" t="s">
        <v>5560</v>
      </c>
      <c r="D1881" s="1" t="s">
        <v>16</v>
      </c>
      <c r="E1881" s="1" t="s">
        <v>5561</v>
      </c>
      <c r="F1881" s="1" t="str">
        <f>IFERROR(__xludf.DUMMYFUNCTION("GOOGLETRANSLATE(A1881, ""zh-CN"", ""ko"")"),"농업")</f>
        <v>농업</v>
      </c>
    </row>
    <row r="1882" ht="15.75" customHeight="1">
      <c r="A1882" s="1" t="s">
        <v>5562</v>
      </c>
      <c r="B1882" s="1">
        <v>5.0</v>
      </c>
      <c r="C1882" s="1" t="s">
        <v>5563</v>
      </c>
      <c r="D1882" s="1" t="s">
        <v>16</v>
      </c>
      <c r="E1882" s="1" t="s">
        <v>5564</v>
      </c>
      <c r="F1882" s="1" t="str">
        <f>IFERROR(__xludf.DUMMYFUNCTION("GOOGLETRANSLATE(A1882, ""zh-CN"", ""ko"")"),"놓치다")</f>
        <v>놓치다</v>
      </c>
    </row>
    <row r="1883" ht="15.75" customHeight="1">
      <c r="A1883" s="1" t="s">
        <v>5565</v>
      </c>
      <c r="B1883" s="1">
        <v>5.0</v>
      </c>
      <c r="C1883" s="1" t="s">
        <v>5566</v>
      </c>
      <c r="D1883" s="1" t="s">
        <v>16</v>
      </c>
      <c r="E1883" s="1" t="s">
        <v>5567</v>
      </c>
      <c r="F1883" s="1" t="str">
        <f>IFERROR(__xludf.DUMMYFUNCTION("GOOGLETRANSLATE(A1883, ""zh-CN"", ""ko"")"),"유럽")</f>
        <v>유럽</v>
      </c>
    </row>
    <row r="1884" ht="15.75" customHeight="1">
      <c r="A1884" s="1" t="s">
        <v>5568</v>
      </c>
      <c r="B1884" s="1">
        <v>5.0</v>
      </c>
      <c r="C1884" s="1" t="s">
        <v>5569</v>
      </c>
      <c r="D1884" s="1" t="s">
        <v>52</v>
      </c>
      <c r="E1884" s="1" t="s">
        <v>5570</v>
      </c>
      <c r="F1884" s="1" t="str">
        <f>IFERROR(__xludf.DUMMYFUNCTION("GOOGLETRANSLATE(A1884, ""zh-CN"", ""ko"")"),"우연한")</f>
        <v>우연한</v>
      </c>
    </row>
    <row r="1885" ht="15.75" customHeight="1">
      <c r="A1885" s="1" t="s">
        <v>5571</v>
      </c>
      <c r="B1885" s="1">
        <v>5.0</v>
      </c>
      <c r="C1885" s="1" t="s">
        <v>5572</v>
      </c>
      <c r="D1885" s="1" t="s">
        <v>8</v>
      </c>
      <c r="E1885" s="1" t="s">
        <v>5573</v>
      </c>
      <c r="F1885" s="1" t="str">
        <f>IFERROR(__xludf.DUMMYFUNCTION("GOOGLETRANSLATE(A1885, ""zh-CN"", ""ko"")"),"사격")</f>
        <v>사격</v>
      </c>
    </row>
    <row r="1886" ht="15.75" customHeight="1">
      <c r="A1886" s="1" t="s">
        <v>5574</v>
      </c>
      <c r="B1886" s="1">
        <v>5.0</v>
      </c>
      <c r="C1886" s="1" t="s">
        <v>5575</v>
      </c>
      <c r="D1886" s="1" t="s">
        <v>8</v>
      </c>
      <c r="E1886" s="1" t="s">
        <v>5576</v>
      </c>
      <c r="F1886" s="1" t="str">
        <f>IFERROR(__xludf.DUMMYFUNCTION("GOOGLETRANSLATE(A1886, ""zh-CN"", ""ko"")"),"그룹")</f>
        <v>그룹</v>
      </c>
    </row>
    <row r="1887" ht="15.75" customHeight="1">
      <c r="A1887" s="1" t="s">
        <v>5577</v>
      </c>
      <c r="B1887" s="1">
        <v>5.0</v>
      </c>
      <c r="C1887" s="1" t="s">
        <v>5578</v>
      </c>
      <c r="D1887" s="1" t="s">
        <v>8</v>
      </c>
      <c r="E1887" s="1" t="s">
        <v>5579</v>
      </c>
      <c r="F1887" s="1" t="str">
        <f>IFERROR(__xludf.DUMMYFUNCTION("GOOGLETRANSLATE(A1887, ""zh-CN"", ""ko"")"),"희망")</f>
        <v>희망</v>
      </c>
    </row>
    <row r="1888" ht="15.75" customHeight="1">
      <c r="A1888" s="1" t="s">
        <v>5580</v>
      </c>
      <c r="B1888" s="1">
        <v>5.0</v>
      </c>
      <c r="C1888" s="1" t="s">
        <v>5581</v>
      </c>
      <c r="D1888" s="1" t="s">
        <v>8</v>
      </c>
      <c r="E1888" s="1" t="s">
        <v>5582</v>
      </c>
      <c r="F1888" s="1" t="str">
        <f>IFERROR(__xludf.DUMMYFUNCTION("GOOGLETRANSLATE(A1888, ""zh-CN"", ""ko"")"),"보상")</f>
        <v>보상</v>
      </c>
    </row>
    <row r="1889" ht="15.75" customHeight="1">
      <c r="A1889" s="1" t="s">
        <v>5583</v>
      </c>
      <c r="B1889" s="1">
        <v>5.0</v>
      </c>
      <c r="C1889" s="1" t="s">
        <v>5584</v>
      </c>
      <c r="D1889" s="1" t="s">
        <v>8</v>
      </c>
      <c r="E1889" s="1" t="s">
        <v>5585</v>
      </c>
      <c r="F1889" s="1" t="str">
        <f>IFERROR(__xludf.DUMMYFUNCTION("GOOGLETRANSLATE(A1889, ""zh-CN"", ""ko"")"),"훈련")</f>
        <v>훈련</v>
      </c>
    </row>
    <row r="1890" ht="15.75" customHeight="1">
      <c r="A1890" s="1" t="s">
        <v>5586</v>
      </c>
      <c r="B1890" s="1">
        <v>5.0</v>
      </c>
      <c r="C1890" s="1" t="s">
        <v>5587</v>
      </c>
      <c r="D1890" s="1" t="s">
        <v>8</v>
      </c>
      <c r="E1890" s="1" t="s">
        <v>5588</v>
      </c>
      <c r="F1890" s="1" t="str">
        <f>IFERROR(__xludf.DUMMYFUNCTION("GOOGLETRANSLATE(A1890, ""zh-CN"", ""ko"")"),"키우다")</f>
        <v>키우다</v>
      </c>
    </row>
    <row r="1891" ht="15.75" customHeight="1">
      <c r="A1891" s="1" t="s">
        <v>5589</v>
      </c>
      <c r="B1891" s="1">
        <v>5.0</v>
      </c>
      <c r="C1891" s="1" t="s">
        <v>5590</v>
      </c>
      <c r="D1891" s="1" t="s">
        <v>8</v>
      </c>
      <c r="E1891" s="1" t="s">
        <v>5591</v>
      </c>
      <c r="F1891" s="1" t="str">
        <f>IFERROR(__xludf.DUMMYFUNCTION("GOOGLETRANSLATE(A1891, ""zh-CN"", ""ko"")"),"존경하다")</f>
        <v>존경하다</v>
      </c>
    </row>
    <row r="1892" ht="15.75" customHeight="1">
      <c r="A1892" s="1" t="s">
        <v>5592</v>
      </c>
      <c r="B1892" s="1">
        <v>5.0</v>
      </c>
      <c r="C1892" s="1" t="s">
        <v>5593</v>
      </c>
      <c r="D1892" s="1" t="s">
        <v>8</v>
      </c>
      <c r="E1892" s="1" t="s">
        <v>5594</v>
      </c>
      <c r="F1892" s="1" t="str">
        <f>IFERROR(__xludf.DUMMYFUNCTION("GOOGLETRANSLATE(A1892, ""zh-CN"", ""ko"")"),"맞잡다")</f>
        <v>맞잡다</v>
      </c>
    </row>
    <row r="1893" ht="15.75" customHeight="1">
      <c r="A1893" s="1" t="s">
        <v>5595</v>
      </c>
      <c r="B1893" s="1">
        <v>5.0</v>
      </c>
      <c r="C1893" s="1" t="s">
        <v>5596</v>
      </c>
      <c r="D1893" s="1" t="s">
        <v>16</v>
      </c>
      <c r="E1893" s="1" t="s">
        <v>5597</v>
      </c>
      <c r="F1893" s="1" t="str">
        <f>IFERROR(__xludf.DUMMYFUNCTION("GOOGLETRANSLATE(A1893, ""zh-CN"", ""ko"")"),"냄비")</f>
        <v>냄비</v>
      </c>
    </row>
    <row r="1894" ht="15.75" customHeight="1">
      <c r="A1894" s="1" t="s">
        <v>5598</v>
      </c>
      <c r="B1894" s="1">
        <v>5.0</v>
      </c>
      <c r="C1894" s="1" t="s">
        <v>5599</v>
      </c>
      <c r="D1894" s="1" t="s">
        <v>8</v>
      </c>
      <c r="E1894" s="1" t="s">
        <v>5600</v>
      </c>
      <c r="F1894" s="1" t="str">
        <f>IFERROR(__xludf.DUMMYFUNCTION("GOOGLETRANSLATE(A1894, ""zh-CN"", ""ko"")"),"충돌")</f>
        <v>충돌</v>
      </c>
    </row>
    <row r="1895" ht="15.75" customHeight="1">
      <c r="A1895" s="1" t="s">
        <v>5601</v>
      </c>
      <c r="B1895" s="1">
        <v>5.0</v>
      </c>
      <c r="C1895" s="1" t="s">
        <v>5602</v>
      </c>
      <c r="D1895" s="1" t="s">
        <v>26</v>
      </c>
      <c r="E1895" s="1" t="s">
        <v>5603</v>
      </c>
      <c r="F1895" s="1" t="str">
        <f>IFERROR(__xludf.DUMMYFUNCTION("GOOGLETRANSLATE(A1895, ""zh-CN"", ""ko"")"),"일괄")</f>
        <v>일괄</v>
      </c>
    </row>
    <row r="1896" ht="15.75" customHeight="1">
      <c r="A1896" s="1" t="s">
        <v>5604</v>
      </c>
      <c r="B1896" s="1">
        <v>5.0</v>
      </c>
      <c r="C1896" s="1" t="s">
        <v>5602</v>
      </c>
      <c r="D1896" s="1" t="s">
        <v>8</v>
      </c>
      <c r="E1896" s="1" t="s">
        <v>5605</v>
      </c>
      <c r="F1896" s="1" t="str">
        <f>IFERROR(__xludf.DUMMYFUNCTION("GOOGLETRANSLATE(A1896, ""zh-CN"", ""ko"")"),"망토")</f>
        <v>망토</v>
      </c>
    </row>
    <row r="1897" ht="15.75" customHeight="1">
      <c r="A1897" s="1" t="s">
        <v>5606</v>
      </c>
      <c r="B1897" s="1">
        <v>5.0</v>
      </c>
      <c r="C1897" s="1" t="s">
        <v>5607</v>
      </c>
      <c r="D1897" s="1" t="s">
        <v>8</v>
      </c>
      <c r="E1897" s="1" t="s">
        <v>5608</v>
      </c>
      <c r="F1897" s="1" t="str">
        <f>IFERROR(__xludf.DUMMYFUNCTION("GOOGLETRANSLATE(A1897, ""zh-CN"", ""ko"")"),"승인하다")</f>
        <v>승인하다</v>
      </c>
    </row>
    <row r="1898" ht="15.75" customHeight="1">
      <c r="A1898" s="1" t="s">
        <v>5609</v>
      </c>
      <c r="B1898" s="1">
        <v>5.0</v>
      </c>
      <c r="C1898" s="1" t="s">
        <v>5610</v>
      </c>
      <c r="D1898" s="1" t="s">
        <v>52</v>
      </c>
      <c r="E1898" s="1" t="s">
        <v>5611</v>
      </c>
      <c r="F1898" s="1" t="str">
        <f>IFERROR(__xludf.DUMMYFUNCTION("GOOGLETRANSLATE(A1898, ""zh-CN"", ""ko"")"),"피로")</f>
        <v>피로</v>
      </c>
    </row>
    <row r="1899" ht="15.75" customHeight="1">
      <c r="A1899" s="1" t="s">
        <v>5612</v>
      </c>
      <c r="B1899" s="1">
        <v>5.0</v>
      </c>
      <c r="C1899" s="1" t="s">
        <v>5613</v>
      </c>
      <c r="D1899" s="1" t="s">
        <v>26</v>
      </c>
      <c r="E1899" s="1" t="s">
        <v>5614</v>
      </c>
      <c r="F1899" s="1" t="str">
        <f>IFERROR(__xludf.DUMMYFUNCTION("GOOGLETRANSLATE(A1899, ""zh-CN"", ""ko"")"),"성냥")</f>
        <v>성냥</v>
      </c>
    </row>
    <row r="1900" ht="15.75" customHeight="1">
      <c r="A1900" s="1" t="s">
        <v>5615</v>
      </c>
      <c r="B1900" s="1">
        <v>5.0</v>
      </c>
      <c r="C1900" s="1" t="s">
        <v>2743</v>
      </c>
      <c r="D1900" s="1" t="s">
        <v>26</v>
      </c>
      <c r="E1900" s="1" t="s">
        <v>5616</v>
      </c>
      <c r="F1900" s="1" t="str">
        <f>IFERROR(__xludf.DUMMYFUNCTION("GOOGLETRANSLATE(A1900, ""zh-CN"", ""ko"")"),"조각")</f>
        <v>조각</v>
      </c>
    </row>
    <row r="1901" ht="15.75" customHeight="1">
      <c r="A1901" s="1" t="s">
        <v>5617</v>
      </c>
      <c r="B1901" s="1">
        <v>5.0</v>
      </c>
      <c r="C1901" s="1" t="s">
        <v>5618</v>
      </c>
      <c r="D1901" s="1" t="s">
        <v>52</v>
      </c>
      <c r="E1901" s="1" t="s">
        <v>5619</v>
      </c>
      <c r="F1901" s="1" t="str">
        <f>IFERROR(__xludf.DUMMYFUNCTION("GOOGLETRANSLATE(A1901, ""zh-CN"", ""ko"")"),"일방적인")</f>
        <v>일방적인</v>
      </c>
    </row>
    <row r="1902" ht="15.75" customHeight="1">
      <c r="A1902" s="1" t="s">
        <v>5620</v>
      </c>
      <c r="B1902" s="1">
        <v>5.0</v>
      </c>
      <c r="C1902" s="1" t="s">
        <v>5621</v>
      </c>
      <c r="D1902" s="1" t="s">
        <v>8</v>
      </c>
      <c r="E1902" s="1" t="s">
        <v>5622</v>
      </c>
      <c r="F1902" s="1" t="str">
        <f>IFERROR(__xludf.DUMMYFUNCTION("GOOGLETRANSLATE(A1902, ""zh-CN"", ""ko"")"),"뜨다")</f>
        <v>뜨다</v>
      </c>
    </row>
    <row r="1903" ht="15.75" customHeight="1">
      <c r="A1903" s="1" t="s">
        <v>5623</v>
      </c>
      <c r="B1903" s="1">
        <v>5.0</v>
      </c>
      <c r="C1903" s="1" t="s">
        <v>5624</v>
      </c>
      <c r="D1903" s="1" t="s">
        <v>16</v>
      </c>
      <c r="E1903" s="1" t="s">
        <v>5625</v>
      </c>
      <c r="F1903" s="1" t="str">
        <f>IFERROR(__xludf.DUMMYFUNCTION("GOOGLETRANSLATE(A1903, ""zh-CN"", ""ko"")"),"병음")</f>
        <v>병음</v>
      </c>
    </row>
    <row r="1904" ht="15.75" customHeight="1">
      <c r="A1904" s="1" t="s">
        <v>5626</v>
      </c>
      <c r="B1904" s="1">
        <v>5.0</v>
      </c>
      <c r="C1904" s="1" t="s">
        <v>5627</v>
      </c>
      <c r="D1904" s="1" t="s">
        <v>16</v>
      </c>
      <c r="E1904" s="1" t="s">
        <v>5628</v>
      </c>
      <c r="F1904" s="1" t="str">
        <f>IFERROR(__xludf.DUMMYFUNCTION("GOOGLETRANSLATE(A1904, ""zh-CN"", ""ko"")"),"채널")</f>
        <v>채널</v>
      </c>
    </row>
    <row r="1905" ht="15.75" customHeight="1">
      <c r="A1905" s="1" t="s">
        <v>5629</v>
      </c>
      <c r="B1905" s="1">
        <v>5.0</v>
      </c>
      <c r="C1905" s="1" t="s">
        <v>5630</v>
      </c>
      <c r="D1905" s="1" t="s">
        <v>52</v>
      </c>
      <c r="E1905" s="1" t="s">
        <v>5631</v>
      </c>
      <c r="F1905" s="1" t="str">
        <f>IFERROR(__xludf.DUMMYFUNCTION("GOOGLETRANSLATE(A1905, ""zh-CN"", ""ko"")"),"평평한")</f>
        <v>평평한</v>
      </c>
    </row>
    <row r="1906" ht="15.75" customHeight="1">
      <c r="A1906" s="1" t="s">
        <v>5632</v>
      </c>
      <c r="B1906" s="1">
        <v>5.0</v>
      </c>
      <c r="C1906" s="1" t="s">
        <v>5630</v>
      </c>
      <c r="D1906" s="1" t="s">
        <v>486</v>
      </c>
      <c r="E1906" s="1" t="s">
        <v>5633</v>
      </c>
      <c r="F1906" s="1" t="str">
        <f>IFERROR(__xludf.DUMMYFUNCTION("GOOGLETRANSLATE(A1906, ""zh-CN"", ""ko"")"),"에 의해")</f>
        <v>에 의해</v>
      </c>
    </row>
    <row r="1907" ht="15.75" customHeight="1">
      <c r="A1907" s="1" t="s">
        <v>5634</v>
      </c>
      <c r="B1907" s="1">
        <v>5.0</v>
      </c>
      <c r="C1907" s="1" t="s">
        <v>5635</v>
      </c>
      <c r="D1907" s="1" t="s">
        <v>52</v>
      </c>
      <c r="E1907" s="1" t="s">
        <v>5636</v>
      </c>
      <c r="F1907" s="1" t="str">
        <f>IFERROR(__xludf.DUMMYFUNCTION("GOOGLETRANSLATE(A1907, ""zh-CN"", ""ko"")"),"안전")</f>
        <v>안전</v>
      </c>
    </row>
    <row r="1908" ht="15.75" customHeight="1">
      <c r="A1908" s="1" t="s">
        <v>5637</v>
      </c>
      <c r="B1908" s="1">
        <v>5.0</v>
      </c>
      <c r="C1908" s="1" t="s">
        <v>5638</v>
      </c>
      <c r="D1908" s="1" t="s">
        <v>1842</v>
      </c>
      <c r="E1908" s="1" t="s">
        <v>5639</v>
      </c>
      <c r="F1908" s="1" t="str">
        <f>IFERROR(__xludf.DUMMYFUNCTION("GOOGLETRANSLATE(A1908, ""zh-CN"", ""ko"")"),"대개")</f>
        <v>대개</v>
      </c>
    </row>
    <row r="1909" ht="15.75" customHeight="1">
      <c r="A1909" s="1" t="s">
        <v>5640</v>
      </c>
      <c r="B1909" s="1">
        <v>5.0</v>
      </c>
      <c r="C1909" s="1" t="s">
        <v>5641</v>
      </c>
      <c r="D1909" s="1" t="s">
        <v>52</v>
      </c>
      <c r="E1909" s="1" t="s">
        <v>5642</v>
      </c>
      <c r="F1909" s="1" t="str">
        <f>IFERROR(__xludf.DUMMYFUNCTION("GOOGLETRANSLATE(A1909, ""zh-CN"", ""ko"")"),"평등")</f>
        <v>평등</v>
      </c>
    </row>
    <row r="1910" ht="15.75" customHeight="1">
      <c r="A1910" s="1" t="s">
        <v>5643</v>
      </c>
      <c r="B1910" s="1">
        <v>5.0</v>
      </c>
      <c r="C1910" s="1" t="s">
        <v>5644</v>
      </c>
      <c r="D1910" s="1" t="s">
        <v>26</v>
      </c>
      <c r="E1910" s="1" t="s">
        <v>5645</v>
      </c>
      <c r="F1910" s="1" t="str">
        <f>IFERROR(__xludf.DUMMYFUNCTION("GOOGLETRANSLATE(A1910, ""zh-CN"", ""ko"")"),"정사각형")</f>
        <v>정사각형</v>
      </c>
    </row>
    <row r="1911" ht="15.75" customHeight="1">
      <c r="A1911" s="1" t="s">
        <v>5646</v>
      </c>
      <c r="B1911" s="1">
        <v>5.0</v>
      </c>
      <c r="C1911" s="1" t="s">
        <v>5647</v>
      </c>
      <c r="D1911" s="1" t="s">
        <v>1003</v>
      </c>
      <c r="E1911" s="1" t="s">
        <v>5648</v>
      </c>
      <c r="F1911" s="1" t="str">
        <f>IFERROR(__xludf.DUMMYFUNCTION("GOOGLETRANSLATE(A1911, ""zh-CN"", ""ko"")"),"균형")</f>
        <v>균형</v>
      </c>
    </row>
    <row r="1912" ht="15.75" customHeight="1">
      <c r="A1912" s="1" t="s">
        <v>5649</v>
      </c>
      <c r="B1912" s="1">
        <v>5.0</v>
      </c>
      <c r="C1912" s="1" t="s">
        <v>5650</v>
      </c>
      <c r="D1912" s="1" t="s">
        <v>113</v>
      </c>
      <c r="E1912" s="1" t="s">
        <v>5651</v>
      </c>
      <c r="F1912" s="1" t="str">
        <f>IFERROR(__xludf.DUMMYFUNCTION("GOOGLETRANSLATE(A1912, ""zh-CN"", ""ko"")"),"평가하다")</f>
        <v>평가하다</v>
      </c>
    </row>
    <row r="1913" ht="15.75" customHeight="1">
      <c r="A1913" s="1" t="s">
        <v>5652</v>
      </c>
      <c r="B1913" s="1">
        <v>5.0</v>
      </c>
      <c r="C1913" s="1" t="s">
        <v>5653</v>
      </c>
      <c r="D1913" s="1" t="s">
        <v>52</v>
      </c>
      <c r="E1913" s="1" t="s">
        <v>5654</v>
      </c>
      <c r="F1913" s="1" t="str">
        <f>IFERROR(__xludf.DUMMYFUNCTION("GOOGLETRANSLATE(A1913, ""zh-CN"", ""ko"")"),"침착한")</f>
        <v>침착한</v>
      </c>
    </row>
    <row r="1914" ht="15.75" customHeight="1">
      <c r="A1914" s="1" t="s">
        <v>5655</v>
      </c>
      <c r="B1914" s="1">
        <v>5.0</v>
      </c>
      <c r="C1914" s="1" t="s">
        <v>5656</v>
      </c>
      <c r="D1914" s="1" t="s">
        <v>52</v>
      </c>
      <c r="E1914" s="1" t="s">
        <v>5657</v>
      </c>
      <c r="F1914" s="1" t="str">
        <f>IFERROR(__xludf.DUMMYFUNCTION("GOOGLETRANSLATE(A1914, ""zh-CN"", ""ko"")"),"평균")</f>
        <v>평균</v>
      </c>
    </row>
    <row r="1915" ht="15.75" customHeight="1">
      <c r="A1915" s="1" t="s">
        <v>5658</v>
      </c>
      <c r="B1915" s="1">
        <v>5.0</v>
      </c>
      <c r="C1915" s="1" t="s">
        <v>5659</v>
      </c>
      <c r="D1915" s="1" t="s">
        <v>8</v>
      </c>
      <c r="E1915" s="1" t="s">
        <v>5660</v>
      </c>
      <c r="F1915" s="1" t="str">
        <f>IFERROR(__xludf.DUMMYFUNCTION("GOOGLETRANSLATE(A1915, ""zh-CN"", ""ko"")"),"파산")</f>
        <v>파산</v>
      </c>
    </row>
    <row r="1916" ht="15.75" customHeight="1">
      <c r="A1916" s="1" t="s">
        <v>5661</v>
      </c>
      <c r="B1916" s="1">
        <v>5.0</v>
      </c>
      <c r="C1916" s="1" t="s">
        <v>5662</v>
      </c>
      <c r="D1916" s="1" t="s">
        <v>8</v>
      </c>
      <c r="E1916" s="1" t="s">
        <v>5663</v>
      </c>
      <c r="F1916" s="1" t="str">
        <f>IFERROR(__xludf.DUMMYFUNCTION("GOOGLETRANSLATE(A1916, ""zh-CN"", ""ko"")"),"파괴하다")</f>
        <v>파괴하다</v>
      </c>
    </row>
    <row r="1917" ht="15.75" customHeight="1">
      <c r="A1917" s="1" t="s">
        <v>5664</v>
      </c>
      <c r="B1917" s="1">
        <v>5.0</v>
      </c>
      <c r="C1917" s="1" t="s">
        <v>5665</v>
      </c>
      <c r="D1917" s="1" t="s">
        <v>52</v>
      </c>
      <c r="E1917" s="1" t="s">
        <v>5041</v>
      </c>
      <c r="F1917" s="1" t="str">
        <f>IFERROR(__xludf.DUMMYFUNCTION("GOOGLETRANSLATE(A1917, ""zh-CN"", ""ko"")"),"긴급한")</f>
        <v>긴급한</v>
      </c>
    </row>
    <row r="1918" ht="15.75" customHeight="1">
      <c r="A1918" s="1" t="s">
        <v>5666</v>
      </c>
      <c r="B1918" s="1">
        <v>5.0</v>
      </c>
      <c r="C1918" s="1" t="s">
        <v>5667</v>
      </c>
      <c r="D1918" s="1" t="s">
        <v>8</v>
      </c>
      <c r="E1918" s="1" t="s">
        <v>5668</v>
      </c>
      <c r="F1918" s="1" t="str">
        <f>IFERROR(__xludf.DUMMYFUNCTION("GOOGLETRANSLATE(A1918, ""zh-CN"", ""ko"")"),"예상하다")</f>
        <v>예상하다</v>
      </c>
    </row>
    <row r="1919" ht="15.75" customHeight="1">
      <c r="A1919" s="1" t="s">
        <v>5669</v>
      </c>
      <c r="B1919" s="1">
        <v>5.0</v>
      </c>
      <c r="C1919" s="1" t="s">
        <v>5670</v>
      </c>
      <c r="D1919" s="1" t="s">
        <v>16</v>
      </c>
      <c r="E1919" s="1" t="s">
        <v>5671</v>
      </c>
      <c r="F1919" s="1" t="str">
        <f>IFERROR(__xludf.DUMMYFUNCTION("GOOGLETRANSLATE(A1919, ""zh-CN"", ""ko"")"),"기간")</f>
        <v>기간</v>
      </c>
    </row>
    <row r="1920" ht="15.75" customHeight="1">
      <c r="A1920" s="1" t="s">
        <v>5672</v>
      </c>
      <c r="B1920" s="1">
        <v>5.0</v>
      </c>
      <c r="C1920" s="1" t="s">
        <v>5673</v>
      </c>
      <c r="D1920" s="1" t="s">
        <v>16</v>
      </c>
      <c r="E1920" s="1" t="s">
        <v>5674</v>
      </c>
      <c r="F1920" s="1" t="str">
        <f>IFERROR(__xludf.DUMMYFUNCTION("GOOGLETRANSLATE(A1920, ""zh-CN"", ""ko"")"),"기적")</f>
        <v>기적</v>
      </c>
    </row>
    <row r="1921" ht="15.75" customHeight="1">
      <c r="A1921" s="1" t="s">
        <v>5675</v>
      </c>
      <c r="B1921" s="1">
        <v>5.0</v>
      </c>
      <c r="C1921" s="1" t="s">
        <v>5676</v>
      </c>
      <c r="D1921" s="1" t="s">
        <v>88</v>
      </c>
      <c r="E1921" s="1" t="s">
        <v>5677</v>
      </c>
      <c r="F1921" s="1" t="str">
        <f>IFERROR(__xludf.DUMMYFUNCTION("GOOGLETRANSLATE(A1921, ""zh-CN"", ""ko"")"),"나머지")</f>
        <v>나머지</v>
      </c>
    </row>
    <row r="1922" ht="15.75" customHeight="1">
      <c r="A1922" s="1" t="s">
        <v>5678</v>
      </c>
      <c r="B1922" s="1">
        <v>5.0</v>
      </c>
      <c r="C1922" s="1" t="s">
        <v>5679</v>
      </c>
      <c r="D1922" s="1" t="s">
        <v>8</v>
      </c>
      <c r="E1922" s="1" t="s">
        <v>5680</v>
      </c>
      <c r="F1922" s="1" t="str">
        <f>IFERROR(__xludf.DUMMYFUNCTION("GOOGLETRANSLATE(A1922, ""zh-CN"", ""ko"")"),"영감")</f>
        <v>영감</v>
      </c>
    </row>
    <row r="1923" ht="15.75" customHeight="1">
      <c r="A1923" s="1" t="s">
        <v>5681</v>
      </c>
      <c r="B1923" s="1">
        <v>5.0</v>
      </c>
      <c r="C1923" s="1" t="s">
        <v>5682</v>
      </c>
      <c r="D1923" s="1" t="s">
        <v>16</v>
      </c>
      <c r="E1923" s="1" t="s">
        <v>5683</v>
      </c>
      <c r="F1923" s="1" t="str">
        <f>IFERROR(__xludf.DUMMYFUNCTION("GOOGLETRANSLATE(A1923, ""zh-CN"", ""ko"")"),"기업")</f>
        <v>기업</v>
      </c>
    </row>
    <row r="1924" ht="15.75" customHeight="1">
      <c r="A1924" s="1" t="s">
        <v>5684</v>
      </c>
      <c r="B1924" s="1">
        <v>5.0</v>
      </c>
      <c r="C1924" s="1" t="s">
        <v>5685</v>
      </c>
      <c r="D1924" s="1" t="s">
        <v>16</v>
      </c>
      <c r="E1924" s="1" t="s">
        <v>5686</v>
      </c>
      <c r="F1924" s="1" t="str">
        <f>IFERROR(__xludf.DUMMYFUNCTION("GOOGLETRANSLATE(A1924, ""zh-CN"", ""ko"")"),"대기")</f>
        <v>대기</v>
      </c>
    </row>
    <row r="1925" ht="15.75" customHeight="1">
      <c r="A1925" s="1" t="s">
        <v>5687</v>
      </c>
      <c r="B1925" s="1">
        <v>5.0</v>
      </c>
      <c r="C1925" s="1" t="s">
        <v>5688</v>
      </c>
      <c r="D1925" s="1" t="s">
        <v>16</v>
      </c>
      <c r="E1925" s="1" t="s">
        <v>5689</v>
      </c>
      <c r="F1925" s="1" t="str">
        <f>IFERROR(__xludf.DUMMYFUNCTION("GOOGLETRANSLATE(A1925, ""zh-CN"", ""ko"")"),"가솔린")</f>
        <v>가솔린</v>
      </c>
    </row>
    <row r="1926" ht="15.75" customHeight="1">
      <c r="A1926" s="1" t="s">
        <v>5690</v>
      </c>
      <c r="B1926" s="1">
        <v>5.0</v>
      </c>
      <c r="C1926" s="1" t="s">
        <v>716</v>
      </c>
      <c r="D1926" s="1" t="s">
        <v>8</v>
      </c>
      <c r="E1926" s="1" t="s">
        <v>5691</v>
      </c>
      <c r="F1926" s="1" t="str">
        <f>IFERROR(__xludf.DUMMYFUNCTION("GOOGLETRANSLATE(A1926, ""zh-CN"", ""ko"")"),"징후")</f>
        <v>징후</v>
      </c>
    </row>
    <row r="1927" ht="15.75" customHeight="1">
      <c r="A1927" s="1" t="s">
        <v>5692</v>
      </c>
      <c r="B1927" s="1">
        <v>5.0</v>
      </c>
      <c r="C1927" s="1" t="s">
        <v>5693</v>
      </c>
      <c r="D1927" s="1" t="s">
        <v>52</v>
      </c>
      <c r="E1927" s="1" t="s">
        <v>5694</v>
      </c>
      <c r="F1927" s="1" t="str">
        <f>IFERROR(__xludf.DUMMYFUNCTION("GOOGLETRANSLATE(A1927, ""zh-CN"", ""ko"")"),"겸손")</f>
        <v>겸손</v>
      </c>
    </row>
    <row r="1928" ht="15.75" customHeight="1">
      <c r="A1928" s="1" t="s">
        <v>5695</v>
      </c>
      <c r="B1928" s="1">
        <v>5.0</v>
      </c>
      <c r="C1928" s="1" t="s">
        <v>5696</v>
      </c>
      <c r="D1928" s="1" t="s">
        <v>16</v>
      </c>
      <c r="E1928" s="1" t="s">
        <v>5697</v>
      </c>
      <c r="F1928" s="1" t="str">
        <f>IFERROR(__xludf.DUMMYFUNCTION("GOOGLETRANSLATE(A1928, ""zh-CN"", ""ko"")"),"미래")</f>
        <v>미래</v>
      </c>
    </row>
    <row r="1929" ht="15.75" customHeight="1">
      <c r="A1929" s="1" t="s">
        <v>5698</v>
      </c>
      <c r="B1929" s="1">
        <v>5.0</v>
      </c>
      <c r="C1929" s="1" t="s">
        <v>5699</v>
      </c>
      <c r="D1929" s="1" t="s">
        <v>52</v>
      </c>
      <c r="E1929" s="1" t="s">
        <v>5700</v>
      </c>
      <c r="F1929" s="1" t="str">
        <f>IFERROR(__xludf.DUMMYFUNCTION("GOOGLETRANSLATE(A1929, ""zh-CN"", ""ko"")"),"얕은")</f>
        <v>얕은</v>
      </c>
    </row>
    <row r="1930" ht="15.75" customHeight="1">
      <c r="A1930" s="1" t="s">
        <v>5701</v>
      </c>
      <c r="B1930" s="1">
        <v>5.0</v>
      </c>
      <c r="C1930" s="1" t="s">
        <v>5702</v>
      </c>
      <c r="D1930" s="1" t="s">
        <v>8</v>
      </c>
      <c r="E1930" s="1" t="s">
        <v>5703</v>
      </c>
      <c r="F1930" s="1" t="str">
        <f>IFERROR(__xludf.DUMMYFUNCTION("GOOGLETRANSLATE(A1930, ""zh-CN"", ""ko"")"),"빚지다")</f>
        <v>빚지다</v>
      </c>
    </row>
    <row r="1931" ht="15.75" customHeight="1">
      <c r="A1931" s="1" t="s">
        <v>5704</v>
      </c>
      <c r="B1931" s="1">
        <v>5.0</v>
      </c>
      <c r="C1931" s="1" t="s">
        <v>5705</v>
      </c>
      <c r="D1931" s="1" t="s">
        <v>16</v>
      </c>
      <c r="E1931" s="1" t="s">
        <v>5706</v>
      </c>
      <c r="F1931" s="1" t="str">
        <f>IFERROR(__xludf.DUMMYFUNCTION("GOOGLETRANSLATE(A1931, ""zh-CN"", ""ko"")"),"총")</f>
        <v>총</v>
      </c>
    </row>
    <row r="1932" ht="15.75" customHeight="1">
      <c r="A1932" s="1" t="s">
        <v>5707</v>
      </c>
      <c r="B1932" s="1">
        <v>5.0</v>
      </c>
      <c r="C1932" s="1" t="s">
        <v>5708</v>
      </c>
      <c r="D1932" s="1" t="s">
        <v>16</v>
      </c>
      <c r="E1932" s="1" t="s">
        <v>5709</v>
      </c>
      <c r="F1932" s="1" t="str">
        <f>IFERROR(__xludf.DUMMYFUNCTION("GOOGLETRANSLATE(A1932, ""zh-CN"", ""ko"")"),"벽")</f>
        <v>벽</v>
      </c>
    </row>
    <row r="1933" ht="15.75" customHeight="1">
      <c r="A1933" s="1" t="s">
        <v>5710</v>
      </c>
      <c r="B1933" s="1">
        <v>5.0</v>
      </c>
      <c r="C1933" s="1" t="s">
        <v>5711</v>
      </c>
      <c r="D1933" s="1" t="s">
        <v>8</v>
      </c>
      <c r="E1933" s="1" t="s">
        <v>5712</v>
      </c>
      <c r="F1933" s="1" t="str">
        <f>IFERROR(__xludf.DUMMYFUNCTION("GOOGLETRANSLATE(A1933, ""zh-CN"", ""ko"")"),"강조하다")</f>
        <v>강조하다</v>
      </c>
    </row>
    <row r="1934" ht="15.75" customHeight="1">
      <c r="A1934" s="1" t="s">
        <v>5713</v>
      </c>
      <c r="B1934" s="1">
        <v>5.0</v>
      </c>
      <c r="C1934" s="1" t="s">
        <v>5714</v>
      </c>
      <c r="D1934" s="1" t="s">
        <v>52</v>
      </c>
      <c r="E1934" s="1" t="s">
        <v>5715</v>
      </c>
      <c r="F1934" s="1" t="str">
        <f>IFERROR(__xludf.DUMMYFUNCTION("GOOGLETRANSLATE(A1934, ""zh-CN"", ""ko"")"),"강한")</f>
        <v>강한</v>
      </c>
    </row>
    <row r="1935" ht="15.75" customHeight="1">
      <c r="A1935" s="1" t="s">
        <v>5716</v>
      </c>
      <c r="B1935" s="1">
        <v>5.0</v>
      </c>
      <c r="C1935" s="1" t="s">
        <v>5717</v>
      </c>
      <c r="D1935" s="1" t="s">
        <v>8</v>
      </c>
      <c r="E1935" s="1" t="s">
        <v>5718</v>
      </c>
      <c r="F1935" s="1" t="str">
        <f>IFERROR(__xludf.DUMMYFUNCTION("GOOGLETRANSLATE(A1935, ""zh-CN"", ""ko"")"),"롭")</f>
        <v>롭</v>
      </c>
    </row>
    <row r="1936" ht="15.75" customHeight="1">
      <c r="A1936" s="1" t="s">
        <v>5719</v>
      </c>
      <c r="B1936" s="1">
        <v>5.0</v>
      </c>
      <c r="C1936" s="1" t="s">
        <v>5720</v>
      </c>
      <c r="D1936" s="1" t="s">
        <v>33</v>
      </c>
      <c r="E1936" s="1" t="s">
        <v>5721</v>
      </c>
      <c r="F1936" s="1" t="str">
        <f>IFERROR(__xludf.DUMMYFUNCTION("GOOGLETRANSLATE(A1936, ""zh-CN"", ""ko"")"),"조용히")</f>
        <v>조용히</v>
      </c>
    </row>
    <row r="1937" ht="15.75" customHeight="1">
      <c r="A1937" s="1" t="s">
        <v>5722</v>
      </c>
      <c r="B1937" s="1">
        <v>5.0</v>
      </c>
      <c r="C1937" s="1" t="s">
        <v>2782</v>
      </c>
      <c r="D1937" s="1" t="s">
        <v>8</v>
      </c>
      <c r="E1937" s="1" t="s">
        <v>5723</v>
      </c>
      <c r="F1937" s="1" t="str">
        <f>IFERROR(__xludf.DUMMYFUNCTION("GOOGLETRANSLATE(A1937, ""zh-CN"", ""ko"")"),"바라보다")</f>
        <v>바라보다</v>
      </c>
    </row>
    <row r="1938" ht="15.75" customHeight="1">
      <c r="A1938" s="1" t="s">
        <v>5724</v>
      </c>
      <c r="B1938" s="1">
        <v>5.0</v>
      </c>
      <c r="C1938" s="1" t="s">
        <v>5725</v>
      </c>
      <c r="D1938" s="1" t="s">
        <v>52</v>
      </c>
      <c r="E1938" s="1" t="s">
        <v>5726</v>
      </c>
      <c r="F1938" s="1" t="str">
        <f>IFERROR(__xludf.DUMMYFUNCTION("GOOGLETRANSLATE(A1938, ""zh-CN"", ""ko"")"),"영리한")</f>
        <v>영리한</v>
      </c>
    </row>
    <row r="1939" ht="15.75" customHeight="1">
      <c r="A1939" s="1" t="s">
        <v>5727</v>
      </c>
      <c r="B1939" s="1">
        <v>5.0</v>
      </c>
      <c r="C1939" s="1" t="s">
        <v>5728</v>
      </c>
      <c r="D1939" s="1" t="s">
        <v>8</v>
      </c>
      <c r="E1939" s="1" t="s">
        <v>5729</v>
      </c>
      <c r="F1939" s="1" t="str">
        <f>IFERROR(__xludf.DUMMYFUNCTION("GOOGLETRANSLATE(A1939, ""zh-CN"", ""ko"")"),"자르다")</f>
        <v>자르다</v>
      </c>
    </row>
    <row r="1940" ht="15.75" customHeight="1">
      <c r="A1940" s="1" t="s">
        <v>5730</v>
      </c>
      <c r="B1940" s="1">
        <v>5.0</v>
      </c>
      <c r="C1940" s="1" t="s">
        <v>5731</v>
      </c>
      <c r="D1940" s="1" t="s">
        <v>52</v>
      </c>
      <c r="E1940" s="1" t="s">
        <v>5732</v>
      </c>
      <c r="F1940" s="1" t="str">
        <f>IFERROR(__xludf.DUMMYFUNCTION("GOOGLETRANSLATE(A1940, ""zh-CN"", ""ko"")"),"~에게")</f>
        <v>~에게</v>
      </c>
    </row>
    <row r="1941" ht="15.75" customHeight="1">
      <c r="A1941" s="1" t="s">
        <v>5733</v>
      </c>
      <c r="B1941" s="1">
        <v>5.0</v>
      </c>
      <c r="C1941" s="1" t="s">
        <v>5734</v>
      </c>
      <c r="D1941" s="1" t="s">
        <v>52</v>
      </c>
      <c r="E1941" s="1" t="s">
        <v>5735</v>
      </c>
      <c r="F1941" s="1" t="str">
        <f>IFERROR(__xludf.DUMMYFUNCTION("GOOGLETRANSLATE(A1941, ""zh-CN"", ""ko"")"),"친절한")</f>
        <v>친절한</v>
      </c>
    </row>
    <row r="1942" ht="15.75" customHeight="1">
      <c r="A1942" s="1" t="s">
        <v>5736</v>
      </c>
      <c r="B1942" s="1">
        <v>5.0</v>
      </c>
      <c r="C1942" s="1" t="s">
        <v>5737</v>
      </c>
      <c r="D1942" s="1" t="s">
        <v>33</v>
      </c>
      <c r="E1942" s="1" t="s">
        <v>5738</v>
      </c>
      <c r="F1942" s="1" t="str">
        <f>IFERROR(__xludf.DUMMYFUNCTION("GOOGLETRANSLATE(A1942, ""zh-CN"", ""ko"")"),"몸소")</f>
        <v>몸소</v>
      </c>
    </row>
    <row r="1943" ht="15.75" customHeight="1">
      <c r="A1943" s="1" t="s">
        <v>5739</v>
      </c>
      <c r="B1943" s="1">
        <v>5.0</v>
      </c>
      <c r="C1943" s="1" t="s">
        <v>5740</v>
      </c>
      <c r="D1943" s="1" t="s">
        <v>52</v>
      </c>
      <c r="E1943" s="1" t="s">
        <v>5741</v>
      </c>
      <c r="F1943" s="1" t="str">
        <f>IFERROR(__xludf.DUMMYFUNCTION("GOOGLETRANSLATE(A1943, ""zh-CN"", ""ko"")"),"성실한")</f>
        <v>성실한</v>
      </c>
    </row>
    <row r="1944" ht="15.75" customHeight="1">
      <c r="A1944" s="1" t="s">
        <v>5742</v>
      </c>
      <c r="B1944" s="1">
        <v>5.0</v>
      </c>
      <c r="C1944" s="1" t="s">
        <v>2791</v>
      </c>
      <c r="D1944" s="1" t="s">
        <v>52</v>
      </c>
      <c r="E1944" s="1" t="s">
        <v>5743</v>
      </c>
      <c r="F1944" s="1" t="str">
        <f>IFERROR(__xludf.DUMMYFUNCTION("GOOGLETRANSLATE(A1944, ""zh-CN"", ""ko"")"),"녹색")</f>
        <v>녹색</v>
      </c>
    </row>
    <row r="1945" ht="15.75" customHeight="1">
      <c r="A1945" s="1" t="s">
        <v>5744</v>
      </c>
      <c r="B1945" s="1">
        <v>5.0</v>
      </c>
      <c r="C1945" s="1" t="s">
        <v>5745</v>
      </c>
      <c r="D1945" s="1" t="s">
        <v>16</v>
      </c>
      <c r="E1945" s="1" t="s">
        <v>5746</v>
      </c>
      <c r="F1945" s="1" t="str">
        <f>IFERROR(__xludf.DUMMYFUNCTION("GOOGLETRANSLATE(A1945, ""zh-CN"", ""ko"")"),"청년")</f>
        <v>청년</v>
      </c>
    </row>
    <row r="1946" ht="15.75" customHeight="1">
      <c r="A1946" s="1" t="s">
        <v>5747</v>
      </c>
      <c r="B1946" s="1">
        <v>5.0</v>
      </c>
      <c r="C1946" s="1" t="s">
        <v>5748</v>
      </c>
      <c r="D1946" s="1" t="s">
        <v>52</v>
      </c>
      <c r="E1946" s="1" t="s">
        <v>5749</v>
      </c>
      <c r="F1946" s="1" t="str">
        <f>IFERROR(__xludf.DUMMYFUNCTION("GOOGLETRANSLATE(A1946, ""zh-CN"", ""ko"")"),"빛")</f>
        <v>빛</v>
      </c>
    </row>
    <row r="1947" ht="15.75" customHeight="1">
      <c r="A1947" s="1" t="s">
        <v>5750</v>
      </c>
      <c r="B1947" s="1">
        <v>5.0</v>
      </c>
      <c r="C1947" s="1" t="s">
        <v>5751</v>
      </c>
      <c r="D1947" s="1" t="s">
        <v>16</v>
      </c>
      <c r="E1947" s="1" t="s">
        <v>5752</v>
      </c>
      <c r="F1947" s="1" t="str">
        <f>IFERROR(__xludf.DUMMYFUNCTION("GOOGLETRANSLATE(A1947, ""zh-CN"", ""ko"")"),"십대")</f>
        <v>십대</v>
      </c>
    </row>
    <row r="1948" ht="15.75" customHeight="1">
      <c r="A1948" s="1" t="s">
        <v>5753</v>
      </c>
      <c r="B1948" s="1">
        <v>5.0</v>
      </c>
      <c r="C1948" s="1" t="s">
        <v>5754</v>
      </c>
      <c r="D1948" s="1" t="s">
        <v>8</v>
      </c>
      <c r="E1948" s="1" t="s">
        <v>5755</v>
      </c>
      <c r="F1948" s="1" t="str">
        <f>IFERROR(__xludf.DUMMYFUNCTION("GOOGLETRANSLATE(A1948, ""zh-CN"", ""ko"")"),"경멸")</f>
        <v>경멸</v>
      </c>
    </row>
    <row r="1949" ht="15.75" customHeight="1">
      <c r="A1949" s="1" t="s">
        <v>5756</v>
      </c>
      <c r="B1949" s="1">
        <v>5.0</v>
      </c>
      <c r="C1949" s="1" t="s">
        <v>5757</v>
      </c>
      <c r="D1949" s="1" t="s">
        <v>33</v>
      </c>
      <c r="E1949" s="1" t="s">
        <v>5758</v>
      </c>
      <c r="F1949" s="1" t="str">
        <f>IFERROR(__xludf.DUMMYFUNCTION("GOOGLETRANSLATE(A1949, ""zh-CN"", ""ko"")"),"쉽게")</f>
        <v>쉽게</v>
      </c>
    </row>
    <row r="1950" ht="15.75" customHeight="1">
      <c r="A1950" s="1" t="s">
        <v>5759</v>
      </c>
      <c r="B1950" s="1">
        <v>5.0</v>
      </c>
      <c r="C1950" s="1" t="s">
        <v>5760</v>
      </c>
      <c r="D1950" s="1" t="s">
        <v>16</v>
      </c>
      <c r="E1950" s="1" t="s">
        <v>5761</v>
      </c>
      <c r="F1950" s="1" t="str">
        <f>IFERROR(__xludf.DUMMYFUNCTION("GOOGLETRANSLATE(A1950, ""zh-CN"", ""ko"")"),"장면")</f>
        <v>장면</v>
      </c>
    </row>
    <row r="1951" ht="15.75" customHeight="1">
      <c r="A1951" s="1" t="s">
        <v>5762</v>
      </c>
      <c r="B1951" s="1">
        <v>5.0</v>
      </c>
      <c r="C1951" s="1" t="s">
        <v>5763</v>
      </c>
      <c r="D1951" s="1" t="s">
        <v>16</v>
      </c>
      <c r="E1951" s="1" t="s">
        <v>5764</v>
      </c>
      <c r="F1951" s="1" t="str">
        <f>IFERROR(__xludf.DUMMYFUNCTION("GOOGLETRANSLATE(A1951, ""zh-CN"", ""ko"")"),"분위기")</f>
        <v>분위기</v>
      </c>
    </row>
    <row r="1952" ht="15.75" customHeight="1">
      <c r="A1952" s="1" t="s">
        <v>5765</v>
      </c>
      <c r="B1952" s="1">
        <v>5.0</v>
      </c>
      <c r="C1952" s="1" t="s">
        <v>5766</v>
      </c>
      <c r="D1952" s="1" t="s">
        <v>875</v>
      </c>
      <c r="E1952" s="1" t="s">
        <v>5767</v>
      </c>
      <c r="F1952" s="1" t="str">
        <f>IFERROR(__xludf.DUMMYFUNCTION("GOOGLETRANSLATE(A1952, ""zh-CN"", ""ko"")"),"묻다")</f>
        <v>묻다</v>
      </c>
    </row>
    <row r="1953" ht="15.75" customHeight="1">
      <c r="A1953" s="1" t="s">
        <v>5768</v>
      </c>
      <c r="B1953" s="1">
        <v>5.0</v>
      </c>
      <c r="C1953" s="1" t="s">
        <v>5769</v>
      </c>
      <c r="D1953" s="1" t="s">
        <v>8</v>
      </c>
      <c r="E1953" s="1" t="s">
        <v>5770</v>
      </c>
      <c r="F1953" s="1" t="str">
        <f>IFERROR(__xludf.DUMMYFUNCTION("GOOGLETRANSLATE(A1953, ""zh-CN"", ""ko"")"),"축하하다")</f>
        <v>축하하다</v>
      </c>
    </row>
    <row r="1954" ht="15.75" customHeight="1">
      <c r="A1954" s="1" t="s">
        <v>5771</v>
      </c>
      <c r="B1954" s="1">
        <v>5.0</v>
      </c>
      <c r="C1954" s="1" t="s">
        <v>5772</v>
      </c>
      <c r="D1954" s="1" t="s">
        <v>16</v>
      </c>
      <c r="E1954" s="1" t="s">
        <v>5773</v>
      </c>
      <c r="F1954" s="1" t="str">
        <f>IFERROR(__xludf.DUMMYFUNCTION("GOOGLETRANSLATE(A1954, ""zh-CN"", ""ko"")"),"팬")</f>
        <v>팬</v>
      </c>
    </row>
    <row r="1955" ht="15.75" customHeight="1">
      <c r="A1955" s="1" t="s">
        <v>5774</v>
      </c>
      <c r="B1955" s="1">
        <v>5.0</v>
      </c>
      <c r="C1955" s="1" t="s">
        <v>5775</v>
      </c>
      <c r="D1955" s="1" t="s">
        <v>16</v>
      </c>
      <c r="E1955" s="1" t="s">
        <v>5776</v>
      </c>
      <c r="F1955" s="1" t="str">
        <f>IFERROR(__xludf.DUMMYFUNCTION("GOOGLETRANSLATE(A1955, ""zh-CN"", ""ko"")"),"경향")</f>
        <v>경향</v>
      </c>
    </row>
    <row r="1956" ht="15.75" customHeight="1">
      <c r="A1956" s="1" t="s">
        <v>5777</v>
      </c>
      <c r="B1956" s="1">
        <v>5.0</v>
      </c>
      <c r="C1956" s="1" t="s">
        <v>2805</v>
      </c>
      <c r="D1956" s="1" t="s">
        <v>8</v>
      </c>
      <c r="E1956" s="1" t="s">
        <v>5778</v>
      </c>
      <c r="F1956" s="1" t="str">
        <f>IFERROR(__xludf.DUMMYFUNCTION("GOOGLETRANSLATE(A1956, ""zh-CN"", ""ko"")"),"결혼하다")</f>
        <v>결혼하다</v>
      </c>
    </row>
    <row r="1957" ht="15.75" customHeight="1">
      <c r="A1957" s="1" t="s">
        <v>5779</v>
      </c>
      <c r="B1957" s="1">
        <v>5.0</v>
      </c>
      <c r="C1957" s="1" t="s">
        <v>5780</v>
      </c>
      <c r="D1957" s="1" t="s">
        <v>8</v>
      </c>
      <c r="E1957" s="1" t="s">
        <v>5781</v>
      </c>
      <c r="F1957" s="1" t="str">
        <f>IFERROR(__xludf.DUMMYFUNCTION("GOOGLETRANSLATE(A1957, ""zh-CN"", ""ko"")"),"취소")</f>
        <v>취소</v>
      </c>
    </row>
    <row r="1958" ht="15.75" customHeight="1">
      <c r="A1958" s="1" t="s">
        <v>5782</v>
      </c>
      <c r="B1958" s="1">
        <v>5.0</v>
      </c>
      <c r="C1958" s="1" t="s">
        <v>5783</v>
      </c>
      <c r="D1958" s="1" t="s">
        <v>8</v>
      </c>
      <c r="E1958" s="1" t="s">
        <v>5784</v>
      </c>
      <c r="F1958" s="1" t="str">
        <f>IFERROR(__xludf.DUMMYFUNCTION("GOOGLETRANSLATE(A1958, ""zh-CN"", ""ko"")"),"세상을 떠났습니다")</f>
        <v>세상을 떠났습니다</v>
      </c>
    </row>
    <row r="1959" ht="15.75" customHeight="1">
      <c r="A1959" s="1" t="s">
        <v>5785</v>
      </c>
      <c r="B1959" s="1">
        <v>5.0</v>
      </c>
      <c r="C1959" s="1" t="s">
        <v>5786</v>
      </c>
      <c r="D1959" s="1" t="s">
        <v>16</v>
      </c>
      <c r="E1959" s="1" t="s">
        <v>5787</v>
      </c>
      <c r="F1959" s="1" t="str">
        <f>IFERROR(__xludf.DUMMYFUNCTION("GOOGLETRANSLATE(A1959, ""zh-CN"", ""ko"")"),"잠그다")</f>
        <v>잠그다</v>
      </c>
    </row>
    <row r="1960" ht="15.75" customHeight="1">
      <c r="A1960" s="1" t="s">
        <v>5788</v>
      </c>
      <c r="B1960" s="1">
        <v>5.0</v>
      </c>
      <c r="C1960" s="1" t="s">
        <v>5789</v>
      </c>
      <c r="D1960" s="1" t="s">
        <v>16</v>
      </c>
      <c r="E1960" s="1" t="s">
        <v>5790</v>
      </c>
      <c r="F1960" s="1" t="str">
        <f>IFERROR(__xludf.DUMMYFUNCTION("GOOGLETRANSLATE(A1960, ""zh-CN"", ""ko"")"),"그 힘")</f>
        <v>그 힘</v>
      </c>
    </row>
    <row r="1961" ht="15.75" customHeight="1">
      <c r="A1961" s="1" t="s">
        <v>5791</v>
      </c>
      <c r="B1961" s="1">
        <v>5.0</v>
      </c>
      <c r="C1961" s="1" t="s">
        <v>5789</v>
      </c>
      <c r="D1961" s="1" t="s">
        <v>16</v>
      </c>
      <c r="E1961" s="1" t="s">
        <v>5792</v>
      </c>
      <c r="F1961" s="1" t="str">
        <f>IFERROR(__xludf.DUMMYFUNCTION("GOOGLETRANSLATE(A1961, ""zh-CN"", ""ko"")"),"오른쪽")</f>
        <v>오른쪽</v>
      </c>
    </row>
    <row r="1962" ht="15.75" customHeight="1">
      <c r="A1962" s="1" t="s">
        <v>5793</v>
      </c>
      <c r="B1962" s="1">
        <v>5.0</v>
      </c>
      <c r="C1962" s="1" t="s">
        <v>5794</v>
      </c>
      <c r="D1962" s="1" t="s">
        <v>52</v>
      </c>
      <c r="E1962" s="1" t="s">
        <v>5795</v>
      </c>
      <c r="F1962" s="1" t="str">
        <f>IFERROR(__xludf.DUMMYFUNCTION("GOOGLETRANSLATE(A1962, ""zh-CN"", ""ko"")"),"포괄적인")</f>
        <v>포괄적인</v>
      </c>
    </row>
    <row r="1963" ht="15.75" customHeight="1">
      <c r="A1963" s="1" t="s">
        <v>5796</v>
      </c>
      <c r="B1963" s="1">
        <v>5.0</v>
      </c>
      <c r="C1963" s="1" t="s">
        <v>5797</v>
      </c>
      <c r="D1963" s="1" t="s">
        <v>8</v>
      </c>
      <c r="E1963" s="1" t="s">
        <v>5798</v>
      </c>
      <c r="F1963" s="1" t="str">
        <f>IFERROR(__xludf.DUMMYFUNCTION("GOOGLETRANSLATE(A1963, ""zh-CN"", ""ko"")"),"권하다")</f>
        <v>권하다</v>
      </c>
    </row>
    <row r="1964" ht="15.75" customHeight="1">
      <c r="A1964" s="1" t="s">
        <v>5799</v>
      </c>
      <c r="B1964" s="1">
        <v>5.0</v>
      </c>
      <c r="C1964" s="1" t="s">
        <v>5800</v>
      </c>
      <c r="D1964" s="1" t="s">
        <v>8</v>
      </c>
      <c r="E1964" s="1" t="s">
        <v>5801</v>
      </c>
      <c r="F1964" s="1" t="str">
        <f>IFERROR(__xludf.DUMMYFUNCTION("GOOGLETRANSLATE(A1964, ""zh-CN"", ""ko"")"),"부족")</f>
        <v>부족</v>
      </c>
    </row>
    <row r="1965" ht="15.75" customHeight="1">
      <c r="A1965" s="1" t="s">
        <v>5802</v>
      </c>
      <c r="B1965" s="1">
        <v>5.0</v>
      </c>
      <c r="C1965" s="1" t="s">
        <v>5803</v>
      </c>
      <c r="D1965" s="1" t="s">
        <v>8</v>
      </c>
      <c r="E1965" s="1" t="s">
        <v>5804</v>
      </c>
      <c r="F1965" s="1" t="str">
        <f>IFERROR(__xludf.DUMMYFUNCTION("GOOGLETRANSLATE(A1965, ""zh-CN"", ""ko"")"),"확신하는")</f>
        <v>확신하는</v>
      </c>
    </row>
    <row r="1966" ht="15.75" customHeight="1">
      <c r="A1966" s="1" t="s">
        <v>5805</v>
      </c>
      <c r="B1966" s="1">
        <v>5.0</v>
      </c>
      <c r="C1966" s="1" t="s">
        <v>5806</v>
      </c>
      <c r="D1966" s="1" t="s">
        <v>8</v>
      </c>
      <c r="E1966" s="1" t="s">
        <v>5807</v>
      </c>
      <c r="F1966" s="1" t="str">
        <f>IFERROR(__xludf.DUMMYFUNCTION("GOOGLETRANSLATE(A1966, ""zh-CN"", ""ko"")"),"확인하다")</f>
        <v>확인하다</v>
      </c>
    </row>
    <row r="1967" ht="15.75" customHeight="1">
      <c r="A1967" s="1" t="s">
        <v>5808</v>
      </c>
      <c r="B1967" s="1">
        <v>5.0</v>
      </c>
      <c r="C1967" s="1" t="s">
        <v>5809</v>
      </c>
      <c r="D1967" s="1" t="s">
        <v>16</v>
      </c>
      <c r="E1967" s="1" t="s">
        <v>5810</v>
      </c>
      <c r="F1967" s="1" t="str">
        <f>IFERROR(__xludf.DUMMYFUNCTION("GOOGLETRANSLATE(A1967, ""zh-CN"", ""ko"")"),"그룹")</f>
        <v>그룹</v>
      </c>
    </row>
    <row r="1968" ht="15.75" customHeight="1">
      <c r="A1968" s="1" t="s">
        <v>5811</v>
      </c>
      <c r="B1968" s="1">
        <v>5.0</v>
      </c>
      <c r="C1968" s="1" t="s">
        <v>5812</v>
      </c>
      <c r="D1968" s="1" t="s">
        <v>8</v>
      </c>
      <c r="E1968" s="1" t="s">
        <v>5813</v>
      </c>
      <c r="F1968" s="1" t="str">
        <f>IFERROR(__xludf.DUMMYFUNCTION("GOOGLETRANSLATE(A1968, ""zh-CN"", ""ko"")"),"연소")</f>
        <v>연소</v>
      </c>
    </row>
    <row r="1969" ht="15.75" customHeight="1">
      <c r="A1969" s="1" t="s">
        <v>5814</v>
      </c>
      <c r="B1969" s="1">
        <v>5.0</v>
      </c>
      <c r="C1969" s="1" t="s">
        <v>5815</v>
      </c>
      <c r="D1969" s="1" t="s">
        <v>8</v>
      </c>
      <c r="E1969" s="1" t="s">
        <v>5816</v>
      </c>
      <c r="F1969" s="1" t="str">
        <f>IFERROR(__xludf.DUMMYFUNCTION("GOOGLETRANSLATE(A1969, ""zh-CN"", ""ko"")"),"약")</f>
        <v>약</v>
      </c>
    </row>
    <row r="1970" ht="15.75" customHeight="1">
      <c r="A1970" s="1" t="s">
        <v>5817</v>
      </c>
      <c r="B1970" s="1">
        <v>5.0</v>
      </c>
      <c r="C1970" s="1" t="s">
        <v>5818</v>
      </c>
      <c r="D1970" s="1" t="s">
        <v>8</v>
      </c>
      <c r="E1970" s="1" t="s">
        <v>5819</v>
      </c>
      <c r="F1970" s="1" t="str">
        <f>IFERROR(__xludf.DUMMYFUNCTION("GOOGLETRANSLATE(A1970, ""zh-CN"", ""ko"")"),"열정")</f>
        <v>열정</v>
      </c>
    </row>
    <row r="1971" ht="15.75" customHeight="1">
      <c r="A1971" s="1" t="s">
        <v>5820</v>
      </c>
      <c r="B1971" s="1">
        <v>5.0</v>
      </c>
      <c r="C1971" s="1" t="s">
        <v>5821</v>
      </c>
      <c r="D1971" s="1" t="s">
        <v>52</v>
      </c>
      <c r="E1971" s="1" t="s">
        <v>5822</v>
      </c>
      <c r="F1971" s="1" t="str">
        <f>IFERROR(__xludf.DUMMYFUNCTION("GOOGLETRANSLATE(A1971, ""zh-CN"", ""ko"")"),"따뜻한")</f>
        <v>따뜻한</v>
      </c>
    </row>
    <row r="1972" ht="15.75" customHeight="1">
      <c r="A1972" s="1" t="s">
        <v>5823</v>
      </c>
      <c r="B1972" s="1">
        <v>5.0</v>
      </c>
      <c r="C1972" s="1" t="s">
        <v>5824</v>
      </c>
      <c r="D1972" s="1" t="s">
        <v>52</v>
      </c>
      <c r="E1972" s="1" t="s">
        <v>5825</v>
      </c>
      <c r="F1972" s="1" t="str">
        <f>IFERROR(__xludf.DUMMYFUNCTION("GOOGLETRANSLATE(A1972, ""zh-CN"", ""ko"")"),"열렬한")</f>
        <v>열렬한</v>
      </c>
    </row>
    <row r="1973" ht="15.75" customHeight="1">
      <c r="A1973" s="1" t="s">
        <v>5826</v>
      </c>
      <c r="B1973" s="1">
        <v>5.0</v>
      </c>
      <c r="C1973" s="1" t="s">
        <v>5827</v>
      </c>
      <c r="D1973" s="1" t="s">
        <v>16</v>
      </c>
      <c r="E1973" s="1" t="s">
        <v>5828</v>
      </c>
      <c r="F1973" s="1" t="str">
        <f>IFERROR(__xludf.DUMMYFUNCTION("GOOGLETRANSLATE(A1973, ""zh-CN"", ""ko"")"),"재능")</f>
        <v>재능</v>
      </c>
    </row>
    <row r="1974" ht="15.75" customHeight="1">
      <c r="A1974" s="1" t="s">
        <v>5829</v>
      </c>
      <c r="B1974" s="1">
        <v>5.0</v>
      </c>
      <c r="C1974" s="1" t="s">
        <v>5830</v>
      </c>
      <c r="D1974" s="1" t="s">
        <v>16</v>
      </c>
      <c r="E1974" s="1" t="s">
        <v>5831</v>
      </c>
      <c r="F1974" s="1" t="str">
        <f>IFERROR(__xludf.DUMMYFUNCTION("GOOGLETRANSLATE(A1974, ""zh-CN"", ""ko"")"),"인구")</f>
        <v>인구</v>
      </c>
    </row>
    <row r="1975" ht="15.75" customHeight="1">
      <c r="A1975" s="1" t="s">
        <v>5832</v>
      </c>
      <c r="B1975" s="1">
        <v>5.0</v>
      </c>
      <c r="C1975" s="1" t="s">
        <v>5833</v>
      </c>
      <c r="D1975" s="1" t="s">
        <v>16</v>
      </c>
      <c r="E1975" s="1" t="s">
        <v>5834</v>
      </c>
      <c r="F1975" s="1" t="str">
        <f>IFERROR(__xludf.DUMMYFUNCTION("GOOGLETRANSLATE(A1975, ""zh-CN"", ""ko"")"),"인간")</f>
        <v>인간</v>
      </c>
    </row>
    <row r="1976" ht="15.75" customHeight="1">
      <c r="A1976" s="1" t="s">
        <v>5835</v>
      </c>
      <c r="B1976" s="1">
        <v>5.0</v>
      </c>
      <c r="C1976" s="1" t="s">
        <v>5836</v>
      </c>
      <c r="D1976" s="1" t="s">
        <v>16</v>
      </c>
      <c r="E1976" s="1" t="s">
        <v>5837</v>
      </c>
      <c r="F1976" s="1" t="str">
        <f>IFERROR(__xludf.DUMMYFUNCTION("GOOGLETRANSLATE(A1976, ""zh-CN"", ""ko"")"),"위안화")</f>
        <v>위안화</v>
      </c>
    </row>
    <row r="1977" ht="15.75" customHeight="1">
      <c r="A1977" s="1" t="s">
        <v>5838</v>
      </c>
      <c r="B1977" s="1">
        <v>5.0</v>
      </c>
      <c r="C1977" s="1" t="s">
        <v>5839</v>
      </c>
      <c r="D1977" s="1" t="s">
        <v>16</v>
      </c>
      <c r="E1977" s="1" t="s">
        <v>5840</v>
      </c>
      <c r="F1977" s="1" t="str">
        <f>IFERROR(__xludf.DUMMYFUNCTION("GOOGLETRANSLATE(A1977, ""zh-CN"", ""ko"")"),"삶")</f>
        <v>삶</v>
      </c>
    </row>
    <row r="1978" ht="15.75" customHeight="1">
      <c r="A1978" s="1" t="s">
        <v>5841</v>
      </c>
      <c r="B1978" s="1">
        <v>5.0</v>
      </c>
      <c r="C1978" s="1" t="s">
        <v>5842</v>
      </c>
      <c r="D1978" s="1" t="s">
        <v>16</v>
      </c>
      <c r="E1978" s="1" t="s">
        <v>5843</v>
      </c>
      <c r="F1978" s="1" t="str">
        <f>IFERROR(__xludf.DUMMYFUNCTION("GOOGLETRANSLATE(A1978, ""zh-CN"", ""ko"")"),"인원")</f>
        <v>인원</v>
      </c>
    </row>
    <row r="1979" ht="15.75" customHeight="1">
      <c r="A1979" s="1" t="s">
        <v>5844</v>
      </c>
      <c r="B1979" s="1">
        <v>5.0</v>
      </c>
      <c r="C1979" s="1" t="s">
        <v>5845</v>
      </c>
      <c r="D1979" s="1" t="s">
        <v>16</v>
      </c>
      <c r="E1979" s="1" t="s">
        <v>5846</v>
      </c>
      <c r="F1979" s="1" t="str">
        <f>IFERROR(__xludf.DUMMYFUNCTION("GOOGLETRANSLATE(A1979, ""zh-CN"", ""ko"")"),"수치")</f>
        <v>수치</v>
      </c>
    </row>
    <row r="1980" ht="15.75" customHeight="1">
      <c r="A1980" s="1" t="s">
        <v>5847</v>
      </c>
      <c r="B1980" s="1">
        <v>5.0</v>
      </c>
      <c r="C1980" s="1" t="s">
        <v>5848</v>
      </c>
      <c r="D1980" s="1" t="s">
        <v>16</v>
      </c>
      <c r="E1980" s="1" t="s">
        <v>5849</v>
      </c>
      <c r="F1980" s="1" t="str">
        <f>IFERROR(__xludf.DUMMYFUNCTION("GOOGLETRANSLATE(A1980, ""zh-CN"", ""ko"")"),"인원")</f>
        <v>인원</v>
      </c>
    </row>
    <row r="1981" ht="15.75" customHeight="1">
      <c r="A1981" s="1" t="s">
        <v>5850</v>
      </c>
      <c r="B1981" s="1">
        <v>5.0</v>
      </c>
      <c r="C1981" s="1" t="s">
        <v>5851</v>
      </c>
      <c r="E1981" s="1" t="s">
        <v>5852</v>
      </c>
      <c r="F1981" s="1" t="str">
        <f>IFERROR(__xludf.DUMMYFUNCTION("GOOGLETRANSLATE(A1981, ""zh-CN"", ""ko"")"),"어쩔 수 없었어요")</f>
        <v>어쩔 수 없었어요</v>
      </c>
    </row>
    <row r="1982" ht="15.75" customHeight="1">
      <c r="A1982" s="1" t="s">
        <v>5853</v>
      </c>
      <c r="B1982" s="1">
        <v>5.0</v>
      </c>
      <c r="C1982" s="1" t="s">
        <v>5854</v>
      </c>
      <c r="D1982" s="1" t="s">
        <v>52</v>
      </c>
      <c r="E1982" s="1" t="s">
        <v>5855</v>
      </c>
      <c r="F1982" s="1" t="str">
        <f>IFERROR(__xludf.DUMMYFUNCTION("GOOGLETRANSLATE(A1982, ""zh-CN"", ""ko"")"),"일일")</f>
        <v>일일</v>
      </c>
    </row>
    <row r="1983" ht="15.75" customHeight="1">
      <c r="A1983" s="1" t="s">
        <v>5856</v>
      </c>
      <c r="B1983" s="1">
        <v>5.0</v>
      </c>
      <c r="C1983" s="1" t="s">
        <v>5857</v>
      </c>
      <c r="D1983" s="1" t="s">
        <v>16</v>
      </c>
      <c r="E1983" s="1" t="s">
        <v>5858</v>
      </c>
      <c r="F1983" s="1" t="str">
        <f>IFERROR(__xludf.DUMMYFUNCTION("GOOGLETRANSLATE(A1983, ""zh-CN"", ""ko"")"),"일정")</f>
        <v>일정</v>
      </c>
    </row>
    <row r="1984" ht="15.75" customHeight="1">
      <c r="A1984" s="1" t="s">
        <v>5859</v>
      </c>
      <c r="B1984" s="1">
        <v>5.0</v>
      </c>
      <c r="C1984" s="1" t="s">
        <v>5860</v>
      </c>
      <c r="D1984" s="1" t="s">
        <v>16</v>
      </c>
      <c r="E1984" s="1" t="s">
        <v>5861</v>
      </c>
      <c r="F1984" s="1" t="str">
        <f>IFERROR(__xludf.DUMMYFUNCTION("GOOGLETRANSLATE(A1984, ""zh-CN"", ""ko"")"),"달력")</f>
        <v>달력</v>
      </c>
    </row>
    <row r="1985" ht="15.75" customHeight="1">
      <c r="A1985" s="1" t="s">
        <v>5862</v>
      </c>
      <c r="B1985" s="1">
        <v>5.0</v>
      </c>
      <c r="C1985" s="1" t="s">
        <v>5863</v>
      </c>
      <c r="D1985" s="1" t="s">
        <v>16</v>
      </c>
      <c r="E1985" s="1" t="s">
        <v>5864</v>
      </c>
      <c r="F1985" s="1" t="str">
        <f>IFERROR(__xludf.DUMMYFUNCTION("GOOGLETRANSLATE(A1985, ""zh-CN"", ""ko"")"),"날짜")</f>
        <v>날짜</v>
      </c>
    </row>
    <row r="1986" ht="15.75" customHeight="1">
      <c r="A1986" s="1" t="s">
        <v>5865</v>
      </c>
      <c r="B1986" s="1">
        <v>5.0</v>
      </c>
      <c r="C1986" s="1" t="s">
        <v>5866</v>
      </c>
      <c r="D1986" s="1" t="s">
        <v>16</v>
      </c>
      <c r="E1986" s="1" t="s">
        <v>5867</v>
      </c>
      <c r="F1986" s="1" t="str">
        <f>IFERROR(__xludf.DUMMYFUNCTION("GOOGLETRANSLATE(A1986, ""zh-CN"", ""ko"")"),"일상 필수품")</f>
        <v>일상 필수품</v>
      </c>
    </row>
    <row r="1987" ht="15.75" customHeight="1">
      <c r="A1987" s="1" t="s">
        <v>5868</v>
      </c>
      <c r="B1987" s="1">
        <v>5.0</v>
      </c>
      <c r="C1987" s="1" t="s">
        <v>5869</v>
      </c>
      <c r="D1987" s="1" t="s">
        <v>16</v>
      </c>
      <c r="E1987" s="1" t="s">
        <v>2879</v>
      </c>
      <c r="F1987" s="1" t="str">
        <f>IFERROR(__xludf.DUMMYFUNCTION("GOOGLETRANSLATE(A1987, ""zh-CN"", ""ko"")"),"낮")</f>
        <v>낮</v>
      </c>
    </row>
    <row r="1988" ht="15.75" customHeight="1">
      <c r="A1988" s="1" t="s">
        <v>5870</v>
      </c>
      <c r="B1988" s="1">
        <v>5.0</v>
      </c>
      <c r="C1988" s="1" t="s">
        <v>5871</v>
      </c>
      <c r="D1988" s="1" t="s">
        <v>88</v>
      </c>
      <c r="E1988" s="1" t="s">
        <v>5872</v>
      </c>
      <c r="F1988" s="1" t="str">
        <f>IFERROR(__xludf.DUMMYFUNCTION("GOOGLETRANSLATE(A1988, ""zh-CN"", ""ko"")"),"어떻게")</f>
        <v>어떻게</v>
      </c>
    </row>
    <row r="1989" ht="15.75" customHeight="1">
      <c r="A1989" s="1" t="s">
        <v>5873</v>
      </c>
      <c r="B1989" s="1">
        <v>5.0</v>
      </c>
      <c r="C1989" s="1" t="s">
        <v>5874</v>
      </c>
      <c r="D1989" s="1" t="s">
        <v>16</v>
      </c>
      <c r="E1989" s="1" t="s">
        <v>5875</v>
      </c>
      <c r="F1989" s="1" t="str">
        <f>IFERROR(__xludf.DUMMYFUNCTION("GOOGLETRANSLATE(A1989, ""zh-CN"", ""ko"")"),"지금")</f>
        <v>지금</v>
      </c>
    </row>
    <row r="1990" ht="15.75" customHeight="1">
      <c r="A1990" s="1" t="s">
        <v>5876</v>
      </c>
      <c r="B1990" s="1">
        <v>5.0</v>
      </c>
      <c r="C1990" s="1" t="s">
        <v>5877</v>
      </c>
      <c r="D1990" s="1" t="s">
        <v>52</v>
      </c>
      <c r="E1990" s="1" t="s">
        <v>5878</v>
      </c>
      <c r="F1990" s="1" t="str">
        <f>IFERROR(__xludf.DUMMYFUNCTION("GOOGLETRANSLATE(A1990, ""zh-CN"", ""ko"")"),"부드러운")</f>
        <v>부드러운</v>
      </c>
    </row>
    <row r="1991" ht="15.75" customHeight="1">
      <c r="A1991" s="1" t="s">
        <v>5879</v>
      </c>
      <c r="B1991" s="1">
        <v>5.0</v>
      </c>
      <c r="C1991" s="1" t="s">
        <v>5880</v>
      </c>
      <c r="D1991" s="1" t="s">
        <v>16</v>
      </c>
      <c r="E1991" s="1" t="s">
        <v>5881</v>
      </c>
      <c r="F1991" s="1" t="str">
        <f>IFERROR(__xludf.DUMMYFUNCTION("GOOGLETRANSLATE(A1991, ""zh-CN"", ""ko"")"),"소프트웨어")</f>
        <v>소프트웨어</v>
      </c>
    </row>
    <row r="1992" ht="15.75" customHeight="1">
      <c r="A1992" s="1" t="s">
        <v>5882</v>
      </c>
      <c r="B1992" s="1">
        <v>5.0</v>
      </c>
      <c r="C1992" s="1" t="s">
        <v>5883</v>
      </c>
      <c r="D1992" s="1" t="s">
        <v>52</v>
      </c>
      <c r="E1992" s="1" t="s">
        <v>5884</v>
      </c>
      <c r="F1992" s="1" t="str">
        <f>IFERROR(__xludf.DUMMYFUNCTION("GOOGLETRANSLATE(A1992, ""zh-CN"", ""ko"")"),"약한")</f>
        <v>약한</v>
      </c>
    </row>
    <row r="1993" ht="15.75" customHeight="1">
      <c r="A1993" s="1" t="s">
        <v>5885</v>
      </c>
      <c r="B1993" s="1">
        <v>5.0</v>
      </c>
      <c r="C1993" s="1" t="s">
        <v>5886</v>
      </c>
      <c r="D1993" s="1" t="s">
        <v>8</v>
      </c>
      <c r="E1993" s="1" t="s">
        <v>5887</v>
      </c>
      <c r="F1993" s="1" t="str">
        <f>IFERROR(__xludf.DUMMYFUNCTION("GOOGLETRANSLATE(A1993, ""zh-CN"", ""ko"")"),"소량")</f>
        <v>소량</v>
      </c>
    </row>
    <row r="1994" ht="15.75" customHeight="1">
      <c r="A1994" s="1" t="s">
        <v>5888</v>
      </c>
      <c r="B1994" s="1">
        <v>5.0</v>
      </c>
      <c r="C1994" s="1" t="s">
        <v>5889</v>
      </c>
      <c r="D1994" s="1" t="s">
        <v>16</v>
      </c>
      <c r="E1994" s="1" t="s">
        <v>5890</v>
      </c>
      <c r="F1994" s="1" t="str">
        <f>IFERROR(__xludf.DUMMYFUNCTION("GOOGLETRANSLATE(A1994, ""zh-CN"", ""ko"")"),"목소리")</f>
        <v>목소리</v>
      </c>
    </row>
    <row r="1995" ht="15.75" customHeight="1">
      <c r="A1995" s="1" t="s">
        <v>5891</v>
      </c>
      <c r="B1995" s="1">
        <v>5.0</v>
      </c>
      <c r="C1995" s="1" t="s">
        <v>5892</v>
      </c>
      <c r="D1995" s="1" t="s">
        <v>16</v>
      </c>
      <c r="E1995" s="1" t="s">
        <v>5893</v>
      </c>
      <c r="F1995" s="1" t="str">
        <f>IFERROR(__xludf.DUMMYFUNCTION("GOOGLETRANSLATE(A1995, ""zh-CN"", ""ko"")"),"색상")</f>
        <v>색상</v>
      </c>
    </row>
    <row r="1996" ht="15.75" customHeight="1">
      <c r="A1996" s="1" t="s">
        <v>5894</v>
      </c>
      <c r="B1996" s="1">
        <v>5.0</v>
      </c>
      <c r="C1996" s="1" t="s">
        <v>5895</v>
      </c>
      <c r="D1996" s="1" t="s">
        <v>8</v>
      </c>
      <c r="E1996" s="1" t="s">
        <v>5896</v>
      </c>
      <c r="F1996" s="1" t="str">
        <f>IFERROR(__xludf.DUMMYFUNCTION("GOOGLETRANSLATE(A1996, ""zh-CN"", ""ko"")"),"죽이다")</f>
        <v>죽이다</v>
      </c>
    </row>
    <row r="1997" ht="15.75" customHeight="1">
      <c r="A1997" s="1" t="s">
        <v>5897</v>
      </c>
      <c r="B1997" s="1">
        <v>5.0</v>
      </c>
      <c r="C1997" s="1" t="s">
        <v>5898</v>
      </c>
      <c r="D1997" s="1" t="s">
        <v>16</v>
      </c>
      <c r="E1997" s="1" t="s">
        <v>5899</v>
      </c>
      <c r="F1997" s="1" t="str">
        <f>IFERROR(__xludf.DUMMYFUNCTION("GOOGLETRANSLATE(A1997, ""zh-CN"", ""ko"")"),"사막")</f>
        <v>사막</v>
      </c>
    </row>
    <row r="1998" ht="15.75" customHeight="1">
      <c r="A1998" s="1" t="s">
        <v>5900</v>
      </c>
      <c r="B1998" s="1">
        <v>5.0</v>
      </c>
      <c r="C1998" s="1" t="s">
        <v>5901</v>
      </c>
      <c r="D1998" s="1" t="s">
        <v>16</v>
      </c>
      <c r="E1998" s="1" t="s">
        <v>5902</v>
      </c>
      <c r="F1998" s="1" t="str">
        <f>IFERROR(__xludf.DUMMYFUNCTION("GOOGLETRANSLATE(A1998, ""zh-CN"", ""ko"")"),"해변")</f>
        <v>해변</v>
      </c>
    </row>
    <row r="1999" ht="15.75" customHeight="1">
      <c r="A1999" s="1" t="s">
        <v>5903</v>
      </c>
      <c r="B1999" s="1">
        <v>5.0</v>
      </c>
      <c r="C1999" s="1" t="s">
        <v>5904</v>
      </c>
      <c r="D1999" s="1" t="s">
        <v>52</v>
      </c>
      <c r="E1999" s="1" t="s">
        <v>5905</v>
      </c>
      <c r="F1999" s="1" t="str">
        <f>IFERROR(__xludf.DUMMYFUNCTION("GOOGLETRANSLATE(A1999, ""zh-CN"", ""ko"")"),"멍청한")</f>
        <v>멍청한</v>
      </c>
    </row>
    <row r="2000" ht="15.75" customHeight="1">
      <c r="A2000" s="1" t="s">
        <v>5906</v>
      </c>
      <c r="B2000" s="1">
        <v>5.0</v>
      </c>
      <c r="C2000" s="1" t="s">
        <v>5907</v>
      </c>
      <c r="D2000" s="1" t="s">
        <v>8</v>
      </c>
      <c r="E2000" s="1" t="s">
        <v>5908</v>
      </c>
      <c r="F2000" s="1" t="str">
        <f>IFERROR(__xludf.DUMMYFUNCTION("GOOGLETRANSLATE(A2000, ""zh-CN"", ""ko"")"),"해")</f>
        <v>해</v>
      </c>
    </row>
    <row r="2001" ht="15.75" customHeight="1">
      <c r="A2001" s="1" t="s">
        <v>5909</v>
      </c>
      <c r="B2001" s="1">
        <v>5.0</v>
      </c>
      <c r="C2001" s="1" t="s">
        <v>5910</v>
      </c>
      <c r="D2001" s="1" t="s">
        <v>8</v>
      </c>
      <c r="E2001" s="1" t="s">
        <v>5911</v>
      </c>
      <c r="F2001" s="1" t="str">
        <f>IFERROR(__xludf.DUMMYFUNCTION("GOOGLETRANSLATE(A2001, ""zh-CN"", ""ko"")"),"삭제")</f>
        <v>삭제</v>
      </c>
    </row>
    <row r="2002" ht="15.75" customHeight="1">
      <c r="A2002" s="1" t="s">
        <v>5912</v>
      </c>
      <c r="B2002" s="1">
        <v>5.0</v>
      </c>
      <c r="C2002" s="1" t="s">
        <v>5913</v>
      </c>
      <c r="D2002" s="1" t="s">
        <v>16</v>
      </c>
      <c r="E2002" s="1" t="s">
        <v>5914</v>
      </c>
      <c r="F2002" s="1" t="str">
        <f>IFERROR(__xludf.DUMMYFUNCTION("GOOGLETRANSLATE(A2002, ""zh-CN"", ""ko"")"),"번개")</f>
        <v>번개</v>
      </c>
    </row>
    <row r="2003" ht="15.75" customHeight="1">
      <c r="A2003" s="1" t="s">
        <v>5915</v>
      </c>
      <c r="B2003" s="1">
        <v>5.0</v>
      </c>
      <c r="C2003" s="1" t="s">
        <v>5916</v>
      </c>
      <c r="D2003" s="1" t="s">
        <v>52</v>
      </c>
      <c r="E2003" s="1" t="s">
        <v>5917</v>
      </c>
      <c r="F2003" s="1" t="str">
        <f>IFERROR(__xludf.DUMMYFUNCTION("GOOGLETRANSLATE(A2003, ""zh-CN"", ""ko"")"),"친절한")</f>
        <v>친절한</v>
      </c>
    </row>
    <row r="2004" ht="15.75" customHeight="1">
      <c r="A2004" s="1" t="s">
        <v>5918</v>
      </c>
      <c r="B2004" s="1">
        <v>5.0</v>
      </c>
      <c r="C2004" s="1" t="s">
        <v>5919</v>
      </c>
      <c r="D2004" s="1" t="s">
        <v>8</v>
      </c>
      <c r="E2004" s="1" t="s">
        <v>5920</v>
      </c>
      <c r="F2004" s="1" t="str">
        <f>IFERROR(__xludf.DUMMYFUNCTION("GOOGLETRANSLATE(A2004, ""zh-CN"", ""ko"")"),"잘함")</f>
        <v>잘함</v>
      </c>
    </row>
    <row r="2005" ht="15.75" customHeight="1">
      <c r="A2005" s="1" t="s">
        <v>5921</v>
      </c>
      <c r="B2005" s="1">
        <v>5.0</v>
      </c>
      <c r="C2005" s="1" t="s">
        <v>5922</v>
      </c>
      <c r="D2005" s="1" t="s">
        <v>16</v>
      </c>
      <c r="E2005" s="1" t="s">
        <v>5923</v>
      </c>
      <c r="F2005" s="1" t="str">
        <f>IFERROR(__xludf.DUMMYFUNCTION("GOOGLETRANSLATE(A2005, ""zh-CN"", ""ko"")"),"팬")</f>
        <v>팬</v>
      </c>
    </row>
    <row r="2006" ht="15.75" customHeight="1">
      <c r="A2006" s="1" t="s">
        <v>5924</v>
      </c>
      <c r="B2006" s="1">
        <v>5.0</v>
      </c>
      <c r="C2006" s="1" t="s">
        <v>5925</v>
      </c>
      <c r="D2006" s="1" t="s">
        <v>8</v>
      </c>
      <c r="E2006" s="1" t="s">
        <v>5926</v>
      </c>
      <c r="F2006" s="1" t="str">
        <f>IFERROR(__xludf.DUMMYFUNCTION("GOOGLETRANSLATE(A2006, ""zh-CN"", ""ko"")"),"피해")</f>
        <v>피해</v>
      </c>
    </row>
    <row r="2007" ht="15.75" customHeight="1">
      <c r="A2007" s="1" t="s">
        <v>5927</v>
      </c>
      <c r="B2007" s="1">
        <v>5.0</v>
      </c>
      <c r="C2007" s="1" t="s">
        <v>5928</v>
      </c>
      <c r="D2007" s="1" t="s">
        <v>16</v>
      </c>
      <c r="E2007" s="1" t="s">
        <v>5929</v>
      </c>
      <c r="F2007" s="1" t="str">
        <f>IFERROR(__xludf.DUMMYFUNCTION("GOOGLETRANSLATE(A2007, ""zh-CN"", ""ko"")"),"상품")</f>
        <v>상품</v>
      </c>
    </row>
    <row r="2008" ht="15.75" customHeight="1">
      <c r="A2008" s="1" t="s">
        <v>5930</v>
      </c>
      <c r="B2008" s="1">
        <v>5.0</v>
      </c>
      <c r="C2008" s="1" t="s">
        <v>5931</v>
      </c>
      <c r="D2008" s="1" t="s">
        <v>16</v>
      </c>
      <c r="E2008" s="1" t="s">
        <v>5932</v>
      </c>
      <c r="F2008" s="1" t="str">
        <f>IFERROR(__xludf.DUMMYFUNCTION("GOOGLETRANSLATE(A2008, ""zh-CN"", ""ko"")"),"사업")</f>
        <v>사업</v>
      </c>
    </row>
    <row r="2009" ht="15.75" customHeight="1">
      <c r="A2009" s="1" t="s">
        <v>5933</v>
      </c>
      <c r="B2009" s="1">
        <v>5.0</v>
      </c>
      <c r="C2009" s="1" t="s">
        <v>5934</v>
      </c>
      <c r="D2009" s="1" t="s">
        <v>16</v>
      </c>
      <c r="E2009" s="1" t="s">
        <v>5935</v>
      </c>
      <c r="F2009" s="1" t="str">
        <f>IFERROR(__xludf.DUMMYFUNCTION("GOOGLETRANSLATE(A2009, ""zh-CN"", ""ko"")"),"사업")</f>
        <v>사업</v>
      </c>
    </row>
    <row r="2010" ht="15.75" customHeight="1">
      <c r="A2010" s="1" t="s">
        <v>5936</v>
      </c>
      <c r="B2010" s="1">
        <v>5.0</v>
      </c>
      <c r="C2010" s="1" t="s">
        <v>5937</v>
      </c>
      <c r="D2010" s="1" t="s">
        <v>8</v>
      </c>
      <c r="E2010" s="1" t="s">
        <v>5938</v>
      </c>
      <c r="F2010" s="1" t="str">
        <f>IFERROR(__xludf.DUMMYFUNCTION("GOOGLETRANSLATE(A2010, ""zh-CN"", ""ko"")"),"속으세요")</f>
        <v>속으세요</v>
      </c>
    </row>
    <row r="2011" ht="15.75" customHeight="1">
      <c r="A2011" s="1" t="s">
        <v>5939</v>
      </c>
      <c r="B2011" s="1">
        <v>5.0</v>
      </c>
      <c r="C2011" s="1" t="s">
        <v>5940</v>
      </c>
      <c r="D2011" s="1" t="s">
        <v>16</v>
      </c>
      <c r="E2011" s="1" t="s">
        <v>5941</v>
      </c>
      <c r="F2011" s="1" t="str">
        <f>IFERROR(__xludf.DUMMYFUNCTION("GOOGLETRANSLATE(A2011, ""zh-CN"", ""ko"")"),"뱀")</f>
        <v>뱀</v>
      </c>
    </row>
    <row r="2012" ht="15.75" customHeight="1">
      <c r="A2012" s="1" t="s">
        <v>5942</v>
      </c>
      <c r="B2012" s="1">
        <v>5.0</v>
      </c>
      <c r="C2012" s="1" t="s">
        <v>5943</v>
      </c>
      <c r="D2012" s="1" t="s">
        <v>8</v>
      </c>
      <c r="E2012" s="1" t="s">
        <v>5944</v>
      </c>
      <c r="F2012" s="1" t="str">
        <f>IFERROR(__xludf.DUMMYFUNCTION("GOOGLETRANSLATE(A2012, ""zh-CN"", ""ko"")"),"주저하는")</f>
        <v>주저하는</v>
      </c>
    </row>
    <row r="2013" ht="15.75" customHeight="1">
      <c r="A2013" s="1" t="s">
        <v>5945</v>
      </c>
      <c r="B2013" s="1">
        <v>5.0</v>
      </c>
      <c r="C2013" s="1" t="s">
        <v>5946</v>
      </c>
      <c r="D2013" s="1" t="s">
        <v>16</v>
      </c>
      <c r="E2013" s="1" t="s">
        <v>5947</v>
      </c>
      <c r="F2013" s="1" t="str">
        <f>IFERROR(__xludf.DUMMYFUNCTION("GOOGLETRANSLATE(A2013, ""zh-CN"", ""ko"")"),"장비")</f>
        <v>장비</v>
      </c>
    </row>
    <row r="2014" ht="15.75" customHeight="1">
      <c r="A2014" s="1" t="s">
        <v>5948</v>
      </c>
      <c r="B2014" s="1">
        <v>5.0</v>
      </c>
      <c r="C2014" s="1" t="s">
        <v>5949</v>
      </c>
      <c r="D2014" s="1" t="s">
        <v>8</v>
      </c>
      <c r="E2014" s="1" t="s">
        <v>5950</v>
      </c>
      <c r="F2014" s="1" t="str">
        <f>IFERROR(__xludf.DUMMYFUNCTION("GOOGLETRANSLATE(A2014, ""zh-CN"", ""ko"")"),"촬영")</f>
        <v>촬영</v>
      </c>
    </row>
    <row r="2015" ht="15.75" customHeight="1">
      <c r="A2015" s="1" t="s">
        <v>5951</v>
      </c>
      <c r="B2015" s="1">
        <v>5.0</v>
      </c>
      <c r="C2015" s="1" t="s">
        <v>5952</v>
      </c>
      <c r="D2015" s="1" t="s">
        <v>8</v>
      </c>
      <c r="E2015" s="1" t="s">
        <v>5953</v>
      </c>
      <c r="F2015" s="1" t="str">
        <f>IFERROR(__xludf.DUMMYFUNCTION("GOOGLETRANSLATE(A2015, ""zh-CN"", ""ko"")"),"설계")</f>
        <v>설계</v>
      </c>
    </row>
    <row r="2016" ht="15.75" customHeight="1">
      <c r="A2016" s="1" t="s">
        <v>5954</v>
      </c>
      <c r="B2016" s="1">
        <v>5.0</v>
      </c>
      <c r="C2016" s="1" t="s">
        <v>5955</v>
      </c>
      <c r="D2016" s="1" t="s">
        <v>16</v>
      </c>
      <c r="E2016" s="1" t="s">
        <v>5956</v>
      </c>
      <c r="F2016" s="1" t="str">
        <f>IFERROR(__xludf.DUMMYFUNCTION("GOOGLETRANSLATE(A2016, ""zh-CN"", ""ko"")"),"시설")</f>
        <v>시설</v>
      </c>
    </row>
    <row r="2017" ht="15.75" customHeight="1">
      <c r="A2017" s="1" t="s">
        <v>5957</v>
      </c>
      <c r="B2017" s="1">
        <v>5.0</v>
      </c>
      <c r="C2017" s="1" t="s">
        <v>5958</v>
      </c>
      <c r="D2017" s="1" t="s">
        <v>8</v>
      </c>
      <c r="E2017" s="1" t="s">
        <v>5959</v>
      </c>
      <c r="F2017" s="1" t="str">
        <f>IFERROR(__xludf.DUMMYFUNCTION("GOOGLETRANSLATE(A2017, ""zh-CN"", ""ko"")"),"사진술")</f>
        <v>사진술</v>
      </c>
    </row>
    <row r="2018" ht="15.75" customHeight="1">
      <c r="A2018" s="1" t="s">
        <v>5960</v>
      </c>
      <c r="B2018" s="1">
        <v>5.0</v>
      </c>
      <c r="C2018" s="1" t="s">
        <v>2869</v>
      </c>
      <c r="D2018" s="1" t="s">
        <v>8</v>
      </c>
      <c r="E2018" s="1" t="s">
        <v>5961</v>
      </c>
      <c r="F2018" s="1" t="str">
        <f>IFERROR(__xludf.DUMMYFUNCTION("GOOGLETRANSLATE(A2018, ""zh-CN"", ""ko"")"),"뻗기")</f>
        <v>뻗기</v>
      </c>
    </row>
    <row r="2019" ht="15.75" customHeight="1">
      <c r="A2019" s="1" t="s">
        <v>5962</v>
      </c>
      <c r="B2019" s="1">
        <v>5.0</v>
      </c>
      <c r="C2019" s="1" t="s">
        <v>5963</v>
      </c>
      <c r="D2019" s="1" t="s">
        <v>16</v>
      </c>
      <c r="E2019" s="1" t="s">
        <v>5964</v>
      </c>
      <c r="F2019" s="1" t="str">
        <f>IFERROR(__xludf.DUMMYFUNCTION("GOOGLETRANSLATE(A2019, ""zh-CN"", ""ko"")"),"수치")</f>
        <v>수치</v>
      </c>
    </row>
    <row r="2020" ht="15.75" customHeight="1">
      <c r="A2020" s="1" t="s">
        <v>5965</v>
      </c>
      <c r="B2020" s="1">
        <v>5.0</v>
      </c>
      <c r="C2020" s="1" t="s">
        <v>5966</v>
      </c>
      <c r="D2020" s="1" t="s">
        <v>16</v>
      </c>
      <c r="E2020" s="1" t="s">
        <v>5967</v>
      </c>
      <c r="F2020" s="1" t="str">
        <f>IFERROR(__xludf.DUMMYFUNCTION("GOOGLETRANSLATE(A2020, ""zh-CN"", ""ko"")"),"신원")</f>
        <v>신원</v>
      </c>
    </row>
    <row r="2021" ht="15.75" customHeight="1">
      <c r="A2021" s="1" t="s">
        <v>5968</v>
      </c>
      <c r="B2021" s="1">
        <v>5.0</v>
      </c>
      <c r="C2021" s="1" t="s">
        <v>5969</v>
      </c>
      <c r="D2021" s="1" t="s">
        <v>52</v>
      </c>
      <c r="E2021" s="1" t="s">
        <v>5970</v>
      </c>
      <c r="F2021" s="1" t="str">
        <f>IFERROR(__xludf.DUMMYFUNCTION("GOOGLETRANSLATE(A2021, ""zh-CN"", ""ko"")"),"심오한")</f>
        <v>심오한</v>
      </c>
    </row>
    <row r="2022" ht="15.75" customHeight="1">
      <c r="A2022" s="1" t="s">
        <v>5971</v>
      </c>
      <c r="B2022" s="1">
        <v>5.0</v>
      </c>
      <c r="C2022" s="1" t="s">
        <v>5972</v>
      </c>
      <c r="D2022" s="1" t="s">
        <v>16</v>
      </c>
      <c r="E2022" s="1" t="s">
        <v>5973</v>
      </c>
      <c r="F2022" s="1" t="str">
        <f>IFERROR(__xludf.DUMMYFUNCTION("GOOGLETRANSLATE(A2022, ""zh-CN"", ""ko"")"),"신화")</f>
        <v>신화</v>
      </c>
    </row>
    <row r="2023" ht="15.75" customHeight="1">
      <c r="A2023" s="1" t="s">
        <v>5974</v>
      </c>
      <c r="B2023" s="1">
        <v>5.0</v>
      </c>
      <c r="C2023" s="1" t="s">
        <v>5975</v>
      </c>
      <c r="D2023" s="1" t="s">
        <v>8</v>
      </c>
      <c r="E2023" s="1" t="s">
        <v>5976</v>
      </c>
      <c r="F2023" s="1" t="str">
        <f>IFERROR(__xludf.DUMMYFUNCTION("GOOGLETRANSLATE(A2023, ""zh-CN"", ""ko"")"),"신비")</f>
        <v>신비</v>
      </c>
    </row>
    <row r="2024" ht="15.75" customHeight="1">
      <c r="A2024" s="1" t="s">
        <v>5977</v>
      </c>
      <c r="B2024" s="1">
        <v>5.0</v>
      </c>
      <c r="C2024" s="1" t="s">
        <v>5978</v>
      </c>
      <c r="D2024" s="1" t="s">
        <v>8</v>
      </c>
      <c r="E2024" s="1" t="s">
        <v>5979</v>
      </c>
      <c r="F2024" s="1" t="str">
        <f>IFERROR(__xludf.DUMMYFUNCTION("GOOGLETRANSLATE(A2024, ""zh-CN"", ""ko"")"),"승강기")</f>
        <v>승강기</v>
      </c>
    </row>
    <row r="2025" ht="15.75" customHeight="1">
      <c r="A2025" s="1" t="s">
        <v>5980</v>
      </c>
      <c r="B2025" s="1">
        <v>5.0</v>
      </c>
      <c r="C2025" s="1" t="s">
        <v>5981</v>
      </c>
      <c r="D2025" s="1" t="s">
        <v>8</v>
      </c>
      <c r="E2025" s="1" t="s">
        <v>5982</v>
      </c>
      <c r="F2025" s="1" t="str">
        <f>IFERROR(__xludf.DUMMYFUNCTION("GOOGLETRANSLATE(A2025, ""zh-CN"", ""ko"")"),"생산")</f>
        <v>생산</v>
      </c>
    </row>
    <row r="2026" ht="15.75" customHeight="1">
      <c r="A2026" s="1" t="s">
        <v>5983</v>
      </c>
      <c r="B2026" s="1">
        <v>5.0</v>
      </c>
      <c r="C2026" s="1" t="s">
        <v>5984</v>
      </c>
      <c r="D2026" s="1" t="s">
        <v>16</v>
      </c>
      <c r="E2026" s="1" t="s">
        <v>5985</v>
      </c>
      <c r="F2026" s="1" t="str">
        <f>IFERROR(__xludf.DUMMYFUNCTION("GOOGLETRANSLATE(A2026, ""zh-CN"", ""ko"")"),"음정")</f>
        <v>음정</v>
      </c>
    </row>
    <row r="2027" ht="15.75" customHeight="1">
      <c r="A2027" s="1" t="s">
        <v>5986</v>
      </c>
      <c r="B2027" s="1">
        <v>5.0</v>
      </c>
      <c r="C2027" s="1" t="s">
        <v>5987</v>
      </c>
      <c r="D2027" s="1" t="s">
        <v>52</v>
      </c>
      <c r="E2027" s="1" t="s">
        <v>5988</v>
      </c>
      <c r="F2027" s="1" t="str">
        <f>IFERROR(__xludf.DUMMYFUNCTION("GOOGLETRANSLATE(A2027, ""zh-CN"", ""ko"")"),"생생한")</f>
        <v>생생한</v>
      </c>
    </row>
    <row r="2028" ht="15.75" customHeight="1">
      <c r="A2028" s="1" t="s">
        <v>5989</v>
      </c>
      <c r="B2028" s="1">
        <v>5.0</v>
      </c>
      <c r="C2028" s="1" t="s">
        <v>5990</v>
      </c>
      <c r="D2028" s="1" t="s">
        <v>8</v>
      </c>
      <c r="E2028" s="1" t="s">
        <v>496</v>
      </c>
      <c r="F2028" s="1" t="str">
        <f>IFERROR(__xludf.DUMMYFUNCTION("GOOGLETRANSLATE(A2028, ""zh-CN"", ""ko"")"),"성장")</f>
        <v>성장</v>
      </c>
    </row>
    <row r="2029" ht="15.75" customHeight="1">
      <c r="A2029" s="1" t="s">
        <v>5991</v>
      </c>
      <c r="B2029" s="1">
        <v>5.0</v>
      </c>
      <c r="C2029" s="1" t="s">
        <v>5992</v>
      </c>
      <c r="D2029" s="1" t="s">
        <v>16</v>
      </c>
      <c r="E2029" s="1" t="s">
        <v>5993</v>
      </c>
      <c r="F2029" s="1" t="str">
        <f>IFERROR(__xludf.DUMMYFUNCTION("GOOGLETRANSLATE(A2029, ""zh-CN"", ""ko"")"),"로프")</f>
        <v>로프</v>
      </c>
    </row>
    <row r="2030" ht="15.75" customHeight="1">
      <c r="A2030" s="1" t="s">
        <v>5994</v>
      </c>
      <c r="B2030" s="1">
        <v>5.0</v>
      </c>
      <c r="C2030" s="1" t="s">
        <v>5995</v>
      </c>
      <c r="D2030" s="1" t="s">
        <v>8</v>
      </c>
      <c r="E2030" s="1" t="s">
        <v>5996</v>
      </c>
      <c r="F2030" s="1" t="str">
        <f>IFERROR(__xludf.DUMMYFUNCTION("GOOGLETRANSLATE(A2030, ""zh-CN"", ""ko"")"),"생략")</f>
        <v>생략</v>
      </c>
    </row>
    <row r="2031" ht="15.75" customHeight="1">
      <c r="A2031" s="1" t="s">
        <v>5997</v>
      </c>
      <c r="B2031" s="1">
        <v>5.0</v>
      </c>
      <c r="C2031" s="1" t="s">
        <v>5998</v>
      </c>
      <c r="D2031" s="1" t="s">
        <v>8</v>
      </c>
      <c r="E2031" s="1" t="s">
        <v>5999</v>
      </c>
      <c r="F2031" s="1" t="str">
        <f>IFERROR(__xludf.DUMMYFUNCTION("GOOGLETRANSLATE(A2031, ""zh-CN"", ""ko"")"),"승리")</f>
        <v>승리</v>
      </c>
    </row>
    <row r="2032" ht="15.75" customHeight="1">
      <c r="A2032" s="1" t="s">
        <v>6000</v>
      </c>
      <c r="B2032" s="1">
        <v>5.0</v>
      </c>
      <c r="C2032" s="1" t="s">
        <v>6001</v>
      </c>
      <c r="D2032" s="1" t="s">
        <v>16</v>
      </c>
      <c r="E2032" s="1" t="s">
        <v>6002</v>
      </c>
      <c r="F2032" s="1" t="str">
        <f>IFERROR(__xludf.DUMMYFUNCTION("GOOGLETRANSLATE(A2032, ""zh-CN"", ""ko"")"),"시")</f>
        <v>시</v>
      </c>
    </row>
    <row r="2033" ht="15.75" customHeight="1">
      <c r="A2033" s="1" t="s">
        <v>6003</v>
      </c>
      <c r="B2033" s="1">
        <v>5.0</v>
      </c>
      <c r="C2033" s="1" t="s">
        <v>6004</v>
      </c>
      <c r="D2033" s="1" t="s">
        <v>8</v>
      </c>
      <c r="E2033" s="1" t="s">
        <v>6005</v>
      </c>
      <c r="F2033" s="1" t="str">
        <f>IFERROR(__xludf.DUMMYFUNCTION("GOOGLETRANSLATE(A2033, ""zh-CN"", ""ko"")"),"불명증")</f>
        <v>불명증</v>
      </c>
    </row>
    <row r="2034" ht="15.75" customHeight="1">
      <c r="A2034" s="1" t="s">
        <v>6006</v>
      </c>
      <c r="B2034" s="1">
        <v>5.0</v>
      </c>
      <c r="C2034" s="1" t="s">
        <v>6007</v>
      </c>
      <c r="D2034" s="1" t="s">
        <v>8</v>
      </c>
      <c r="E2034" s="1" t="s">
        <v>2052</v>
      </c>
      <c r="F2034" s="1" t="str">
        <f>IFERROR(__xludf.DUMMYFUNCTION("GOOGLETRANSLATE(A2034, ""zh-CN"", ""ko"")"),"잃다")</f>
        <v>잃다</v>
      </c>
    </row>
    <row r="2035" ht="15.75" customHeight="1">
      <c r="A2035" s="1" t="s">
        <v>6008</v>
      </c>
      <c r="B2035" s="1">
        <v>5.0</v>
      </c>
      <c r="C2035" s="1" t="s">
        <v>6009</v>
      </c>
      <c r="D2035" s="1" t="s">
        <v>52</v>
      </c>
      <c r="E2035" s="1" t="s">
        <v>6010</v>
      </c>
      <c r="F2035" s="1" t="str">
        <f>IFERROR(__xludf.DUMMYFUNCTION("GOOGLETRANSLATE(A2035, ""zh-CN"", ""ko"")"),"촉촉한")</f>
        <v>촉촉한</v>
      </c>
    </row>
    <row r="2036" ht="15.75" customHeight="1">
      <c r="A2036" s="1" t="s">
        <v>6011</v>
      </c>
      <c r="B2036" s="1">
        <v>5.0</v>
      </c>
      <c r="C2036" s="1" t="s">
        <v>6012</v>
      </c>
      <c r="D2036" s="1" t="s">
        <v>16</v>
      </c>
      <c r="E2036" s="1" t="s">
        <v>6013</v>
      </c>
      <c r="F2036" s="1" t="str">
        <f>IFERROR(__xludf.DUMMYFUNCTION("GOOGLETRANSLATE(A2036, ""zh-CN"", ""ko"")"),"실업")</f>
        <v>실업</v>
      </c>
    </row>
    <row r="2037" ht="15.75" customHeight="1">
      <c r="A2037" s="1" t="s">
        <v>6014</v>
      </c>
      <c r="B2037" s="1">
        <v>5.0</v>
      </c>
      <c r="C2037" s="1" t="s">
        <v>6015</v>
      </c>
      <c r="D2037" s="1" t="s">
        <v>16</v>
      </c>
      <c r="E2037" s="1" t="s">
        <v>6016</v>
      </c>
      <c r="F2037" s="1" t="str">
        <f>IFERROR(__xludf.DUMMYFUNCTION("GOOGLETRANSLATE(A2037, ""zh-CN"", ""ko"")"),"사자")</f>
        <v>사자</v>
      </c>
    </row>
    <row r="2038" ht="15.75" customHeight="1">
      <c r="A2038" s="1" t="s">
        <v>6017</v>
      </c>
      <c r="B2038" s="1">
        <v>5.0</v>
      </c>
      <c r="C2038" s="1" t="s">
        <v>6018</v>
      </c>
      <c r="D2038" s="1" t="s">
        <v>16</v>
      </c>
      <c r="E2038" s="1" t="s">
        <v>6019</v>
      </c>
      <c r="F2038" s="1" t="str">
        <f>IFERROR(__xludf.DUMMYFUNCTION("GOOGLETRANSLATE(A2038, ""zh-CN"", ""ko"")"),"시차 적응")</f>
        <v>시차 적응</v>
      </c>
    </row>
    <row r="2039" ht="15.75" customHeight="1">
      <c r="A2039" s="1" t="s">
        <v>6020</v>
      </c>
      <c r="B2039" s="1">
        <v>5.0</v>
      </c>
      <c r="C2039" s="1" t="s">
        <v>6021</v>
      </c>
      <c r="D2039" s="1" t="s">
        <v>16</v>
      </c>
      <c r="E2039" s="1" t="s">
        <v>6022</v>
      </c>
      <c r="F2039" s="1" t="str">
        <f>IFERROR(__xludf.DUMMYFUNCTION("GOOGLETRANSLATE(A2039, ""zh-CN"", ""ko"")"),"연대")</f>
        <v>연대</v>
      </c>
    </row>
    <row r="2040" ht="15.75" customHeight="1">
      <c r="A2040" s="1" t="s">
        <v>6023</v>
      </c>
      <c r="B2040" s="1">
        <v>5.0</v>
      </c>
      <c r="C2040" s="1" t="s">
        <v>6024</v>
      </c>
      <c r="D2040" s="1" t="s">
        <v>16</v>
      </c>
      <c r="E2040" s="1" t="s">
        <v>6025</v>
      </c>
      <c r="F2040" s="1" t="str">
        <f>IFERROR(__xludf.DUMMYFUNCTION("GOOGLETRANSLATE(A2040, ""zh-CN"", ""ko"")"),"진실")</f>
        <v>진실</v>
      </c>
    </row>
    <row r="2041" ht="15.75" customHeight="1">
      <c r="A2041" s="1" t="s">
        <v>6026</v>
      </c>
      <c r="B2041" s="1">
        <v>5.0</v>
      </c>
      <c r="C2041" s="1" t="s">
        <v>6027</v>
      </c>
      <c r="D2041" s="1" t="s">
        <v>8</v>
      </c>
      <c r="E2041" s="1" t="s">
        <v>6028</v>
      </c>
      <c r="F2041" s="1" t="str">
        <f>IFERROR(__xludf.DUMMYFUNCTION("GOOGLETRANSLATE(A2041, ""zh-CN"", ""ko"")"),"관행")</f>
        <v>관행</v>
      </c>
    </row>
    <row r="2042" ht="15.75" customHeight="1">
      <c r="A2042" s="1" t="s">
        <v>6029</v>
      </c>
      <c r="B2042" s="1">
        <v>5.0</v>
      </c>
      <c r="C2042" s="1" t="s">
        <v>6030</v>
      </c>
      <c r="D2042" s="1" t="s">
        <v>16</v>
      </c>
      <c r="E2042" s="1" t="s">
        <v>6031</v>
      </c>
      <c r="F2042" s="1" t="str">
        <f>IFERROR(__xludf.DUMMYFUNCTION("GOOGLETRANSLATE(A2042, ""zh-CN"", ""ko"")"),"시간")</f>
        <v>시간</v>
      </c>
    </row>
    <row r="2043" ht="15.75" customHeight="1">
      <c r="A2043" s="1" t="s">
        <v>6032</v>
      </c>
      <c r="B2043" s="1">
        <v>5.0</v>
      </c>
      <c r="C2043" s="1" t="s">
        <v>6033</v>
      </c>
      <c r="D2043" s="1" t="s">
        <v>52</v>
      </c>
      <c r="E2043" s="1" t="s">
        <v>6034</v>
      </c>
      <c r="F2043" s="1" t="str">
        <f>IFERROR(__xludf.DUMMYFUNCTION("GOOGLETRANSLATE(A2043, ""zh-CN"", ""ko"")"),"유행하는")</f>
        <v>유행하는</v>
      </c>
    </row>
    <row r="2044" ht="15.75" customHeight="1">
      <c r="A2044" s="1" t="s">
        <v>6035</v>
      </c>
      <c r="B2044" s="1">
        <v>5.0</v>
      </c>
      <c r="C2044" s="1" t="s">
        <v>6036</v>
      </c>
      <c r="D2044" s="1" t="s">
        <v>16</v>
      </c>
      <c r="E2044" s="1" t="s">
        <v>6037</v>
      </c>
      <c r="F2044" s="1" t="str">
        <f>IFERROR(__xludf.DUMMYFUNCTION("GOOGLETRANSLATE(A2044, ""zh-CN"", ""ko"")"),"기간")</f>
        <v>기간</v>
      </c>
    </row>
    <row r="2045" ht="15.75" customHeight="1">
      <c r="A2045" s="1" t="s">
        <v>6038</v>
      </c>
      <c r="B2045" s="1">
        <v>5.0</v>
      </c>
      <c r="C2045" s="1" t="s">
        <v>6039</v>
      </c>
      <c r="D2045" s="1" t="s">
        <v>52</v>
      </c>
      <c r="E2045" s="1" t="s">
        <v>6040</v>
      </c>
      <c r="F2045" s="1" t="str">
        <f>IFERROR(__xludf.DUMMYFUNCTION("GOOGLETRANSLATE(A2045, ""zh-CN"", ""ko"")"),"패션")</f>
        <v>패션</v>
      </c>
    </row>
    <row r="2046" ht="15.75" customHeight="1">
      <c r="A2046" s="1" t="s">
        <v>6041</v>
      </c>
      <c r="B2046" s="1">
        <v>5.0</v>
      </c>
      <c r="C2046" s="1" t="s">
        <v>6042</v>
      </c>
      <c r="D2046" s="1" t="s">
        <v>16</v>
      </c>
      <c r="E2046" s="1" t="s">
        <v>6043</v>
      </c>
      <c r="F2046" s="1" t="str">
        <f>IFERROR(__xludf.DUMMYFUNCTION("GOOGLETRANSLATE(A2046, ""zh-CN"", ""ko"")"),"결석")</f>
        <v>결석</v>
      </c>
    </row>
    <row r="2047" ht="15.75" customHeight="1">
      <c r="A2047" s="1" t="s">
        <v>6044</v>
      </c>
      <c r="B2047" s="1">
        <v>5.0</v>
      </c>
      <c r="C2047" s="1" t="s">
        <v>6045</v>
      </c>
      <c r="D2047" s="1" t="s">
        <v>16</v>
      </c>
      <c r="E2047" s="1" t="s">
        <v>6046</v>
      </c>
      <c r="F2047" s="1" t="str">
        <f>IFERROR(__xludf.DUMMYFUNCTION("GOOGLETRANSLATE(A2047, ""zh-CN"", ""ko"")"),"음식")</f>
        <v>음식</v>
      </c>
    </row>
    <row r="2048" ht="15.75" customHeight="1">
      <c r="A2048" s="1" t="s">
        <v>6047</v>
      </c>
      <c r="B2048" s="1">
        <v>5.0</v>
      </c>
      <c r="C2048" s="1" t="s">
        <v>6048</v>
      </c>
      <c r="D2048" s="1" t="s">
        <v>8</v>
      </c>
      <c r="E2048" s="1" t="s">
        <v>6049</v>
      </c>
      <c r="F2048" s="1" t="str">
        <f>IFERROR(__xludf.DUMMYFUNCTION("GOOGLETRANSLATE(A2048, ""zh-CN"", ""ko"")"),"관행")</f>
        <v>관행</v>
      </c>
    </row>
    <row r="2049" ht="15.75" customHeight="1">
      <c r="A2049" s="1" t="s">
        <v>6050</v>
      </c>
      <c r="B2049" s="1">
        <v>5.0</v>
      </c>
      <c r="C2049" s="1" t="s">
        <v>6051</v>
      </c>
      <c r="D2049" s="1" t="s">
        <v>8</v>
      </c>
      <c r="E2049" s="1" t="s">
        <v>6052</v>
      </c>
      <c r="F2049" s="1" t="str">
        <f>IFERROR(__xludf.DUMMYFUNCTION("GOOGLETRANSLATE(A2049, ""zh-CN"", ""ko"")"),"성취하다")</f>
        <v>성취하다</v>
      </c>
    </row>
    <row r="2050" ht="15.75" customHeight="1">
      <c r="A2050" s="1" t="s">
        <v>6053</v>
      </c>
      <c r="B2050" s="1">
        <v>5.0</v>
      </c>
      <c r="C2050" s="1" t="s">
        <v>6054</v>
      </c>
      <c r="D2050" s="1" t="s">
        <v>16</v>
      </c>
      <c r="E2050" s="1" t="s">
        <v>6055</v>
      </c>
      <c r="F2050" s="1" t="str">
        <f>IFERROR(__xludf.DUMMYFUNCTION("GOOGLETRANSLATE(A2050, ""zh-CN"", ""ko"")"),"실험")</f>
        <v>실험</v>
      </c>
    </row>
    <row r="2051" ht="15.75" customHeight="1">
      <c r="A2051" s="1" t="s">
        <v>6056</v>
      </c>
      <c r="B2051" s="1">
        <v>5.0</v>
      </c>
      <c r="C2051" s="1" t="s">
        <v>6057</v>
      </c>
      <c r="D2051" s="1" t="s">
        <v>52</v>
      </c>
      <c r="E2051" s="1" t="s">
        <v>6058</v>
      </c>
      <c r="F2051" s="1" t="str">
        <f>IFERROR(__xludf.DUMMYFUNCTION("GOOGLETRANSLATE(A2051, ""zh-CN"", ""ko"")"),"현실적인")</f>
        <v>현실적인</v>
      </c>
    </row>
    <row r="2052" ht="15.75" customHeight="1">
      <c r="A2052" s="1" t="s">
        <v>6059</v>
      </c>
      <c r="B2052" s="1">
        <v>5.0</v>
      </c>
      <c r="C2052" s="1" t="s">
        <v>6060</v>
      </c>
      <c r="D2052" s="1" t="s">
        <v>8</v>
      </c>
      <c r="E2052" s="1" t="s">
        <v>6061</v>
      </c>
      <c r="F2052" s="1" t="str">
        <f>IFERROR(__xludf.DUMMYFUNCTION("GOOGLETRANSLATE(A2052, ""zh-CN"", ""ko"")"),"최선을 다하세요")</f>
        <v>최선을 다하세요</v>
      </c>
    </row>
    <row r="2053" ht="15.75" customHeight="1">
      <c r="A2053" s="1" t="s">
        <v>6062</v>
      </c>
      <c r="B2053" s="1">
        <v>5.0</v>
      </c>
      <c r="C2053" s="1" t="s">
        <v>6063</v>
      </c>
      <c r="D2053" s="1" t="s">
        <v>33</v>
      </c>
      <c r="E2053" s="1" t="s">
        <v>6064</v>
      </c>
      <c r="F2053" s="1" t="str">
        <f>IFERROR(__xludf.DUMMYFUNCTION("GOOGLETRANSLATE(A2053, ""zh-CN"", ""ko"")"),"언제나")</f>
        <v>언제나</v>
      </c>
    </row>
    <row r="2054" ht="15.75" customHeight="1">
      <c r="A2054" s="1" t="s">
        <v>6065</v>
      </c>
      <c r="B2054" s="1">
        <v>5.0</v>
      </c>
      <c r="C2054" s="1" t="s">
        <v>6066</v>
      </c>
      <c r="D2054" s="1" t="s">
        <v>16</v>
      </c>
      <c r="E2054" s="1" t="s">
        <v>6067</v>
      </c>
      <c r="F2054" s="1" t="str">
        <f>IFERROR(__xludf.DUMMYFUNCTION("GOOGLETRANSLATE(A2054, ""zh-CN"", ""ko"")"),"군인")</f>
        <v>군인</v>
      </c>
    </row>
    <row r="2055" ht="15.75" customHeight="1">
      <c r="A2055" s="1" t="s">
        <v>6068</v>
      </c>
      <c r="B2055" s="1">
        <v>5.0</v>
      </c>
      <c r="C2055" s="1" t="s">
        <v>6069</v>
      </c>
      <c r="D2055" s="1" t="s">
        <v>16</v>
      </c>
      <c r="E2055" s="1" t="s">
        <v>6070</v>
      </c>
      <c r="F2055" s="1" t="str">
        <f>IFERROR(__xludf.DUMMYFUNCTION("GOOGLETRANSLATE(A2055, ""zh-CN"", ""ko"")"),"시장")</f>
        <v>시장</v>
      </c>
    </row>
    <row r="2056" ht="15.75" customHeight="1">
      <c r="A2056" s="1" t="s">
        <v>6071</v>
      </c>
      <c r="B2056" s="1">
        <v>5.0</v>
      </c>
      <c r="C2056" s="1" t="s">
        <v>6072</v>
      </c>
      <c r="D2056" s="1" t="s">
        <v>56</v>
      </c>
      <c r="E2056" s="1" t="s">
        <v>6073</v>
      </c>
      <c r="F2056" s="1" t="str">
        <f>IFERROR(__xludf.DUMMYFUNCTION("GOOGLETRANSLATE(A2056, ""zh-CN"", ""ko"")"),"좋다")</f>
        <v>좋다</v>
      </c>
    </row>
    <row r="2057" ht="15.75" customHeight="1">
      <c r="A2057" s="1" t="s">
        <v>6074</v>
      </c>
      <c r="B2057" s="1">
        <v>5.0</v>
      </c>
      <c r="C2057" s="1" t="s">
        <v>6075</v>
      </c>
      <c r="D2057" s="1" t="s">
        <v>16</v>
      </c>
      <c r="E2057" s="1" t="s">
        <v>6076</v>
      </c>
      <c r="F2057" s="1" t="str">
        <f>IFERROR(__xludf.DUMMYFUNCTION("GOOGLETRANSLATE(A2057, ""zh-CN"", ""ko"")"),"시험 문제지")</f>
        <v>시험 문제지</v>
      </c>
    </row>
    <row r="2058" ht="15.75" customHeight="1">
      <c r="A2058" s="1" t="s">
        <v>6077</v>
      </c>
      <c r="B2058" s="1">
        <v>5.0</v>
      </c>
      <c r="C2058" s="1" t="s">
        <v>6078</v>
      </c>
      <c r="D2058" s="1" t="s">
        <v>16</v>
      </c>
      <c r="E2058" s="1" t="s">
        <v>6079</v>
      </c>
      <c r="F2058" s="1" t="str">
        <f>IFERROR(__xludf.DUMMYFUNCTION("GOOGLETRANSLATE(A2058, ""zh-CN"", ""ko"")"),"사실")</f>
        <v>사실</v>
      </c>
    </row>
    <row r="2059" ht="15.75" customHeight="1">
      <c r="A2059" s="1" t="s">
        <v>6080</v>
      </c>
      <c r="B2059" s="1">
        <v>5.0</v>
      </c>
      <c r="C2059" s="1" t="s">
        <v>6081</v>
      </c>
      <c r="D2059" s="1" t="s">
        <v>16</v>
      </c>
      <c r="E2059" s="1" t="s">
        <v>6082</v>
      </c>
      <c r="F2059" s="1" t="str">
        <f>IFERROR(__xludf.DUMMYFUNCTION("GOOGLETRANSLATE(A2059, ""zh-CN"", ""ko"")"),"물건")</f>
        <v>물건</v>
      </c>
    </row>
    <row r="2060" ht="15.75" customHeight="1">
      <c r="A2060" s="1" t="s">
        <v>6083</v>
      </c>
      <c r="B2060" s="1">
        <v>5.0</v>
      </c>
      <c r="C2060" s="1" t="s">
        <v>6084</v>
      </c>
      <c r="D2060" s="1" t="s">
        <v>16</v>
      </c>
      <c r="E2060" s="1" t="s">
        <v>6085</v>
      </c>
      <c r="F2060" s="1" t="str">
        <f>IFERROR(__xludf.DUMMYFUNCTION("GOOGLETRANSLATE(A2060, ""zh-CN"", ""ko"")"),"미리")</f>
        <v>미리</v>
      </c>
    </row>
    <row r="2061" ht="15.75" customHeight="1">
      <c r="A2061" s="1" t="s">
        <v>6086</v>
      </c>
      <c r="B2061" s="1">
        <v>5.0</v>
      </c>
      <c r="C2061" s="1" t="s">
        <v>6087</v>
      </c>
      <c r="D2061" s="1" t="s">
        <v>8</v>
      </c>
      <c r="E2061" s="1" t="s">
        <v>6088</v>
      </c>
      <c r="F2061" s="1" t="str">
        <f>IFERROR(__xludf.DUMMYFUNCTION("GOOGLETRANSLATE(A2061, ""zh-CN"", ""ko"")"),"수확하다")</f>
        <v>수확하다</v>
      </c>
    </row>
    <row r="2062" ht="15.75" customHeight="1">
      <c r="A2062" s="1" t="s">
        <v>6089</v>
      </c>
      <c r="B2062" s="1">
        <v>5.0</v>
      </c>
      <c r="C2062" s="1" t="s">
        <v>6090</v>
      </c>
      <c r="D2062" s="1" t="s">
        <v>16</v>
      </c>
      <c r="E2062" s="1" t="s">
        <v>6091</v>
      </c>
      <c r="F2062" s="1" t="str">
        <f>IFERROR(__xludf.DUMMYFUNCTION("GOOGLETRANSLATE(A2062, ""zh-CN"", ""ko"")"),"영수증")</f>
        <v>영수증</v>
      </c>
    </row>
    <row r="2063" ht="15.75" customHeight="1">
      <c r="A2063" s="1" t="s">
        <v>6092</v>
      </c>
      <c r="B2063" s="1">
        <v>5.0</v>
      </c>
      <c r="C2063" s="1" t="s">
        <v>6093</v>
      </c>
      <c r="D2063" s="1" t="s">
        <v>26</v>
      </c>
      <c r="E2063" s="1" t="s">
        <v>6094</v>
      </c>
      <c r="F2063" s="1" t="str">
        <f>IFERROR(__xludf.DUMMYFUNCTION("GOOGLETRANSLATE(A2063, ""zh-CN"", ""ko"")"),"머리")</f>
        <v>머리</v>
      </c>
    </row>
    <row r="2064" ht="15.75" customHeight="1">
      <c r="A2064" s="1" t="s">
        <v>6095</v>
      </c>
      <c r="B2064" s="1">
        <v>5.0</v>
      </c>
      <c r="C2064" s="1" t="s">
        <v>6096</v>
      </c>
      <c r="D2064" s="1" t="s">
        <v>16</v>
      </c>
      <c r="E2064" s="1" t="s">
        <v>6097</v>
      </c>
      <c r="F2064" s="1" t="str">
        <f>IFERROR(__xludf.DUMMYFUNCTION("GOOGLETRANSLATE(A2064, ""zh-CN"", ""ko"")"),"수동")</f>
        <v>수동</v>
      </c>
    </row>
    <row r="2065" ht="15.75" customHeight="1">
      <c r="A2065" s="1" t="s">
        <v>6098</v>
      </c>
      <c r="B2065" s="1">
        <v>5.0</v>
      </c>
      <c r="C2065" s="1" t="s">
        <v>6099</v>
      </c>
      <c r="D2065" s="1" t="s">
        <v>16</v>
      </c>
      <c r="E2065" s="1" t="s">
        <v>6100</v>
      </c>
      <c r="F2065" s="1" t="str">
        <f>IFERROR(__xludf.DUMMYFUNCTION("GOOGLETRANSLATE(A2065, ""zh-CN"", ""ko"")"),"작업")</f>
        <v>작업</v>
      </c>
    </row>
    <row r="2066" ht="15.75" customHeight="1">
      <c r="A2066" s="1" t="s">
        <v>6101</v>
      </c>
      <c r="B2066" s="1">
        <v>5.0</v>
      </c>
      <c r="C2066" s="1" t="s">
        <v>6102</v>
      </c>
      <c r="D2066" s="1" t="s">
        <v>16</v>
      </c>
      <c r="E2066" s="1" t="s">
        <v>6103</v>
      </c>
      <c r="F2066" s="1" t="str">
        <f>IFERROR(__xludf.DUMMYFUNCTION("GOOGLETRANSLATE(A2066, ""zh-CN"", ""ko"")"),"장갑")</f>
        <v>장갑</v>
      </c>
    </row>
    <row r="2067" ht="15.75" customHeight="1">
      <c r="A2067" s="1" t="s">
        <v>6104</v>
      </c>
      <c r="B2067" s="1">
        <v>5.0</v>
      </c>
      <c r="C2067" s="1" t="s">
        <v>6105</v>
      </c>
      <c r="D2067" s="1" t="s">
        <v>16</v>
      </c>
      <c r="E2067" s="1" t="s">
        <v>6106</v>
      </c>
      <c r="F2067" s="1" t="str">
        <f>IFERROR(__xludf.DUMMYFUNCTION("GOOGLETRANSLATE(A2067, ""zh-CN"", ""ko"")"),"형식")</f>
        <v>형식</v>
      </c>
    </row>
    <row r="2068" ht="15.75" customHeight="1">
      <c r="A2068" s="1" t="s">
        <v>6107</v>
      </c>
      <c r="B2068" s="1">
        <v>5.0</v>
      </c>
      <c r="C2068" s="1" t="s">
        <v>6108</v>
      </c>
      <c r="D2068" s="1" t="s">
        <v>16</v>
      </c>
      <c r="E2068" s="1" t="s">
        <v>6109</v>
      </c>
      <c r="F2068" s="1" t="str">
        <f>IFERROR(__xludf.DUMMYFUNCTION("GOOGLETRANSLATE(A2068, ""zh-CN"", ""ko"")"),"손가락")</f>
        <v>손가락</v>
      </c>
    </row>
    <row r="2069" ht="15.75" customHeight="1">
      <c r="A2069" s="1" t="s">
        <v>6110</v>
      </c>
      <c r="B2069" s="1">
        <v>5.0</v>
      </c>
      <c r="C2069" s="1" t="s">
        <v>6111</v>
      </c>
      <c r="D2069" s="1" t="s">
        <v>16</v>
      </c>
      <c r="E2069" s="1" t="s">
        <v>6112</v>
      </c>
      <c r="F2069" s="1" t="str">
        <f>IFERROR(__xludf.DUMMYFUNCTION("GOOGLETRANSLATE(A2069, ""zh-CN"", ""ko"")"),"삶")</f>
        <v>삶</v>
      </c>
    </row>
    <row r="2070" ht="15.75" customHeight="1">
      <c r="A2070" s="1" t="s">
        <v>6113</v>
      </c>
      <c r="B2070" s="1">
        <v>5.0</v>
      </c>
      <c r="C2070" s="1" t="s">
        <v>6114</v>
      </c>
      <c r="D2070" s="1" t="s">
        <v>8</v>
      </c>
      <c r="E2070" s="1" t="s">
        <v>6115</v>
      </c>
      <c r="F2070" s="1" t="str">
        <f>IFERROR(__xludf.DUMMYFUNCTION("GOOGLETRANSLATE(A2070, ""zh-CN"", ""ko"")"),"부상자")</f>
        <v>부상자</v>
      </c>
    </row>
    <row r="2071" ht="15.75" customHeight="1">
      <c r="A2071" s="1" t="s">
        <v>6116</v>
      </c>
      <c r="B2071" s="1">
        <v>5.0</v>
      </c>
      <c r="C2071" s="1" t="s">
        <v>6117</v>
      </c>
      <c r="D2071" s="1" t="s">
        <v>16</v>
      </c>
      <c r="E2071" s="1" t="s">
        <v>6118</v>
      </c>
      <c r="F2071" s="1" t="str">
        <f>IFERROR(__xludf.DUMMYFUNCTION("GOOGLETRANSLATE(A2071, ""zh-CN"", ""ko"")"),"채소")</f>
        <v>채소</v>
      </c>
    </row>
    <row r="2072" ht="15.75" customHeight="1">
      <c r="A2072" s="1" t="s">
        <v>6119</v>
      </c>
      <c r="B2072" s="1">
        <v>5.0</v>
      </c>
      <c r="C2072" s="1" t="s">
        <v>6120</v>
      </c>
      <c r="D2072" s="1" t="s">
        <v>16</v>
      </c>
      <c r="E2072" s="1" t="s">
        <v>6121</v>
      </c>
      <c r="F2072" s="1" t="str">
        <f>IFERROR(__xludf.DUMMYFUNCTION("GOOGLETRANSLATE(A2072, ""zh-CN"", ""ko"")"),"책장")</f>
        <v>책장</v>
      </c>
    </row>
    <row r="2073" ht="15.75" customHeight="1">
      <c r="A2073" s="1" t="s">
        <v>6122</v>
      </c>
      <c r="B2073" s="1">
        <v>5.0</v>
      </c>
      <c r="C2073" s="1" t="s">
        <v>6123</v>
      </c>
      <c r="D2073" s="1" t="s">
        <v>8</v>
      </c>
      <c r="E2073" s="1" t="s">
        <v>6124</v>
      </c>
      <c r="F2073" s="1" t="str">
        <f>IFERROR(__xludf.DUMMYFUNCTION("GOOGLETRANSLATE(A2073, ""zh-CN"", ""ko"")"),"입력하다")</f>
        <v>입력하다</v>
      </c>
    </row>
    <row r="2074" ht="15.75" customHeight="1">
      <c r="A2074" s="1" t="s">
        <v>6125</v>
      </c>
      <c r="B2074" s="1">
        <v>5.0</v>
      </c>
      <c r="C2074" s="1" t="s">
        <v>6126</v>
      </c>
      <c r="D2074" s="1" t="s">
        <v>52</v>
      </c>
      <c r="E2074" s="1" t="s">
        <v>6127</v>
      </c>
      <c r="F2074" s="1" t="str">
        <f>IFERROR(__xludf.DUMMYFUNCTION("GOOGLETRANSLATE(A2074, ""zh-CN"", ""ko"")"),"편안")</f>
        <v>편안</v>
      </c>
    </row>
    <row r="2075" ht="15.75" customHeight="1">
      <c r="A2075" s="1" t="s">
        <v>6128</v>
      </c>
      <c r="B2075" s="1">
        <v>5.0</v>
      </c>
      <c r="C2075" s="1" t="s">
        <v>6129</v>
      </c>
      <c r="D2075" s="1" t="s">
        <v>16</v>
      </c>
      <c r="E2075" s="1" t="s">
        <v>6130</v>
      </c>
      <c r="F2075" s="1" t="str">
        <f>IFERROR(__xludf.DUMMYFUNCTION("GOOGLETRANSLATE(A2075, ""zh-CN"", ""ko"")"),"빗")</f>
        <v>빗</v>
      </c>
    </row>
    <row r="2076" ht="15.75" customHeight="1">
      <c r="A2076" s="1" t="s">
        <v>6131</v>
      </c>
      <c r="B2076" s="1">
        <v>5.0</v>
      </c>
      <c r="C2076" s="1" t="s">
        <v>6132</v>
      </c>
      <c r="D2076" s="1" t="s">
        <v>52</v>
      </c>
      <c r="E2076" s="1" t="s">
        <v>6133</v>
      </c>
      <c r="F2076" s="1" t="str">
        <f>IFERROR(__xludf.DUMMYFUNCTION("GOOGLETRANSLATE(A2076, ""zh-CN"", ""ko"")"),"숙련된")</f>
        <v>숙련된</v>
      </c>
    </row>
    <row r="2077" ht="15.75" customHeight="1">
      <c r="A2077" s="1" t="s">
        <v>12</v>
      </c>
      <c r="B2077" s="1">
        <v>5.0</v>
      </c>
      <c r="C2077" s="1" t="s">
        <v>6134</v>
      </c>
      <c r="D2077" s="1" t="s">
        <v>8</v>
      </c>
      <c r="E2077" s="1" t="s">
        <v>6135</v>
      </c>
      <c r="F2077" s="1" t="str">
        <f>IFERROR(__xludf.DUMMYFUNCTION("GOOGLETRANSLATE(A2077, ""zh-CN"", ""ko"")"),"숫자")</f>
        <v>숫자</v>
      </c>
    </row>
    <row r="2078" ht="15.75" customHeight="1">
      <c r="A2078" s="1" t="s">
        <v>6136</v>
      </c>
      <c r="B2078" s="1">
        <v>5.0</v>
      </c>
      <c r="C2078" s="1" t="s">
        <v>6137</v>
      </c>
      <c r="D2078" s="1" t="s">
        <v>16</v>
      </c>
      <c r="E2078" s="1" t="s">
        <v>6138</v>
      </c>
      <c r="F2078" s="1" t="str">
        <f>IFERROR(__xludf.DUMMYFUNCTION("GOOGLETRANSLATE(A2078, ""zh-CN"", ""ko"")"),"생쥐")</f>
        <v>생쥐</v>
      </c>
    </row>
    <row r="2079" ht="15.75" customHeight="1">
      <c r="A2079" s="1" t="s">
        <v>6139</v>
      </c>
      <c r="B2079" s="1">
        <v>5.0</v>
      </c>
      <c r="C2079" s="1" t="s">
        <v>6140</v>
      </c>
      <c r="D2079" s="1" t="s">
        <v>8</v>
      </c>
      <c r="E2079" s="1" t="s">
        <v>6141</v>
      </c>
      <c r="F2079" s="1" t="str">
        <f>IFERROR(__xludf.DUMMYFUNCTION("GOOGLETRANSLATE(A2079, ""zh-CN"", ""ko"")"),"제자리에 있다")</f>
        <v>제자리에 있다</v>
      </c>
    </row>
    <row r="2080" ht="15.75" customHeight="1">
      <c r="A2080" s="1" t="s">
        <v>6142</v>
      </c>
      <c r="B2080" s="1">
        <v>5.0</v>
      </c>
      <c r="C2080" s="1" t="s">
        <v>6143</v>
      </c>
      <c r="D2080" s="1" t="s">
        <v>16</v>
      </c>
      <c r="E2080" s="1" t="s">
        <v>6144</v>
      </c>
      <c r="F2080" s="1" t="str">
        <f>IFERROR(__xludf.DUMMYFUNCTION("GOOGLETRANSLATE(A2080, ""zh-CN"", ""ko"")"),"데이터")</f>
        <v>데이터</v>
      </c>
    </row>
    <row r="2081" ht="15.75" customHeight="1">
      <c r="A2081" s="1" t="s">
        <v>6145</v>
      </c>
      <c r="B2081" s="1">
        <v>5.0</v>
      </c>
      <c r="C2081" s="1" t="s">
        <v>6146</v>
      </c>
      <c r="D2081" s="1" t="s">
        <v>52</v>
      </c>
      <c r="E2081" s="1" t="s">
        <v>6147</v>
      </c>
      <c r="F2081" s="1" t="str">
        <f>IFERROR(__xludf.DUMMYFUNCTION("GOOGLETRANSLATE(A2081, ""zh-CN"", ""ko"")"),"디지털")</f>
        <v>디지털</v>
      </c>
    </row>
    <row r="2082" ht="15.75" customHeight="1">
      <c r="A2082" s="1" t="s">
        <v>6148</v>
      </c>
      <c r="B2082" s="1">
        <v>5.0</v>
      </c>
      <c r="C2082" s="1" t="s">
        <v>6149</v>
      </c>
      <c r="D2082" s="1" t="s">
        <v>8</v>
      </c>
      <c r="E2082" s="1" t="s">
        <v>6150</v>
      </c>
      <c r="F2082" s="1" t="str">
        <f>IFERROR(__xludf.DUMMYFUNCTION("GOOGLETRANSLATE(A2082, ""zh-CN"", ""ko"")"),"떨어지다")</f>
        <v>떨어지다</v>
      </c>
    </row>
    <row r="2083" ht="15.75" customHeight="1">
      <c r="A2083" s="1" t="s">
        <v>6151</v>
      </c>
      <c r="B2083" s="1">
        <v>5.0</v>
      </c>
      <c r="C2083" s="1" t="s">
        <v>6152</v>
      </c>
      <c r="D2083" s="1" t="s">
        <v>8</v>
      </c>
      <c r="E2083" s="1" t="s">
        <v>6153</v>
      </c>
      <c r="F2083" s="1" t="str">
        <f>IFERROR(__xludf.DUMMYFUNCTION("GOOGLETRANSLATE(A2083, ""zh-CN"", ""ko"")"),"그네")</f>
        <v>그네</v>
      </c>
    </row>
    <row r="2084" ht="15.75" customHeight="1">
      <c r="A2084" s="1" t="s">
        <v>6154</v>
      </c>
      <c r="B2084" s="1">
        <v>5.0</v>
      </c>
      <c r="C2084" s="1" t="s">
        <v>6155</v>
      </c>
      <c r="D2084" s="1" t="s">
        <v>16</v>
      </c>
      <c r="E2084" s="1" t="s">
        <v>6156</v>
      </c>
      <c r="F2084" s="1" t="str">
        <f>IFERROR(__xludf.DUMMYFUNCTION("GOOGLETRANSLATE(A2084, ""zh-CN"", ""ko"")"),"양측 모두")</f>
        <v>양측 모두</v>
      </c>
    </row>
    <row r="2085" ht="15.75" customHeight="1">
      <c r="A2085" s="1" t="s">
        <v>6157</v>
      </c>
      <c r="B2085" s="1">
        <v>5.0</v>
      </c>
      <c r="C2085" s="1" t="s">
        <v>6158</v>
      </c>
      <c r="D2085" s="1" t="s">
        <v>16</v>
      </c>
      <c r="E2085" s="1" t="s">
        <v>6159</v>
      </c>
      <c r="F2085" s="1" t="str">
        <f>IFERROR(__xludf.DUMMYFUNCTION("GOOGLETRANSLATE(A2085, ""zh-CN"", ""ko"")"),"세")</f>
        <v>세</v>
      </c>
    </row>
    <row r="2086" ht="15.75" customHeight="1">
      <c r="A2086" s="1" t="s">
        <v>6160</v>
      </c>
      <c r="B2086" s="1">
        <v>5.0</v>
      </c>
      <c r="C2086" s="1" t="s">
        <v>6161</v>
      </c>
      <c r="E2086" s="1" t="s">
        <v>4823</v>
      </c>
      <c r="F2086" s="1" t="str">
        <f>IFERROR(__xludf.DUMMYFUNCTION("GOOGLETRANSLATE(A2086, ""zh-CN"", ""ko"")"),"아마도")</f>
        <v>아마도</v>
      </c>
    </row>
    <row r="2087" ht="15.75" customHeight="1">
      <c r="A2087" s="1" t="s">
        <v>6162</v>
      </c>
      <c r="B2087" s="1">
        <v>5.0</v>
      </c>
      <c r="C2087" s="1" t="s">
        <v>6163</v>
      </c>
      <c r="D2087" s="1" t="s">
        <v>8</v>
      </c>
      <c r="E2087" s="1" t="s">
        <v>6164</v>
      </c>
      <c r="F2087" s="1" t="str">
        <f>IFERROR(__xludf.DUMMYFUNCTION("GOOGLETRANSLATE(A2087, ""zh-CN"", ""ko"")"),"설득하다")</f>
        <v>설득하다</v>
      </c>
    </row>
    <row r="2088" ht="15.75" customHeight="1">
      <c r="A2088" s="1" t="s">
        <v>6165</v>
      </c>
      <c r="B2088" s="1">
        <v>5.0</v>
      </c>
      <c r="C2088" s="1" t="s">
        <v>6166</v>
      </c>
      <c r="D2088" s="1" t="s">
        <v>8</v>
      </c>
      <c r="E2088" s="1" t="s">
        <v>6167</v>
      </c>
      <c r="F2088" s="1" t="str">
        <f>IFERROR(__xludf.DUMMYFUNCTION("GOOGLETRANSLATE(A2088, ""zh-CN"", ""ko"")"),"눈물")</f>
        <v>눈물</v>
      </c>
    </row>
    <row r="2089" ht="15.75" customHeight="1">
      <c r="A2089" s="1" t="s">
        <v>6168</v>
      </c>
      <c r="B2089" s="1">
        <v>5.0</v>
      </c>
      <c r="C2089" s="1" t="s">
        <v>6169</v>
      </c>
      <c r="D2089" s="1" t="s">
        <v>16</v>
      </c>
      <c r="E2089" s="1" t="s">
        <v>6170</v>
      </c>
      <c r="F2089" s="1" t="str">
        <f>IFERROR(__xludf.DUMMYFUNCTION("GOOGLETRANSLATE(A2089, ""zh-CN"", ""ko"")"),"명주")</f>
        <v>명주</v>
      </c>
    </row>
    <row r="2090" ht="15.75" customHeight="1">
      <c r="A2090" s="1" t="s">
        <v>6171</v>
      </c>
      <c r="B2090" s="1">
        <v>5.0</v>
      </c>
      <c r="C2090" s="1" t="s">
        <v>6172</v>
      </c>
      <c r="D2090" s="1" t="s">
        <v>52</v>
      </c>
      <c r="E2090" s="1" t="s">
        <v>6173</v>
      </c>
      <c r="F2090" s="1" t="str">
        <f>IFERROR(__xludf.DUMMYFUNCTION("GOOGLETRANSLATE(A2090, ""zh-CN"", ""ko"")"),"아주 작은")</f>
        <v>아주 작은</v>
      </c>
    </row>
    <row r="2091" ht="15.75" customHeight="1">
      <c r="A2091" s="1" t="s">
        <v>6174</v>
      </c>
      <c r="B2091" s="1">
        <v>5.0</v>
      </c>
      <c r="C2091" s="1" t="s">
        <v>6175</v>
      </c>
      <c r="D2091" s="1" t="s">
        <v>8</v>
      </c>
      <c r="E2091" s="1" t="s">
        <v>6176</v>
      </c>
      <c r="F2091" s="1" t="str">
        <f>IFERROR(__xludf.DUMMYFUNCTION("GOOGLETRANSLATE(A2091, ""zh-CN"", ""ko"")"),"생각하다")</f>
        <v>생각하다</v>
      </c>
    </row>
    <row r="2092" ht="15.75" customHeight="1">
      <c r="A2092" s="1" t="s">
        <v>6177</v>
      </c>
      <c r="B2092" s="1">
        <v>5.0</v>
      </c>
      <c r="C2092" s="1" t="s">
        <v>6178</v>
      </c>
      <c r="D2092" s="1" t="s">
        <v>16</v>
      </c>
      <c r="E2092" s="1" t="s">
        <v>6179</v>
      </c>
      <c r="F2092" s="1" t="str">
        <f>IFERROR(__xludf.DUMMYFUNCTION("GOOGLETRANSLATE(A2092, ""zh-CN"", ""ko"")"),"사적인")</f>
        <v>사적인</v>
      </c>
    </row>
    <row r="2093" ht="15.75" customHeight="1">
      <c r="A2093" s="1" t="s">
        <v>6180</v>
      </c>
      <c r="B2093" s="1">
        <v>5.0</v>
      </c>
      <c r="C2093" s="1" t="s">
        <v>6181</v>
      </c>
      <c r="D2093" s="1" t="s">
        <v>16</v>
      </c>
      <c r="E2093" s="1" t="s">
        <v>6182</v>
      </c>
      <c r="F2093" s="1" t="str">
        <f>IFERROR(__xludf.DUMMYFUNCTION("GOOGLETRANSLATE(A2093, ""zh-CN"", ""ko"")"),"생각")</f>
        <v>생각</v>
      </c>
    </row>
    <row r="2094" ht="15.75" customHeight="1">
      <c r="A2094" s="1" t="s">
        <v>6183</v>
      </c>
      <c r="B2094" s="1">
        <v>5.0</v>
      </c>
      <c r="C2094" s="1" t="s">
        <v>6184</v>
      </c>
      <c r="D2094" s="1" t="s">
        <v>33</v>
      </c>
      <c r="E2094" s="1" t="s">
        <v>6185</v>
      </c>
      <c r="F2094" s="1" t="str">
        <f>IFERROR(__xludf.DUMMYFUNCTION("GOOGLETRANSLATE(A2094, ""zh-CN"", ""ko"")"),"~인 것 같다")</f>
        <v>~인 것 같다</v>
      </c>
    </row>
    <row r="2095" ht="15.75" customHeight="1">
      <c r="A2095" s="1" t="s">
        <v>6186</v>
      </c>
      <c r="B2095" s="1">
        <v>5.0</v>
      </c>
      <c r="C2095" s="1" t="s">
        <v>6187</v>
      </c>
      <c r="D2095" s="1" t="s">
        <v>8</v>
      </c>
      <c r="E2095" s="1" t="s">
        <v>6188</v>
      </c>
      <c r="F2095" s="1" t="str">
        <f>IFERROR(__xludf.DUMMYFUNCTION("GOOGLETRANSLATE(A2095, ""zh-CN"", ""ko"")"),"찾다")</f>
        <v>찾다</v>
      </c>
    </row>
    <row r="2096" ht="15.75" customHeight="1">
      <c r="A2096" s="1" t="s">
        <v>6189</v>
      </c>
      <c r="B2096" s="1">
        <v>5.0</v>
      </c>
      <c r="C2096" s="1" t="s">
        <v>6190</v>
      </c>
      <c r="D2096" s="1" t="s">
        <v>16</v>
      </c>
      <c r="E2096" s="1" t="s">
        <v>6191</v>
      </c>
      <c r="F2096" s="1" t="str">
        <f>IFERROR(__xludf.DUMMYFUNCTION("GOOGLETRANSLATE(A2096, ""zh-CN"", ""ko"")"),"기숙사")</f>
        <v>기숙사</v>
      </c>
    </row>
    <row r="2097" ht="15.75" customHeight="1">
      <c r="A2097" s="1" t="s">
        <v>6192</v>
      </c>
      <c r="B2097" s="1">
        <v>5.0</v>
      </c>
      <c r="C2097" s="1" t="s">
        <v>6193</v>
      </c>
      <c r="D2097" s="1" t="s">
        <v>52</v>
      </c>
      <c r="E2097" s="1" t="s">
        <v>6194</v>
      </c>
      <c r="F2097" s="1" t="str">
        <f>IFERROR(__xludf.DUMMYFUNCTION("GOOGLETRANSLATE(A2097, ""zh-CN"", ""ko"")"),"나르다")</f>
        <v>나르다</v>
      </c>
    </row>
    <row r="2098" ht="15.75" customHeight="1">
      <c r="A2098" s="1" t="s">
        <v>6195</v>
      </c>
      <c r="B2098" s="1">
        <v>5.0</v>
      </c>
      <c r="C2098" s="1" t="s">
        <v>6196</v>
      </c>
      <c r="D2098" s="1" t="s">
        <v>33</v>
      </c>
      <c r="E2098" s="1" t="s">
        <v>6197</v>
      </c>
      <c r="F2098" s="1" t="str">
        <f>IFERROR(__xludf.DUMMYFUNCTION("GOOGLETRANSLATE(A2098, ""zh-CN"", ""ko"")"),"언제든지")</f>
        <v>언제든지</v>
      </c>
    </row>
    <row r="2099" ht="15.75" customHeight="1">
      <c r="A2099" s="1" t="s">
        <v>6198</v>
      </c>
      <c r="B2099" s="1">
        <v>5.0</v>
      </c>
      <c r="C2099" s="1" t="s">
        <v>6199</v>
      </c>
      <c r="D2099" s="1" t="s">
        <v>33</v>
      </c>
      <c r="E2099" s="1" t="s">
        <v>6200</v>
      </c>
      <c r="F2099" s="1" t="str">
        <f>IFERROR(__xludf.DUMMYFUNCTION("GOOGLETRANSLATE(A2099, ""zh-CN"", ""ko"")"),"우연히")</f>
        <v>우연히</v>
      </c>
    </row>
    <row r="2100" ht="15.75" customHeight="1">
      <c r="A2100" s="1" t="s">
        <v>6201</v>
      </c>
      <c r="B2100" s="1">
        <v>5.0</v>
      </c>
      <c r="C2100" s="1" t="s">
        <v>327</v>
      </c>
      <c r="D2100" s="1" t="s">
        <v>52</v>
      </c>
      <c r="E2100" s="1" t="s">
        <v>6202</v>
      </c>
      <c r="F2100" s="1" t="str">
        <f>IFERROR(__xludf.DUMMYFUNCTION("GOOGLETRANSLATE(A2100, ""zh-CN"", ""ko"")"),"고장난")</f>
        <v>고장난</v>
      </c>
    </row>
    <row r="2101" ht="15.75" customHeight="1">
      <c r="A2101" s="1" t="s">
        <v>6203</v>
      </c>
      <c r="B2101" s="1">
        <v>5.0</v>
      </c>
      <c r="C2101" s="1" t="s">
        <v>6204</v>
      </c>
      <c r="D2101" s="1" t="s">
        <v>8</v>
      </c>
      <c r="E2101" s="1" t="s">
        <v>6205</v>
      </c>
      <c r="F2101" s="1" t="str">
        <f>IFERROR(__xludf.DUMMYFUNCTION("GOOGLETRANSLATE(A2101, ""zh-CN"", ""ko"")"),"손실")</f>
        <v>손실</v>
      </c>
    </row>
    <row r="2102" ht="15.75" customHeight="1">
      <c r="A2102" s="1" t="s">
        <v>6206</v>
      </c>
      <c r="B2102" s="1">
        <v>5.0</v>
      </c>
      <c r="C2102" s="1" t="s">
        <v>6207</v>
      </c>
      <c r="D2102" s="1" t="s">
        <v>8</v>
      </c>
      <c r="E2102" s="1" t="s">
        <v>6208</v>
      </c>
      <c r="F2102" s="1" t="str">
        <f>IFERROR(__xludf.DUMMYFUNCTION("GOOGLETRANSLATE(A2102, ""zh-CN"", ""ko"")"),"줄이다")</f>
        <v>줄이다</v>
      </c>
    </row>
    <row r="2103" ht="15.75" customHeight="1">
      <c r="A2103" s="1" t="s">
        <v>6209</v>
      </c>
      <c r="B2103" s="1">
        <v>5.0</v>
      </c>
      <c r="C2103" s="1" t="s">
        <v>6210</v>
      </c>
      <c r="D2103" s="1" t="s">
        <v>16</v>
      </c>
      <c r="E2103" s="1" t="s">
        <v>6211</v>
      </c>
      <c r="F2103" s="1" t="str">
        <f>IFERROR(__xludf.DUMMYFUNCTION("GOOGLETRANSLATE(A2103, ""zh-CN"", ""ko"")"),"잠그다")</f>
        <v>잠그다</v>
      </c>
    </row>
    <row r="2104" ht="15.75" customHeight="1">
      <c r="A2104" s="1" t="s">
        <v>6212</v>
      </c>
      <c r="B2104" s="1">
        <v>5.0</v>
      </c>
      <c r="C2104" s="1" t="s">
        <v>6210</v>
      </c>
      <c r="D2104" s="1" t="s">
        <v>26</v>
      </c>
      <c r="E2104" s="1" t="s">
        <v>6213</v>
      </c>
      <c r="F2104" s="1" t="str">
        <f>IFERROR(__xludf.DUMMYFUNCTION("GOOGLETRANSLATE(A2104, ""zh-CN"", ""ko"")"),"장소")</f>
        <v>장소</v>
      </c>
    </row>
    <row r="2105" ht="15.75" customHeight="1">
      <c r="A2105" s="1" t="s">
        <v>6214</v>
      </c>
      <c r="B2105" s="1">
        <v>5.0</v>
      </c>
      <c r="C2105" s="1" t="s">
        <v>6215</v>
      </c>
      <c r="D2105" s="1" t="s">
        <v>16</v>
      </c>
      <c r="E2105" s="1" t="s">
        <v>6216</v>
      </c>
      <c r="F2105" s="1" t="str">
        <f>IFERROR(__xludf.DUMMYFUNCTION("GOOGLETRANSLATE(A2105, ""zh-CN"", ""ko"")"),"단계")</f>
        <v>단계</v>
      </c>
    </row>
    <row r="2106" ht="15.75" customHeight="1">
      <c r="A2106" s="1" t="s">
        <v>6217</v>
      </c>
      <c r="B2106" s="1">
        <v>5.0</v>
      </c>
      <c r="C2106" s="1" t="s">
        <v>6218</v>
      </c>
      <c r="D2106" s="1" t="s">
        <v>16</v>
      </c>
      <c r="E2106" s="1" t="s">
        <v>6219</v>
      </c>
      <c r="F2106" s="1" t="str">
        <f>IFERROR(__xludf.DUMMYFUNCTION("GOOGLETRANSLATE(A2106, ""zh-CN"", ""ko"")"),"태극권")</f>
        <v>태극권</v>
      </c>
    </row>
    <row r="2107" ht="15.75" customHeight="1">
      <c r="A2107" s="1" t="s">
        <v>6220</v>
      </c>
      <c r="B2107" s="1">
        <v>5.0</v>
      </c>
      <c r="C2107" s="1" t="s">
        <v>6221</v>
      </c>
      <c r="D2107" s="1" t="s">
        <v>16</v>
      </c>
      <c r="E2107" s="1" t="s">
        <v>6222</v>
      </c>
      <c r="F2107" s="1" t="str">
        <f>IFERROR(__xludf.DUMMYFUNCTION("GOOGLETRANSLATE(A2107, ""zh-CN"", ""ko"")"),"부인")</f>
        <v>부인</v>
      </c>
    </row>
    <row r="2108" ht="15.75" customHeight="1">
      <c r="A2108" s="1" t="s">
        <v>6223</v>
      </c>
      <c r="B2108" s="1">
        <v>5.0</v>
      </c>
      <c r="C2108" s="1" t="s">
        <v>6224</v>
      </c>
      <c r="D2108" s="1" t="s">
        <v>8</v>
      </c>
      <c r="E2108" s="1" t="s">
        <v>6225</v>
      </c>
      <c r="F2108" s="1" t="str">
        <f>IFERROR(__xludf.DUMMYFUNCTION("GOOGLETRANSLATE(A2108, ""zh-CN"", ""ko"")"),"협상")</f>
        <v>협상</v>
      </c>
    </row>
    <row r="2109" ht="15.75" customHeight="1">
      <c r="A2109" s="1" t="s">
        <v>6226</v>
      </c>
      <c r="B2109" s="1">
        <v>5.0</v>
      </c>
      <c r="C2109" s="1" t="s">
        <v>6227</v>
      </c>
      <c r="D2109" s="1" t="s">
        <v>52</v>
      </c>
      <c r="E2109" s="1" t="s">
        <v>6228</v>
      </c>
      <c r="F2109" s="1" t="str">
        <f>IFERROR(__xludf.DUMMYFUNCTION("GOOGLETRANSLATE(A2109, ""zh-CN"", ""ko"")"),"솔직한")</f>
        <v>솔직한</v>
      </c>
    </row>
    <row r="2110" ht="15.75" customHeight="1">
      <c r="A2110" s="1" t="s">
        <v>6229</v>
      </c>
      <c r="B2110" s="1">
        <v>5.0</v>
      </c>
      <c r="C2110" s="1" t="s">
        <v>3025</v>
      </c>
      <c r="D2110" s="1" t="s">
        <v>52</v>
      </c>
      <c r="E2110" s="1" t="s">
        <v>6230</v>
      </c>
      <c r="F2110" s="1" t="str">
        <f>IFERROR(__xludf.DUMMYFUNCTION("GOOGLETRANSLATE(A2110, ""zh-CN"", ""ko"")"),"더운")</f>
        <v>더운</v>
      </c>
    </row>
    <row r="2111" ht="15.75" customHeight="1">
      <c r="A2111" s="1" t="s">
        <v>6231</v>
      </c>
      <c r="B2111" s="1">
        <v>5.0</v>
      </c>
      <c r="C2111" s="1" t="s">
        <v>6232</v>
      </c>
      <c r="D2111" s="1" t="s">
        <v>8</v>
      </c>
      <c r="E2111" s="1" t="s">
        <v>6233</v>
      </c>
      <c r="F2111" s="1" t="str">
        <f>IFERROR(__xludf.DUMMYFUNCTION("GOOGLETRANSLATE(A2111, ""zh-CN"", ""ko"")"),"탈출하다")</f>
        <v>탈출하다</v>
      </c>
    </row>
    <row r="2112" ht="15.75" customHeight="1">
      <c r="A2112" s="1" t="s">
        <v>6234</v>
      </c>
      <c r="B2112" s="1">
        <v>5.0</v>
      </c>
      <c r="C2112" s="1" t="s">
        <v>6232</v>
      </c>
      <c r="D2112" s="1" t="s">
        <v>16</v>
      </c>
      <c r="E2112" s="1" t="s">
        <v>6235</v>
      </c>
      <c r="F2112" s="1" t="str">
        <f>IFERROR(__xludf.DUMMYFUNCTION("GOOGLETRANSLATE(A2112, ""zh-CN"", ""ko"")"),"복숭아")</f>
        <v>복숭아</v>
      </c>
    </row>
    <row r="2113" ht="15.75" customHeight="1">
      <c r="A2113" s="1" t="s">
        <v>6236</v>
      </c>
      <c r="B2113" s="1">
        <v>5.0</v>
      </c>
      <c r="C2113" s="1" t="s">
        <v>6237</v>
      </c>
      <c r="D2113" s="1" t="s">
        <v>8</v>
      </c>
      <c r="E2113" s="1" t="s">
        <v>6238</v>
      </c>
      <c r="F2113" s="1" t="str">
        <f>IFERROR(__xludf.DUMMYFUNCTION("GOOGLETRANSLATE(A2113, ""zh-CN"", ""ko"")"),"탈출하다")</f>
        <v>탈출하다</v>
      </c>
    </row>
    <row r="2114" ht="15.75" customHeight="1">
      <c r="A2114" s="1" t="s">
        <v>6239</v>
      </c>
      <c r="B2114" s="1">
        <v>5.0</v>
      </c>
      <c r="C2114" s="1" t="s">
        <v>6240</v>
      </c>
      <c r="D2114" s="1" t="s">
        <v>52</v>
      </c>
      <c r="E2114" s="1" t="s">
        <v>6241</v>
      </c>
      <c r="F2114" s="1" t="str">
        <f>IFERROR(__xludf.DUMMYFUNCTION("GOOGLETRANSLATE(A2114, ""zh-CN"", ""ko"")"),"못된")</f>
        <v>못된</v>
      </c>
    </row>
    <row r="2115" ht="15.75" customHeight="1">
      <c r="A2115" s="1" t="s">
        <v>6242</v>
      </c>
      <c r="B2115" s="1">
        <v>5.0</v>
      </c>
      <c r="C2115" s="1" t="s">
        <v>6243</v>
      </c>
      <c r="E2115" s="1" t="s">
        <v>6244</v>
      </c>
      <c r="F2115" s="1" t="str">
        <f>IFERROR(__xludf.DUMMYFUNCTION("GOOGLETRANSLATE(A2115, ""zh-CN"", ""ko"")"),"매매")</f>
        <v>매매</v>
      </c>
    </row>
    <row r="2116" ht="15.75" customHeight="1">
      <c r="A2116" s="1" t="s">
        <v>6245</v>
      </c>
      <c r="B2116" s="1">
        <v>5.0</v>
      </c>
      <c r="C2116" s="1" t="s">
        <v>6246</v>
      </c>
      <c r="D2116" s="1" t="s">
        <v>26</v>
      </c>
      <c r="E2116" s="1" t="s">
        <v>6247</v>
      </c>
      <c r="F2116" s="1" t="str">
        <f>IFERROR(__xludf.DUMMYFUNCTION("GOOGLETRANSLATE(A2116, ""zh-CN"", ""ko"")"),"세트")</f>
        <v>세트</v>
      </c>
    </row>
    <row r="2117" ht="15.75" customHeight="1">
      <c r="A2117" s="1" t="s">
        <v>6248</v>
      </c>
      <c r="B2117" s="1">
        <v>5.0</v>
      </c>
      <c r="C2117" s="1" t="s">
        <v>6249</v>
      </c>
      <c r="D2117" s="1" t="s">
        <v>16</v>
      </c>
      <c r="E2117" s="1" t="s">
        <v>6250</v>
      </c>
      <c r="F2117" s="1" t="str">
        <f>IFERROR(__xludf.DUMMYFUNCTION("GOOGLETRANSLATE(A2117, ""zh-CN"", ""ko"")"),"특징")</f>
        <v>특징</v>
      </c>
    </row>
    <row r="2118" ht="15.75" customHeight="1">
      <c r="A2118" s="1" t="s">
        <v>6251</v>
      </c>
      <c r="B2118" s="1">
        <v>5.0</v>
      </c>
      <c r="C2118" s="1" t="s">
        <v>6252</v>
      </c>
      <c r="D2118" s="1" t="s">
        <v>52</v>
      </c>
      <c r="E2118" s="1" t="s">
        <v>6253</v>
      </c>
      <c r="F2118" s="1" t="str">
        <f>IFERROR(__xludf.DUMMYFUNCTION("GOOGLETRANSLATE(A2118, ""zh-CN"", ""ko"")"),"특별한")</f>
        <v>특별한</v>
      </c>
    </row>
    <row r="2119" ht="15.75" customHeight="1">
      <c r="A2119" s="1" t="s">
        <v>6254</v>
      </c>
      <c r="B2119" s="1">
        <v>5.0</v>
      </c>
      <c r="C2119" s="1" t="s">
        <v>6255</v>
      </c>
      <c r="D2119" s="1" t="s">
        <v>16</v>
      </c>
      <c r="E2119" s="1" t="s">
        <v>6256</v>
      </c>
      <c r="F2119" s="1" t="str">
        <f>IFERROR(__xludf.DUMMYFUNCTION("GOOGLETRANSLATE(A2119, ""zh-CN"", ""ko"")"),"특징")</f>
        <v>특징</v>
      </c>
    </row>
    <row r="2120" ht="15.75" customHeight="1">
      <c r="A2120" s="1" t="s">
        <v>6257</v>
      </c>
      <c r="B2120" s="1">
        <v>5.0</v>
      </c>
      <c r="C2120" s="1" t="s">
        <v>6258</v>
      </c>
      <c r="D2120" s="1" t="s">
        <v>8</v>
      </c>
      <c r="E2120" s="1" t="s">
        <v>6259</v>
      </c>
      <c r="F2120" s="1" t="str">
        <f>IFERROR(__xludf.DUMMYFUNCTION("GOOGLETRANSLATE(A2120, ""zh-CN"", ""ko"")"),"사랑")</f>
        <v>사랑</v>
      </c>
    </row>
    <row r="2121" ht="15.75" customHeight="1">
      <c r="A2121" s="1" t="s">
        <v>6260</v>
      </c>
      <c r="B2121" s="1">
        <v>5.0</v>
      </c>
      <c r="C2121" s="1" t="s">
        <v>6261</v>
      </c>
      <c r="D2121" s="1" t="s">
        <v>8</v>
      </c>
      <c r="E2121" s="1" t="s">
        <v>6262</v>
      </c>
      <c r="F2121" s="1" t="str">
        <f>IFERROR(__xludf.DUMMYFUNCTION("GOOGLETRANSLATE(A2121, ""zh-CN"", ""ko"")"),"홍보하다")</f>
        <v>홍보하다</v>
      </c>
    </row>
    <row r="2122" ht="15.75" customHeight="1">
      <c r="A2122" s="1" t="s">
        <v>6263</v>
      </c>
      <c r="B2122" s="1">
        <v>5.0</v>
      </c>
      <c r="C2122" s="1" t="s">
        <v>6264</v>
      </c>
      <c r="D2122" s="1" t="s">
        <v>16</v>
      </c>
      <c r="E2122" s="1" t="s">
        <v>6265</v>
      </c>
      <c r="F2122" s="1" t="str">
        <f>IFERROR(__xludf.DUMMYFUNCTION("GOOGLETRANSLATE(A2122, ""zh-CN"", ""ko"")"),"개요")</f>
        <v>개요</v>
      </c>
    </row>
    <row r="2123" ht="15.75" customHeight="1">
      <c r="A2123" s="1" t="s">
        <v>6266</v>
      </c>
      <c r="B2123" s="1">
        <v>5.0</v>
      </c>
      <c r="C2123" s="1" t="s">
        <v>6267</v>
      </c>
      <c r="D2123" s="1" t="s">
        <v>16</v>
      </c>
      <c r="E2123" s="1" t="s">
        <v>6268</v>
      </c>
      <c r="F2123" s="1" t="str">
        <f>IFERROR(__xludf.DUMMYFUNCTION("GOOGLETRANSLATE(A2123, ""zh-CN"", ""ko"")"),"주제")</f>
        <v>주제</v>
      </c>
    </row>
    <row r="2124" ht="15.75" customHeight="1">
      <c r="A2124" s="1" t="s">
        <v>6269</v>
      </c>
      <c r="B2124" s="1">
        <v>5.0</v>
      </c>
      <c r="C2124" s="1" t="s">
        <v>6270</v>
      </c>
      <c r="D2124" s="1" t="s">
        <v>8</v>
      </c>
      <c r="E2124" s="1" t="s">
        <v>6271</v>
      </c>
      <c r="F2124" s="1" t="str">
        <f>IFERROR(__xludf.DUMMYFUNCTION("GOOGLETRANSLATE(A2124, ""zh-CN"", ""ko"")"),"질문")</f>
        <v>질문</v>
      </c>
    </row>
    <row r="2125" ht="15.75" customHeight="1">
      <c r="A2125" s="1" t="s">
        <v>6272</v>
      </c>
      <c r="B2125" s="1">
        <v>5.0</v>
      </c>
      <c r="C2125" s="1" t="s">
        <v>6273</v>
      </c>
      <c r="D2125" s="1" t="s">
        <v>875</v>
      </c>
      <c r="E2125" s="1" t="s">
        <v>6274</v>
      </c>
      <c r="F2125" s="1" t="str">
        <f>IFERROR(__xludf.DUMMYFUNCTION("GOOGLETRANSLATE(A2125, ""zh-CN"", ""ko"")"),"경험")</f>
        <v>경험</v>
      </c>
    </row>
    <row r="2126" ht="15.75" customHeight="1">
      <c r="A2126" s="1" t="s">
        <v>6275</v>
      </c>
      <c r="B2126" s="1">
        <v>5.0</v>
      </c>
      <c r="C2126" s="1" t="s">
        <v>6276</v>
      </c>
      <c r="D2126" s="1" t="s">
        <v>8</v>
      </c>
      <c r="E2126" s="1" t="s">
        <v>6277</v>
      </c>
      <c r="F2126" s="1" t="str">
        <f>IFERROR(__xludf.DUMMYFUNCTION("GOOGLETRANSLATE(A2126, ""zh-CN"", ""ko"")"),"인정 있는")</f>
        <v>인정 있는</v>
      </c>
    </row>
    <row r="2127" ht="15.75" customHeight="1">
      <c r="A2127" s="1" t="s">
        <v>6278</v>
      </c>
      <c r="B2127" s="1">
        <v>5.0</v>
      </c>
      <c r="C2127" s="1" t="s">
        <v>6279</v>
      </c>
      <c r="D2127" s="1" t="s">
        <v>8</v>
      </c>
      <c r="E2127" s="1" t="s">
        <v>6280</v>
      </c>
      <c r="F2127" s="1" t="str">
        <f>IFERROR(__xludf.DUMMYFUNCTION("GOOGLETRANSLATE(A2127, ""zh-CN"", ""ko"")"),"반영하다")</f>
        <v>반영하다</v>
      </c>
    </row>
    <row r="2128" ht="15.75" customHeight="1">
      <c r="A2128" s="1" t="s">
        <v>6281</v>
      </c>
      <c r="B2128" s="1">
        <v>5.0</v>
      </c>
      <c r="C2128" s="1" t="s">
        <v>6282</v>
      </c>
      <c r="D2128" s="1" t="s">
        <v>8</v>
      </c>
      <c r="E2128" s="1" t="s">
        <v>6283</v>
      </c>
      <c r="F2128" s="1" t="str">
        <f>IFERROR(__xludf.DUMMYFUNCTION("GOOGLETRANSLATE(A2128, ""zh-CN"", ""ko"")"),"경험")</f>
        <v>경험</v>
      </c>
    </row>
    <row r="2129" ht="15.75" customHeight="1">
      <c r="A2129" s="1" t="s">
        <v>6284</v>
      </c>
      <c r="B2129" s="1">
        <v>5.0</v>
      </c>
      <c r="C2129" s="1" t="s">
        <v>6285</v>
      </c>
      <c r="D2129" s="1" t="s">
        <v>16</v>
      </c>
      <c r="E2129" s="1" t="s">
        <v>6286</v>
      </c>
      <c r="F2129" s="1" t="str">
        <f>IFERROR(__xludf.DUMMYFUNCTION("GOOGLETRANSLATE(A2129, ""zh-CN"", ""ko"")"),"하늘")</f>
        <v>하늘</v>
      </c>
    </row>
    <row r="2130" ht="15.75" customHeight="1">
      <c r="A2130" s="1" t="s">
        <v>6287</v>
      </c>
      <c r="B2130" s="1">
        <v>5.0</v>
      </c>
      <c r="C2130" s="1" t="s">
        <v>6288</v>
      </c>
      <c r="D2130" s="1" t="s">
        <v>52</v>
      </c>
      <c r="E2130" s="1" t="s">
        <v>6289</v>
      </c>
      <c r="F2130" s="1" t="str">
        <f>IFERROR(__xludf.DUMMYFUNCTION("GOOGLETRANSLATE(A2130, ""zh-CN"", ""ko"")"),"순결한")</f>
        <v>순결한</v>
      </c>
    </row>
    <row r="2131" ht="15.75" customHeight="1">
      <c r="A2131" s="1" t="s">
        <v>6290</v>
      </c>
      <c r="B2131" s="1">
        <v>5.0</v>
      </c>
      <c r="C2131" s="1" t="s">
        <v>6291</v>
      </c>
      <c r="D2131" s="1" t="s">
        <v>52</v>
      </c>
      <c r="E2131" s="1" t="s">
        <v>6241</v>
      </c>
      <c r="F2131" s="1" t="str">
        <f>IFERROR(__xludf.DUMMYFUNCTION("GOOGLETRANSLATE(A2131, ""zh-CN"", ""ko"")"),"못된")</f>
        <v>못된</v>
      </c>
    </row>
    <row r="2132" ht="15.75" customHeight="1">
      <c r="A2132" s="1" t="s">
        <v>6292</v>
      </c>
      <c r="B2132" s="1">
        <v>5.0</v>
      </c>
      <c r="C2132" s="1" t="s">
        <v>6293</v>
      </c>
      <c r="D2132" s="1" t="s">
        <v>8</v>
      </c>
      <c r="E2132" s="1" t="s">
        <v>6294</v>
      </c>
      <c r="F2132" s="1" t="str">
        <f>IFERROR(__xludf.DUMMYFUNCTION("GOOGLETRANSLATE(A2132, ""zh-CN"", ""ko"")"),"조정")</f>
        <v>조정</v>
      </c>
    </row>
    <row r="2133" ht="15.75" customHeight="1">
      <c r="A2133" s="1" t="s">
        <v>6295</v>
      </c>
      <c r="B2133" s="1">
        <v>5.0</v>
      </c>
      <c r="C2133" s="1" t="s">
        <v>6296</v>
      </c>
      <c r="D2133" s="1" t="s">
        <v>8</v>
      </c>
      <c r="E2133" s="1" t="s">
        <v>6297</v>
      </c>
      <c r="F2133" s="1" t="str">
        <f>IFERROR(__xludf.DUMMYFUNCTION("GOOGLETRANSLATE(A2133, ""zh-CN"", ""ko"")"),"도전")</f>
        <v>도전</v>
      </c>
    </row>
    <row r="2134" ht="15.75" customHeight="1">
      <c r="A2134" s="1" t="s">
        <v>6298</v>
      </c>
      <c r="B2134" s="1">
        <v>5.0</v>
      </c>
      <c r="C2134" s="1" t="s">
        <v>6299</v>
      </c>
      <c r="D2134" s="1" t="s">
        <v>1538</v>
      </c>
      <c r="E2134" s="1" t="s">
        <v>6300</v>
      </c>
      <c r="F2134" s="1" t="str">
        <f>IFERROR(__xludf.DUMMYFUNCTION("GOOGLETRANSLATE(A2134, ""zh-CN"", ""ko"")"),"일반적으로")</f>
        <v>일반적으로</v>
      </c>
    </row>
    <row r="2135" ht="15.75" customHeight="1">
      <c r="A2135" s="1" t="s">
        <v>6301</v>
      </c>
      <c r="B2135" s="1">
        <v>5.0</v>
      </c>
      <c r="C2135" s="1" t="s">
        <v>6302</v>
      </c>
      <c r="D2135" s="1" t="s">
        <v>52</v>
      </c>
      <c r="E2135" s="1" t="s">
        <v>6303</v>
      </c>
      <c r="F2135" s="1" t="str">
        <f>IFERROR(__xludf.DUMMYFUNCTION("GOOGLETRANSLATE(A2135, ""zh-CN"", ""ko"")"),"통합")</f>
        <v>통합</v>
      </c>
    </row>
    <row r="2136" ht="15.75" customHeight="1">
      <c r="A2136" s="1" t="s">
        <v>6304</v>
      </c>
      <c r="B2136" s="1">
        <v>5.0</v>
      </c>
      <c r="C2136" s="1" t="s">
        <v>6305</v>
      </c>
      <c r="D2136" s="1" t="s">
        <v>52</v>
      </c>
      <c r="E2136" s="1" t="s">
        <v>6306</v>
      </c>
      <c r="F2136" s="1" t="str">
        <f>IFERROR(__xludf.DUMMYFUNCTION("GOOGLETRANSLATE(A2136, ""zh-CN"", ""ko"")"),"통증")</f>
        <v>통증</v>
      </c>
    </row>
    <row r="2137" ht="15.75" customHeight="1">
      <c r="A2137" s="1" t="s">
        <v>6307</v>
      </c>
      <c r="B2137" s="1">
        <v>5.0</v>
      </c>
      <c r="C2137" s="1" t="s">
        <v>6308</v>
      </c>
      <c r="D2137" s="1" t="s">
        <v>52</v>
      </c>
      <c r="E2137" s="1" t="s">
        <v>6309</v>
      </c>
      <c r="F2137" s="1" t="str">
        <f>IFERROR(__xludf.DUMMYFUNCTION("GOOGLETRANSLATE(A2137, ""zh-CN"", ""ko"")"),"행복하다")</f>
        <v>행복하다</v>
      </c>
    </row>
    <row r="2138" ht="15.75" customHeight="1">
      <c r="A2138" s="1" t="s">
        <v>6310</v>
      </c>
      <c r="B2138" s="1">
        <v>5.0</v>
      </c>
      <c r="C2138" s="1" t="s">
        <v>6311</v>
      </c>
      <c r="D2138" s="1" t="s">
        <v>8</v>
      </c>
      <c r="E2138" s="1" t="s">
        <v>6312</v>
      </c>
      <c r="F2138" s="1" t="str">
        <f>IFERROR(__xludf.DUMMYFUNCTION("GOOGLETRANSLATE(A2138, ""zh-CN"", ""ko"")"),"훔치다")</f>
        <v>훔치다</v>
      </c>
    </row>
    <row r="2139" ht="15.75" customHeight="1">
      <c r="A2139" s="1" t="s">
        <v>6313</v>
      </c>
      <c r="B2139" s="1">
        <v>5.0</v>
      </c>
      <c r="C2139" s="1" t="s">
        <v>6314</v>
      </c>
      <c r="D2139" s="1" t="s">
        <v>8</v>
      </c>
      <c r="E2139" s="1" t="s">
        <v>6315</v>
      </c>
      <c r="F2139" s="1" t="str">
        <f>IFERROR(__xludf.DUMMYFUNCTION("GOOGLETRANSLATE(A2139, ""zh-CN"", ""ko"")"),"투자")</f>
        <v>투자</v>
      </c>
    </row>
    <row r="2140" ht="15.75" customHeight="1">
      <c r="A2140" s="1" t="s">
        <v>6316</v>
      </c>
      <c r="B2140" s="1">
        <v>5.0</v>
      </c>
      <c r="C2140" s="1" t="s">
        <v>6317</v>
      </c>
      <c r="D2140" s="1" t="s">
        <v>875</v>
      </c>
      <c r="E2140" s="1" t="s">
        <v>6318</v>
      </c>
      <c r="F2140" s="1" t="str">
        <f>IFERROR(__xludf.DUMMYFUNCTION("GOOGLETRANSLATE(A2140, ""zh-CN"", ""ko"")"),"투자하다")</f>
        <v>투자하다</v>
      </c>
    </row>
    <row r="2141" ht="15.75" customHeight="1">
      <c r="A2141" s="1" t="s">
        <v>6319</v>
      </c>
      <c r="B2141" s="1">
        <v>5.0</v>
      </c>
      <c r="C2141" s="1" t="s">
        <v>6320</v>
      </c>
      <c r="D2141" s="1" t="s">
        <v>52</v>
      </c>
      <c r="E2141" s="1" t="s">
        <v>6321</v>
      </c>
      <c r="F2141" s="1" t="str">
        <f>IFERROR(__xludf.DUMMYFUNCTION("GOOGLETRANSLATE(A2141, ""zh-CN"", ""ko"")"),"투명한")</f>
        <v>투명한</v>
      </c>
    </row>
    <row r="2142" ht="15.75" customHeight="1">
      <c r="A2142" s="1" t="s">
        <v>6322</v>
      </c>
      <c r="B2142" s="1">
        <v>5.0</v>
      </c>
      <c r="C2142" s="1" t="s">
        <v>6323</v>
      </c>
      <c r="D2142" s="1" t="s">
        <v>52</v>
      </c>
      <c r="E2142" s="1" t="s">
        <v>6324</v>
      </c>
      <c r="F2142" s="1" t="str">
        <f>IFERROR(__xludf.DUMMYFUNCTION("GOOGLETRANSLATE(A2142, ""zh-CN"", ""ko"")"),"내다")</f>
        <v>내다</v>
      </c>
    </row>
    <row r="2143" ht="15.75" customHeight="1">
      <c r="A2143" s="1" t="s">
        <v>6325</v>
      </c>
      <c r="B2143" s="1">
        <v>5.0</v>
      </c>
      <c r="C2143" s="1" t="s">
        <v>6326</v>
      </c>
      <c r="D2143" s="1" t="s">
        <v>16</v>
      </c>
      <c r="E2143" s="1" t="s">
        <v>6327</v>
      </c>
      <c r="F2143" s="1" t="str">
        <f>IFERROR(__xludf.DUMMYFUNCTION("GOOGLETRANSLATE(A2143, ""zh-CN"", ""ko"")"),"땅")</f>
        <v>땅</v>
      </c>
    </row>
    <row r="2144" ht="15.75" customHeight="1">
      <c r="A2144" s="1" t="s">
        <v>6328</v>
      </c>
      <c r="B2144" s="1">
        <v>5.0</v>
      </c>
      <c r="C2144" s="1" t="s">
        <v>6329</v>
      </c>
      <c r="D2144" s="1" t="s">
        <v>16</v>
      </c>
      <c r="E2144" s="1" t="s">
        <v>6330</v>
      </c>
      <c r="F2144" s="1" t="str">
        <f>IFERROR(__xludf.DUMMYFUNCTION("GOOGLETRANSLATE(A2144, ""zh-CN"", ""ko"")"),"감자")</f>
        <v>감자</v>
      </c>
    </row>
    <row r="2145" ht="15.75" customHeight="1">
      <c r="A2145" s="1" t="s">
        <v>6331</v>
      </c>
      <c r="B2145" s="1">
        <v>5.0</v>
      </c>
      <c r="C2145" s="1" t="s">
        <v>6332</v>
      </c>
      <c r="D2145" s="1" t="s">
        <v>8</v>
      </c>
      <c r="E2145" s="1" t="s">
        <v>6333</v>
      </c>
      <c r="F2145" s="1" t="str">
        <f>IFERROR(__xludf.DUMMYFUNCTION("GOOGLETRANSLATE(A2145, ""zh-CN"", ""ko"")"),"토하다")</f>
        <v>토하다</v>
      </c>
    </row>
    <row r="2146" ht="15.75" customHeight="1">
      <c r="A2146" s="1" t="s">
        <v>6334</v>
      </c>
      <c r="B2146" s="1">
        <v>5.0</v>
      </c>
      <c r="C2146" s="1" t="s">
        <v>6335</v>
      </c>
      <c r="D2146" s="1" t="s">
        <v>8</v>
      </c>
      <c r="E2146" s="1" t="s">
        <v>6336</v>
      </c>
      <c r="F2146" s="1" t="str">
        <f>IFERROR(__xludf.DUMMYFUNCTION("GOOGLETRANSLATE(A2146, ""zh-CN"", ""ko"")"),"토끼")</f>
        <v>토끼</v>
      </c>
    </row>
    <row r="2147" ht="15.75" customHeight="1">
      <c r="A2147" s="1" t="s">
        <v>6337</v>
      </c>
      <c r="B2147" s="1">
        <v>5.0</v>
      </c>
      <c r="C2147" s="1" t="s">
        <v>6338</v>
      </c>
      <c r="D2147" s="1" t="s">
        <v>16</v>
      </c>
      <c r="E2147" s="1" t="s">
        <v>6339</v>
      </c>
      <c r="F2147" s="1" t="str">
        <f>IFERROR(__xludf.DUMMYFUNCTION("GOOGLETRANSLATE(A2147, ""zh-CN"", ""ko"")"),"그룹")</f>
        <v>그룹</v>
      </c>
    </row>
    <row r="2148" ht="15.75" customHeight="1">
      <c r="A2148" s="1" t="s">
        <v>6340</v>
      </c>
      <c r="B2148" s="1">
        <v>5.0</v>
      </c>
      <c r="C2148" s="1" t="s">
        <v>6341</v>
      </c>
      <c r="D2148" s="1" t="s">
        <v>8</v>
      </c>
      <c r="E2148" s="1" t="s">
        <v>6342</v>
      </c>
      <c r="F2148" s="1" t="str">
        <f>IFERROR(__xludf.DUMMYFUNCTION("GOOGLETRANSLATE(A2148, ""zh-CN"", ""ko"")"),"감소")</f>
        <v>감소</v>
      </c>
    </row>
    <row r="2149" ht="15.75" customHeight="1">
      <c r="A2149" s="1" t="s">
        <v>6343</v>
      </c>
      <c r="B2149" s="1">
        <v>5.0</v>
      </c>
      <c r="C2149" s="1" t="s">
        <v>6344</v>
      </c>
      <c r="D2149" s="1" t="s">
        <v>8</v>
      </c>
      <c r="E2149" s="1" t="s">
        <v>6345</v>
      </c>
      <c r="F2149" s="1" t="str">
        <f>IFERROR(__xludf.DUMMYFUNCTION("GOOGLETRANSLATE(A2149, ""zh-CN"", ""ko"")"),"홍보")</f>
        <v>홍보</v>
      </c>
    </row>
    <row r="2150" ht="15.75" customHeight="1">
      <c r="A2150" s="1" t="s">
        <v>6346</v>
      </c>
      <c r="B2150" s="1">
        <v>5.0</v>
      </c>
      <c r="C2150" s="1" t="s">
        <v>6347</v>
      </c>
      <c r="D2150" s="1" t="s">
        <v>8</v>
      </c>
      <c r="E2150" s="1" t="s">
        <v>6348</v>
      </c>
      <c r="F2150" s="1" t="str">
        <f>IFERROR(__xludf.DUMMYFUNCTION("GOOGLETRANSLATE(A2150, ""zh-CN"", ""ko"")"),"추천하다")</f>
        <v>추천하다</v>
      </c>
    </row>
    <row r="2151" ht="15.75" customHeight="1">
      <c r="A2151" s="1" t="s">
        <v>6349</v>
      </c>
      <c r="B2151" s="1">
        <v>5.0</v>
      </c>
      <c r="C2151" s="1" t="s">
        <v>6350</v>
      </c>
      <c r="D2151" s="1" t="s">
        <v>8</v>
      </c>
      <c r="E2151" s="1" t="s">
        <v>6351</v>
      </c>
      <c r="F2151" s="1" t="str">
        <f>IFERROR(__xludf.DUMMYFUNCTION("GOOGLETRANSLATE(A2151, ""zh-CN"", ""ko"")"),"후퇴")</f>
        <v>후퇴</v>
      </c>
    </row>
    <row r="2152" ht="15.75" customHeight="1">
      <c r="A2152" s="1" t="s">
        <v>6352</v>
      </c>
      <c r="B2152" s="1">
        <v>5.0</v>
      </c>
      <c r="C2152" s="1" t="s">
        <v>6353</v>
      </c>
      <c r="D2152" s="1" t="s">
        <v>8</v>
      </c>
      <c r="E2152" s="1" t="s">
        <v>6354</v>
      </c>
      <c r="F2152" s="1" t="str">
        <f>IFERROR(__xludf.DUMMYFUNCTION("GOOGLETRANSLATE(A2152, ""zh-CN"", ""ko"")"),"회귀")</f>
        <v>회귀</v>
      </c>
    </row>
    <row r="2153" ht="15.75" customHeight="1">
      <c r="A2153" s="1" t="s">
        <v>6355</v>
      </c>
      <c r="B2153" s="1">
        <v>5.0</v>
      </c>
      <c r="C2153" s="1" t="s">
        <v>6356</v>
      </c>
      <c r="D2153" s="1" t="s">
        <v>8</v>
      </c>
      <c r="E2153" s="1" t="s">
        <v>6357</v>
      </c>
      <c r="F2153" s="1" t="str">
        <f>IFERROR(__xludf.DUMMYFUNCTION("GOOGLETRANSLATE(A2153, ""zh-CN"", ""ko"")"),"은퇴하다")</f>
        <v>은퇴하다</v>
      </c>
    </row>
    <row r="2154" ht="15.75" customHeight="1">
      <c r="A2154" s="1" t="s">
        <v>6358</v>
      </c>
      <c r="B2154" s="1">
        <v>5.0</v>
      </c>
      <c r="C2154" s="1" t="s">
        <v>6359</v>
      </c>
      <c r="D2154" s="1" t="s">
        <v>52</v>
      </c>
      <c r="E2154" s="1" t="s">
        <v>6360</v>
      </c>
      <c r="F2154" s="1" t="str">
        <f>IFERROR(__xludf.DUMMYFUNCTION("GOOGLETRANSLATE(A2154, ""zh-CN"", ""ko"")"),"구부러진")</f>
        <v>구부러진</v>
      </c>
    </row>
    <row r="2155" ht="15.75" customHeight="1">
      <c r="A2155" s="1" t="s">
        <v>6361</v>
      </c>
      <c r="B2155" s="1">
        <v>5.0</v>
      </c>
      <c r="C2155" s="1" t="s">
        <v>6362</v>
      </c>
      <c r="D2155" s="1" t="s">
        <v>16</v>
      </c>
      <c r="E2155" s="1" t="s">
        <v>6363</v>
      </c>
      <c r="F2155" s="1" t="str">
        <f>IFERROR(__xludf.DUMMYFUNCTION("GOOGLETRANSLATE(A2155, ""zh-CN"", ""ko"")"),"외할아버지")</f>
        <v>외할아버지</v>
      </c>
    </row>
    <row r="2156" ht="15.75" customHeight="1">
      <c r="A2156" s="1" t="s">
        <v>6364</v>
      </c>
      <c r="B2156" s="1">
        <v>5.0</v>
      </c>
      <c r="C2156" s="1" t="s">
        <v>6365</v>
      </c>
      <c r="D2156" s="1" t="s">
        <v>16</v>
      </c>
      <c r="E2156" s="1" t="s">
        <v>6366</v>
      </c>
      <c r="F2156" s="1" t="str">
        <f>IFERROR(__xludf.DUMMYFUNCTION("GOOGLETRANSLATE(A2156, ""zh-CN"", ""ko"")"),"외교적인")</f>
        <v>외교적인</v>
      </c>
    </row>
    <row r="2157" ht="15.75" customHeight="1">
      <c r="A2157" s="1" t="s">
        <v>6367</v>
      </c>
      <c r="B2157" s="1">
        <v>5.0</v>
      </c>
      <c r="C2157" s="1" t="s">
        <v>6368</v>
      </c>
      <c r="D2157" s="1" t="s">
        <v>16</v>
      </c>
      <c r="E2157" s="1" t="s">
        <v>6369</v>
      </c>
      <c r="F2157" s="1" t="str">
        <f>IFERROR(__xludf.DUMMYFUNCTION("GOOGLETRANSLATE(A2157, ""zh-CN"", ""ko"")"),"장난감")</f>
        <v>장난감</v>
      </c>
    </row>
    <row r="2158" ht="15.75" customHeight="1">
      <c r="A2158" s="1" t="s">
        <v>6370</v>
      </c>
      <c r="B2158" s="1">
        <v>5.0</v>
      </c>
      <c r="C2158" s="1" t="s">
        <v>6371</v>
      </c>
      <c r="D2158" s="1" t="s">
        <v>52</v>
      </c>
      <c r="E2158" s="1" t="s">
        <v>6372</v>
      </c>
      <c r="F2158" s="1" t="str">
        <f>IFERROR(__xludf.DUMMYFUNCTION("GOOGLETRANSLATE(A2158, ""zh-CN"", ""ko"")"),"완벽한")</f>
        <v>완벽한</v>
      </c>
    </row>
    <row r="2159" ht="15.75" customHeight="1">
      <c r="A2159" s="1" t="s">
        <v>6373</v>
      </c>
      <c r="B2159" s="1">
        <v>5.0</v>
      </c>
      <c r="C2159" s="1" t="s">
        <v>6374</v>
      </c>
      <c r="D2159" s="1" t="s">
        <v>1624</v>
      </c>
      <c r="E2159" s="1" t="s">
        <v>6375</v>
      </c>
      <c r="F2159" s="1" t="str">
        <f>IFERROR(__xludf.DUMMYFUNCTION("GOOGLETRANSLATE(A2159, ""zh-CN"", ""ko"")"),"완벽한")</f>
        <v>완벽한</v>
      </c>
    </row>
    <row r="2160" ht="15.75" customHeight="1">
      <c r="A2160" s="1" t="s">
        <v>6376</v>
      </c>
      <c r="B2160" s="1">
        <v>5.0</v>
      </c>
      <c r="C2160" s="1" t="s">
        <v>6377</v>
      </c>
      <c r="D2160" s="1" t="s">
        <v>52</v>
      </c>
      <c r="E2160" s="1" t="s">
        <v>6378</v>
      </c>
      <c r="F2160" s="1" t="str">
        <f>IFERROR(__xludf.DUMMYFUNCTION("GOOGLETRANSLATE(A2160, ""zh-CN"", ""ko"")"),"전체")</f>
        <v>전체</v>
      </c>
    </row>
    <row r="2161" ht="15.75" customHeight="1">
      <c r="A2161" s="1" t="s">
        <v>6379</v>
      </c>
      <c r="B2161" s="1">
        <v>5.0</v>
      </c>
      <c r="C2161" s="1" t="s">
        <v>6380</v>
      </c>
      <c r="D2161" s="1" t="s">
        <v>1473</v>
      </c>
      <c r="E2161" s="1" t="s">
        <v>6381</v>
      </c>
      <c r="F2161" s="1" t="str">
        <f>IFERROR(__xludf.DUMMYFUNCTION("GOOGLETRANSLATE(A2161, ""zh-CN"", ""ko"")"),"혹시 모르니까")</f>
        <v>혹시 모르니까</v>
      </c>
    </row>
    <row r="2162" ht="15.75" customHeight="1">
      <c r="A2162" s="1" t="s">
        <v>6382</v>
      </c>
      <c r="B2162" s="1">
        <v>5.0</v>
      </c>
      <c r="C2162" s="1" t="s">
        <v>6383</v>
      </c>
      <c r="D2162" s="1" t="s">
        <v>16</v>
      </c>
      <c r="E2162" s="1" t="s">
        <v>6384</v>
      </c>
      <c r="F2162" s="1" t="str">
        <f>IFERROR(__xludf.DUMMYFUNCTION("GOOGLETRANSLATE(A2162, ""zh-CN"", ""ko"")"),"왕자")</f>
        <v>왕자</v>
      </c>
    </row>
    <row r="2163" ht="15.75" customHeight="1">
      <c r="A2163" s="1" t="s">
        <v>6385</v>
      </c>
      <c r="B2163" s="1">
        <v>5.0</v>
      </c>
      <c r="C2163" s="1" t="s">
        <v>6386</v>
      </c>
      <c r="D2163" s="1" t="s">
        <v>8</v>
      </c>
      <c r="E2163" s="1" t="s">
        <v>6387</v>
      </c>
      <c r="F2163" s="1" t="str">
        <f>IFERROR(__xludf.DUMMYFUNCTION("GOOGLETRANSLATE(A2163, ""zh-CN"", ""ko"")"),"왕복")</f>
        <v>왕복</v>
      </c>
    </row>
    <row r="2164" ht="15.75" customHeight="1">
      <c r="A2164" s="1" t="s">
        <v>6388</v>
      </c>
      <c r="B2164" s="1">
        <v>5.0</v>
      </c>
      <c r="C2164" s="1" t="s">
        <v>6389</v>
      </c>
      <c r="D2164" s="1" t="s">
        <v>16</v>
      </c>
      <c r="E2164" s="1" t="s">
        <v>6390</v>
      </c>
      <c r="F2164" s="1" t="str">
        <f>IFERROR(__xludf.DUMMYFUNCTION("GOOGLETRANSLATE(A2164, ""zh-CN"", ""ko"")"),"회로망")</f>
        <v>회로망</v>
      </c>
    </row>
    <row r="2165" ht="15.75" customHeight="1">
      <c r="A2165" s="1" t="s">
        <v>6391</v>
      </c>
      <c r="B2165" s="1">
        <v>5.0</v>
      </c>
      <c r="C2165" s="1" t="s">
        <v>6392</v>
      </c>
      <c r="D2165" s="1" t="s">
        <v>52</v>
      </c>
      <c r="E2165" s="1" t="s">
        <v>6393</v>
      </c>
      <c r="F2165" s="1" t="str">
        <f>IFERROR(__xludf.DUMMYFUNCTION("GOOGLETRANSLATE(A2165, ""zh-CN"", ""ko"")"),"피해")</f>
        <v>피해</v>
      </c>
    </row>
    <row r="2166" ht="15.75" customHeight="1">
      <c r="A2166" s="1" t="s">
        <v>6394</v>
      </c>
      <c r="B2166" s="1">
        <v>5.0</v>
      </c>
      <c r="C2166" s="1" t="s">
        <v>6395</v>
      </c>
      <c r="D2166" s="1" t="s">
        <v>16</v>
      </c>
      <c r="E2166" s="1" t="s">
        <v>6396</v>
      </c>
      <c r="F2166" s="1" t="str">
        <f>IFERROR(__xludf.DUMMYFUNCTION("GOOGLETRANSLATE(A2166, ""zh-CN"", ""ko"")"),"웃다")</f>
        <v>웃다</v>
      </c>
    </row>
    <row r="2167" ht="15.75" customHeight="1">
      <c r="A2167" s="1" t="s">
        <v>6397</v>
      </c>
      <c r="B2167" s="1">
        <v>5.0</v>
      </c>
      <c r="C2167" s="1" t="s">
        <v>6398</v>
      </c>
      <c r="D2167" s="1" t="s">
        <v>8</v>
      </c>
      <c r="E2167" s="1" t="s">
        <v>6399</v>
      </c>
      <c r="F2167" s="1" t="str">
        <f>IFERROR(__xludf.DUMMYFUNCTION("GOOGLETRANSLATE(A2167, ""zh-CN"", ""ko"")"),"위협하다")</f>
        <v>위협하다</v>
      </c>
    </row>
    <row r="2168" ht="15.75" customHeight="1">
      <c r="A2168" s="1" t="s">
        <v>6400</v>
      </c>
      <c r="B2168" s="1">
        <v>5.0</v>
      </c>
      <c r="C2168" s="1" t="s">
        <v>6401</v>
      </c>
      <c r="D2168" s="1" t="s">
        <v>8</v>
      </c>
      <c r="E2168" s="1" t="s">
        <v>6402</v>
      </c>
      <c r="F2168" s="1" t="str">
        <f>IFERROR(__xludf.DUMMYFUNCTION("GOOGLETRANSLATE(A2168, ""zh-CN"", ""ko"")"),"위반")</f>
        <v>위반</v>
      </c>
    </row>
    <row r="2169" ht="15.75" customHeight="1">
      <c r="A2169" s="1" t="s">
        <v>6403</v>
      </c>
      <c r="B2169" s="1">
        <v>5.0</v>
      </c>
      <c r="C2169" s="1" t="s">
        <v>6404</v>
      </c>
      <c r="D2169" s="1" t="s">
        <v>16</v>
      </c>
      <c r="E2169" s="1" t="s">
        <v>6405</v>
      </c>
      <c r="F2169" s="1" t="str">
        <f>IFERROR(__xludf.DUMMYFUNCTION("GOOGLETRANSLATE(A2169, ""zh-CN"", ""ko"")"),"스카프")</f>
        <v>스카프</v>
      </c>
    </row>
    <row r="2170" ht="15.75" customHeight="1">
      <c r="A2170" s="1" t="s">
        <v>6406</v>
      </c>
      <c r="B2170" s="1">
        <v>5.0</v>
      </c>
      <c r="C2170" s="1" t="s">
        <v>6407</v>
      </c>
      <c r="D2170" s="1" t="s">
        <v>8</v>
      </c>
      <c r="E2170" s="1" t="s">
        <v>6408</v>
      </c>
      <c r="F2170" s="1" t="str">
        <f>IFERROR(__xludf.DUMMYFUNCTION("GOOGLETRANSLATE(A2170, ""zh-CN"", ""ko"")"),"약")</f>
        <v>약</v>
      </c>
    </row>
    <row r="2171" ht="15.75" customHeight="1">
      <c r="A2171" s="1" t="s">
        <v>6409</v>
      </c>
      <c r="B2171" s="1">
        <v>5.0</v>
      </c>
      <c r="C2171" s="1" t="s">
        <v>6410</v>
      </c>
      <c r="D2171" s="1" t="s">
        <v>8</v>
      </c>
      <c r="E2171" s="1" t="s">
        <v>6411</v>
      </c>
      <c r="F2171" s="1" t="str">
        <f>IFERROR(__xludf.DUMMYFUNCTION("GOOGLETRANSLATE(A2171, ""zh-CN"", ""ko"")"),"수리하다")</f>
        <v>수리하다</v>
      </c>
    </row>
    <row r="2172" ht="15.75" customHeight="1">
      <c r="A2172" s="1" t="s">
        <v>6412</v>
      </c>
      <c r="B2172" s="1">
        <v>5.0</v>
      </c>
      <c r="C2172" s="1" t="s">
        <v>6413</v>
      </c>
      <c r="D2172" s="1" t="s">
        <v>52</v>
      </c>
      <c r="E2172" s="1" t="s">
        <v>6414</v>
      </c>
      <c r="F2172" s="1" t="str">
        <f>IFERROR(__xludf.DUMMYFUNCTION("GOOGLETRANSLATE(A2172, ""zh-CN"", ""ko"")"),"오직")</f>
        <v>오직</v>
      </c>
    </row>
    <row r="2173" ht="15.75" customHeight="1">
      <c r="A2173" s="1" t="s">
        <v>6415</v>
      </c>
      <c r="B2173" s="1">
        <v>5.0</v>
      </c>
      <c r="C2173" s="1" t="s">
        <v>6416</v>
      </c>
      <c r="D2173" s="1" t="s">
        <v>16</v>
      </c>
      <c r="E2173" s="1" t="s">
        <v>6417</v>
      </c>
      <c r="F2173" s="1" t="str">
        <f>IFERROR(__xludf.DUMMYFUNCTION("GOOGLETRANSLATE(A2173, ""zh-CN"", ""ko"")"),"꼬리")</f>
        <v>꼬리</v>
      </c>
    </row>
    <row r="2174" ht="15.75" customHeight="1">
      <c r="A2174" s="1" t="s">
        <v>6418</v>
      </c>
      <c r="B2174" s="1">
        <v>5.0</v>
      </c>
      <c r="C2174" s="1" t="s">
        <v>6419</v>
      </c>
      <c r="D2174" s="1" t="s">
        <v>52</v>
      </c>
      <c r="E2174" s="1" t="s">
        <v>6420</v>
      </c>
      <c r="F2174" s="1" t="str">
        <f>IFERROR(__xludf.DUMMYFUNCTION("GOOGLETRANSLATE(A2174, ""zh-CN"", ""ko"")"),"엄청난")</f>
        <v>엄청난</v>
      </c>
    </row>
    <row r="2175" ht="15.75" customHeight="1">
      <c r="A2175" s="1" t="s">
        <v>6421</v>
      </c>
      <c r="B2175" s="1">
        <v>5.0</v>
      </c>
      <c r="C2175" s="1" t="s">
        <v>6422</v>
      </c>
      <c r="D2175" s="1" t="s">
        <v>1624</v>
      </c>
      <c r="E2175" s="1" t="s">
        <v>6423</v>
      </c>
      <c r="F2175" s="1" t="str">
        <f>IFERROR(__xludf.DUMMYFUNCTION("GOOGLETRANSLATE(A2175, ""zh-CN"", ""ko"")"),"억울하게 당했다")</f>
        <v>억울하게 당했다</v>
      </c>
    </row>
    <row r="2176" ht="15.75" customHeight="1">
      <c r="A2176" s="1" t="s">
        <v>6424</v>
      </c>
      <c r="B2176" s="1">
        <v>5.0</v>
      </c>
      <c r="C2176" s="1" t="s">
        <v>346</v>
      </c>
      <c r="D2176" s="1" t="s">
        <v>16</v>
      </c>
      <c r="E2176" s="1" t="s">
        <v>6425</v>
      </c>
      <c r="F2176" s="1" t="str">
        <f>IFERROR(__xludf.DUMMYFUNCTION("GOOGLETRANSLATE(A2176, ""zh-CN"", ""ko"")"),"위")</f>
        <v>위</v>
      </c>
    </row>
    <row r="2177" ht="15.75" customHeight="1">
      <c r="A2177" s="1" t="s">
        <v>6426</v>
      </c>
      <c r="B2177" s="1">
        <v>5.0</v>
      </c>
      <c r="C2177" s="1" t="s">
        <v>6427</v>
      </c>
      <c r="D2177" s="1" t="s">
        <v>33</v>
      </c>
      <c r="E2177" s="1" t="s">
        <v>6428</v>
      </c>
      <c r="F2177" s="1" t="str">
        <f>IFERROR(__xludf.DUMMYFUNCTION("GOOGLETRANSLATE(A2177, ""zh-CN"", ""ko"")"),"반드시 그런 것은 아닙니다")</f>
        <v>반드시 그런 것은 아닙니다</v>
      </c>
    </row>
    <row r="2178" ht="15.75" customHeight="1">
      <c r="A2178" s="1" t="s">
        <v>6429</v>
      </c>
      <c r="B2178" s="1">
        <v>5.0</v>
      </c>
      <c r="C2178" s="1" t="s">
        <v>6430</v>
      </c>
      <c r="D2178" s="1" t="s">
        <v>16</v>
      </c>
      <c r="E2178" s="1" t="s">
        <v>6431</v>
      </c>
      <c r="F2178" s="1" t="str">
        <f>IFERROR(__xludf.DUMMYFUNCTION("GOOGLETRANSLATE(A2178, ""zh-CN"", ""ko"")"),"식욕")</f>
        <v>식욕</v>
      </c>
    </row>
    <row r="2179" ht="15.75" customHeight="1">
      <c r="A2179" s="1" t="s">
        <v>6432</v>
      </c>
      <c r="B2179" s="1">
        <v>5.0</v>
      </c>
      <c r="C2179" s="1" t="s">
        <v>6433</v>
      </c>
      <c r="D2179" s="1" t="s">
        <v>16</v>
      </c>
      <c r="E2179" s="1" t="s">
        <v>6434</v>
      </c>
      <c r="F2179" s="1" t="str">
        <f>IFERROR(__xludf.DUMMYFUNCTION("GOOGLETRANSLATE(A2179, ""zh-CN"", ""ko"")"),"미래")</f>
        <v>미래</v>
      </c>
    </row>
    <row r="2180" ht="15.75" customHeight="1">
      <c r="A2180" s="1" t="s">
        <v>6435</v>
      </c>
      <c r="B2180" s="1">
        <v>5.0</v>
      </c>
      <c r="C2180" s="1" t="s">
        <v>6436</v>
      </c>
      <c r="D2180" s="1" t="s">
        <v>8</v>
      </c>
      <c r="E2180" s="1" t="s">
        <v>6437</v>
      </c>
      <c r="F2180" s="1" t="str">
        <f>IFERROR(__xludf.DUMMYFUNCTION("GOOGLETRANSLATE(A2180, ""zh-CN"", ""ko"")"),"누워있는")</f>
        <v>누워있는</v>
      </c>
    </row>
    <row r="2181" ht="15.75" customHeight="1">
      <c r="A2181" s="1" t="s">
        <v>6438</v>
      </c>
      <c r="B2181" s="1">
        <v>5.0</v>
      </c>
      <c r="C2181" s="1" t="s">
        <v>6439</v>
      </c>
      <c r="D2181" s="1" t="s">
        <v>16</v>
      </c>
      <c r="E2181" s="1" t="s">
        <v>1586</v>
      </c>
      <c r="F2181" s="1" t="str">
        <f>IFERROR(__xludf.DUMMYFUNCTION("GOOGLETRANSLATE(A2181, ""zh-CN"", ""ko"")"),"위치")</f>
        <v>위치</v>
      </c>
    </row>
    <row r="2182" ht="15.75" customHeight="1">
      <c r="A2182" s="1" t="s">
        <v>6440</v>
      </c>
      <c r="B2182" s="1">
        <v>5.0</v>
      </c>
      <c r="C2182" s="1" t="s">
        <v>6441</v>
      </c>
      <c r="D2182" s="1" t="s">
        <v>52</v>
      </c>
      <c r="E2182" s="1" t="s">
        <v>2714</v>
      </c>
      <c r="F2182" s="1" t="str">
        <f>IFERROR(__xludf.DUMMYFUNCTION("GOOGLETRANSLATE(A2182, ""zh-CN"", ""ko"")"),"따뜻함")</f>
        <v>따뜻함</v>
      </c>
    </row>
    <row r="2183" ht="15.75" customHeight="1">
      <c r="A2183" s="1" t="s">
        <v>6442</v>
      </c>
      <c r="B2183" s="1">
        <v>5.0</v>
      </c>
      <c r="C2183" s="1" t="s">
        <v>6443</v>
      </c>
      <c r="D2183" s="1" t="s">
        <v>52</v>
      </c>
      <c r="E2183" s="1" t="s">
        <v>6444</v>
      </c>
      <c r="F2183" s="1" t="str">
        <f>IFERROR(__xludf.DUMMYFUNCTION("GOOGLETRANSLATE(A2183, ""zh-CN"", ""ko"")"),"온화한")</f>
        <v>온화한</v>
      </c>
    </row>
    <row r="2184" ht="15.75" customHeight="1">
      <c r="A2184" s="1" t="s">
        <v>6445</v>
      </c>
      <c r="B2184" s="1">
        <v>5.0</v>
      </c>
      <c r="C2184" s="1" t="s">
        <v>6446</v>
      </c>
      <c r="D2184" s="1" t="s">
        <v>8</v>
      </c>
      <c r="E2184" s="1" t="s">
        <v>6447</v>
      </c>
      <c r="F2184" s="1" t="str">
        <f>IFERROR(__xludf.DUMMYFUNCTION("GOOGLETRANSLATE(A2184, ""zh-CN"", ""ko"")"),"냄새가 나다")</f>
        <v>냄새가 나다</v>
      </c>
    </row>
    <row r="2185" ht="15.75" customHeight="1">
      <c r="A2185" s="1" t="s">
        <v>6448</v>
      </c>
      <c r="B2185" s="1">
        <v>5.0</v>
      </c>
      <c r="C2185" s="1" t="s">
        <v>6449</v>
      </c>
      <c r="D2185" s="1" t="s">
        <v>16</v>
      </c>
      <c r="E2185" s="1" t="s">
        <v>6450</v>
      </c>
      <c r="F2185" s="1" t="str">
        <f>IFERROR(__xludf.DUMMYFUNCTION("GOOGLETRANSLATE(A2185, ""zh-CN"", ""ko"")"),"문서")</f>
        <v>문서</v>
      </c>
    </row>
    <row r="2186" ht="15.75" customHeight="1">
      <c r="A2186" s="1" t="s">
        <v>6451</v>
      </c>
      <c r="B2186" s="1">
        <v>5.0</v>
      </c>
      <c r="C2186" s="1" t="s">
        <v>6452</v>
      </c>
      <c r="D2186" s="1" t="s">
        <v>16</v>
      </c>
      <c r="E2186" s="1" t="s">
        <v>6453</v>
      </c>
      <c r="F2186" s="1" t="str">
        <f>IFERROR(__xludf.DUMMYFUNCTION("GOOGLETRANSLATE(A2186, ""zh-CN"", ""ko"")"),"문방구")</f>
        <v>문방구</v>
      </c>
    </row>
    <row r="2187" ht="15.75" customHeight="1">
      <c r="A2187" s="1" t="s">
        <v>6454</v>
      </c>
      <c r="B2187" s="1">
        <v>5.0</v>
      </c>
      <c r="C2187" s="1" t="s">
        <v>6455</v>
      </c>
      <c r="D2187" s="1" t="s">
        <v>16</v>
      </c>
      <c r="E2187" s="1" t="s">
        <v>6456</v>
      </c>
      <c r="F2187" s="1" t="str">
        <f>IFERROR(__xludf.DUMMYFUNCTION("GOOGLETRANSLATE(A2187, ""zh-CN"", ""ko"")"),"문명")</f>
        <v>문명</v>
      </c>
    </row>
    <row r="2188" ht="15.75" customHeight="1">
      <c r="A2188" s="1" t="s">
        <v>6457</v>
      </c>
      <c r="B2188" s="1">
        <v>5.0</v>
      </c>
      <c r="C2188" s="1" t="s">
        <v>6458</v>
      </c>
      <c r="D2188" s="1" t="s">
        <v>16</v>
      </c>
      <c r="E2188" s="1" t="s">
        <v>6459</v>
      </c>
      <c r="F2188" s="1" t="str">
        <f>IFERROR(__xludf.DUMMYFUNCTION("GOOGLETRANSLATE(A2188, ""zh-CN"", ""ko"")"),"문학")</f>
        <v>문학</v>
      </c>
    </row>
    <row r="2189" ht="15.75" customHeight="1">
      <c r="A2189" s="1" t="s">
        <v>6460</v>
      </c>
      <c r="B2189" s="1">
        <v>5.0</v>
      </c>
      <c r="C2189" s="1" t="s">
        <v>6461</v>
      </c>
      <c r="D2189" s="1" t="s">
        <v>16</v>
      </c>
      <c r="E2189" s="1" t="s">
        <v>6462</v>
      </c>
      <c r="F2189" s="1" t="str">
        <f>IFERROR(__xludf.DUMMYFUNCTION("GOOGLETRANSLATE(A2189, ""zh-CN"", ""ko"")"),"단어")</f>
        <v>단어</v>
      </c>
    </row>
    <row r="2190" ht="15.75" customHeight="1">
      <c r="A2190" s="1" t="s">
        <v>6463</v>
      </c>
      <c r="B2190" s="1">
        <v>5.0</v>
      </c>
      <c r="C2190" s="1" t="s">
        <v>6464</v>
      </c>
      <c r="D2190" s="1" t="s">
        <v>8</v>
      </c>
      <c r="E2190" s="1" t="s">
        <v>6465</v>
      </c>
      <c r="F2190" s="1" t="str">
        <f>IFERROR(__xludf.DUMMYFUNCTION("GOOGLETRANSLATE(A2190, ""zh-CN"", ""ko"")"),"키스")</f>
        <v>키스</v>
      </c>
    </row>
    <row r="2191" ht="15.75" customHeight="1">
      <c r="A2191" s="1" t="s">
        <v>6466</v>
      </c>
      <c r="B2191" s="1">
        <v>5.0</v>
      </c>
      <c r="C2191" s="1" t="s">
        <v>6467</v>
      </c>
      <c r="D2191" s="1" t="s">
        <v>1003</v>
      </c>
      <c r="E2191" s="1" t="s">
        <v>6468</v>
      </c>
      <c r="F2191" s="1" t="str">
        <f>IFERROR(__xludf.DUMMYFUNCTION("GOOGLETRANSLATE(A2191, ""zh-CN"", ""ko"")"),"안정화하다")</f>
        <v>안정화하다</v>
      </c>
    </row>
    <row r="2192" ht="15.75" customHeight="1">
      <c r="A2192" s="1" t="s">
        <v>6469</v>
      </c>
      <c r="B2192" s="1">
        <v>5.0</v>
      </c>
      <c r="C2192" s="1" t="s">
        <v>6470</v>
      </c>
      <c r="D2192" s="1" t="s">
        <v>8</v>
      </c>
      <c r="E2192" s="1" t="s">
        <v>6471</v>
      </c>
      <c r="F2192" s="1" t="str">
        <f>IFERROR(__xludf.DUMMYFUNCTION("GOOGLETRANSLATE(A2192, ""zh-CN"", ""ko"")"),"인사")</f>
        <v>인사</v>
      </c>
    </row>
    <row r="2193" ht="15.75" customHeight="1">
      <c r="A2193" s="1" t="s">
        <v>6472</v>
      </c>
      <c r="B2193" s="1">
        <v>5.0</v>
      </c>
      <c r="C2193" s="1" t="s">
        <v>6473</v>
      </c>
      <c r="D2193" s="1" t="s">
        <v>16</v>
      </c>
      <c r="E2193" s="1" t="s">
        <v>6474</v>
      </c>
      <c r="F2193" s="1" t="str">
        <f>IFERROR(__xludf.DUMMYFUNCTION("GOOGLETRANSLATE(A2193, ""zh-CN"", ""ko"")"),"침실")</f>
        <v>침실</v>
      </c>
    </row>
    <row r="2194" ht="15.75" customHeight="1">
      <c r="A2194" s="1" t="s">
        <v>6475</v>
      </c>
      <c r="B2194" s="1">
        <v>5.0</v>
      </c>
      <c r="C2194" s="1" t="s">
        <v>6476</v>
      </c>
      <c r="D2194" s="1" t="s">
        <v>8</v>
      </c>
      <c r="E2194" s="1" t="s">
        <v>6477</v>
      </c>
      <c r="F2194" s="1" t="str">
        <f>IFERROR(__xludf.DUMMYFUNCTION("GOOGLETRANSLATE(A2194, ""zh-CN"", ""ko"")"),"악수하다")</f>
        <v>악수하다</v>
      </c>
    </row>
    <row r="2195" ht="15.75" customHeight="1">
      <c r="A2195" s="1" t="s">
        <v>6478</v>
      </c>
      <c r="B2195" s="1">
        <v>5.0</v>
      </c>
      <c r="C2195" s="1" t="s">
        <v>6479</v>
      </c>
      <c r="D2195" s="1" t="s">
        <v>16</v>
      </c>
      <c r="E2195" s="1" t="s">
        <v>545</v>
      </c>
      <c r="F2195" s="1" t="str">
        <f>IFERROR(__xludf.DUMMYFUNCTION("GOOGLETRANSLATE(A2195, ""zh-CN"", ""ko"")"),"방")</f>
        <v>방</v>
      </c>
    </row>
    <row r="2196" ht="15.75" customHeight="1">
      <c r="A2196" s="1" t="s">
        <v>6480</v>
      </c>
      <c r="B2196" s="1">
        <v>5.0</v>
      </c>
      <c r="C2196" s="1" t="s">
        <v>6481</v>
      </c>
      <c r="D2196" s="1" t="s">
        <v>8</v>
      </c>
      <c r="E2196" s="1" t="s">
        <v>6482</v>
      </c>
      <c r="F2196" s="1" t="str">
        <f>IFERROR(__xludf.DUMMYFUNCTION("GOOGLETRANSLATE(A2196, ""zh-CN"", ""ko"")"),"선택의 여지가 없다")</f>
        <v>선택의 여지가 없다</v>
      </c>
    </row>
    <row r="2197" ht="15.75" customHeight="1">
      <c r="A2197" s="1" t="s">
        <v>6483</v>
      </c>
      <c r="B2197" s="1">
        <v>5.0</v>
      </c>
      <c r="C2197" s="1" t="s">
        <v>6484</v>
      </c>
      <c r="D2197" s="1" t="s">
        <v>52</v>
      </c>
      <c r="E2197" s="1" t="s">
        <v>6485</v>
      </c>
      <c r="F2197" s="1" t="str">
        <f>IFERROR(__xludf.DUMMYFUNCTION("GOOGLETRANSLATE(A2197, ""zh-CN"", ""ko"")"),"셀 수 없는")</f>
        <v>셀 수 없는</v>
      </c>
    </row>
    <row r="2198" ht="15.75" customHeight="1">
      <c r="A2198" s="1" t="s">
        <v>6486</v>
      </c>
      <c r="B2198" s="1">
        <v>5.0</v>
      </c>
      <c r="C2198" s="1" t="s">
        <v>6487</v>
      </c>
      <c r="D2198" s="1" t="s">
        <v>52</v>
      </c>
      <c r="E2198" s="1" t="s">
        <v>6488</v>
      </c>
      <c r="F2198" s="1" t="str">
        <f>IFERROR(__xludf.DUMMYFUNCTION("GOOGLETRANSLATE(A2198, ""zh-CN"", ""ko"")"),"상관없어요")</f>
        <v>상관없어요</v>
      </c>
    </row>
    <row r="2199" ht="15.75" customHeight="1">
      <c r="A2199" s="1" t="s">
        <v>6489</v>
      </c>
      <c r="B2199" s="1">
        <v>5.0</v>
      </c>
      <c r="C2199" s="1" t="s">
        <v>6490</v>
      </c>
      <c r="D2199" s="1" t="s">
        <v>16</v>
      </c>
      <c r="E2199" s="1" t="s">
        <v>6491</v>
      </c>
      <c r="F2199" s="1" t="str">
        <f>IFERROR(__xludf.DUMMYFUNCTION("GOOGLETRANSLATE(A2199, ""zh-CN"", ""ko"")"),"무술")</f>
        <v>무술</v>
      </c>
    </row>
    <row r="2200" ht="15.75" customHeight="1">
      <c r="A2200" s="1" t="s">
        <v>6492</v>
      </c>
      <c r="B2200" s="1">
        <v>5.0</v>
      </c>
      <c r="C2200" s="1" t="s">
        <v>6493</v>
      </c>
      <c r="D2200" s="1" t="s">
        <v>33</v>
      </c>
      <c r="E2200" s="1" t="s">
        <v>6494</v>
      </c>
      <c r="F2200" s="1" t="str">
        <f>IFERROR(__xludf.DUMMYFUNCTION("GOOGLETRANSLATE(A2200, ""zh-CN"", ""ko"")"),"하지 마세요")</f>
        <v>하지 마세요</v>
      </c>
    </row>
    <row r="2201" ht="15.75" customHeight="1">
      <c r="A2201" s="1" t="s">
        <v>6495</v>
      </c>
      <c r="B2201" s="1">
        <v>5.0</v>
      </c>
      <c r="C2201" s="1" t="s">
        <v>6493</v>
      </c>
      <c r="D2201" s="1" t="s">
        <v>16</v>
      </c>
      <c r="E2201" s="1" t="s">
        <v>6496</v>
      </c>
      <c r="F2201" s="1" t="str">
        <f>IFERROR(__xludf.DUMMYFUNCTION("GOOGLETRANSLATE(A2201, ""zh-CN"", ""ko"")"),"안개")</f>
        <v>안개</v>
      </c>
    </row>
    <row r="2202" ht="15.75" customHeight="1">
      <c r="A2202" s="1" t="s">
        <v>6497</v>
      </c>
      <c r="B2202" s="1">
        <v>5.0</v>
      </c>
      <c r="C2202" s="1" t="s">
        <v>6498</v>
      </c>
      <c r="D2202" s="1" t="s">
        <v>16</v>
      </c>
      <c r="E2202" s="1" t="s">
        <v>6499</v>
      </c>
      <c r="F2202" s="1" t="str">
        <f>IFERROR(__xludf.DUMMYFUNCTION("GOOGLETRANSLATE(A2202, ""zh-CN"", ""ko"")"),"물리학")</f>
        <v>물리학</v>
      </c>
    </row>
    <row r="2203" ht="15.75" customHeight="1">
      <c r="A2203" s="1" t="s">
        <v>6500</v>
      </c>
      <c r="B2203" s="1">
        <v>5.0</v>
      </c>
      <c r="C2203" s="1" t="s">
        <v>6501</v>
      </c>
      <c r="D2203" s="1" t="s">
        <v>16</v>
      </c>
      <c r="E2203" s="1" t="s">
        <v>6502</v>
      </c>
      <c r="F2203" s="1" t="str">
        <f>IFERROR(__xludf.DUMMYFUNCTION("GOOGLETRANSLATE(A2203, ""zh-CN"", ""ko"")"),"물질")</f>
        <v>물질</v>
      </c>
    </row>
    <row r="2204" ht="15.75" customHeight="1">
      <c r="A2204" s="1" t="s">
        <v>6503</v>
      </c>
      <c r="B2204" s="1">
        <v>5.0</v>
      </c>
      <c r="C2204" s="1" t="s">
        <v>6504</v>
      </c>
      <c r="D2204" s="1" t="s">
        <v>8</v>
      </c>
      <c r="E2204" s="1" t="s">
        <v>6505</v>
      </c>
      <c r="F2204" s="1" t="str">
        <f>IFERROR(__xludf.DUMMYFUNCTION("GOOGLETRANSLATE(A2204, ""zh-CN"", ""ko"")"),"그리다")</f>
        <v>그리다</v>
      </c>
    </row>
    <row r="2205" ht="15.75" customHeight="1">
      <c r="A2205" s="1" t="s">
        <v>6506</v>
      </c>
      <c r="B2205" s="1">
        <v>5.0</v>
      </c>
      <c r="C2205" s="1" t="s">
        <v>6507</v>
      </c>
      <c r="D2205" s="1" t="s">
        <v>8</v>
      </c>
      <c r="E2205" s="1" t="s">
        <v>6508</v>
      </c>
      <c r="F2205" s="1" t="str">
        <f>IFERROR(__xludf.DUMMYFUNCTION("GOOGLETRANSLATE(A2205, ""zh-CN"", ""ko"")"),"흡수하다")</f>
        <v>흡수하다</v>
      </c>
    </row>
    <row r="2206" ht="15.75" customHeight="1">
      <c r="A2206" s="1" t="s">
        <v>6509</v>
      </c>
      <c r="B2206" s="1">
        <v>5.0</v>
      </c>
      <c r="C2206" s="1" t="s">
        <v>6510</v>
      </c>
      <c r="D2206" s="1" t="s">
        <v>16</v>
      </c>
      <c r="E2206" s="1" t="s">
        <v>6511</v>
      </c>
      <c r="F2206" s="1" t="str">
        <f>IFERROR(__xludf.DUMMYFUNCTION("GOOGLETRANSLATE(A2206, ""zh-CN"", ""ko"")"),"묶다")</f>
        <v>묶다</v>
      </c>
    </row>
    <row r="2207" ht="15.75" customHeight="1">
      <c r="A2207" s="1" t="s">
        <v>6512</v>
      </c>
      <c r="B2207" s="1">
        <v>5.0</v>
      </c>
      <c r="C2207" s="1" t="s">
        <v>6513</v>
      </c>
      <c r="D2207" s="1" t="s">
        <v>16</v>
      </c>
      <c r="E2207" s="1" t="s">
        <v>6514</v>
      </c>
      <c r="F2207" s="1" t="str">
        <f>IFERROR(__xludf.DUMMYFUNCTION("GOOGLETRANSLATE(A2207, ""zh-CN"", ""ko"")"),"세부 사항")</f>
        <v>세부 사항</v>
      </c>
    </row>
    <row r="2208" ht="15.75" customHeight="1">
      <c r="A2208" s="1" t="s">
        <v>6515</v>
      </c>
      <c r="B2208" s="1">
        <v>5.0</v>
      </c>
      <c r="C2208" s="1" t="s">
        <v>6516</v>
      </c>
      <c r="D2208" s="1" t="s">
        <v>16</v>
      </c>
      <c r="E2208" s="1" t="s">
        <v>6517</v>
      </c>
      <c r="F2208" s="1" t="str">
        <f>IFERROR(__xludf.DUMMYFUNCTION("GOOGLETRANSLATE(A2208, ""zh-CN"", ""ko"")"),"드라마")</f>
        <v>드라마</v>
      </c>
    </row>
    <row r="2209" ht="15.75" customHeight="1">
      <c r="A2209" s="1" t="s">
        <v>6518</v>
      </c>
      <c r="B2209" s="1">
        <v>5.0</v>
      </c>
      <c r="C2209" s="1" t="s">
        <v>6519</v>
      </c>
      <c r="D2209" s="1" t="s">
        <v>1842</v>
      </c>
      <c r="E2209" s="1" t="s">
        <v>6520</v>
      </c>
      <c r="F2209" s="1" t="str">
        <f>IFERROR(__xludf.DUMMYFUNCTION("GOOGLETRANSLATE(A2209, ""zh-CN"", ""ko"")"),"체계")</f>
        <v>체계</v>
      </c>
    </row>
    <row r="2210" ht="15.75" customHeight="1">
      <c r="A2210" s="1" t="s">
        <v>6521</v>
      </c>
      <c r="B2210" s="1">
        <v>5.0</v>
      </c>
      <c r="C2210" s="1" t="s">
        <v>6522</v>
      </c>
      <c r="D2210" s="1" t="s">
        <v>52</v>
      </c>
      <c r="E2210" s="1" t="s">
        <v>6523</v>
      </c>
      <c r="F2210" s="1" t="str">
        <f>IFERROR(__xludf.DUMMYFUNCTION("GOOGLETRANSLATE(A2210, ""zh-CN"", ""ko"")"),"눈이 먼")</f>
        <v>눈이 먼</v>
      </c>
    </row>
    <row r="2211" ht="15.75" customHeight="1">
      <c r="A2211" s="1" t="s">
        <v>6524</v>
      </c>
      <c r="B2211" s="1">
        <v>5.0</v>
      </c>
      <c r="C2211" s="1" t="s">
        <v>361</v>
      </c>
      <c r="D2211" s="1" t="s">
        <v>8</v>
      </c>
      <c r="E2211" s="1" t="s">
        <v>6525</v>
      </c>
      <c r="F2211" s="1" t="str">
        <f>IFERROR(__xludf.DUMMYFUNCTION("GOOGLETRANSLATE(A2211, ""zh-CN"", ""ko"")"),"공황")</f>
        <v>공황</v>
      </c>
    </row>
    <row r="2212" ht="15.75" customHeight="1">
      <c r="A2212" s="1" t="s">
        <v>6526</v>
      </c>
      <c r="B2212" s="1">
        <v>5.0</v>
      </c>
      <c r="C2212" s="1" t="s">
        <v>6527</v>
      </c>
      <c r="D2212" s="1" t="s">
        <v>16</v>
      </c>
      <c r="E2212" s="1" t="s">
        <v>6528</v>
      </c>
      <c r="F2212" s="1" t="str">
        <f>IFERROR(__xludf.DUMMYFUNCTION("GOOGLETRANSLATE(A2212, ""zh-CN"", ""ko"")"),"여름 캠프")</f>
        <v>여름 캠프</v>
      </c>
    </row>
    <row r="2213" ht="15.75" customHeight="1">
      <c r="A2213" s="1" t="s">
        <v>6529</v>
      </c>
      <c r="B2213" s="1">
        <v>5.0</v>
      </c>
      <c r="C2213" s="1" t="s">
        <v>6530</v>
      </c>
      <c r="D2213" s="1" t="s">
        <v>8</v>
      </c>
      <c r="E2213" s="1" t="s">
        <v>6531</v>
      </c>
      <c r="F2213" s="1" t="str">
        <f>IFERROR(__xludf.DUMMYFUNCTION("GOOGLETRANSLATE(A2213, ""zh-CN"", ""ko"")"),"다운로드")</f>
        <v>다운로드</v>
      </c>
    </row>
    <row r="2214" ht="15.75" customHeight="1">
      <c r="A2214" s="1" t="s">
        <v>6532</v>
      </c>
      <c r="B2214" s="1">
        <v>5.0</v>
      </c>
      <c r="C2214" s="1" t="s">
        <v>6533</v>
      </c>
      <c r="D2214" s="1" t="s">
        <v>52</v>
      </c>
      <c r="E2214" s="1" t="s">
        <v>6534</v>
      </c>
      <c r="F2214" s="1" t="str">
        <f>IFERROR(__xludf.DUMMYFUNCTION("GOOGLETRANSLATE(A2214, ""zh-CN"", ""ko"")"),"밝은")</f>
        <v>밝은</v>
      </c>
    </row>
    <row r="2215" ht="15.75" customHeight="1">
      <c r="A2215" s="1" t="s">
        <v>6535</v>
      </c>
      <c r="B2215" s="1">
        <v>5.0</v>
      </c>
      <c r="C2215" s="1" t="s">
        <v>6536</v>
      </c>
      <c r="D2215" s="1" t="s">
        <v>8</v>
      </c>
      <c r="E2215" s="1" t="s">
        <v>6537</v>
      </c>
      <c r="F2215" s="1" t="str">
        <f>IFERROR(__xludf.DUMMYFUNCTION("GOOGLETRANSLATE(A2215, ""zh-CN"", ""ko"")"),"보이는군요")</f>
        <v>보이는군요</v>
      </c>
    </row>
    <row r="2216" ht="15.75" customHeight="1">
      <c r="A2216" s="1" t="s">
        <v>6538</v>
      </c>
      <c r="B2216" s="1">
        <v>5.0</v>
      </c>
      <c r="C2216" s="1" t="s">
        <v>6539</v>
      </c>
      <c r="D2216" s="1" t="s">
        <v>52</v>
      </c>
      <c r="E2216" s="1" t="s">
        <v>6540</v>
      </c>
      <c r="F2216" s="1" t="str">
        <f>IFERROR(__xludf.DUMMYFUNCTION("GOOGLETRANSLATE(A2216, ""zh-CN"", ""ko"")"),"확실히")</f>
        <v>확실히</v>
      </c>
    </row>
    <row r="2217" ht="15.75" customHeight="1">
      <c r="A2217" s="1" t="s">
        <v>6541</v>
      </c>
      <c r="B2217" s="1">
        <v>5.0</v>
      </c>
      <c r="C2217" s="1" t="s">
        <v>6542</v>
      </c>
      <c r="D2217" s="1" t="s">
        <v>8</v>
      </c>
      <c r="E2217" s="1" t="s">
        <v>6543</v>
      </c>
      <c r="F2217" s="1" t="str">
        <f>IFERROR(__xludf.DUMMYFUNCTION("GOOGLETRANSLATE(A2217, ""zh-CN"", ""ko"")"),"보여주다")</f>
        <v>보여주다</v>
      </c>
    </row>
    <row r="2218" ht="15.75" customHeight="1">
      <c r="A2218" s="1" t="s">
        <v>6544</v>
      </c>
      <c r="B2218" s="1">
        <v>5.0</v>
      </c>
      <c r="C2218" s="1" t="s">
        <v>6545</v>
      </c>
      <c r="D2218" s="1" t="s">
        <v>16</v>
      </c>
      <c r="E2218" s="1" t="s">
        <v>6546</v>
      </c>
      <c r="F2218" s="1" t="str">
        <f>IFERROR(__xludf.DUMMYFUNCTION("GOOGLETRANSLATE(A2218, ""zh-CN"", ""ko"")"),"군")</f>
        <v>군</v>
      </c>
    </row>
    <row r="2219" ht="15.75" customHeight="1">
      <c r="A2219" s="1" t="s">
        <v>6547</v>
      </c>
      <c r="B2219" s="1">
        <v>5.0</v>
      </c>
      <c r="C2219" s="1" t="s">
        <v>6548</v>
      </c>
      <c r="D2219" s="1" t="s">
        <v>16</v>
      </c>
      <c r="E2219" s="1" t="s">
        <v>6549</v>
      </c>
      <c r="F2219" s="1" t="str">
        <f>IFERROR(__xludf.DUMMYFUNCTION("GOOGLETRANSLATE(A2219, ""zh-CN"", ""ko"")"),"현대의")</f>
        <v>현대의</v>
      </c>
    </row>
    <row r="2220" ht="15.75" customHeight="1">
      <c r="A2220" s="1" t="s">
        <v>6550</v>
      </c>
      <c r="B2220" s="1">
        <v>5.0</v>
      </c>
      <c r="C2220" s="1" t="s">
        <v>6551</v>
      </c>
      <c r="D2220" s="1" t="s">
        <v>1842</v>
      </c>
      <c r="E2220" s="1" t="s">
        <v>6552</v>
      </c>
      <c r="F2220" s="1" t="str">
        <f>IFERROR(__xludf.DUMMYFUNCTION("GOOGLETRANSLATE(A2220, ""zh-CN"", ""ko"")"),"현실")</f>
        <v>현실</v>
      </c>
    </row>
    <row r="2221" ht="15.75" customHeight="1">
      <c r="A2221" s="1" t="s">
        <v>6553</v>
      </c>
      <c r="B2221" s="1">
        <v>5.0</v>
      </c>
      <c r="C2221" s="1" t="s">
        <v>6554</v>
      </c>
      <c r="D2221" s="1" t="s">
        <v>16</v>
      </c>
      <c r="E2221" s="1" t="s">
        <v>6555</v>
      </c>
      <c r="F2221" s="1" t="str">
        <f>IFERROR(__xludf.DUMMYFUNCTION("GOOGLETRANSLATE(A2221, ""zh-CN"", ""ko"")"),"현상")</f>
        <v>현상</v>
      </c>
    </row>
    <row r="2222" ht="15.75" customHeight="1">
      <c r="A2222" s="1" t="s">
        <v>6556</v>
      </c>
      <c r="B2222" s="1">
        <v>5.0</v>
      </c>
      <c r="C2222" s="1" t="s">
        <v>6557</v>
      </c>
      <c r="D2222" s="1" t="s">
        <v>8</v>
      </c>
      <c r="E2222" s="1" t="s">
        <v>6558</v>
      </c>
      <c r="F2222" s="1" t="str">
        <f>IFERROR(__xludf.DUMMYFUNCTION("GOOGLETRANSLATE(A2222, ""zh-CN"", ""ko"")"),"한계")</f>
        <v>한계</v>
      </c>
    </row>
    <row r="2223" ht="15.75" customHeight="1">
      <c r="A2223" s="1" t="s">
        <v>6559</v>
      </c>
      <c r="B2223" s="1">
        <v>5.0</v>
      </c>
      <c r="C2223" s="1" t="s">
        <v>6560</v>
      </c>
      <c r="D2223" s="1" t="s">
        <v>16</v>
      </c>
      <c r="E2223" s="1" t="s">
        <v>6561</v>
      </c>
      <c r="F2223" s="1" t="str">
        <f>IFERROR(__xludf.DUMMYFUNCTION("GOOGLETRANSLATE(A2223, ""zh-CN"", ""ko"")"),"소시지")</f>
        <v>소시지</v>
      </c>
    </row>
    <row r="2224" ht="15.75" customHeight="1">
      <c r="A2224" s="1" t="s">
        <v>6562</v>
      </c>
      <c r="B2224" s="1">
        <v>5.0</v>
      </c>
      <c r="C2224" s="1" t="s">
        <v>6563</v>
      </c>
      <c r="D2224" s="1" t="s">
        <v>8</v>
      </c>
      <c r="E2224" s="1" t="s">
        <v>6564</v>
      </c>
      <c r="F2224" s="1" t="str">
        <f>IFERROR(__xludf.DUMMYFUNCTION("GOOGLETRANSLATE(A2224, ""zh-CN"", ""ko"")"),"잘 지내다")</f>
        <v>잘 지내다</v>
      </c>
    </row>
    <row r="2225" ht="15.75" customHeight="1">
      <c r="A2225" s="1" t="s">
        <v>6565</v>
      </c>
      <c r="B2225" s="1">
        <v>5.0</v>
      </c>
      <c r="C2225" s="1" t="s">
        <v>6566</v>
      </c>
      <c r="D2225" s="1" t="s">
        <v>33</v>
      </c>
      <c r="E2225" s="1" t="s">
        <v>6567</v>
      </c>
      <c r="F2225" s="1" t="str">
        <f>IFERROR(__xludf.DUMMYFUNCTION("GOOGLETRANSLATE(A2225, ""zh-CN"", ""ko"")"),"상당히")</f>
        <v>상당히</v>
      </c>
    </row>
    <row r="2226" ht="15.75" customHeight="1">
      <c r="A2226" s="1" t="s">
        <v>6568</v>
      </c>
      <c r="B2226" s="1">
        <v>5.0</v>
      </c>
      <c r="C2226" s="1" t="s">
        <v>6569</v>
      </c>
      <c r="D2226" s="1" t="s">
        <v>52</v>
      </c>
      <c r="E2226" s="1" t="s">
        <v>6570</v>
      </c>
      <c r="F2226" s="1" t="str">
        <f>IFERROR(__xludf.DUMMYFUNCTION("GOOGLETRANSLATE(A2226, ""zh-CN"", ""ko"")"),"비교적")</f>
        <v>비교적</v>
      </c>
    </row>
    <row r="2227" ht="15.75" customHeight="1">
      <c r="A2227" s="1" t="s">
        <v>6571</v>
      </c>
      <c r="B2227" s="1">
        <v>5.0</v>
      </c>
      <c r="C2227" s="1" t="s">
        <v>6572</v>
      </c>
      <c r="D2227" s="1" t="s">
        <v>8</v>
      </c>
      <c r="E2227" s="1" t="s">
        <v>6573</v>
      </c>
      <c r="F2227" s="1" t="str">
        <f>IFERROR(__xludf.DUMMYFUNCTION("GOOGLETRANSLATE(A2227, ""zh-CN"", ""ko"")"),"관련된")</f>
        <v>관련된</v>
      </c>
    </row>
    <row r="2228" ht="15.75" customHeight="1">
      <c r="A2228" s="1" t="s">
        <v>6574</v>
      </c>
      <c r="B2228" s="1">
        <v>5.0</v>
      </c>
      <c r="C2228" s="1" t="s">
        <v>6575</v>
      </c>
      <c r="D2228" s="1" t="s">
        <v>52</v>
      </c>
      <c r="E2228" s="1" t="s">
        <v>6576</v>
      </c>
      <c r="F2228" s="1" t="str">
        <f>IFERROR(__xludf.DUMMYFUNCTION("GOOGLETRANSLATE(A2228, ""zh-CN"", ""ko"")"),"유사")</f>
        <v>유사</v>
      </c>
    </row>
    <row r="2229" ht="15.75" customHeight="1">
      <c r="A2229" s="1" t="s">
        <v>6577</v>
      </c>
      <c r="B2229" s="1">
        <v>5.0</v>
      </c>
      <c r="C2229" s="1" t="s">
        <v>6578</v>
      </c>
      <c r="D2229" s="1" t="s">
        <v>8</v>
      </c>
      <c r="E2229" s="1" t="s">
        <v>6579</v>
      </c>
      <c r="F2229" s="1" t="str">
        <f>IFERROR(__xludf.DUMMYFUNCTION("GOOGLETRANSLATE(A2229, ""zh-CN"", ""ko"")"),"놓치다")</f>
        <v>놓치다</v>
      </c>
    </row>
    <row r="2230" ht="15.75" customHeight="1">
      <c r="A2230" s="1" t="s">
        <v>6580</v>
      </c>
      <c r="B2230" s="1">
        <v>5.0</v>
      </c>
      <c r="C2230" s="1" t="s">
        <v>6581</v>
      </c>
      <c r="D2230" s="1" t="s">
        <v>8</v>
      </c>
      <c r="E2230" s="1" t="s">
        <v>6582</v>
      </c>
      <c r="F2230" s="1" t="str">
        <f>IFERROR(__xludf.DUMMYFUNCTION("GOOGLETRANSLATE(A2230, ""zh-CN"", ""ko"")"),"즐기다")</f>
        <v>즐기다</v>
      </c>
    </row>
    <row r="2231" ht="15.75" customHeight="1">
      <c r="A2231" s="1" t="s">
        <v>6583</v>
      </c>
      <c r="B2231" s="1">
        <v>5.0</v>
      </c>
      <c r="C2231" s="1" t="s">
        <v>6584</v>
      </c>
      <c r="D2231" s="1" t="s">
        <v>8</v>
      </c>
      <c r="E2231" s="1" t="s">
        <v>6585</v>
      </c>
      <c r="F2231" s="1" t="str">
        <f>IFERROR(__xludf.DUMMYFUNCTION("GOOGLETRANSLATE(A2231, ""zh-CN"", ""ko"")"),"상상하다")</f>
        <v>상상하다</v>
      </c>
    </row>
    <row r="2232" ht="15.75" customHeight="1">
      <c r="A2232" s="1" t="s">
        <v>6586</v>
      </c>
      <c r="B2232" s="1">
        <v>5.0</v>
      </c>
      <c r="C2232" s="1" t="s">
        <v>1619</v>
      </c>
      <c r="D2232" s="1" t="s">
        <v>26</v>
      </c>
      <c r="E2232" s="1" t="s">
        <v>6587</v>
      </c>
      <c r="F2232" s="1" t="str">
        <f>IFERROR(__xludf.DUMMYFUNCTION("GOOGLETRANSLATE(A2232, ""zh-CN"", ""ko"")"),"목")</f>
        <v>목</v>
      </c>
    </row>
    <row r="2233" ht="15.75" customHeight="1">
      <c r="A2233" s="1" t="s">
        <v>6588</v>
      </c>
      <c r="B2233" s="1">
        <v>5.0</v>
      </c>
      <c r="C2233" s="1" t="s">
        <v>6589</v>
      </c>
      <c r="D2233" s="1" t="s">
        <v>16</v>
      </c>
      <c r="E2233" s="1" t="s">
        <v>6590</v>
      </c>
      <c r="F2233" s="1" t="str">
        <f>IFERROR(__xludf.DUMMYFUNCTION("GOOGLETRANSLATE(A2233, ""zh-CN"", ""ko"")"),"목걸이")</f>
        <v>목걸이</v>
      </c>
    </row>
    <row r="2234" ht="15.75" customHeight="1">
      <c r="A2234" s="1" t="s">
        <v>6591</v>
      </c>
      <c r="B2234" s="1">
        <v>5.0</v>
      </c>
      <c r="C2234" s="1" t="s">
        <v>6592</v>
      </c>
      <c r="D2234" s="1" t="s">
        <v>16</v>
      </c>
      <c r="E2234" s="1" t="s">
        <v>6593</v>
      </c>
      <c r="F2234" s="1" t="str">
        <f>IFERROR(__xludf.DUMMYFUNCTION("GOOGLETRANSLATE(A2234, ""zh-CN"", ""ko"")"),"프로젝트")</f>
        <v>프로젝트</v>
      </c>
    </row>
    <row r="2235" ht="15.75" customHeight="1">
      <c r="A2235" s="1" t="s">
        <v>6594</v>
      </c>
      <c r="B2235" s="1">
        <v>5.0</v>
      </c>
      <c r="C2235" s="1" t="s">
        <v>6595</v>
      </c>
      <c r="D2235" s="1" t="s">
        <v>16</v>
      </c>
      <c r="E2235" s="1" t="s">
        <v>6596</v>
      </c>
      <c r="F2235" s="1" t="str">
        <f>IFERROR(__xludf.DUMMYFUNCTION("GOOGLETRANSLATE(A2235, ""zh-CN"", ""ko"")"),"체스")</f>
        <v>체스</v>
      </c>
    </row>
    <row r="2236" ht="15.75" customHeight="1">
      <c r="A2236" s="1" t="s">
        <v>6597</v>
      </c>
      <c r="B2236" s="1">
        <v>5.0</v>
      </c>
      <c r="C2236" s="1" t="s">
        <v>6598</v>
      </c>
      <c r="D2236" s="1" t="s">
        <v>8</v>
      </c>
      <c r="E2236" s="1" t="s">
        <v>6599</v>
      </c>
      <c r="F2236" s="1" t="str">
        <f>IFERROR(__xludf.DUMMYFUNCTION("GOOGLETRANSLATE(A2236, ""zh-CN"", ""ko"")"),"상징")</f>
        <v>상징</v>
      </c>
    </row>
    <row r="2237" ht="15.75" customHeight="1">
      <c r="A2237" s="1" t="s">
        <v>6600</v>
      </c>
      <c r="B2237" s="1">
        <v>5.0</v>
      </c>
      <c r="C2237" s="1" t="s">
        <v>6601</v>
      </c>
      <c r="D2237" s="1" t="s">
        <v>8</v>
      </c>
      <c r="E2237" s="1" t="s">
        <v>6602</v>
      </c>
      <c r="F2237" s="1" t="str">
        <f>IFERROR(__xludf.DUMMYFUNCTION("GOOGLETRANSLATE(A2237, ""zh-CN"", ""ko"")"),"소비")</f>
        <v>소비</v>
      </c>
    </row>
    <row r="2238" ht="15.75" customHeight="1">
      <c r="A2238" s="1" t="s">
        <v>6603</v>
      </c>
      <c r="B2238" s="1">
        <v>5.0</v>
      </c>
      <c r="C2238" s="1" t="s">
        <v>6604</v>
      </c>
      <c r="D2238" s="1" t="s">
        <v>8</v>
      </c>
      <c r="E2238" s="1" t="s">
        <v>6605</v>
      </c>
      <c r="F2238" s="1" t="str">
        <f>IFERROR(__xludf.DUMMYFUNCTION("GOOGLETRANSLATE(A2238, ""zh-CN"", ""ko"")"),"소화")</f>
        <v>소화</v>
      </c>
    </row>
    <row r="2239" ht="15.75" customHeight="1">
      <c r="A2239" s="1" t="s">
        <v>6606</v>
      </c>
      <c r="B2239" s="1">
        <v>5.0</v>
      </c>
      <c r="C2239" s="1" t="s">
        <v>6607</v>
      </c>
      <c r="D2239" s="1" t="s">
        <v>52</v>
      </c>
      <c r="E2239" s="1" t="s">
        <v>6608</v>
      </c>
      <c r="F2239" s="1" t="str">
        <f>IFERROR(__xludf.DUMMYFUNCTION("GOOGLETRANSLATE(A2239, ""zh-CN"", ""ko"")"),"부정적인")</f>
        <v>부정적인</v>
      </c>
    </row>
    <row r="2240" ht="15.75" customHeight="1">
      <c r="A2240" s="1" t="s">
        <v>6609</v>
      </c>
      <c r="B2240" s="1">
        <v>5.0</v>
      </c>
      <c r="C2240" s="1" t="s">
        <v>6610</v>
      </c>
      <c r="D2240" s="1" t="s">
        <v>8</v>
      </c>
      <c r="E2240" s="1" t="s">
        <v>6611</v>
      </c>
      <c r="F2240" s="1" t="str">
        <f>IFERROR(__xludf.DUMMYFUNCTION("GOOGLETRANSLATE(A2240, ""zh-CN"", ""ko"")"),"사라지다")</f>
        <v>사라지다</v>
      </c>
    </row>
    <row r="2241" ht="15.75" customHeight="1">
      <c r="A2241" s="1" t="s">
        <v>6612</v>
      </c>
      <c r="B2241" s="1">
        <v>5.0</v>
      </c>
      <c r="C2241" s="1" t="s">
        <v>6613</v>
      </c>
      <c r="D2241" s="1" t="s">
        <v>8</v>
      </c>
      <c r="E2241" s="1" t="s">
        <v>6614</v>
      </c>
      <c r="F2241" s="1" t="str">
        <f>IFERROR(__xludf.DUMMYFUNCTION("GOOGLETRANSLATE(A2241, ""zh-CN"", ""ko"")"),"판매")</f>
        <v>판매</v>
      </c>
    </row>
    <row r="2242" ht="15.75" customHeight="1">
      <c r="A2242" s="1" t="s">
        <v>6615</v>
      </c>
      <c r="B2242" s="1">
        <v>5.0</v>
      </c>
      <c r="C2242" s="1" t="s">
        <v>6616</v>
      </c>
      <c r="D2242" s="1" t="s">
        <v>16</v>
      </c>
      <c r="E2242" s="1" t="s">
        <v>6617</v>
      </c>
      <c r="F2242" s="1" t="str">
        <f>IFERROR(__xludf.DUMMYFUNCTION("GOOGLETRANSLATE(A2242, ""zh-CN"", ""ko"")"),"밀")</f>
        <v>밀</v>
      </c>
    </row>
    <row r="2243" ht="15.75" customHeight="1">
      <c r="A2243" s="1" t="s">
        <v>6618</v>
      </c>
      <c r="B2243" s="1">
        <v>5.0</v>
      </c>
      <c r="C2243" s="1" t="s">
        <v>6619</v>
      </c>
      <c r="D2243" s="1" t="s">
        <v>52</v>
      </c>
      <c r="E2243" s="1" t="s">
        <v>6620</v>
      </c>
      <c r="F2243" s="1" t="str">
        <f>IFERROR(__xludf.DUMMYFUNCTION("GOOGLETRANSLATE(A2243, ""zh-CN"", ""ko"")"),"평균")</f>
        <v>평균</v>
      </c>
    </row>
    <row r="2244" ht="15.75" customHeight="1">
      <c r="A2244" s="1" t="s">
        <v>6621</v>
      </c>
      <c r="B2244" s="1">
        <v>5.0</v>
      </c>
      <c r="C2244" s="1" t="s">
        <v>6622</v>
      </c>
      <c r="D2244" s="1" t="s">
        <v>16</v>
      </c>
      <c r="E2244" s="1" t="s">
        <v>6623</v>
      </c>
      <c r="F2244" s="1" t="str">
        <f>IFERROR(__xludf.DUMMYFUNCTION("GOOGLETRANSLATE(A2244, ""zh-CN"", ""ko"")"),"능률")</f>
        <v>능률</v>
      </c>
    </row>
    <row r="2245" ht="15.75" customHeight="1">
      <c r="A2245" s="1" t="s">
        <v>6624</v>
      </c>
      <c r="B2245" s="1">
        <v>5.0</v>
      </c>
      <c r="C2245" s="1" t="s">
        <v>6625</v>
      </c>
      <c r="D2245" s="1" t="s">
        <v>8</v>
      </c>
      <c r="E2245" s="1" t="s">
        <v>6626</v>
      </c>
      <c r="F2245" s="1" t="str">
        <f>IFERROR(__xludf.DUMMYFUNCTION("GOOGLETRANSLATE(A2245, ""zh-CN"", ""ko"")"),"효행")</f>
        <v>효행</v>
      </c>
    </row>
    <row r="2246" ht="15.75" customHeight="1">
      <c r="A2246" s="1" t="s">
        <v>6627</v>
      </c>
      <c r="B2246" s="1">
        <v>5.0</v>
      </c>
      <c r="C2246" s="1" t="s">
        <v>385</v>
      </c>
      <c r="D2246" s="1" t="s">
        <v>8</v>
      </c>
      <c r="E2246" s="1" t="s">
        <v>6628</v>
      </c>
      <c r="F2246" s="1" t="str">
        <f>IFERROR(__xludf.DUMMYFUNCTION("GOOGLETRANSLATE(A2246, ""zh-CN"", ""ko"")"),"나머지")</f>
        <v>나머지</v>
      </c>
    </row>
    <row r="2247" ht="15.75" customHeight="1">
      <c r="A2247" s="1" t="s">
        <v>6629</v>
      </c>
      <c r="B2247" s="1">
        <v>5.0</v>
      </c>
      <c r="C2247" s="1" t="s">
        <v>6630</v>
      </c>
      <c r="D2247" s="1" t="s">
        <v>1624</v>
      </c>
      <c r="E2247" s="1" t="s">
        <v>6631</v>
      </c>
      <c r="F2247" s="1" t="str">
        <f>IFERROR(__xludf.DUMMYFUNCTION("GOOGLETRANSLATE(A2247, ""zh-CN"", ""ko"")"),"경사")</f>
        <v>경사</v>
      </c>
    </row>
    <row r="2248" ht="15.75" customHeight="1">
      <c r="A2248" s="1" t="s">
        <v>6632</v>
      </c>
      <c r="B2248" s="1">
        <v>5.0</v>
      </c>
      <c r="C2248" s="1" t="s">
        <v>6633</v>
      </c>
      <c r="D2248" s="1" t="s">
        <v>8</v>
      </c>
      <c r="E2248" s="1" t="s">
        <v>6634</v>
      </c>
      <c r="F2248" s="1" t="str">
        <f>IFERROR(__xludf.DUMMYFUNCTION("GOOGLETRANSLATE(A2248, ""zh-CN"", ""ko"")"),"글쓰기")</f>
        <v>글쓰기</v>
      </c>
    </row>
    <row r="2249" ht="15.75" customHeight="1">
      <c r="A2249" s="1" t="s">
        <v>6635</v>
      </c>
      <c r="B2249" s="1">
        <v>5.0</v>
      </c>
      <c r="C2249" s="1" t="s">
        <v>6636</v>
      </c>
      <c r="D2249" s="1" t="s">
        <v>16</v>
      </c>
      <c r="E2249" s="1" t="s">
        <v>6637</v>
      </c>
      <c r="F2249" s="1" t="str">
        <f>IFERROR(__xludf.DUMMYFUNCTION("GOOGLETRANSLATE(A2249, ""zh-CN"", ""ko"")"),"심리학")</f>
        <v>심리학</v>
      </c>
    </row>
    <row r="2250" ht="15.75" customHeight="1">
      <c r="A2250" s="1" t="s">
        <v>6638</v>
      </c>
      <c r="B2250" s="1">
        <v>5.0</v>
      </c>
      <c r="C2250" s="1" t="s">
        <v>6639</v>
      </c>
      <c r="D2250" s="1" t="s">
        <v>8</v>
      </c>
      <c r="E2250" s="1" t="s">
        <v>6640</v>
      </c>
      <c r="F2250" s="1" t="str">
        <f>IFERROR(__xludf.DUMMYFUNCTION("GOOGLETRANSLATE(A2250, ""zh-CN"", ""ko"")"),"고마워하다")</f>
        <v>고마워하다</v>
      </c>
    </row>
    <row r="2251" ht="15.75" customHeight="1">
      <c r="A2251" s="1" t="s">
        <v>6641</v>
      </c>
      <c r="B2251" s="1">
        <v>5.0</v>
      </c>
      <c r="C2251" s="1" t="s">
        <v>6642</v>
      </c>
      <c r="D2251" s="1" t="s">
        <v>16</v>
      </c>
      <c r="E2251" s="1" t="s">
        <v>6643</v>
      </c>
      <c r="F2251" s="1" t="str">
        <f>IFERROR(__xludf.DUMMYFUNCTION("GOOGLETRANSLATE(A2251, ""zh-CN"", ""ko"")"),"마음")</f>
        <v>마음</v>
      </c>
    </row>
    <row r="2252" ht="15.75" customHeight="1">
      <c r="A2252" s="1" t="s">
        <v>6644</v>
      </c>
      <c r="B2252" s="1">
        <v>5.0</v>
      </c>
      <c r="C2252" s="1" t="s">
        <v>6645</v>
      </c>
      <c r="D2252" s="1" t="s">
        <v>16</v>
      </c>
      <c r="E2252" s="1" t="s">
        <v>6646</v>
      </c>
      <c r="F2252" s="1" t="str">
        <f>IFERROR(__xludf.DUMMYFUNCTION("GOOGLETRANSLATE(A2252, ""zh-CN"", ""ko"")"),"신호")</f>
        <v>신호</v>
      </c>
    </row>
    <row r="2253" ht="15.75" customHeight="1">
      <c r="A2253" s="1" t="s">
        <v>6647</v>
      </c>
      <c r="B2253" s="1">
        <v>5.0</v>
      </c>
      <c r="C2253" s="1" t="s">
        <v>6648</v>
      </c>
      <c r="D2253" s="1" t="s">
        <v>8</v>
      </c>
      <c r="E2253" s="1" t="s">
        <v>6649</v>
      </c>
      <c r="F2253" s="1" t="str">
        <f>IFERROR(__xludf.DUMMYFUNCTION("GOOGLETRANSLATE(A2253, ""zh-CN"", ""ko"")"),"신뢰하다")</f>
        <v>신뢰하다</v>
      </c>
    </row>
    <row r="2254" ht="15.75" customHeight="1">
      <c r="A2254" s="1" t="s">
        <v>6650</v>
      </c>
      <c r="B2254" s="1">
        <v>5.0</v>
      </c>
      <c r="C2254" s="1" t="s">
        <v>6651</v>
      </c>
      <c r="D2254" s="1" t="s">
        <v>8</v>
      </c>
      <c r="E2254" s="1" t="s">
        <v>6652</v>
      </c>
      <c r="F2254" s="1" t="str">
        <f>IFERROR(__xludf.DUMMYFUNCTION("GOOGLETRANSLATE(A2254, ""zh-CN"", ""ko"")"),"형태")</f>
        <v>형태</v>
      </c>
    </row>
    <row r="2255" ht="15.75" customHeight="1">
      <c r="A2255" s="1" t="s">
        <v>6653</v>
      </c>
      <c r="B2255" s="1">
        <v>5.0</v>
      </c>
      <c r="C2255" s="1" t="s">
        <v>6654</v>
      </c>
      <c r="D2255" s="1" t="s">
        <v>875</v>
      </c>
      <c r="E2255" s="1" t="s">
        <v>6655</v>
      </c>
      <c r="F2255" s="1" t="str">
        <f>IFERROR(__xludf.DUMMYFUNCTION("GOOGLETRANSLATE(A2255, ""zh-CN"", ""ko"")"),"행동")</f>
        <v>행동</v>
      </c>
    </row>
    <row r="2256" ht="15.75" customHeight="1">
      <c r="A2256" s="1" t="s">
        <v>6656</v>
      </c>
      <c r="B2256" s="1">
        <v>5.0</v>
      </c>
      <c r="C2256" s="1" t="s">
        <v>6657</v>
      </c>
      <c r="D2256" s="1" t="s">
        <v>16</v>
      </c>
      <c r="E2256" s="1" t="s">
        <v>6658</v>
      </c>
      <c r="F2256" s="1" t="str">
        <f>IFERROR(__xludf.DUMMYFUNCTION("GOOGLETRANSLATE(A2256, ""zh-CN"", ""ko"")"),"보행자")</f>
        <v>보행자</v>
      </c>
    </row>
    <row r="2257" ht="15.75" customHeight="1">
      <c r="A2257" s="1" t="s">
        <v>6659</v>
      </c>
      <c r="B2257" s="1">
        <v>5.0</v>
      </c>
      <c r="C2257" s="1" t="s">
        <v>6660</v>
      </c>
      <c r="D2257" s="1" t="s">
        <v>8</v>
      </c>
      <c r="E2257" s="1" t="s">
        <v>6661</v>
      </c>
      <c r="F2257" s="1" t="str">
        <f>IFERROR(__xludf.DUMMYFUNCTION("GOOGLETRANSLATE(A2257, ""zh-CN"", ""ko"")"),"설명하다")</f>
        <v>설명하다</v>
      </c>
    </row>
    <row r="2258" ht="15.75" customHeight="1">
      <c r="A2258" s="1" t="s">
        <v>6662</v>
      </c>
      <c r="B2258" s="1">
        <v>5.0</v>
      </c>
      <c r="C2258" s="1" t="s">
        <v>6663</v>
      </c>
      <c r="D2258" s="1" t="s">
        <v>16</v>
      </c>
      <c r="E2258" s="1" t="s">
        <v>6664</v>
      </c>
      <c r="F2258" s="1" t="str">
        <f>IFERROR(__xludf.DUMMYFUNCTION("GOOGLETRANSLATE(A2258, ""zh-CN"", ""ko"")"),"상황")</f>
        <v>상황</v>
      </c>
    </row>
    <row r="2259" ht="15.75" customHeight="1">
      <c r="A2259" s="1" t="s">
        <v>6665</v>
      </c>
      <c r="B2259" s="1">
        <v>5.0</v>
      </c>
      <c r="C2259" s="1" t="s">
        <v>6663</v>
      </c>
      <c r="D2259" s="1" t="s">
        <v>16</v>
      </c>
      <c r="E2259" s="1" t="s">
        <v>6666</v>
      </c>
      <c r="F2259" s="1" t="str">
        <f>IFERROR(__xludf.DUMMYFUNCTION("GOOGLETRANSLATE(A2259, ""zh-CN"", ""ko"")"),"형태")</f>
        <v>형태</v>
      </c>
    </row>
    <row r="2260" ht="15.75" customHeight="1">
      <c r="A2260" s="1" t="s">
        <v>6667</v>
      </c>
      <c r="B2260" s="1">
        <v>5.0</v>
      </c>
      <c r="C2260" s="1" t="s">
        <v>6668</v>
      </c>
      <c r="D2260" s="1" t="s">
        <v>16</v>
      </c>
      <c r="E2260" s="1" t="s">
        <v>6669</v>
      </c>
      <c r="F2260" s="1" t="str">
        <f>IFERROR(__xludf.DUMMYFUNCTION("GOOGLETRANSLATE(A2260, ""zh-CN"", ""ko"")"),"행동")</f>
        <v>행동</v>
      </c>
    </row>
    <row r="2261" ht="15.75" customHeight="1">
      <c r="A2261" s="1" t="s">
        <v>6670</v>
      </c>
      <c r="B2261" s="1">
        <v>5.0</v>
      </c>
      <c r="C2261" s="1" t="s">
        <v>6671</v>
      </c>
      <c r="D2261" s="1" t="s">
        <v>1842</v>
      </c>
      <c r="E2261" s="1" t="s">
        <v>6672</v>
      </c>
      <c r="F2261" s="1" t="str">
        <f>IFERROR(__xludf.DUMMYFUNCTION("GOOGLETRANSLATE(A2261, ""zh-CN"", ""ko"")"),"영상")</f>
        <v>영상</v>
      </c>
    </row>
    <row r="2262" ht="15.75" customHeight="1">
      <c r="A2262" s="1" t="s">
        <v>6673</v>
      </c>
      <c r="B2262" s="1">
        <v>5.0</v>
      </c>
      <c r="C2262" s="1" t="s">
        <v>6674</v>
      </c>
      <c r="D2262" s="1" t="s">
        <v>16</v>
      </c>
      <c r="E2262" s="1" t="s">
        <v>6675</v>
      </c>
      <c r="F2262" s="1" t="str">
        <f>IFERROR(__xludf.DUMMYFUNCTION("GOOGLETRANSLATE(A2262, ""zh-CN"", ""ko"")"),"모양")</f>
        <v>모양</v>
      </c>
    </row>
    <row r="2263" ht="15.75" customHeight="1">
      <c r="A2263" s="1" t="s">
        <v>6676</v>
      </c>
      <c r="B2263" s="1">
        <v>5.0</v>
      </c>
      <c r="C2263" s="1" t="s">
        <v>6677</v>
      </c>
      <c r="D2263" s="1" t="s">
        <v>33</v>
      </c>
      <c r="E2263" s="1" t="s">
        <v>6678</v>
      </c>
      <c r="F2263" s="1" t="str">
        <f>IFERROR(__xludf.DUMMYFUNCTION("GOOGLETRANSLATE(A2263, ""zh-CN"", ""ko"")"),"다행스럽게도")</f>
        <v>다행스럽게도</v>
      </c>
    </row>
    <row r="2264" ht="15.75" customHeight="1">
      <c r="A2264" s="1" t="s">
        <v>6679</v>
      </c>
      <c r="B2264" s="1">
        <v>5.0</v>
      </c>
      <c r="C2264" s="1" t="s">
        <v>6680</v>
      </c>
      <c r="D2264" s="1" t="s">
        <v>52</v>
      </c>
      <c r="E2264" s="1" t="s">
        <v>6681</v>
      </c>
      <c r="F2264" s="1" t="str">
        <f>IFERROR(__xludf.DUMMYFUNCTION("GOOGLETRANSLATE(A2264, ""zh-CN"", ""ko"")"),"운이 좋은")</f>
        <v>운이 좋은</v>
      </c>
    </row>
    <row r="2265" ht="15.75" customHeight="1">
      <c r="A2265" s="1" t="s">
        <v>6682</v>
      </c>
      <c r="B2265" s="1">
        <v>5.0</v>
      </c>
      <c r="C2265" s="1" t="s">
        <v>6683</v>
      </c>
      <c r="D2265" s="1" t="s">
        <v>16</v>
      </c>
      <c r="E2265" s="1" t="s">
        <v>6684</v>
      </c>
      <c r="F2265" s="1" t="str">
        <f>IFERROR(__xludf.DUMMYFUNCTION("GOOGLETRANSLATE(A2265, ""zh-CN"", ""ko"")"),"자연")</f>
        <v>자연</v>
      </c>
    </row>
    <row r="2266" ht="15.75" customHeight="1">
      <c r="A2266" s="1" t="s">
        <v>6685</v>
      </c>
      <c r="B2266" s="1">
        <v>5.0</v>
      </c>
      <c r="C2266" s="1" t="s">
        <v>6686</v>
      </c>
      <c r="D2266" s="1" t="s">
        <v>16</v>
      </c>
      <c r="E2266" s="1" t="s">
        <v>6687</v>
      </c>
      <c r="F2266" s="1" t="str">
        <f>IFERROR(__xludf.DUMMYFUNCTION("GOOGLETRANSLATE(A2266, ""zh-CN"", ""ko"")"),"가슴")</f>
        <v>가슴</v>
      </c>
    </row>
    <row r="2267" ht="15.75" customHeight="1">
      <c r="A2267" s="1" t="s">
        <v>6688</v>
      </c>
      <c r="B2267" s="1">
        <v>5.0</v>
      </c>
      <c r="C2267" s="1" t="s">
        <v>6689</v>
      </c>
      <c r="D2267" s="1" t="s">
        <v>16</v>
      </c>
      <c r="E2267" s="1" t="s">
        <v>6690</v>
      </c>
      <c r="F2267" s="1" t="str">
        <f>IFERROR(__xludf.DUMMYFUNCTION("GOOGLETRANSLATE(A2267, ""zh-CN"", ""ko"")"),"형제")</f>
        <v>형제</v>
      </c>
    </row>
    <row r="2268" ht="15.75" customHeight="1">
      <c r="A2268" s="1" t="s">
        <v>6691</v>
      </c>
      <c r="B2268" s="1">
        <v>5.0</v>
      </c>
      <c r="C2268" s="1" t="s">
        <v>6692</v>
      </c>
      <c r="D2268" s="1" t="s">
        <v>8</v>
      </c>
      <c r="E2268" s="1" t="s">
        <v>6693</v>
      </c>
      <c r="F2268" s="1" t="str">
        <f>IFERROR(__xludf.DUMMYFUNCTION("GOOGLETRANSLATE(A2268, ""zh-CN"", ""ko"")"),"개정하다")</f>
        <v>개정하다</v>
      </c>
    </row>
    <row r="2269" ht="15.75" customHeight="1">
      <c r="A2269" s="1" t="s">
        <v>6694</v>
      </c>
      <c r="B2269" s="1">
        <v>5.0</v>
      </c>
      <c r="C2269" s="1" t="s">
        <v>6695</v>
      </c>
      <c r="D2269" s="1" t="s">
        <v>8</v>
      </c>
      <c r="E2269" s="1" t="s">
        <v>6696</v>
      </c>
      <c r="F2269" s="1" t="str">
        <f>IFERROR(__xludf.DUMMYFUNCTION("GOOGLETRANSLATE(A2269, ""zh-CN"", ""ko"")"),"여가")</f>
        <v>여가</v>
      </c>
    </row>
    <row r="2270" ht="15.75" customHeight="1">
      <c r="A2270" s="1" t="s">
        <v>6697</v>
      </c>
      <c r="B2270" s="1">
        <v>5.0</v>
      </c>
      <c r="C2270" s="1" t="s">
        <v>6698</v>
      </c>
      <c r="D2270" s="1" t="s">
        <v>52</v>
      </c>
      <c r="E2270" s="1" t="s">
        <v>6699</v>
      </c>
      <c r="F2270" s="1" t="str">
        <f>IFERROR(__xludf.DUMMYFUNCTION("GOOGLETRANSLATE(A2270, ""zh-CN"", ""ko"")"),"겸손")</f>
        <v>겸손</v>
      </c>
    </row>
    <row r="2271" ht="15.75" customHeight="1">
      <c r="A2271" s="1" t="s">
        <v>6700</v>
      </c>
      <c r="B2271" s="1">
        <v>5.0</v>
      </c>
      <c r="C2271" s="1" t="s">
        <v>6701</v>
      </c>
      <c r="D2271" s="1" t="s">
        <v>8</v>
      </c>
      <c r="E2271" s="1" t="s">
        <v>6702</v>
      </c>
      <c r="F2271" s="1" t="str">
        <f>IFERROR(__xludf.DUMMYFUNCTION("GOOGLETRANSLATE(A2271, ""zh-CN"", ""ko"")"),"이야기")</f>
        <v>이야기</v>
      </c>
    </row>
    <row r="2272" ht="15.75" customHeight="1">
      <c r="A2272" s="1" t="s">
        <v>6703</v>
      </c>
      <c r="B2272" s="1">
        <v>5.0</v>
      </c>
      <c r="C2272" s="1" t="s">
        <v>6704</v>
      </c>
      <c r="D2272" s="1" t="s">
        <v>8</v>
      </c>
      <c r="E2272" s="1" t="s">
        <v>6705</v>
      </c>
      <c r="F2272" s="1" t="str">
        <f>IFERROR(__xludf.DUMMYFUNCTION("GOOGLETRANSLATE(A2272, ""zh-CN"", ""ko"")"),"발표하다")</f>
        <v>발표하다</v>
      </c>
    </row>
    <row r="2273" ht="15.75" customHeight="1">
      <c r="A2273" s="1" t="s">
        <v>6706</v>
      </c>
      <c r="B2273" s="1">
        <v>5.0</v>
      </c>
      <c r="C2273" s="1" t="s">
        <v>6707</v>
      </c>
      <c r="D2273" s="1" t="s">
        <v>8</v>
      </c>
      <c r="E2273" s="1" t="s">
        <v>6708</v>
      </c>
      <c r="F2273" s="1" t="str">
        <f>IFERROR(__xludf.DUMMYFUNCTION("GOOGLETRANSLATE(A2273, ""zh-CN"", ""ko"")"),"널리 알려짐")</f>
        <v>널리 알려짐</v>
      </c>
    </row>
    <row r="2274" ht="15.75" customHeight="1">
      <c r="A2274" s="1" t="s">
        <v>6709</v>
      </c>
      <c r="B2274" s="1">
        <v>5.0</v>
      </c>
      <c r="C2274" s="1" t="s">
        <v>6710</v>
      </c>
      <c r="D2274" s="1" t="s">
        <v>16</v>
      </c>
      <c r="E2274" s="1" t="s">
        <v>6711</v>
      </c>
      <c r="F2274" s="1" t="str">
        <f>IFERROR(__xludf.DUMMYFUNCTION("GOOGLETRANSLATE(A2274, ""zh-CN"", ""ko"")"),"교육")</f>
        <v>교육</v>
      </c>
    </row>
    <row r="2275" ht="15.75" customHeight="1">
      <c r="A2275" s="1" t="s">
        <v>6712</v>
      </c>
      <c r="B2275" s="1">
        <v>5.0</v>
      </c>
      <c r="C2275" s="1" t="s">
        <v>6713</v>
      </c>
      <c r="D2275" s="1" t="s">
        <v>16</v>
      </c>
      <c r="E2275" s="1" t="s">
        <v>6714</v>
      </c>
      <c r="F2275" s="1" t="str">
        <f>IFERROR(__xludf.DUMMYFUNCTION("GOOGLETRANSLATE(A2275, ""zh-CN"", ""ko"")"),"학생")</f>
        <v>학생</v>
      </c>
    </row>
    <row r="2276" ht="15.75" customHeight="1">
      <c r="A2276" s="1" t="s">
        <v>6715</v>
      </c>
      <c r="B2276" s="1">
        <v>5.0</v>
      </c>
      <c r="C2276" s="1" t="s">
        <v>6716</v>
      </c>
      <c r="D2276" s="1" t="s">
        <v>16</v>
      </c>
      <c r="E2276" s="1" t="s">
        <v>6717</v>
      </c>
      <c r="F2276" s="1" t="str">
        <f>IFERROR(__xludf.DUMMYFUNCTION("GOOGLETRANSLATE(A2276, ""zh-CN"", ""ko"")"),"지식")</f>
        <v>지식</v>
      </c>
    </row>
    <row r="2277" ht="15.75" customHeight="1">
      <c r="A2277" s="1" t="s">
        <v>6718</v>
      </c>
      <c r="B2277" s="1">
        <v>5.0</v>
      </c>
      <c r="C2277" s="1" t="s">
        <v>6719</v>
      </c>
      <c r="D2277" s="1" t="s">
        <v>16</v>
      </c>
      <c r="E2277" s="1" t="s">
        <v>6720</v>
      </c>
      <c r="F2277" s="1" t="str">
        <f>IFERROR(__xludf.DUMMYFUNCTION("GOOGLETRANSLATE(A2277, ""zh-CN"", ""ko"")"),"피")</f>
        <v>피</v>
      </c>
    </row>
    <row r="2278" ht="15.75" customHeight="1">
      <c r="A2278" s="1" t="s">
        <v>6721</v>
      </c>
      <c r="B2278" s="1">
        <v>5.0</v>
      </c>
      <c r="C2278" s="1" t="s">
        <v>6722</v>
      </c>
      <c r="D2278" s="1" t="s">
        <v>8</v>
      </c>
      <c r="E2278" s="1" t="s">
        <v>6723</v>
      </c>
      <c r="F2278" s="1" t="str">
        <f>IFERROR(__xludf.DUMMYFUNCTION("GOOGLETRANSLATE(A2278, ""zh-CN"", ""ko"")"),"묻다")</f>
        <v>묻다</v>
      </c>
    </row>
    <row r="2279" ht="15.75" customHeight="1">
      <c r="A2279" s="1" t="s">
        <v>6724</v>
      </c>
      <c r="B2279" s="1">
        <v>5.0</v>
      </c>
      <c r="C2279" s="1" t="s">
        <v>6725</v>
      </c>
      <c r="D2279" s="1" t="s">
        <v>8</v>
      </c>
      <c r="E2279" s="1" t="s">
        <v>6726</v>
      </c>
      <c r="F2279" s="1" t="str">
        <f>IFERROR(__xludf.DUMMYFUNCTION("GOOGLETRANSLATE(A2279, ""zh-CN"", ""ko"")"),"찾다")</f>
        <v>찾다</v>
      </c>
    </row>
    <row r="2280" ht="15.75" customHeight="1">
      <c r="A2280" s="1" t="s">
        <v>6727</v>
      </c>
      <c r="B2280" s="1">
        <v>5.0</v>
      </c>
      <c r="C2280" s="1" t="s">
        <v>6728</v>
      </c>
      <c r="D2280" s="1" t="s">
        <v>8</v>
      </c>
      <c r="E2280" s="1" t="s">
        <v>6729</v>
      </c>
      <c r="F2280" s="1" t="str">
        <f>IFERROR(__xludf.DUMMYFUNCTION("GOOGLETRANSLATE(A2280, ""zh-CN"", ""ko"")"),"기차")</f>
        <v>기차</v>
      </c>
    </row>
    <row r="2281" ht="15.75" customHeight="1">
      <c r="A2281" s="1" t="s">
        <v>6730</v>
      </c>
      <c r="B2281" s="1">
        <v>5.0</v>
      </c>
      <c r="C2281" s="1" t="s">
        <v>6731</v>
      </c>
      <c r="D2281" s="1" t="s">
        <v>52</v>
      </c>
      <c r="E2281" s="1" t="s">
        <v>6732</v>
      </c>
      <c r="F2281" s="1" t="str">
        <f>IFERROR(__xludf.DUMMYFUNCTION("GOOGLETRANSLATE(A2281, ""zh-CN"", ""ko"")"),"빠른")</f>
        <v>빠른</v>
      </c>
    </row>
    <row r="2282" ht="15.75" customHeight="1">
      <c r="A2282" s="1" t="s">
        <v>6733</v>
      </c>
      <c r="B2282" s="1">
        <v>5.0</v>
      </c>
      <c r="C2282" s="1" t="s">
        <v>6734</v>
      </c>
      <c r="D2282" s="1" t="s">
        <v>16</v>
      </c>
      <c r="E2282" s="1" t="s">
        <v>6735</v>
      </c>
      <c r="F2282" s="1" t="str">
        <f>IFERROR(__xludf.DUMMYFUNCTION("GOOGLETRANSLATE(A2282, ""zh-CN"", ""ko"")"),"악기")</f>
        <v>악기</v>
      </c>
    </row>
    <row r="2283" ht="15.75" customHeight="1">
      <c r="A2283" s="1" t="s">
        <v>6736</v>
      </c>
      <c r="B2283" s="1">
        <v>5.0</v>
      </c>
      <c r="C2283" s="1" t="s">
        <v>6737</v>
      </c>
      <c r="D2283" s="1" t="s">
        <v>16</v>
      </c>
      <c r="E2283" s="1" t="s">
        <v>6738</v>
      </c>
      <c r="F2283" s="1" t="str">
        <f>IFERROR(__xludf.DUMMYFUNCTION("GOOGLETRANSLATE(A2283, ""zh-CN"", ""ko"")"),"보증금")</f>
        <v>보증금</v>
      </c>
    </row>
    <row r="2284" ht="15.75" customHeight="1">
      <c r="A2284" s="1" t="s">
        <v>6739</v>
      </c>
      <c r="B2284" s="1">
        <v>5.0</v>
      </c>
      <c r="C2284" s="1" t="s">
        <v>6740</v>
      </c>
      <c r="D2284" s="1" t="s">
        <v>16</v>
      </c>
      <c r="E2284" s="1" t="s">
        <v>6741</v>
      </c>
      <c r="F2284" s="1" t="str">
        <f>IFERROR(__xludf.DUMMYFUNCTION("GOOGLETRANSLATE(A2284, ""zh-CN"", ""ko"")"),"이")</f>
        <v>이</v>
      </c>
    </row>
    <row r="2285" ht="15.75" customHeight="1">
      <c r="A2285" s="1" t="s">
        <v>6742</v>
      </c>
      <c r="B2285" s="1">
        <v>5.0</v>
      </c>
      <c r="C2285" s="1" t="s">
        <v>6743</v>
      </c>
      <c r="D2285" s="1" t="s">
        <v>8</v>
      </c>
      <c r="E2285" s="1" t="s">
        <v>6744</v>
      </c>
      <c r="F2285" s="1" t="str">
        <f>IFERROR(__xludf.DUMMYFUNCTION("GOOGLETRANSLATE(A2285, ""zh-CN"", ""ko"")"),"연장하다")</f>
        <v>연장하다</v>
      </c>
    </row>
    <row r="2286" ht="15.75" customHeight="1">
      <c r="A2286" s="1" t="s">
        <v>6745</v>
      </c>
      <c r="B2286" s="1">
        <v>5.0</v>
      </c>
      <c r="C2286" s="1" t="s">
        <v>6746</v>
      </c>
      <c r="D2286" s="1" t="s">
        <v>52</v>
      </c>
      <c r="E2286" s="1" t="s">
        <v>6747</v>
      </c>
      <c r="F2286" s="1" t="str">
        <f>IFERROR(__xludf.DUMMYFUNCTION("GOOGLETRANSLATE(A2286, ""zh-CN"", ""ko"")"),"심각한")</f>
        <v>심각한</v>
      </c>
    </row>
    <row r="2287" ht="15.75" customHeight="1">
      <c r="A2287" s="1" t="s">
        <v>6748</v>
      </c>
      <c r="B2287" s="1">
        <v>5.0</v>
      </c>
      <c r="C2287" s="1" t="s">
        <v>6749</v>
      </c>
      <c r="D2287" s="1" t="s">
        <v>8</v>
      </c>
      <c r="E2287" s="1" t="s">
        <v>6750</v>
      </c>
      <c r="F2287" s="1" t="str">
        <f>IFERROR(__xludf.DUMMYFUNCTION("GOOGLETRANSLATE(A2287, ""zh-CN"", ""ko"")"),"연설")</f>
        <v>연설</v>
      </c>
    </row>
    <row r="2288" ht="15.75" customHeight="1">
      <c r="A2288" s="1" t="s">
        <v>6751</v>
      </c>
      <c r="B2288" s="1">
        <v>5.0</v>
      </c>
      <c r="C2288" s="1" t="s">
        <v>6752</v>
      </c>
      <c r="D2288" s="1" t="s">
        <v>16</v>
      </c>
      <c r="E2288" s="1" t="s">
        <v>6753</v>
      </c>
      <c r="F2288" s="1" t="str">
        <f>IFERROR(__xludf.DUMMYFUNCTION("GOOGLETRANSLATE(A2288, ""zh-CN"", ""ko"")"),"연회")</f>
        <v>연회</v>
      </c>
    </row>
    <row r="2289" ht="15.75" customHeight="1">
      <c r="A2289" s="1" t="s">
        <v>6754</v>
      </c>
      <c r="B2289" s="1">
        <v>5.0</v>
      </c>
      <c r="C2289" s="1" t="s">
        <v>6755</v>
      </c>
      <c r="D2289" s="1" t="s">
        <v>16</v>
      </c>
      <c r="E2289" s="1" t="s">
        <v>6756</v>
      </c>
      <c r="F2289" s="1" t="str">
        <f>IFERROR(__xludf.DUMMYFUNCTION("GOOGLETRANSLATE(A2289, ""zh-CN"", ""ko"")"),"발코니")</f>
        <v>발코니</v>
      </c>
    </row>
    <row r="2290" ht="15.75" customHeight="1">
      <c r="A2290" s="1" t="s">
        <v>6757</v>
      </c>
      <c r="B2290" s="1">
        <v>5.0</v>
      </c>
      <c r="C2290" s="1" t="s">
        <v>6758</v>
      </c>
      <c r="D2290" s="1" t="s">
        <v>52</v>
      </c>
      <c r="E2290" s="1" t="s">
        <v>6759</v>
      </c>
      <c r="F2290" s="1" t="str">
        <f>IFERROR(__xludf.DUMMYFUNCTION("GOOGLETRANSLATE(A2290, ""zh-CN"", ""ko"")"),"가려움")</f>
        <v>가려움</v>
      </c>
    </row>
    <row r="2291" ht="15.75" customHeight="1">
      <c r="A2291" s="1" t="s">
        <v>6760</v>
      </c>
      <c r="B2291" s="1">
        <v>5.0</v>
      </c>
      <c r="C2291" s="1" t="s">
        <v>6761</v>
      </c>
      <c r="D2291" s="1" t="s">
        <v>16</v>
      </c>
      <c r="E2291" s="1" t="s">
        <v>6762</v>
      </c>
      <c r="F2291" s="1" t="str">
        <f>IFERROR(__xludf.DUMMYFUNCTION("GOOGLETRANSLATE(A2291, ""zh-CN"", ""ko"")"),"스타일")</f>
        <v>스타일</v>
      </c>
    </row>
    <row r="2292" ht="15.75" customHeight="1">
      <c r="A2292" s="1" t="s">
        <v>6763</v>
      </c>
      <c r="B2292" s="1">
        <v>5.0</v>
      </c>
      <c r="C2292" s="1" t="s">
        <v>6764</v>
      </c>
      <c r="D2292" s="1" t="s">
        <v>16</v>
      </c>
      <c r="E2292" s="1" t="s">
        <v>6765</v>
      </c>
      <c r="F2292" s="1" t="str">
        <f>IFERROR(__xludf.DUMMYFUNCTION("GOOGLETRANSLATE(A2292, ""zh-CN"", ""ko"")"),"허리")</f>
        <v>허리</v>
      </c>
    </row>
    <row r="2293" ht="15.75" customHeight="1">
      <c r="A2293" s="1" t="s">
        <v>6766</v>
      </c>
      <c r="B2293" s="1">
        <v>5.0</v>
      </c>
      <c r="C2293" s="1" t="s">
        <v>6767</v>
      </c>
      <c r="D2293" s="1" t="s">
        <v>8</v>
      </c>
      <c r="E2293" s="1" t="s">
        <v>6768</v>
      </c>
      <c r="F2293" s="1" t="str">
        <f>IFERROR(__xludf.DUMMYFUNCTION("GOOGLETRANSLATE(A2293, ""zh-CN"", ""ko"")"),"떨림")</f>
        <v>떨림</v>
      </c>
    </row>
    <row r="2294" ht="15.75" customHeight="1">
      <c r="A2294" s="1" t="s">
        <v>6769</v>
      </c>
      <c r="B2294" s="1">
        <v>5.0</v>
      </c>
      <c r="C2294" s="1" t="s">
        <v>6770</v>
      </c>
      <c r="D2294" s="1" t="s">
        <v>8</v>
      </c>
      <c r="E2294" s="1" t="s">
        <v>6771</v>
      </c>
      <c r="F2294" s="1" t="str">
        <f>IFERROR(__xludf.DUMMYFUNCTION("GOOGLETRANSLATE(A2294, ""zh-CN"", ""ko"")"),"깨물다")</f>
        <v>깨물다</v>
      </c>
    </row>
    <row r="2295" ht="15.75" customHeight="1">
      <c r="A2295" s="1" t="s">
        <v>6772</v>
      </c>
      <c r="B2295" s="1">
        <v>5.0</v>
      </c>
      <c r="C2295" s="1" t="s">
        <v>6773</v>
      </c>
      <c r="D2295" s="1" t="s">
        <v>1473</v>
      </c>
      <c r="E2295" s="1" t="s">
        <v>6774</v>
      </c>
      <c r="F2295" s="1" t="str">
        <f>IFERROR(__xludf.DUMMYFUNCTION("GOOGLETRANSLATE(A2295, ""zh-CN"", ""ko"")"),"또는")</f>
        <v>또는</v>
      </c>
    </row>
    <row r="2296" ht="15.75" customHeight="1">
      <c r="A2296" s="1" t="s">
        <v>6775</v>
      </c>
      <c r="B2296" s="1">
        <v>5.0</v>
      </c>
      <c r="C2296" s="1" t="s">
        <v>3267</v>
      </c>
      <c r="D2296" s="1" t="s">
        <v>16</v>
      </c>
      <c r="E2296" s="1" t="s">
        <v>6776</v>
      </c>
      <c r="F2296" s="1" t="str">
        <f>IFERROR(__xludf.DUMMYFUNCTION("GOOGLETRANSLATE(A2296, ""zh-CN"", ""ko"")"),"밤")</f>
        <v>밤</v>
      </c>
    </row>
    <row r="2297" ht="15.75" customHeight="1">
      <c r="A2297" s="1" t="s">
        <v>6777</v>
      </c>
      <c r="B2297" s="1">
        <v>5.0</v>
      </c>
      <c r="C2297" s="1" t="s">
        <v>6778</v>
      </c>
      <c r="D2297" s="1" t="s">
        <v>16</v>
      </c>
      <c r="E2297" s="1" t="s">
        <v>6779</v>
      </c>
      <c r="F2297" s="1" t="str">
        <f>IFERROR(__xludf.DUMMYFUNCTION("GOOGLETRANSLATE(A2297, ""zh-CN"", ""ko"")"),"사업")</f>
        <v>사업</v>
      </c>
    </row>
    <row r="2298" ht="15.75" customHeight="1">
      <c r="A2298" s="1" t="s">
        <v>6780</v>
      </c>
      <c r="B2298" s="1">
        <v>5.0</v>
      </c>
      <c r="C2298" s="1" t="s">
        <v>6781</v>
      </c>
      <c r="D2298" s="1" t="s">
        <v>52</v>
      </c>
      <c r="E2298" s="1" t="s">
        <v>6782</v>
      </c>
      <c r="F2298" s="1" t="str">
        <f>IFERROR(__xludf.DUMMYFUNCTION("GOOGLETRANSLATE(A2298, ""zh-CN"", ""ko"")"),"아마추어")</f>
        <v>아마추어</v>
      </c>
    </row>
    <row r="2299" ht="15.75" customHeight="1">
      <c r="A2299" s="1" t="s">
        <v>6783</v>
      </c>
      <c r="B2299" s="1">
        <v>5.0</v>
      </c>
      <c r="C2299" s="1" t="s">
        <v>6784</v>
      </c>
      <c r="D2299" s="1" t="s">
        <v>33</v>
      </c>
      <c r="E2299" s="1" t="s">
        <v>6785</v>
      </c>
      <c r="F2299" s="1" t="str">
        <f>IFERROR(__xludf.DUMMYFUNCTION("GOOGLETRANSLATE(A2299, ""zh-CN"", ""ko"")"),"아직")</f>
        <v>아직</v>
      </c>
    </row>
    <row r="2300" ht="15.75" customHeight="1">
      <c r="A2300" s="1" t="s">
        <v>6786</v>
      </c>
      <c r="B2300" s="1">
        <v>5.0</v>
      </c>
      <c r="C2300" s="1" t="s">
        <v>6787</v>
      </c>
      <c r="D2300" s="1" t="s">
        <v>16</v>
      </c>
      <c r="E2300" s="1" t="s">
        <v>6788</v>
      </c>
      <c r="F2300" s="1" t="str">
        <f>IFERROR(__xludf.DUMMYFUNCTION("GOOGLETRANSLATE(A2300, ""zh-CN"", ""ko"")"),"일생")</f>
        <v>일생</v>
      </c>
    </row>
    <row r="2301" ht="15.75" customHeight="1">
      <c r="A2301" s="1" t="s">
        <v>6789</v>
      </c>
      <c r="B2301" s="1">
        <v>5.0</v>
      </c>
      <c r="C2301" s="1" t="s">
        <v>6790</v>
      </c>
      <c r="D2301" s="1" t="s">
        <v>33</v>
      </c>
      <c r="E2301" s="1" t="s">
        <v>6791</v>
      </c>
      <c r="F2301" s="1" t="str">
        <f>IFERROR(__xludf.DUMMYFUNCTION("GOOGLETRANSLATE(A2301, ""zh-CN"", ""ko"")"),"한 번")</f>
        <v>한 번</v>
      </c>
    </row>
    <row r="2302" ht="15.75" customHeight="1">
      <c r="A2302" s="1" t="s">
        <v>6792</v>
      </c>
      <c r="B2302" s="1">
        <v>5.0</v>
      </c>
      <c r="C2302" s="1" t="s">
        <v>6793</v>
      </c>
      <c r="D2302" s="1" t="s">
        <v>8</v>
      </c>
      <c r="E2302" s="1" t="s">
        <v>6794</v>
      </c>
      <c r="F2302" s="1" t="str">
        <f>IFERROR(__xludf.DUMMYFUNCTION("GOOGLETRANSLATE(A2302, ""zh-CN"", ""ko"")"),"이동하다")</f>
        <v>이동하다</v>
      </c>
    </row>
    <row r="2303" ht="15.75" customHeight="1">
      <c r="A2303" s="1" t="s">
        <v>6795</v>
      </c>
      <c r="B2303" s="1">
        <v>5.0</v>
      </c>
      <c r="C2303" s="1" t="s">
        <v>6796</v>
      </c>
      <c r="D2303" s="1" t="s">
        <v>1842</v>
      </c>
      <c r="E2303" s="1" t="s">
        <v>6797</v>
      </c>
      <c r="F2303" s="1" t="str">
        <f>IFERROR(__xludf.DUMMYFUNCTION("GOOGLETRANSLATE(A2303, ""zh-CN"", ""ko"")"),"연민")</f>
        <v>연민</v>
      </c>
    </row>
    <row r="2304" ht="15.75" customHeight="1">
      <c r="A2304" s="1" t="s">
        <v>6798</v>
      </c>
      <c r="B2304" s="1">
        <v>5.0</v>
      </c>
      <c r="C2304" s="1" t="s">
        <v>6799</v>
      </c>
      <c r="D2304" s="1" t="s">
        <v>33</v>
      </c>
      <c r="E2304" s="1" t="s">
        <v>6800</v>
      </c>
      <c r="F2304" s="1" t="str">
        <f>IFERROR(__xludf.DUMMYFUNCTION("GOOGLETRANSLATE(A2304, ""zh-CN"", ""ko"")"),"모두")</f>
        <v>모두</v>
      </c>
    </row>
    <row r="2305" ht="15.75" customHeight="1">
      <c r="A2305" s="1" t="s">
        <v>6801</v>
      </c>
      <c r="B2305" s="1">
        <v>5.0</v>
      </c>
      <c r="C2305" s="1" t="s">
        <v>6802</v>
      </c>
      <c r="D2305" s="1" t="s">
        <v>875</v>
      </c>
      <c r="E2305" s="1" t="s">
        <v>6803</v>
      </c>
      <c r="F2305" s="1" t="str">
        <f>IFERROR(__xludf.DUMMYFUNCTION("GOOGLETRANSLATE(A2305, ""zh-CN"", ""ko"")"),"이주자")</f>
        <v>이주자</v>
      </c>
    </row>
    <row r="2306" ht="15.75" customHeight="1">
      <c r="A2306" s="1" t="s">
        <v>6804</v>
      </c>
      <c r="B2306" s="1">
        <v>5.0</v>
      </c>
      <c r="C2306" s="1" t="s">
        <v>6805</v>
      </c>
      <c r="D2306" s="1" t="s">
        <v>16</v>
      </c>
      <c r="E2306" s="1" t="s">
        <v>6806</v>
      </c>
      <c r="F2306" s="1" t="str">
        <f>IFERROR(__xludf.DUMMYFUNCTION("GOOGLETRANSLATE(A2306, ""zh-CN"", ""ko"")"),"의심")</f>
        <v>의심</v>
      </c>
    </row>
    <row r="2307" ht="15.75" customHeight="1">
      <c r="A2307" s="1" t="s">
        <v>6807</v>
      </c>
      <c r="B2307" s="1">
        <v>5.0</v>
      </c>
      <c r="C2307" s="1" t="s">
        <v>6808</v>
      </c>
      <c r="D2307" s="1" t="s">
        <v>33</v>
      </c>
      <c r="E2307" s="1" t="s">
        <v>6809</v>
      </c>
      <c r="F2307" s="1" t="str">
        <f>IFERROR(__xludf.DUMMYFUNCTION("GOOGLETRANSLATE(A2307, ""zh-CN"", ""ko"")"),"자꾸")</f>
        <v>자꾸</v>
      </c>
    </row>
    <row r="2308" ht="15.75" customHeight="1">
      <c r="A2308" s="1" t="s">
        <v>6810</v>
      </c>
      <c r="B2308" s="1">
        <v>5.0</v>
      </c>
      <c r="C2308" s="1" t="s">
        <v>6811</v>
      </c>
      <c r="D2308" s="1" t="s">
        <v>1994</v>
      </c>
      <c r="E2308" s="1" t="s">
        <v>6812</v>
      </c>
      <c r="F2308" s="1" t="str">
        <f>IFERROR(__xludf.DUMMYFUNCTION("GOOGLETRANSLATE(A2308, ""zh-CN"", ""ko"")"),"일관된")</f>
        <v>일관된</v>
      </c>
    </row>
    <row r="2309" ht="15.75" customHeight="1">
      <c r="A2309" s="1" t="s">
        <v>6813</v>
      </c>
      <c r="B2309" s="1">
        <v>5.0</v>
      </c>
      <c r="C2309" s="1" t="s">
        <v>3276</v>
      </c>
      <c r="D2309" s="1" t="s">
        <v>16</v>
      </c>
      <c r="E2309" s="1" t="s">
        <v>6814</v>
      </c>
      <c r="F2309" s="1" t="str">
        <f>IFERROR(__xludf.DUMMYFUNCTION("GOOGLETRANSLATE(A2309, ""zh-CN"", ""ko"")"),"두번째")</f>
        <v>두번째</v>
      </c>
    </row>
    <row r="2310" ht="15.75" customHeight="1">
      <c r="A2310" s="1" t="s">
        <v>6815</v>
      </c>
      <c r="B2310" s="1">
        <v>5.0</v>
      </c>
      <c r="C2310" s="1" t="s">
        <v>6816</v>
      </c>
      <c r="D2310" s="1" t="s">
        <v>1473</v>
      </c>
      <c r="E2310" s="1" t="s">
        <v>6817</v>
      </c>
      <c r="F2310" s="1" t="str">
        <f>IFERROR(__xludf.DUMMYFUNCTION("GOOGLETRANSLATE(A2310, ""zh-CN"", ""ko"")"),"게다가")</f>
        <v>게다가</v>
      </c>
    </row>
    <row r="2311" ht="15.75" customHeight="1">
      <c r="A2311" s="1" t="s">
        <v>6818</v>
      </c>
      <c r="B2311" s="1">
        <v>5.0</v>
      </c>
      <c r="C2311" s="1" t="s">
        <v>6819</v>
      </c>
      <c r="D2311" s="1" t="s">
        <v>16</v>
      </c>
      <c r="E2311" s="1" t="s">
        <v>2347</v>
      </c>
      <c r="F2311" s="1" t="str">
        <f>IFERROR(__xludf.DUMMYFUNCTION("GOOGLETRANSLATE(A2311, ""zh-CN"", ""ko"")"),"~부터")</f>
        <v>~부터</v>
      </c>
    </row>
    <row r="2312" ht="15.75" customHeight="1">
      <c r="A2312" s="1" t="s">
        <v>6820</v>
      </c>
      <c r="B2312" s="1">
        <v>5.0</v>
      </c>
      <c r="C2312" s="1" t="s">
        <v>6821</v>
      </c>
      <c r="D2312" s="1" t="s">
        <v>12</v>
      </c>
      <c r="E2312" s="1" t="s">
        <v>6822</v>
      </c>
      <c r="F2312" s="1" t="str">
        <f>IFERROR(__xludf.DUMMYFUNCTION("GOOGLETRANSLATE(A2312, ""zh-CN"", ""ko"")"),"1억")</f>
        <v>1억</v>
      </c>
    </row>
    <row r="2313" ht="15.75" customHeight="1">
      <c r="A2313" s="1" t="s">
        <v>6823</v>
      </c>
      <c r="B2313" s="1">
        <v>5.0</v>
      </c>
      <c r="C2313" s="1" t="s">
        <v>6824</v>
      </c>
      <c r="D2313" s="1" t="s">
        <v>8</v>
      </c>
      <c r="E2313" s="1" t="s">
        <v>6825</v>
      </c>
      <c r="F2313" s="1" t="str">
        <f>IFERROR(__xludf.DUMMYFUNCTION("GOOGLETRANSLATE(A2313, ""zh-CN"", ""ko"")"),"말하다")</f>
        <v>말하다</v>
      </c>
    </row>
    <row r="2314" ht="15.75" customHeight="1">
      <c r="A2314" s="1" t="s">
        <v>6826</v>
      </c>
      <c r="B2314" s="1">
        <v>5.0</v>
      </c>
      <c r="C2314" s="1" t="s">
        <v>6827</v>
      </c>
      <c r="D2314" s="1" t="s">
        <v>6828</v>
      </c>
      <c r="E2314" s="1" t="s">
        <v>6829</v>
      </c>
      <c r="F2314" s="1" t="str">
        <f>IFERROR(__xludf.DUMMYFUNCTION("GOOGLETRANSLATE(A2314, ""zh-CN"", ""ko"")"),"사고")</f>
        <v>사고</v>
      </c>
    </row>
    <row r="2315" ht="15.75" customHeight="1">
      <c r="A2315" s="1" t="s">
        <v>6830</v>
      </c>
      <c r="B2315" s="1">
        <v>5.0</v>
      </c>
      <c r="C2315" s="1" t="s">
        <v>6831</v>
      </c>
      <c r="D2315" s="1" t="s">
        <v>16</v>
      </c>
      <c r="E2315" s="1" t="s">
        <v>6832</v>
      </c>
      <c r="F2315" s="1" t="str">
        <f>IFERROR(__xludf.DUMMYFUNCTION("GOOGLETRANSLATE(A2315, ""zh-CN"", ""ko"")"),"의무")</f>
        <v>의무</v>
      </c>
    </row>
    <row r="2316" ht="15.75" customHeight="1">
      <c r="A2316" s="1" t="s">
        <v>6833</v>
      </c>
      <c r="B2316" s="1">
        <v>5.0</v>
      </c>
      <c r="C2316" s="1" t="s">
        <v>6834</v>
      </c>
      <c r="D2316" s="1" t="s">
        <v>16</v>
      </c>
      <c r="E2316" s="1" t="s">
        <v>6835</v>
      </c>
      <c r="F2316" s="1" t="str">
        <f>IFERROR(__xludf.DUMMYFUNCTION("GOOGLETRANSLATE(A2316, ""zh-CN"", ""ko"")"),"중요성")</f>
        <v>중요성</v>
      </c>
    </row>
    <row r="2317" ht="15.75" customHeight="1">
      <c r="A2317" s="1" t="s">
        <v>6836</v>
      </c>
      <c r="B2317" s="1">
        <v>5.0</v>
      </c>
      <c r="C2317" s="1" t="s">
        <v>6837</v>
      </c>
      <c r="D2317" s="1" t="s">
        <v>1473</v>
      </c>
      <c r="E2317" s="1" t="s">
        <v>6838</v>
      </c>
      <c r="F2317" s="1" t="str">
        <f>IFERROR(__xludf.DUMMYFUNCTION("GOOGLETRANSLATE(A2317, ""zh-CN"", ""ko"")"),"따라서")</f>
        <v>따라서</v>
      </c>
    </row>
    <row r="2318" ht="15.75" customHeight="1">
      <c r="A2318" s="1" t="s">
        <v>6839</v>
      </c>
      <c r="B2318" s="1">
        <v>5.0</v>
      </c>
      <c r="C2318" s="1" t="s">
        <v>6840</v>
      </c>
      <c r="D2318" s="1" t="s">
        <v>16</v>
      </c>
      <c r="E2318" s="1" t="s">
        <v>6841</v>
      </c>
      <c r="F2318" s="1" t="str">
        <f>IFERROR(__xludf.DUMMYFUNCTION("GOOGLETRANSLATE(A2318, ""zh-CN"", ""ko"")"),"요인")</f>
        <v>요인</v>
      </c>
    </row>
    <row r="2319" ht="15.75" customHeight="1">
      <c r="A2319" s="1" t="s">
        <v>6842</v>
      </c>
      <c r="B2319" s="1">
        <v>5.0</v>
      </c>
      <c r="C2319" s="1" t="s">
        <v>6843</v>
      </c>
      <c r="D2319" s="1" t="s">
        <v>16</v>
      </c>
      <c r="E2319" s="1" t="s">
        <v>6844</v>
      </c>
      <c r="F2319" s="1" t="str">
        <f>IFERROR(__xludf.DUMMYFUNCTION("GOOGLETRANSLATE(A2319, ""zh-CN"", ""ko"")"),"은")</f>
        <v>은</v>
      </c>
    </row>
    <row r="2320" ht="15.75" customHeight="1">
      <c r="A2320" s="1" t="s">
        <v>6845</v>
      </c>
      <c r="B2320" s="1">
        <v>5.0</v>
      </c>
      <c r="C2320" s="1" t="s">
        <v>6846</v>
      </c>
      <c r="D2320" s="1" t="s">
        <v>8</v>
      </c>
      <c r="E2320" s="1" t="s">
        <v>6847</v>
      </c>
      <c r="F2320" s="1" t="str">
        <f>IFERROR(__xludf.DUMMYFUNCTION("GOOGLETRANSLATE(A2320, ""zh-CN"", ""ko"")"),"인쇄")</f>
        <v>인쇄</v>
      </c>
    </row>
    <row r="2321" ht="15.75" customHeight="1">
      <c r="A2321" s="1" t="s">
        <v>6848</v>
      </c>
      <c r="B2321" s="1">
        <v>5.0</v>
      </c>
      <c r="C2321" s="1" t="s">
        <v>6849</v>
      </c>
      <c r="D2321" s="1" t="s">
        <v>52</v>
      </c>
      <c r="E2321" s="1" t="s">
        <v>6850</v>
      </c>
      <c r="F2321" s="1" t="str">
        <f>IFERROR(__xludf.DUMMYFUNCTION("GOOGLETRANSLATE(A2321, ""zh-CN"", ""ko"")"),"잘생긴")</f>
        <v>잘생긴</v>
      </c>
    </row>
    <row r="2322" ht="15.75" customHeight="1">
      <c r="A2322" s="1" t="s">
        <v>6851</v>
      </c>
      <c r="B2322" s="1">
        <v>5.0</v>
      </c>
      <c r="C2322" s="1" t="s">
        <v>6852</v>
      </c>
      <c r="D2322" s="1" t="s">
        <v>16</v>
      </c>
      <c r="E2322" s="1" t="s">
        <v>6853</v>
      </c>
      <c r="F2322" s="1" t="str">
        <f>IFERROR(__xludf.DUMMYFUNCTION("GOOGLETRANSLATE(A2322, ""zh-CN"", ""ko"")"),"영웅")</f>
        <v>영웅</v>
      </c>
    </row>
    <row r="2323" ht="15.75" customHeight="1">
      <c r="A2323" s="1" t="s">
        <v>6854</v>
      </c>
      <c r="B2323" s="1">
        <v>5.0</v>
      </c>
      <c r="C2323" s="1" t="s">
        <v>6855</v>
      </c>
      <c r="D2323" s="1" t="s">
        <v>8</v>
      </c>
      <c r="E2323" s="1" t="s">
        <v>6856</v>
      </c>
      <c r="F2323" s="1" t="str">
        <f>IFERROR(__xludf.DUMMYFUNCTION("GOOGLETRANSLATE(A2323, ""zh-CN"", ""ko"")"),"만나다")</f>
        <v>만나다</v>
      </c>
    </row>
    <row r="2324" ht="15.75" customHeight="1">
      <c r="A2324" s="1" t="s">
        <v>6857</v>
      </c>
      <c r="B2324" s="1">
        <v>5.0</v>
      </c>
      <c r="C2324" s="1" t="s">
        <v>6858</v>
      </c>
      <c r="D2324" s="1" t="s">
        <v>16</v>
      </c>
      <c r="E2324" s="1" t="s">
        <v>6859</v>
      </c>
      <c r="F2324" s="1" t="str">
        <f>IFERROR(__xludf.DUMMYFUNCTION("GOOGLETRANSLATE(A2324, ""zh-CN"", ""ko"")"),"영양물 섭취")</f>
        <v>영양물 섭취</v>
      </c>
    </row>
    <row r="2325" ht="15.75" customHeight="1">
      <c r="A2325" s="1" t="s">
        <v>6860</v>
      </c>
      <c r="B2325" s="1">
        <v>5.0</v>
      </c>
      <c r="C2325" s="1" t="s">
        <v>6861</v>
      </c>
      <c r="D2325" s="1" t="s">
        <v>8</v>
      </c>
      <c r="E2325" s="1" t="s">
        <v>6862</v>
      </c>
      <c r="F2325" s="1" t="str">
        <f>IFERROR(__xludf.DUMMYFUNCTION("GOOGLETRANSLATE(A2325, ""zh-CN"", ""ko"")"),"사업")</f>
        <v>사업</v>
      </c>
    </row>
    <row r="2326" ht="15.75" customHeight="1">
      <c r="A2326" s="1" t="s">
        <v>6863</v>
      </c>
      <c r="B2326" s="1">
        <v>5.0</v>
      </c>
      <c r="C2326" s="1" t="s">
        <v>6864</v>
      </c>
      <c r="D2326" s="1" t="s">
        <v>16</v>
      </c>
      <c r="E2326" s="1" t="s">
        <v>6865</v>
      </c>
      <c r="F2326" s="1" t="str">
        <f>IFERROR(__xludf.DUMMYFUNCTION("GOOGLETRANSLATE(A2326, ""zh-CN"", ""ko"")"),"그림자")</f>
        <v>그림자</v>
      </c>
    </row>
    <row r="2327" ht="15.75" customHeight="1">
      <c r="A2327" s="1" t="s">
        <v>6866</v>
      </c>
      <c r="B2327" s="1">
        <v>5.0</v>
      </c>
      <c r="C2327" s="1" t="s">
        <v>6867</v>
      </c>
      <c r="D2327" s="1" t="s">
        <v>52</v>
      </c>
      <c r="E2327" s="1" t="s">
        <v>6868</v>
      </c>
      <c r="F2327" s="1" t="str">
        <f>IFERROR(__xludf.DUMMYFUNCTION("GOOGLETRANSLATE(A2327, ""zh-CN"", ""ko"")"),"딱딱한")</f>
        <v>딱딱한</v>
      </c>
    </row>
    <row r="2328" ht="15.75" customHeight="1">
      <c r="A2328" s="1" t="s">
        <v>6869</v>
      </c>
      <c r="B2328" s="1">
        <v>5.0</v>
      </c>
      <c r="C2328" s="1" t="s">
        <v>6870</v>
      </c>
      <c r="D2328" s="1" t="s">
        <v>8</v>
      </c>
      <c r="E2328" s="1" t="s">
        <v>6871</v>
      </c>
      <c r="F2328" s="1" t="str">
        <f>IFERROR(__xludf.DUMMYFUNCTION("GOOGLETRANSLATE(A2328, ""zh-CN"", ""ko"")"),"코프")</f>
        <v>코프</v>
      </c>
    </row>
    <row r="2329" ht="15.75" customHeight="1">
      <c r="A2329" s="1" t="s">
        <v>6872</v>
      </c>
      <c r="B2329" s="1">
        <v>5.0</v>
      </c>
      <c r="C2329" s="1" t="s">
        <v>6873</v>
      </c>
      <c r="D2329" s="1" t="s">
        <v>16</v>
      </c>
      <c r="E2329" s="1" t="s">
        <v>6874</v>
      </c>
      <c r="F2329" s="1" t="str">
        <f>IFERROR(__xludf.DUMMYFUNCTION("GOOGLETRANSLATE(A2329, ""zh-CN"", ""ko"")"),"하드웨어")</f>
        <v>하드웨어</v>
      </c>
    </row>
    <row r="2330" ht="15.75" customHeight="1">
      <c r="A2330" s="1" t="s">
        <v>6875</v>
      </c>
      <c r="B2330" s="1">
        <v>5.0</v>
      </c>
      <c r="C2330" s="1" t="s">
        <v>6876</v>
      </c>
      <c r="D2330" s="1" t="s">
        <v>8</v>
      </c>
      <c r="E2330" s="1" t="s">
        <v>6877</v>
      </c>
      <c r="F2330" s="1" t="str">
        <f>IFERROR(__xludf.DUMMYFUNCTION("GOOGLETRANSLATE(A2330, ""zh-CN"", ""ko"")"),"애플리케이션")</f>
        <v>애플리케이션</v>
      </c>
    </row>
    <row r="2331" ht="15.75" customHeight="1">
      <c r="A2331" s="1" t="s">
        <v>6878</v>
      </c>
      <c r="B2331" s="1">
        <v>5.0</v>
      </c>
      <c r="C2331" s="1" t="s">
        <v>6879</v>
      </c>
      <c r="D2331" s="1" t="s">
        <v>8</v>
      </c>
      <c r="E2331" s="1" t="s">
        <v>6880</v>
      </c>
      <c r="F2331" s="1" t="str">
        <f>IFERROR(__xludf.DUMMYFUNCTION("GOOGLETRANSLATE(A2331, ""zh-CN"", ""ko"")"),"포옹하다")</f>
        <v>포옹하다</v>
      </c>
    </row>
    <row r="2332" ht="15.75" customHeight="1">
      <c r="A2332" s="1" t="s">
        <v>6881</v>
      </c>
      <c r="B2332" s="1">
        <v>5.0</v>
      </c>
      <c r="C2332" s="1" t="s">
        <v>6882</v>
      </c>
      <c r="D2332" s="1" t="s">
        <v>1003</v>
      </c>
      <c r="E2332" s="1" t="s">
        <v>6883</v>
      </c>
      <c r="F2332" s="1" t="str">
        <f>IFERROR(__xludf.DUMMYFUNCTION("GOOGLETRANSLATE(A2332, ""zh-CN"", ""ko"")"),"붐비는")</f>
        <v>붐비는</v>
      </c>
    </row>
    <row r="2333" ht="15.75" customHeight="1">
      <c r="A2333" s="1" t="s">
        <v>6884</v>
      </c>
      <c r="B2333" s="1">
        <v>5.0</v>
      </c>
      <c r="C2333" s="1" t="s">
        <v>6885</v>
      </c>
      <c r="D2333" s="1" t="s">
        <v>16</v>
      </c>
      <c r="E2333" s="1" t="s">
        <v>6886</v>
      </c>
      <c r="F2333" s="1" t="str">
        <f>IFERROR(__xludf.DUMMYFUNCTION("GOOGLETRANSLATE(A2333, ""zh-CN"", ""ko"")"),"용기")</f>
        <v>용기</v>
      </c>
    </row>
    <row r="2334" ht="15.75" customHeight="1">
      <c r="A2334" s="1" t="s">
        <v>6887</v>
      </c>
      <c r="B2334" s="1">
        <v>5.0</v>
      </c>
      <c r="C2334" s="1" t="s">
        <v>6888</v>
      </c>
      <c r="D2334" s="1" t="s">
        <v>52</v>
      </c>
      <c r="E2334" s="1" t="s">
        <v>6889</v>
      </c>
      <c r="F2334" s="1" t="str">
        <f>IFERROR(__xludf.DUMMYFUNCTION("GOOGLETRANSLATE(A2334, ""zh-CN"", ""ko"")"),"성실한")</f>
        <v>성실한</v>
      </c>
    </row>
    <row r="2335" ht="15.75" customHeight="1">
      <c r="A2335" s="1" t="s">
        <v>6890</v>
      </c>
      <c r="B2335" s="1">
        <v>5.0</v>
      </c>
      <c r="C2335" s="1" t="s">
        <v>6891</v>
      </c>
      <c r="D2335" s="1" t="s">
        <v>16</v>
      </c>
      <c r="E2335" s="1" t="s">
        <v>2914</v>
      </c>
      <c r="F2335" s="1" t="str">
        <f>IFERROR(__xludf.DUMMYFUNCTION("GOOGLETRANSLATE(A2335, ""zh-CN"", ""ko"")"),"사용")</f>
        <v>사용</v>
      </c>
    </row>
    <row r="2336" ht="15.75" customHeight="1">
      <c r="A2336" s="1" t="s">
        <v>6892</v>
      </c>
      <c r="B2336" s="1">
        <v>5.0</v>
      </c>
      <c r="C2336" s="1" t="s">
        <v>6893</v>
      </c>
      <c r="D2336" s="1" t="s">
        <v>52</v>
      </c>
      <c r="E2336" s="1" t="s">
        <v>6894</v>
      </c>
      <c r="F2336" s="1" t="str">
        <f>IFERROR(__xludf.DUMMYFUNCTION("GOOGLETRANSLATE(A2336, ""zh-CN"", ""ko"")"),"할인")</f>
        <v>할인</v>
      </c>
    </row>
    <row r="2337" ht="15.75" customHeight="1">
      <c r="A2337" s="1" t="s">
        <v>6895</v>
      </c>
      <c r="B2337" s="1">
        <v>5.0</v>
      </c>
      <c r="C2337" s="1" t="s">
        <v>6896</v>
      </c>
      <c r="D2337" s="1" t="s">
        <v>52</v>
      </c>
      <c r="E2337" s="1" t="s">
        <v>6897</v>
      </c>
      <c r="F2337" s="1" t="str">
        <f>IFERROR(__xludf.DUMMYFUNCTION("GOOGLETRANSLATE(A2337, ""zh-CN"", ""ko"")"),"긴")</f>
        <v>긴</v>
      </c>
    </row>
    <row r="2338" ht="15.75" customHeight="1">
      <c r="A2338" s="1" t="s">
        <v>6898</v>
      </c>
      <c r="B2338" s="1">
        <v>5.0</v>
      </c>
      <c r="C2338" s="1" t="s">
        <v>6899</v>
      </c>
      <c r="D2338" s="1" t="s">
        <v>52</v>
      </c>
      <c r="E2338" s="1" t="s">
        <v>6900</v>
      </c>
      <c r="F2338" s="1" t="str">
        <f>IFERROR(__xludf.DUMMYFUNCTION("GOOGLETRANSLATE(A2338, ""zh-CN"", ""ko"")"),"아름다운")</f>
        <v>아름다운</v>
      </c>
    </row>
    <row r="2339" ht="15.75" customHeight="1">
      <c r="A2339" s="1" t="s">
        <v>6901</v>
      </c>
      <c r="B2339" s="1">
        <v>5.0</v>
      </c>
      <c r="C2339" s="1" t="s">
        <v>6902</v>
      </c>
      <c r="D2339" s="1" t="s">
        <v>16</v>
      </c>
      <c r="E2339" s="1" t="s">
        <v>6903</v>
      </c>
      <c r="F2339" s="1" t="str">
        <f>IFERROR(__xludf.DUMMYFUNCTION("GOOGLETRANSLATE(A2339, ""zh-CN"", ""ko"")"),"장점")</f>
        <v>장점</v>
      </c>
    </row>
    <row r="2340" ht="15.75" customHeight="1">
      <c r="A2340" s="1" t="s">
        <v>6904</v>
      </c>
      <c r="B2340" s="1">
        <v>5.0</v>
      </c>
      <c r="C2340" s="1" t="s">
        <v>6905</v>
      </c>
      <c r="D2340" s="1" t="s">
        <v>8</v>
      </c>
      <c r="E2340" s="1" t="s">
        <v>6906</v>
      </c>
      <c r="F2340" s="1" t="str">
        <f>IFERROR(__xludf.DUMMYFUNCTION("GOOGLETRANSLATE(A2340, ""zh-CN"", ""ko"")"),"관광")</f>
        <v>관광</v>
      </c>
    </row>
    <row r="2341" ht="15.75" customHeight="1">
      <c r="A2341" s="1" t="s">
        <v>6907</v>
      </c>
      <c r="B2341" s="1">
        <v>5.0</v>
      </c>
      <c r="C2341" s="1" t="s">
        <v>6908</v>
      </c>
      <c r="D2341" s="1" t="s">
        <v>52</v>
      </c>
      <c r="E2341" s="1" t="s">
        <v>6909</v>
      </c>
      <c r="F2341" s="1" t="str">
        <f>IFERROR(__xludf.DUMMYFUNCTION("GOOGLETRANSLATE(A2341, ""zh-CN"", ""ko"")"),"망설이다")</f>
        <v>망설이다</v>
      </c>
    </row>
    <row r="2342" ht="15.75" customHeight="1">
      <c r="A2342" s="1" t="s">
        <v>6910</v>
      </c>
      <c r="B2342" s="1">
        <v>5.0</v>
      </c>
      <c r="C2342" s="1" t="s">
        <v>6911</v>
      </c>
      <c r="D2342" s="1" t="s">
        <v>8</v>
      </c>
      <c r="E2342" s="1" t="s">
        <v>6912</v>
      </c>
      <c r="F2342" s="1" t="str">
        <f>IFERROR(__xludf.DUMMYFUNCTION("GOOGLETRANSLATE(A2342, ""zh-CN"", ""ko"")"),"튀김")</f>
        <v>튀김</v>
      </c>
    </row>
    <row r="2343" ht="15.75" customHeight="1">
      <c r="A2343" s="1" t="s">
        <v>6913</v>
      </c>
      <c r="B2343" s="1">
        <v>5.0</v>
      </c>
      <c r="C2343" s="1" t="s">
        <v>6914</v>
      </c>
      <c r="D2343" s="1" t="s">
        <v>52</v>
      </c>
      <c r="E2343" s="1" t="s">
        <v>6915</v>
      </c>
      <c r="F2343" s="1" t="str">
        <f>IFERROR(__xludf.DUMMYFUNCTION("GOOGLETRANSLATE(A2343, ""zh-CN"", ""ko"")"),"유리한")</f>
        <v>유리한</v>
      </c>
    </row>
    <row r="2344" ht="15.75" customHeight="1">
      <c r="A2344" s="1" t="s">
        <v>6916</v>
      </c>
      <c r="B2344" s="1">
        <v>5.0</v>
      </c>
      <c r="C2344" s="1" t="s">
        <v>6917</v>
      </c>
      <c r="D2344" s="1" t="s">
        <v>16</v>
      </c>
      <c r="E2344" s="1" t="s">
        <v>6918</v>
      </c>
      <c r="F2344" s="1" t="str">
        <f>IFERROR(__xludf.DUMMYFUNCTION("GOOGLETRANSLATE(A2344, ""zh-CN"", ""ko"")"),"유치원")</f>
        <v>유치원</v>
      </c>
    </row>
    <row r="2345" ht="15.75" customHeight="1">
      <c r="A2345" s="1" t="s">
        <v>6919</v>
      </c>
      <c r="B2345" s="1">
        <v>5.0</v>
      </c>
      <c r="C2345" s="1" t="s">
        <v>6920</v>
      </c>
      <c r="D2345" s="1" t="s">
        <v>8</v>
      </c>
      <c r="E2345" s="1" t="s">
        <v>6921</v>
      </c>
      <c r="F2345" s="1" t="str">
        <f>IFERROR(__xludf.DUMMYFUNCTION("GOOGLETRANSLATE(A2345, ""zh-CN"", ""ko"")"),"오락")</f>
        <v>오락</v>
      </c>
    </row>
    <row r="2346" ht="15.75" customHeight="1">
      <c r="A2346" s="1" t="s">
        <v>6922</v>
      </c>
      <c r="B2346" s="1">
        <v>5.0</v>
      </c>
      <c r="C2346" s="1" t="s">
        <v>6923</v>
      </c>
      <c r="D2346" s="1" t="s">
        <v>1473</v>
      </c>
      <c r="E2346" s="1" t="s">
        <v>6924</v>
      </c>
      <c r="F2346" s="1" t="str">
        <f>IFERROR(__xludf.DUMMYFUNCTION("GOOGLETRANSLATE(A2346, ""zh-CN"", ""ko"")"),"와 함께")</f>
        <v>와 함께</v>
      </c>
    </row>
    <row r="2347" ht="15.75" customHeight="1">
      <c r="A2347" s="1" t="s">
        <v>6925</v>
      </c>
      <c r="B2347" s="1">
        <v>5.0</v>
      </c>
      <c r="C2347" s="1" t="s">
        <v>6926</v>
      </c>
      <c r="D2347" s="1" t="s">
        <v>16</v>
      </c>
      <c r="E2347" s="1" t="s">
        <v>6927</v>
      </c>
      <c r="F2347" s="1" t="str">
        <f>IFERROR(__xludf.DUMMYFUNCTION("GOOGLETRANSLATE(A2347, ""zh-CN"", ""ko"")"),"음정")</f>
        <v>음정</v>
      </c>
    </row>
    <row r="2348" ht="15.75" customHeight="1">
      <c r="A2348" s="1" t="s">
        <v>6928</v>
      </c>
      <c r="B2348" s="1">
        <v>5.0</v>
      </c>
      <c r="C2348" s="1" t="s">
        <v>6929</v>
      </c>
      <c r="D2348" s="1" t="s">
        <v>875</v>
      </c>
      <c r="E2348" s="1" t="s">
        <v>6930</v>
      </c>
      <c r="F2348" s="1" t="str">
        <f>IFERROR(__xludf.DUMMYFUNCTION("GOOGLETRANSLATE(A2348, ""zh-CN"", ""ko"")"),"예측")</f>
        <v>예측</v>
      </c>
    </row>
    <row r="2349" ht="15.75" customHeight="1">
      <c r="A2349" s="1" t="s">
        <v>6931</v>
      </c>
      <c r="B2349" s="1">
        <v>5.0</v>
      </c>
      <c r="C2349" s="1" t="s">
        <v>6932</v>
      </c>
      <c r="D2349" s="1" t="s">
        <v>8</v>
      </c>
      <c r="E2349" s="1" t="s">
        <v>6933</v>
      </c>
      <c r="F2349" s="1" t="str">
        <f>IFERROR(__xludf.DUMMYFUNCTION("GOOGLETRANSLATE(A2349, ""zh-CN"", ""ko"")"),"예약")</f>
        <v>예약</v>
      </c>
    </row>
    <row r="2350" ht="15.75" customHeight="1">
      <c r="A2350" s="1" t="s">
        <v>6934</v>
      </c>
      <c r="B2350" s="1">
        <v>5.0</v>
      </c>
      <c r="C2350" s="1" t="s">
        <v>6935</v>
      </c>
      <c r="D2350" s="1" t="s">
        <v>8</v>
      </c>
      <c r="E2350" s="1" t="s">
        <v>6936</v>
      </c>
      <c r="F2350" s="1" t="str">
        <f>IFERROR(__xludf.DUMMYFUNCTION("GOOGLETRANSLATE(A2350, ""zh-CN"", ""ko"")"),"방지")</f>
        <v>방지</v>
      </c>
    </row>
    <row r="2351" ht="15.75" customHeight="1">
      <c r="A2351" s="1" t="s">
        <v>6937</v>
      </c>
      <c r="B2351" s="1">
        <v>5.0</v>
      </c>
      <c r="C2351" s="1" t="s">
        <v>6938</v>
      </c>
      <c r="D2351" s="1" t="s">
        <v>16</v>
      </c>
      <c r="E2351" s="1" t="s">
        <v>6939</v>
      </c>
      <c r="F2351" s="1" t="str">
        <f>IFERROR(__xludf.DUMMYFUNCTION("GOOGLETRANSLATE(A2351, ""zh-CN"", ""ko"")"),"옥수수")</f>
        <v>옥수수</v>
      </c>
    </row>
    <row r="2352" ht="15.75" customHeight="1">
      <c r="A2352" s="1" t="s">
        <v>6940</v>
      </c>
      <c r="B2352" s="1">
        <v>5.0</v>
      </c>
      <c r="C2352" s="1" t="s">
        <v>1711</v>
      </c>
      <c r="D2352" s="1" t="s">
        <v>52</v>
      </c>
      <c r="E2352" s="1" t="s">
        <v>6941</v>
      </c>
      <c r="F2352" s="1" t="str">
        <f>IFERROR(__xludf.DUMMYFUNCTION("GOOGLETRANSLATE(A2352, ""zh-CN"", ""ko"")"),"둥근")</f>
        <v>둥근</v>
      </c>
    </row>
    <row r="2353" ht="15.75" customHeight="1">
      <c r="A2353" s="1" t="s">
        <v>6942</v>
      </c>
      <c r="B2353" s="1">
        <v>5.0</v>
      </c>
      <c r="C2353" s="1" t="s">
        <v>6943</v>
      </c>
      <c r="D2353" s="1" t="s">
        <v>16</v>
      </c>
      <c r="E2353" s="1" t="s">
        <v>6944</v>
      </c>
      <c r="F2353" s="1" t="str">
        <f>IFERROR(__xludf.DUMMYFUNCTION("GOOGLETRANSLATE(A2353, ""zh-CN"", ""ko"")"),"새해")</f>
        <v>새해</v>
      </c>
    </row>
    <row r="2354" ht="15.75" customHeight="1">
      <c r="A2354" s="1" t="s">
        <v>6945</v>
      </c>
      <c r="B2354" s="1">
        <v>5.0</v>
      </c>
      <c r="C2354" s="1" t="s">
        <v>6946</v>
      </c>
      <c r="D2354" s="1" t="s">
        <v>16</v>
      </c>
      <c r="E2354" s="1" t="s">
        <v>6947</v>
      </c>
      <c r="F2354" s="1" t="str">
        <f>IFERROR(__xludf.DUMMYFUNCTION("GOOGLETRANSLATE(A2354, ""zh-CN"", ""ko"")"),"직원")</f>
        <v>직원</v>
      </c>
    </row>
    <row r="2355" ht="15.75" customHeight="1">
      <c r="A2355" s="1" t="s">
        <v>6948</v>
      </c>
      <c r="B2355" s="1">
        <v>5.0</v>
      </c>
      <c r="C2355" s="1" t="s">
        <v>6949</v>
      </c>
      <c r="D2355" s="1" t="s">
        <v>16</v>
      </c>
      <c r="E2355" s="1" t="s">
        <v>6950</v>
      </c>
      <c r="F2355" s="1" t="str">
        <f>IFERROR(__xludf.DUMMYFUNCTION("GOOGLETRANSLATE(A2355, ""zh-CN"", ""ko"")"),"원료")</f>
        <v>원료</v>
      </c>
    </row>
    <row r="2356" ht="15.75" customHeight="1">
      <c r="A2356" s="1" t="s">
        <v>6951</v>
      </c>
      <c r="B2356" s="1">
        <v>5.0</v>
      </c>
      <c r="C2356" s="1" t="s">
        <v>6952</v>
      </c>
      <c r="D2356" s="1" t="s">
        <v>16</v>
      </c>
      <c r="E2356" s="1" t="s">
        <v>6953</v>
      </c>
      <c r="F2356" s="1" t="str">
        <f>IFERROR(__xludf.DUMMYFUNCTION("GOOGLETRANSLATE(A2356, ""zh-CN"", ""ko"")"),"원칙적으로")</f>
        <v>원칙적으로</v>
      </c>
    </row>
    <row r="2357" ht="15.75" customHeight="1">
      <c r="A2357" s="1" t="s">
        <v>6954</v>
      </c>
      <c r="B2357" s="1">
        <v>5.0</v>
      </c>
      <c r="C2357" s="1" t="s">
        <v>6955</v>
      </c>
      <c r="D2357" s="1" t="s">
        <v>16</v>
      </c>
      <c r="E2357" s="1" t="s">
        <v>6956</v>
      </c>
      <c r="F2357" s="1" t="str">
        <f>IFERROR(__xludf.DUMMYFUNCTION("GOOGLETRANSLATE(A2357, ""zh-CN"", ""ko"")"),"욕구")</f>
        <v>욕구</v>
      </c>
    </row>
    <row r="2358" ht="15.75" customHeight="1">
      <c r="A2358" s="1" t="s">
        <v>6957</v>
      </c>
      <c r="B2358" s="1">
        <v>5.0</v>
      </c>
      <c r="C2358" s="1" t="s">
        <v>6958</v>
      </c>
      <c r="D2358" s="1" t="s">
        <v>8</v>
      </c>
      <c r="E2358" s="1" t="s">
        <v>6959</v>
      </c>
      <c r="F2358" s="1" t="str">
        <f>IFERROR(__xludf.DUMMYFUNCTION("GOOGLETRANSLATE(A2358, ""zh-CN"", ""ko"")"),"희미한")</f>
        <v>희미한</v>
      </c>
    </row>
    <row r="2359" ht="15.75" customHeight="1">
      <c r="A2359" s="1" t="s">
        <v>6960</v>
      </c>
      <c r="B2359" s="1">
        <v>5.0</v>
      </c>
      <c r="C2359" s="1" t="s">
        <v>6961</v>
      </c>
      <c r="D2359" s="1" t="s">
        <v>16</v>
      </c>
      <c r="E2359" s="1" t="s">
        <v>6962</v>
      </c>
      <c r="F2359" s="1" t="str">
        <f>IFERROR(__xludf.DUMMYFUNCTION("GOOGLETRANSLATE(A2359, ""zh-CN"", ""ko"")"),"운")</f>
        <v>운</v>
      </c>
    </row>
    <row r="2360" ht="15.75" customHeight="1">
      <c r="A2360" s="1" t="s">
        <v>6963</v>
      </c>
      <c r="B2360" s="1">
        <v>5.0</v>
      </c>
      <c r="C2360" s="1" t="s">
        <v>6964</v>
      </c>
      <c r="D2360" s="1" t="s">
        <v>8</v>
      </c>
      <c r="E2360" s="1" t="s">
        <v>6965</v>
      </c>
      <c r="F2360" s="1" t="str">
        <f>IFERROR(__xludf.DUMMYFUNCTION("GOOGLETRANSLATE(A2360, ""zh-CN"", ""ko"")"),"운송")</f>
        <v>운송</v>
      </c>
    </row>
    <row r="2361" ht="15.75" customHeight="1">
      <c r="A2361" s="1" t="s">
        <v>6966</v>
      </c>
      <c r="B2361" s="1">
        <v>5.0</v>
      </c>
      <c r="C2361" s="1" t="s">
        <v>6967</v>
      </c>
      <c r="D2361" s="1" t="s">
        <v>8</v>
      </c>
      <c r="E2361" s="1" t="s">
        <v>6968</v>
      </c>
      <c r="F2361" s="1" t="str">
        <f>IFERROR(__xludf.DUMMYFUNCTION("GOOGLETRANSLATE(A2361, ""zh-CN"", ""ko"")"),"사용")</f>
        <v>사용</v>
      </c>
    </row>
    <row r="2362" ht="15.75" customHeight="1">
      <c r="A2362" s="1" t="s">
        <v>6969</v>
      </c>
      <c r="B2362" s="1">
        <v>5.0</v>
      </c>
      <c r="C2362" s="1" t="s">
        <v>6970</v>
      </c>
      <c r="D2362" s="1" t="s">
        <v>16</v>
      </c>
      <c r="E2362" s="1" t="s">
        <v>6971</v>
      </c>
      <c r="F2362" s="1" t="str">
        <f>IFERROR(__xludf.DUMMYFUNCTION("GOOGLETRANSLATE(A2362, ""zh-CN"", ""ko"")"),"재해")</f>
        <v>재해</v>
      </c>
    </row>
    <row r="2363" ht="15.75" customHeight="1">
      <c r="A2363" s="1" t="s">
        <v>6972</v>
      </c>
      <c r="B2363" s="1">
        <v>5.0</v>
      </c>
      <c r="C2363" s="1" t="s">
        <v>6973</v>
      </c>
      <c r="D2363" s="1" t="s">
        <v>8</v>
      </c>
      <c r="E2363" s="1" t="s">
        <v>6974</v>
      </c>
      <c r="F2363" s="1" t="str">
        <f>IFERROR(__xludf.DUMMYFUNCTION("GOOGLETRANSLATE(A2363, ""zh-CN"", ""ko"")"),"케어")</f>
        <v>케어</v>
      </c>
    </row>
    <row r="2364" ht="15.75" customHeight="1">
      <c r="A2364" s="1" t="s">
        <v>6975</v>
      </c>
      <c r="B2364" s="1">
        <v>5.0</v>
      </c>
      <c r="C2364" s="1" t="s">
        <v>6976</v>
      </c>
      <c r="D2364" s="1" t="s">
        <v>33</v>
      </c>
      <c r="E2364" s="1" t="s">
        <v>6977</v>
      </c>
      <c r="F2364" s="1" t="str">
        <f>IFERROR(__xludf.DUMMYFUNCTION("GOOGLETRANSLATE(A2364, ""zh-CN"", ""ko"")"),"자꾸")</f>
        <v>자꾸</v>
      </c>
    </row>
    <row r="2365" ht="15.75" customHeight="1">
      <c r="A2365" s="1" t="s">
        <v>6978</v>
      </c>
      <c r="B2365" s="1">
        <v>5.0</v>
      </c>
      <c r="C2365" s="1" t="s">
        <v>6979</v>
      </c>
      <c r="D2365" s="1" t="s">
        <v>8</v>
      </c>
      <c r="E2365" s="1" t="s">
        <v>6980</v>
      </c>
      <c r="F2365" s="1" t="str">
        <f>IFERROR(__xludf.DUMMYFUNCTION("GOOGLETRANSLATE(A2365, ""zh-CN"", ""ko"")"),"~ 안에")</f>
        <v>~ 안에</v>
      </c>
    </row>
    <row r="2366" ht="15.75" customHeight="1">
      <c r="A2366" s="1" t="s">
        <v>6981</v>
      </c>
      <c r="B2366" s="1">
        <v>5.0</v>
      </c>
      <c r="C2366" s="1" t="s">
        <v>6982</v>
      </c>
      <c r="D2366" s="1" t="s">
        <v>8</v>
      </c>
      <c r="E2366" s="1" t="s">
        <v>6983</v>
      </c>
      <c r="F2366" s="1" t="str">
        <f>IFERROR(__xludf.DUMMYFUNCTION("GOOGLETRANSLATE(A2366, ""zh-CN"", ""ko"")"),"동의하다")</f>
        <v>동의하다</v>
      </c>
    </row>
    <row r="2367" ht="15.75" customHeight="1">
      <c r="A2367" s="1" t="s">
        <v>6984</v>
      </c>
      <c r="B2367" s="1">
        <v>5.0</v>
      </c>
      <c r="C2367" s="1" t="s">
        <v>6985</v>
      </c>
      <c r="D2367" s="1" t="s">
        <v>8</v>
      </c>
      <c r="E2367" s="1" t="s">
        <v>6986</v>
      </c>
      <c r="F2367" s="1" t="str">
        <f>IFERROR(__xludf.DUMMYFUNCTION("GOOGLETRANSLATE(A2367, ""zh-CN"", ""ko"")"),"칭찬")</f>
        <v>칭찬</v>
      </c>
    </row>
    <row r="2368" ht="15.75" customHeight="1">
      <c r="A2368" s="1" t="s">
        <v>6987</v>
      </c>
      <c r="B2368" s="1">
        <v>5.0</v>
      </c>
      <c r="C2368" s="1" t="s">
        <v>6988</v>
      </c>
      <c r="D2368" s="1" t="s">
        <v>52</v>
      </c>
      <c r="E2368" s="1" t="s">
        <v>6989</v>
      </c>
      <c r="F2368" s="1" t="str">
        <f>IFERROR(__xludf.DUMMYFUNCTION("GOOGLETRANSLATE(A2368, ""zh-CN"", ""ko"")"),"앗!")</f>
        <v>앗!</v>
      </c>
    </row>
    <row r="2369" ht="15.75" customHeight="1">
      <c r="A2369" s="1" t="s">
        <v>6990</v>
      </c>
      <c r="B2369" s="1">
        <v>5.0</v>
      </c>
      <c r="C2369" s="1" t="s">
        <v>6991</v>
      </c>
      <c r="D2369" s="1" t="s">
        <v>8</v>
      </c>
      <c r="E2369" s="1" t="s">
        <v>6992</v>
      </c>
      <c r="F2369" s="1" t="str">
        <f>IFERROR(__xludf.DUMMYFUNCTION("GOOGLETRANSLATE(A2369, ""zh-CN"", ""ko"")"),"원인")</f>
        <v>원인</v>
      </c>
    </row>
    <row r="2370" ht="15.75" customHeight="1">
      <c r="A2370" s="1" t="s">
        <v>6993</v>
      </c>
      <c r="B2370" s="1">
        <v>5.0</v>
      </c>
      <c r="C2370" s="1" t="s">
        <v>6994</v>
      </c>
      <c r="D2370" s="1" t="s">
        <v>1473</v>
      </c>
      <c r="E2370" s="1" t="s">
        <v>6995</v>
      </c>
      <c r="F2370" s="1" t="str">
        <f>IFERROR(__xludf.DUMMYFUNCTION("GOOGLETRANSLATE(A2370, ""zh-CN"", ""ko"")"),"하지만")</f>
        <v>하지만</v>
      </c>
    </row>
    <row r="2371" ht="15.75" customHeight="1">
      <c r="A2371" s="1" t="s">
        <v>6996</v>
      </c>
      <c r="B2371" s="1">
        <v>5.0</v>
      </c>
      <c r="C2371" s="1" t="s">
        <v>6997</v>
      </c>
      <c r="D2371" s="1" t="s">
        <v>8</v>
      </c>
      <c r="E2371" s="1" t="s">
        <v>6998</v>
      </c>
      <c r="F2371" s="1" t="str">
        <f>IFERROR(__xludf.DUMMYFUNCTION("GOOGLETRANSLATE(A2371, ""zh-CN"", ""ko"")"),"탓하다")</f>
        <v>탓하다</v>
      </c>
    </row>
    <row r="2372" ht="15.75" customHeight="1">
      <c r="A2372" s="1" t="s">
        <v>6999</v>
      </c>
      <c r="B2372" s="1">
        <v>5.0</v>
      </c>
      <c r="C2372" s="1" t="s">
        <v>7000</v>
      </c>
      <c r="D2372" s="1" t="s">
        <v>8</v>
      </c>
      <c r="E2372" s="1" t="s">
        <v>7001</v>
      </c>
      <c r="F2372" s="1" t="str">
        <f>IFERROR(__xludf.DUMMYFUNCTION("GOOGLETRANSLATE(A2372, ""zh-CN"", ""ko"")"),"추상적인")</f>
        <v>추상적인</v>
      </c>
    </row>
    <row r="2373" ht="15.75" customHeight="1">
      <c r="A2373" s="1" t="s">
        <v>7002</v>
      </c>
      <c r="B2373" s="1">
        <v>5.0</v>
      </c>
      <c r="C2373" s="1" t="s">
        <v>7003</v>
      </c>
      <c r="D2373" s="1" t="s">
        <v>52</v>
      </c>
      <c r="E2373" s="1" t="s">
        <v>7004</v>
      </c>
      <c r="F2373" s="1" t="str">
        <f>IFERROR(__xludf.DUMMYFUNCTION("GOOGLETRANSLATE(A2373, ""zh-CN"", ""ko"")"),"좁은")</f>
        <v>좁은</v>
      </c>
    </row>
    <row r="2374" ht="15.75" customHeight="1">
      <c r="A2374" s="1" t="s">
        <v>7005</v>
      </c>
      <c r="B2374" s="1">
        <v>5.0</v>
      </c>
      <c r="C2374" s="1" t="s">
        <v>7006</v>
      </c>
      <c r="D2374" s="1" t="s">
        <v>8</v>
      </c>
      <c r="E2374" s="1" t="s">
        <v>7007</v>
      </c>
      <c r="F2374" s="1" t="str">
        <f>IFERROR(__xludf.DUMMYFUNCTION("GOOGLETRANSLATE(A2374, ""zh-CN"", ""ko"")"),"반죽")</f>
        <v>반죽</v>
      </c>
    </row>
    <row r="2375" ht="15.75" customHeight="1">
      <c r="A2375" s="1" t="s">
        <v>7008</v>
      </c>
      <c r="B2375" s="1">
        <v>5.0</v>
      </c>
      <c r="C2375" s="1" t="s">
        <v>7009</v>
      </c>
      <c r="D2375" s="1" t="s">
        <v>8</v>
      </c>
      <c r="E2375" s="1" t="s">
        <v>7010</v>
      </c>
      <c r="F2375" s="1" t="str">
        <f>IFERROR(__xludf.DUMMYFUNCTION("GOOGLETRANSLATE(A2375, ""zh-CN"", ""ko"")"),"확장하다")</f>
        <v>확장하다</v>
      </c>
    </row>
    <row r="2376" ht="15.75" customHeight="1">
      <c r="A2376" s="1" t="s">
        <v>7011</v>
      </c>
      <c r="B2376" s="1">
        <v>5.0</v>
      </c>
      <c r="C2376" s="1" t="s">
        <v>7012</v>
      </c>
      <c r="D2376" s="1" t="s">
        <v>8</v>
      </c>
      <c r="E2376" s="1" t="s">
        <v>7013</v>
      </c>
      <c r="F2376" s="1" t="str">
        <f>IFERROR(__xludf.DUMMYFUNCTION("GOOGLETRANSLATE(A2376, ""zh-CN"", ""ko"")"),"전시회")</f>
        <v>전시회</v>
      </c>
    </row>
    <row r="2377" ht="15.75" customHeight="1">
      <c r="A2377" s="1" t="s">
        <v>7014</v>
      </c>
      <c r="B2377" s="1">
        <v>5.0</v>
      </c>
      <c r="C2377" s="1" t="s">
        <v>1720</v>
      </c>
      <c r="D2377" s="1" t="s">
        <v>8</v>
      </c>
      <c r="E2377" s="1" t="s">
        <v>7015</v>
      </c>
      <c r="F2377" s="1" t="str">
        <f>IFERROR(__xludf.DUMMYFUNCTION("GOOGLETRANSLATE(A2377, ""zh-CN"", ""ko"")"),"점유하다")</f>
        <v>점유하다</v>
      </c>
    </row>
    <row r="2378" ht="15.75" customHeight="1">
      <c r="A2378" s="1" t="s">
        <v>7016</v>
      </c>
      <c r="B2378" s="1">
        <v>5.0</v>
      </c>
      <c r="C2378" s="1" t="s">
        <v>7017</v>
      </c>
      <c r="D2378" s="1" t="s">
        <v>16</v>
      </c>
      <c r="E2378" s="1" t="s">
        <v>7018</v>
      </c>
      <c r="F2378" s="1" t="str">
        <f>IFERROR(__xludf.DUMMYFUNCTION("GOOGLETRANSLATE(A2378, ""zh-CN"", ""ko"")"),"전쟁")</f>
        <v>전쟁</v>
      </c>
    </row>
    <row r="2379" ht="15.75" customHeight="1">
      <c r="A2379" s="1" t="s">
        <v>7019</v>
      </c>
      <c r="B2379" s="1">
        <v>5.0</v>
      </c>
      <c r="C2379" s="1" t="s">
        <v>495</v>
      </c>
      <c r="D2379" s="1" t="s">
        <v>8</v>
      </c>
      <c r="E2379" s="1" t="s">
        <v>7020</v>
      </c>
      <c r="F2379" s="1" t="str">
        <f>IFERROR(__xludf.DUMMYFUNCTION("GOOGLETRANSLATE(A2379, ""zh-CN"", ""ko"")"),"증가")</f>
        <v>증가</v>
      </c>
    </row>
    <row r="2380" ht="15.75" customHeight="1">
      <c r="A2380" s="1" t="s">
        <v>7021</v>
      </c>
      <c r="B2380" s="1">
        <v>5.0</v>
      </c>
      <c r="C2380" s="1" t="s">
        <v>7022</v>
      </c>
      <c r="D2380" s="1" t="s">
        <v>16</v>
      </c>
      <c r="E2380" s="1" t="s">
        <v>7023</v>
      </c>
      <c r="F2380" s="1" t="str">
        <f>IFERROR(__xludf.DUMMYFUNCTION("GOOGLETRANSLATE(A2380, ""zh-CN"", ""ko"")"),"장로")</f>
        <v>장로</v>
      </c>
    </row>
    <row r="2381" ht="15.75" customHeight="1">
      <c r="A2381" s="1" t="s">
        <v>7024</v>
      </c>
      <c r="B2381" s="1">
        <v>5.0</v>
      </c>
      <c r="C2381" s="1" t="s">
        <v>7025</v>
      </c>
      <c r="D2381" s="1" t="s">
        <v>8</v>
      </c>
      <c r="E2381" s="1" t="s">
        <v>7026</v>
      </c>
      <c r="F2381" s="1" t="str">
        <f>IFERROR(__xludf.DUMMYFUNCTION("GOOGLETRANSLATE(A2381, ""zh-CN"", ""ko"")"),"주인")</f>
        <v>주인</v>
      </c>
    </row>
    <row r="2382" ht="15.75" customHeight="1">
      <c r="A2382" s="1" t="s">
        <v>7027</v>
      </c>
      <c r="B2382" s="1">
        <v>5.0</v>
      </c>
      <c r="C2382" s="1" t="s">
        <v>7028</v>
      </c>
      <c r="D2382" s="1" t="s">
        <v>16</v>
      </c>
      <c r="E2382" s="1" t="s">
        <v>7029</v>
      </c>
      <c r="F2382" s="1" t="str">
        <f>IFERROR(__xludf.DUMMYFUNCTION("GOOGLETRANSLATE(A2382, ""zh-CN"", ""ko"")"),"계정")</f>
        <v>계정</v>
      </c>
    </row>
    <row r="2383" ht="15.75" customHeight="1">
      <c r="A2383" s="1" t="s">
        <v>7030</v>
      </c>
      <c r="B2383" s="1">
        <v>5.0</v>
      </c>
      <c r="C2383" s="1" t="s">
        <v>7031</v>
      </c>
      <c r="D2383" s="1" t="s">
        <v>8</v>
      </c>
      <c r="E2383" s="1" t="s">
        <v>7032</v>
      </c>
      <c r="F2383" s="1" t="str">
        <f>IFERROR(__xludf.DUMMYFUNCTION("GOOGLETRANSLATE(A2383, ""zh-CN"", ""ko"")"),"즐겁게 하다")</f>
        <v>즐겁게 하다</v>
      </c>
    </row>
    <row r="2384" ht="15.75" customHeight="1">
      <c r="A2384" s="1" t="s">
        <v>7033</v>
      </c>
      <c r="B2384" s="1">
        <v>5.0</v>
      </c>
      <c r="C2384" s="1" t="s">
        <v>7034</v>
      </c>
      <c r="D2384" s="1" t="s">
        <v>8</v>
      </c>
      <c r="E2384" s="1" t="s">
        <v>7035</v>
      </c>
      <c r="F2384" s="1" t="str">
        <f>IFERROR(__xludf.DUMMYFUNCTION("GOOGLETRANSLATE(A2384, ""zh-CN"", ""ko"")"),"불타고 있는")</f>
        <v>불타고 있는</v>
      </c>
    </row>
    <row r="2385" ht="15.75" customHeight="1">
      <c r="A2385" s="1" t="s">
        <v>7036</v>
      </c>
      <c r="B2385" s="1">
        <v>5.0</v>
      </c>
      <c r="C2385" s="1" t="s">
        <v>7037</v>
      </c>
      <c r="D2385" s="1" t="s">
        <v>8</v>
      </c>
      <c r="E2385" s="1" t="s">
        <v>7038</v>
      </c>
      <c r="F2385" s="1" t="str">
        <f>IFERROR(__xludf.DUMMYFUNCTION("GOOGLETRANSLATE(A2385, ""zh-CN"", ""ko"")"),"감기에 걸리다")</f>
        <v>감기에 걸리다</v>
      </c>
    </row>
    <row r="2386" ht="15.75" customHeight="1">
      <c r="A2386" s="1" t="s">
        <v>7039</v>
      </c>
      <c r="B2386" s="1">
        <v>5.0</v>
      </c>
      <c r="C2386" s="1" t="s">
        <v>7040</v>
      </c>
      <c r="D2386" s="1" t="s">
        <v>33</v>
      </c>
      <c r="E2386" s="1" t="s">
        <v>7041</v>
      </c>
      <c r="F2386" s="1" t="str">
        <f>IFERROR(__xludf.DUMMYFUNCTION("GOOGLETRANSLATE(A2386, ""zh-CN"", ""ko"")"),"늘 그렇듯이")</f>
        <v>늘 그렇듯이</v>
      </c>
    </row>
    <row r="2387" ht="15.75" customHeight="1">
      <c r="A2387" s="1" t="s">
        <v>7042</v>
      </c>
      <c r="B2387" s="1">
        <v>5.0</v>
      </c>
      <c r="C2387" s="1" t="s">
        <v>7043</v>
      </c>
      <c r="D2387" s="1" t="s">
        <v>8</v>
      </c>
      <c r="E2387" s="1" t="s">
        <v>7044</v>
      </c>
      <c r="F2387" s="1" t="str">
        <f>IFERROR(__xludf.DUMMYFUNCTION("GOOGLETRANSLATE(A2387, ""zh-CN"", ""ko"")"),"소집하다")</f>
        <v>소집하다</v>
      </c>
    </row>
    <row r="2388" ht="15.75" customHeight="1">
      <c r="A2388" s="1" t="s">
        <v>7045</v>
      </c>
      <c r="B2388" s="1">
        <v>5.0</v>
      </c>
      <c r="C2388" s="1" t="s">
        <v>7046</v>
      </c>
      <c r="D2388" s="1" t="s">
        <v>16</v>
      </c>
      <c r="E2388" s="1" t="s">
        <v>7047</v>
      </c>
      <c r="F2388" s="1" t="str">
        <f>IFERROR(__xludf.DUMMYFUNCTION("GOOGLETRANSLATE(A2388, ""zh-CN"", ""ko"")"),"철학")</f>
        <v>철학</v>
      </c>
    </row>
    <row r="2389" ht="15.75" customHeight="1">
      <c r="A2389" s="1" t="s">
        <v>7048</v>
      </c>
      <c r="B2389" s="1">
        <v>5.0</v>
      </c>
      <c r="C2389" s="1" t="s">
        <v>7049</v>
      </c>
      <c r="D2389" s="1" t="s">
        <v>8</v>
      </c>
      <c r="E2389" s="1" t="s">
        <v>7050</v>
      </c>
      <c r="F2389" s="1" t="str">
        <f>IFERROR(__xludf.DUMMYFUNCTION("GOOGLETRANSLATE(A2389, ""zh-CN"", ""ko"")"),"~에 맞서")</f>
        <v>~에 맞서</v>
      </c>
    </row>
    <row r="2390" ht="15.75" customHeight="1">
      <c r="A2390" s="1" t="s">
        <v>7051</v>
      </c>
      <c r="B2390" s="1">
        <v>5.0</v>
      </c>
      <c r="C2390" s="1" t="s">
        <v>7052</v>
      </c>
      <c r="D2390" s="1" t="s">
        <v>52</v>
      </c>
      <c r="E2390" s="1" t="s">
        <v>7053</v>
      </c>
      <c r="F2390" s="1" t="str">
        <f>IFERROR(__xludf.DUMMYFUNCTION("GOOGLETRANSLATE(A2390, ""zh-CN"", ""ko"")"),"현실")</f>
        <v>현실</v>
      </c>
    </row>
    <row r="2391" ht="15.75" customHeight="1">
      <c r="A2391" s="1" t="s">
        <v>7054</v>
      </c>
      <c r="B2391" s="1">
        <v>5.0</v>
      </c>
      <c r="C2391" s="1" t="s">
        <v>7055</v>
      </c>
      <c r="D2391" s="1" t="s">
        <v>8</v>
      </c>
      <c r="E2391" s="1" t="s">
        <v>7056</v>
      </c>
      <c r="F2391" s="1" t="str">
        <f>IFERROR(__xludf.DUMMYFUNCTION("GOOGLETRANSLATE(A2391, ""zh-CN"", ""ko"")"),"아끼다")</f>
        <v>아끼다</v>
      </c>
    </row>
    <row r="2392" ht="15.75" customHeight="1">
      <c r="A2392" s="1" t="s">
        <v>7057</v>
      </c>
      <c r="B2392" s="1">
        <v>5.0</v>
      </c>
      <c r="C2392" s="1" t="s">
        <v>7058</v>
      </c>
      <c r="D2392" s="1" t="s">
        <v>8</v>
      </c>
      <c r="E2392" s="1" t="s">
        <v>7059</v>
      </c>
      <c r="F2392" s="1" t="str">
        <f>IFERROR(__xludf.DUMMYFUNCTION("GOOGLETRANSLATE(A2392, ""zh-CN"", ""ko"")"),"진단")</f>
        <v>진단</v>
      </c>
    </row>
    <row r="2393" ht="15.75" customHeight="1">
      <c r="A2393" s="1" t="s">
        <v>7060</v>
      </c>
      <c r="B2393" s="1">
        <v>5.0</v>
      </c>
      <c r="C2393" s="1" t="s">
        <v>7061</v>
      </c>
      <c r="D2393" s="1" t="s">
        <v>26</v>
      </c>
      <c r="E2393" s="1" t="s">
        <v>7062</v>
      </c>
      <c r="F2393" s="1" t="str">
        <f>IFERROR(__xludf.DUMMYFUNCTION("GOOGLETRANSLATE(A2393, ""zh-CN"", ""ko"")"),"형성")</f>
        <v>형성</v>
      </c>
    </row>
    <row r="2394" ht="15.75" customHeight="1">
      <c r="A2394" s="1" t="s">
        <v>7063</v>
      </c>
      <c r="B2394" s="1">
        <v>5.0</v>
      </c>
      <c r="C2394" s="1" t="s">
        <v>7064</v>
      </c>
      <c r="D2394" s="1" t="s">
        <v>8</v>
      </c>
      <c r="E2394" s="1" t="s">
        <v>7065</v>
      </c>
      <c r="F2394" s="1" t="str">
        <f>IFERROR(__xludf.DUMMYFUNCTION("GOOGLETRANSLATE(A2394, ""zh-CN"", ""ko"")"),"진동")</f>
        <v>진동</v>
      </c>
    </row>
    <row r="2395" ht="15.75" customHeight="1">
      <c r="A2395" s="1" t="s">
        <v>7066</v>
      </c>
      <c r="B2395" s="1">
        <v>5.0</v>
      </c>
      <c r="C2395" s="1" t="s">
        <v>7067</v>
      </c>
      <c r="D2395" s="1" t="s">
        <v>8</v>
      </c>
      <c r="E2395" s="1" t="s">
        <v>7068</v>
      </c>
      <c r="F2395" s="1" t="str">
        <f>IFERROR(__xludf.DUMMYFUNCTION("GOOGLETRANSLATE(A2395, ""zh-CN"", ""ko"")"),"눈을 뜬다")</f>
        <v>눈을 뜬다</v>
      </c>
    </row>
    <row r="2396" ht="15.75" customHeight="1">
      <c r="A2396" s="1" t="s">
        <v>7069</v>
      </c>
      <c r="B2396" s="1">
        <v>5.0</v>
      </c>
      <c r="C2396" s="1" t="s">
        <v>7070</v>
      </c>
      <c r="D2396" s="1" t="s">
        <v>8</v>
      </c>
      <c r="E2396" s="1" t="s">
        <v>3671</v>
      </c>
      <c r="F2396" s="1" t="str">
        <f>IFERROR(__xludf.DUMMYFUNCTION("GOOGLETRANSLATE(A2396, ""zh-CN"", ""ko"")"),"토론")</f>
        <v>토론</v>
      </c>
    </row>
    <row r="2397" ht="15.75" customHeight="1">
      <c r="A2397" s="1" t="s">
        <v>7071</v>
      </c>
      <c r="B2397" s="1">
        <v>5.0</v>
      </c>
      <c r="C2397" s="1" t="s">
        <v>7072</v>
      </c>
      <c r="D2397" s="1" t="s">
        <v>8</v>
      </c>
      <c r="E2397" s="1" t="s">
        <v>7073</v>
      </c>
      <c r="F2397" s="1" t="str">
        <f>IFERROR(__xludf.DUMMYFUNCTION("GOOGLETRANSLATE(A2397, ""zh-CN"", ""ko"")"),"구하다")</f>
        <v>구하다</v>
      </c>
    </row>
    <row r="2398" ht="15.75" customHeight="1">
      <c r="A2398" s="1" t="s">
        <v>7074</v>
      </c>
      <c r="B2398" s="1">
        <v>5.0</v>
      </c>
      <c r="C2398" s="1" t="s">
        <v>7075</v>
      </c>
      <c r="D2398" s="1" t="s">
        <v>8</v>
      </c>
      <c r="E2398" s="1" t="s">
        <v>7076</v>
      </c>
      <c r="F2398" s="1" t="str">
        <f>IFERROR(__xludf.DUMMYFUNCTION("GOOGLETRANSLATE(A2398, ""zh-CN"", ""ko"")"),"애쓰다")</f>
        <v>애쓰다</v>
      </c>
    </row>
    <row r="2399" ht="15.75" customHeight="1">
      <c r="A2399" s="1" t="s">
        <v>7077</v>
      </c>
      <c r="B2399" s="1">
        <v>5.0</v>
      </c>
      <c r="C2399" s="1" t="s">
        <v>7078</v>
      </c>
      <c r="D2399" s="1" t="s">
        <v>52</v>
      </c>
      <c r="E2399" s="1" t="s">
        <v>7079</v>
      </c>
      <c r="F2399" s="1" t="str">
        <f>IFERROR(__xludf.DUMMYFUNCTION("GOOGLETRANSLATE(A2399, ""zh-CN"", ""ko"")"),"전체")</f>
        <v>전체</v>
      </c>
    </row>
    <row r="2400" ht="15.75" customHeight="1">
      <c r="A2400" s="1" t="s">
        <v>7080</v>
      </c>
      <c r="B2400" s="1">
        <v>5.0</v>
      </c>
      <c r="C2400" s="1" t="s">
        <v>7081</v>
      </c>
      <c r="D2400" s="1" t="s">
        <v>52</v>
      </c>
      <c r="E2400" s="1" t="s">
        <v>7082</v>
      </c>
      <c r="F2400" s="1" t="str">
        <f>IFERROR(__xludf.DUMMYFUNCTION("GOOGLETRANSLATE(A2400, ""zh-CN"", ""ko"")"),"정돈하다")</f>
        <v>정돈하다</v>
      </c>
    </row>
    <row r="2401" ht="15.75" customHeight="1">
      <c r="A2401" s="1" t="s">
        <v>7083</v>
      </c>
      <c r="B2401" s="1">
        <v>5.0</v>
      </c>
      <c r="C2401" s="1" t="s">
        <v>7084</v>
      </c>
      <c r="D2401" s="1" t="s">
        <v>16</v>
      </c>
      <c r="E2401" s="1" t="s">
        <v>7085</v>
      </c>
      <c r="F2401" s="1" t="str">
        <f>IFERROR(__xludf.DUMMYFUNCTION("GOOGLETRANSLATE(A2401, ""zh-CN"", ""ko"")"),"전반적인")</f>
        <v>전반적인</v>
      </c>
    </row>
    <row r="2402" ht="15.75" customHeight="1">
      <c r="A2402" s="1" t="s">
        <v>7086</v>
      </c>
      <c r="B2402" s="1">
        <v>5.0</v>
      </c>
      <c r="C2402" s="1" t="s">
        <v>7087</v>
      </c>
      <c r="D2402" s="1" t="s">
        <v>52</v>
      </c>
      <c r="E2402" s="1" t="s">
        <v>7088</v>
      </c>
      <c r="F2402" s="1" t="str">
        <f>IFERROR(__xludf.DUMMYFUNCTION("GOOGLETRANSLATE(A2402, ""zh-CN"", ""ko"")"),"단지")</f>
        <v>단지</v>
      </c>
    </row>
    <row r="2403" ht="15.75" customHeight="1">
      <c r="A2403" s="1" t="s">
        <v>7089</v>
      </c>
      <c r="B2403" s="1">
        <v>5.0</v>
      </c>
      <c r="C2403" s="1" t="s">
        <v>7087</v>
      </c>
      <c r="D2403" s="1" t="s">
        <v>8</v>
      </c>
      <c r="E2403" s="1" t="s">
        <v>7090</v>
      </c>
      <c r="F2403" s="1" t="str">
        <f>IFERROR(__xludf.DUMMYFUNCTION("GOOGLETRANSLATE(A2403, ""zh-CN"", ""ko"")"),"벌다")</f>
        <v>벌다</v>
      </c>
    </row>
    <row r="2404" ht="15.75" customHeight="1">
      <c r="A2404" s="1" t="s">
        <v>7091</v>
      </c>
      <c r="B2404" s="1">
        <v>5.0</v>
      </c>
      <c r="C2404" s="1" t="s">
        <v>7092</v>
      </c>
      <c r="D2404" s="1" t="s">
        <v>16</v>
      </c>
      <c r="E2404" s="1" t="s">
        <v>7093</v>
      </c>
      <c r="F2404" s="1" t="str">
        <f>IFERROR(__xludf.DUMMYFUNCTION("GOOGLETRANSLATE(A2404, ""zh-CN"", ""ko"")"),"정부")</f>
        <v>정부</v>
      </c>
    </row>
    <row r="2405" ht="15.75" customHeight="1">
      <c r="A2405" s="1" t="s">
        <v>7094</v>
      </c>
      <c r="B2405" s="1">
        <v>5.0</v>
      </c>
      <c r="C2405" s="1" t="s">
        <v>7095</v>
      </c>
      <c r="D2405" s="1" t="s">
        <v>16</v>
      </c>
      <c r="E2405" s="1" t="s">
        <v>7096</v>
      </c>
      <c r="F2405" s="1" t="str">
        <f>IFERROR(__xludf.DUMMYFUNCTION("GOOGLETRANSLATE(A2405, ""zh-CN"", ""ko"")"),"ID")</f>
        <v>ID</v>
      </c>
    </row>
    <row r="2406" ht="15.75" customHeight="1">
      <c r="A2406" s="1" t="s">
        <v>7097</v>
      </c>
      <c r="B2406" s="1">
        <v>5.0</v>
      </c>
      <c r="C2406" s="1" t="s">
        <v>7098</v>
      </c>
      <c r="D2406" s="1" t="s">
        <v>16</v>
      </c>
      <c r="E2406" s="1" t="s">
        <v>7099</v>
      </c>
      <c r="F2406" s="1" t="str">
        <f>IFERROR(__xludf.DUMMYFUNCTION("GOOGLETRANSLATE(A2406, ""zh-CN"", ""ko"")"),"증거")</f>
        <v>증거</v>
      </c>
    </row>
    <row r="2407" ht="15.75" customHeight="1">
      <c r="A2407" s="1" t="s">
        <v>7100</v>
      </c>
      <c r="B2407" s="1">
        <v>5.0</v>
      </c>
      <c r="C2407" s="1" t="s">
        <v>7101</v>
      </c>
      <c r="D2407" s="1" t="s">
        <v>16</v>
      </c>
      <c r="E2407" s="1" t="s">
        <v>7102</v>
      </c>
      <c r="F2407" s="1" t="str">
        <f>IFERROR(__xludf.DUMMYFUNCTION("GOOGLETRANSLATE(A2407, ""zh-CN"", ""ko"")"),"정치")</f>
        <v>정치</v>
      </c>
    </row>
    <row r="2408" ht="15.75" customHeight="1">
      <c r="A2408" s="1" t="s">
        <v>7103</v>
      </c>
      <c r="B2408" s="1">
        <v>5.0</v>
      </c>
      <c r="C2408" s="1" t="s">
        <v>3429</v>
      </c>
      <c r="D2408" s="1" t="s">
        <v>26</v>
      </c>
      <c r="E2408" s="1" t="s">
        <v>7104</v>
      </c>
      <c r="F2408" s="1" t="str">
        <f>IFERROR(__xludf.DUMMYFUNCTION("GOOGLETRANSLATE(A2408, ""zh-CN"", ""ko"")"),"나뭇가지")</f>
        <v>나뭇가지</v>
      </c>
    </row>
    <row r="2409" ht="15.75" customHeight="1">
      <c r="A2409" s="1" t="s">
        <v>7105</v>
      </c>
      <c r="B2409" s="1">
        <v>5.0</v>
      </c>
      <c r="C2409" s="1" t="s">
        <v>7106</v>
      </c>
      <c r="D2409" s="1" t="s">
        <v>16</v>
      </c>
      <c r="E2409" s="1" t="s">
        <v>7107</v>
      </c>
      <c r="F2409" s="1" t="str">
        <f>IFERROR(__xludf.DUMMYFUNCTION("GOOGLETRANSLATE(A2409, ""zh-CN"", ""ko"")"),"확인하다")</f>
        <v>확인하다</v>
      </c>
    </row>
    <row r="2410" ht="15.75" customHeight="1">
      <c r="A2410" s="1" t="s">
        <v>7108</v>
      </c>
      <c r="B2410" s="1">
        <v>5.0</v>
      </c>
      <c r="C2410" s="1" t="s">
        <v>7109</v>
      </c>
      <c r="D2410" s="1" t="s">
        <v>52</v>
      </c>
      <c r="E2410" s="1" t="s">
        <v>7110</v>
      </c>
      <c r="F2410" s="1" t="str">
        <f>IFERROR(__xludf.DUMMYFUNCTION("GOOGLETRANSLATE(A2410, ""zh-CN"", ""ko"")"),"똑바로")</f>
        <v>똑바로</v>
      </c>
    </row>
    <row r="2411" ht="15.75" customHeight="1">
      <c r="A2411" s="1" t="s">
        <v>7111</v>
      </c>
      <c r="B2411" s="1">
        <v>5.0</v>
      </c>
      <c r="C2411" s="1" t="s">
        <v>7112</v>
      </c>
      <c r="D2411" s="1" t="s">
        <v>16</v>
      </c>
      <c r="E2411" s="1" t="s">
        <v>7113</v>
      </c>
      <c r="F2411" s="1" t="str">
        <f>IFERROR(__xludf.DUMMYFUNCTION("GOOGLETRANSLATE(A2411, ""zh-CN"", ""ko"")"),"특허")</f>
        <v>특허</v>
      </c>
    </row>
    <row r="2412" ht="15.75" customHeight="1">
      <c r="A2412" s="1" t="s">
        <v>7114</v>
      </c>
      <c r="B2412" s="1">
        <v>5.0</v>
      </c>
      <c r="C2412" s="1" t="s">
        <v>7115</v>
      </c>
      <c r="D2412" s="1" t="s">
        <v>8</v>
      </c>
      <c r="E2412" s="1" t="s">
        <v>7116</v>
      </c>
      <c r="F2412" s="1" t="str">
        <f>IFERROR(__xludf.DUMMYFUNCTION("GOOGLETRANSLATE(A2412, ""zh-CN"", ""ko"")"),"가이드")</f>
        <v>가이드</v>
      </c>
    </row>
    <row r="2413" ht="15.75" customHeight="1">
      <c r="A2413" s="1" t="s">
        <v>7117</v>
      </c>
      <c r="B2413" s="1">
        <v>5.0</v>
      </c>
      <c r="C2413" s="1" t="s">
        <v>7118</v>
      </c>
      <c r="D2413" s="1" t="s">
        <v>875</v>
      </c>
      <c r="E2413" s="1" t="s">
        <v>7119</v>
      </c>
      <c r="F2413" s="1" t="str">
        <f>IFERROR(__xludf.DUMMYFUNCTION("GOOGLETRANSLATE(A2413, ""zh-CN"", ""ko"")"),"명령")</f>
        <v>명령</v>
      </c>
    </row>
    <row r="2414" ht="15.75" customHeight="1">
      <c r="A2414" s="1" t="s">
        <v>7120</v>
      </c>
      <c r="B2414" s="1">
        <v>5.0</v>
      </c>
      <c r="C2414" s="1" t="s">
        <v>7121</v>
      </c>
      <c r="D2414" s="1" t="s">
        <v>8</v>
      </c>
      <c r="E2414" s="1" t="s">
        <v>7122</v>
      </c>
      <c r="F2414" s="1" t="str">
        <f>IFERROR(__xludf.DUMMYFUNCTION("GOOGLETRANSLATE(A2414, ""zh-CN"", ""ko"")"),"공식화하다")</f>
        <v>공식화하다</v>
      </c>
    </row>
    <row r="2415" ht="15.75" customHeight="1">
      <c r="A2415" s="1" t="s">
        <v>7123</v>
      </c>
      <c r="B2415" s="1">
        <v>5.0</v>
      </c>
      <c r="C2415" s="1" t="s">
        <v>7124</v>
      </c>
      <c r="D2415" s="1" t="s">
        <v>16</v>
      </c>
      <c r="E2415" s="1" t="s">
        <v>7125</v>
      </c>
      <c r="F2415" s="1" t="str">
        <f>IFERROR(__xludf.DUMMYFUNCTION("GOOGLETRANSLATE(A2415, ""zh-CN"", ""ko"")"),"체계")</f>
        <v>체계</v>
      </c>
    </row>
    <row r="2416" ht="15.75" customHeight="1">
      <c r="A2416" s="1" t="s">
        <v>7126</v>
      </c>
      <c r="B2416" s="1">
        <v>5.0</v>
      </c>
      <c r="C2416" s="1" t="s">
        <v>7127</v>
      </c>
      <c r="D2416" s="1" t="s">
        <v>16</v>
      </c>
      <c r="E2416" s="1" t="s">
        <v>7128</v>
      </c>
      <c r="F2416" s="1" t="str">
        <f>IFERROR(__xludf.DUMMYFUNCTION("GOOGLETRANSLATE(A2416, ""zh-CN"", ""ko"")"),"지혜")</f>
        <v>지혜</v>
      </c>
    </row>
    <row r="2417" ht="15.75" customHeight="1">
      <c r="A2417" s="1" t="s">
        <v>7129</v>
      </c>
      <c r="B2417" s="1">
        <v>5.0</v>
      </c>
      <c r="C2417" s="1" t="s">
        <v>7130</v>
      </c>
      <c r="D2417" s="1" t="s">
        <v>33</v>
      </c>
      <c r="E2417" s="1" t="s">
        <v>7131</v>
      </c>
      <c r="F2417" s="1" t="str">
        <f>IFERROR(__xludf.DUMMYFUNCTION("GOOGLETRANSLATE(A2417, ""zh-CN"", ""ko"")"),"현재까지")</f>
        <v>현재까지</v>
      </c>
    </row>
    <row r="2418" ht="15.75" customHeight="1">
      <c r="A2418" s="1" t="s">
        <v>7132</v>
      </c>
      <c r="B2418" s="1">
        <v>5.0</v>
      </c>
      <c r="C2418" s="1" t="s">
        <v>7133</v>
      </c>
      <c r="D2418" s="1" t="s">
        <v>8</v>
      </c>
      <c r="E2418" s="1" t="s">
        <v>7134</v>
      </c>
      <c r="F2418" s="1" t="str">
        <f>IFERROR(__xludf.DUMMYFUNCTION("GOOGLETRANSLATE(A2418, ""zh-CN"", ""ko"")"),"대하다")</f>
        <v>대하다</v>
      </c>
    </row>
    <row r="2419" ht="15.75" customHeight="1">
      <c r="A2419" s="1" t="s">
        <v>7135</v>
      </c>
      <c r="B2419" s="1">
        <v>5.0</v>
      </c>
      <c r="C2419" s="1" t="s">
        <v>7136</v>
      </c>
      <c r="D2419" s="1" t="s">
        <v>16</v>
      </c>
      <c r="E2419" s="1" t="s">
        <v>7137</v>
      </c>
      <c r="F2419" s="1" t="str">
        <f>IFERROR(__xludf.DUMMYFUNCTION("GOOGLETRANSLATE(A2419, ""zh-CN"", ""ko"")"),"주문하다")</f>
        <v>주문하다</v>
      </c>
    </row>
    <row r="2420" ht="15.75" customHeight="1">
      <c r="A2420" s="1" t="s">
        <v>7138</v>
      </c>
      <c r="B2420" s="1">
        <v>5.0</v>
      </c>
      <c r="C2420" s="1" t="s">
        <v>7139</v>
      </c>
      <c r="D2420" s="1" t="s">
        <v>486</v>
      </c>
      <c r="E2420" s="1" t="s">
        <v>7140</v>
      </c>
      <c r="F2420" s="1" t="str">
        <f>IFERROR(__xludf.DUMMYFUNCTION("GOOGLETRANSLATE(A2420, ""zh-CN"", ""ko"")"),"이에 관해서는")</f>
        <v>이에 관해서는</v>
      </c>
    </row>
    <row r="2421" ht="15.75" customHeight="1">
      <c r="A2421" s="1" t="s">
        <v>7141</v>
      </c>
      <c r="B2421" s="1">
        <v>5.0</v>
      </c>
      <c r="C2421" s="1" t="s">
        <v>7142</v>
      </c>
      <c r="D2421" s="1" t="s">
        <v>16</v>
      </c>
      <c r="E2421" s="1" t="s">
        <v>7143</v>
      </c>
      <c r="F2421" s="1" t="str">
        <f>IFERROR(__xludf.DUMMYFUNCTION("GOOGLETRANSLATE(A2421, ""zh-CN"", ""ko"")"),"자원 봉사자")</f>
        <v>자원 봉사자</v>
      </c>
    </row>
    <row r="2422" ht="15.75" customHeight="1">
      <c r="A2422" s="1" t="s">
        <v>7144</v>
      </c>
      <c r="B2422" s="1">
        <v>5.0</v>
      </c>
      <c r="C2422" s="1" t="s">
        <v>7145</v>
      </c>
      <c r="D2422" s="1" t="s">
        <v>8</v>
      </c>
      <c r="E2422" s="1" t="s">
        <v>7146</v>
      </c>
      <c r="F2422" s="1" t="str">
        <f>IFERROR(__xludf.DUMMYFUNCTION("GOOGLETRANSLATE(A2422, ""zh-CN"", ""ko"")"),"제조")</f>
        <v>제조</v>
      </c>
    </row>
    <row r="2423" ht="15.75" customHeight="1">
      <c r="A2423" s="1" t="s">
        <v>7147</v>
      </c>
      <c r="B2423" s="1">
        <v>5.0</v>
      </c>
      <c r="C2423" s="1" t="s">
        <v>7148</v>
      </c>
      <c r="D2423" s="1" t="s">
        <v>8</v>
      </c>
      <c r="E2423" s="1" t="s">
        <v>7149</v>
      </c>
      <c r="F2423" s="1" t="str">
        <f>IFERROR(__xludf.DUMMYFUNCTION("GOOGLETRANSLATE(A2423, ""zh-CN"", ""ko"")"),"생산")</f>
        <v>생산</v>
      </c>
    </row>
    <row r="2424" ht="15.75" customHeight="1">
      <c r="A2424" s="1" t="s">
        <v>7150</v>
      </c>
      <c r="B2424" s="1">
        <v>5.0</v>
      </c>
      <c r="C2424" s="1" t="s">
        <v>7151</v>
      </c>
      <c r="D2424" s="1" t="s">
        <v>16</v>
      </c>
      <c r="E2424" s="1" t="s">
        <v>7152</v>
      </c>
      <c r="F2424" s="1" t="str">
        <f>IFERROR(__xludf.DUMMYFUNCTION("GOOGLETRANSLATE(A2424, ""zh-CN"", ""ko"")"),"중개인")</f>
        <v>중개인</v>
      </c>
    </row>
    <row r="2425" ht="15.75" customHeight="1">
      <c r="A2425" s="1" t="s">
        <v>7153</v>
      </c>
      <c r="B2425" s="1">
        <v>5.0</v>
      </c>
      <c r="C2425" s="1" t="s">
        <v>7154</v>
      </c>
      <c r="D2425" s="1" t="s">
        <v>16</v>
      </c>
      <c r="E2425" s="1" t="s">
        <v>7155</v>
      </c>
      <c r="F2425" s="1" t="str">
        <f>IFERROR(__xludf.DUMMYFUNCTION("GOOGLETRANSLATE(A2425, ""zh-CN"", ""ko"")"),"센터")</f>
        <v>센터</v>
      </c>
    </row>
    <row r="2426" ht="15.75" customHeight="1">
      <c r="A2426" s="1" t="s">
        <v>7156</v>
      </c>
      <c r="B2426" s="1">
        <v>5.0</v>
      </c>
      <c r="C2426" s="1" t="s">
        <v>7157</v>
      </c>
      <c r="D2426" s="1" t="s">
        <v>16</v>
      </c>
      <c r="E2426" s="1" t="s">
        <v>7158</v>
      </c>
      <c r="F2426" s="1" t="str">
        <f>IFERROR(__xludf.DUMMYFUNCTION("GOOGLETRANSLATE(A2426, ""zh-CN"", ""ko"")"),"이달 중순")</f>
        <v>이달 중순</v>
      </c>
    </row>
    <row r="2427" ht="15.75" customHeight="1">
      <c r="A2427" s="1" t="s">
        <v>7159</v>
      </c>
      <c r="B2427" s="1">
        <v>5.0</v>
      </c>
      <c r="C2427" s="1" t="s">
        <v>7160</v>
      </c>
      <c r="D2427" s="1" t="s">
        <v>16</v>
      </c>
      <c r="E2427" s="1" t="s">
        <v>1751</v>
      </c>
      <c r="F2427" s="1" t="str">
        <f>IFERROR(__xludf.DUMMYFUNCTION("GOOGLETRANSLATE(A2427, ""zh-CN"", ""ko"")"),"유형")</f>
        <v>유형</v>
      </c>
    </row>
    <row r="2428" ht="15.75" customHeight="1">
      <c r="A2428" s="1" t="s">
        <v>7161</v>
      </c>
      <c r="B2428" s="1">
        <v>5.0</v>
      </c>
      <c r="C2428" s="1" t="s">
        <v>7162</v>
      </c>
      <c r="D2428" s="1" t="s">
        <v>52</v>
      </c>
      <c r="E2428" s="1" t="s">
        <v>1754</v>
      </c>
      <c r="F2428" s="1" t="str">
        <f>IFERROR(__xludf.DUMMYFUNCTION("GOOGLETRANSLATE(A2428, ""zh-CN"", ""ko"")"),"주요한")</f>
        <v>주요한</v>
      </c>
    </row>
    <row r="2429" ht="15.75" customHeight="1">
      <c r="A2429" s="1" t="s">
        <v>7163</v>
      </c>
      <c r="B2429" s="1">
        <v>5.0</v>
      </c>
      <c r="C2429" s="1" t="s">
        <v>7164</v>
      </c>
      <c r="D2429" s="1" t="s">
        <v>16</v>
      </c>
      <c r="E2429" s="1" t="s">
        <v>7165</v>
      </c>
      <c r="F2429" s="1" t="str">
        <f>IFERROR(__xludf.DUMMYFUNCTION("GOOGLETRANSLATE(A2429, ""zh-CN"", ""ko"")"),"무게")</f>
        <v>무게</v>
      </c>
    </row>
    <row r="2430" ht="15.75" customHeight="1">
      <c r="A2430" s="1" t="s">
        <v>7166</v>
      </c>
      <c r="B2430" s="1">
        <v>5.0</v>
      </c>
      <c r="C2430" s="1" t="s">
        <v>7167</v>
      </c>
      <c r="D2430" s="1" t="s">
        <v>52</v>
      </c>
      <c r="E2430" s="1" t="s">
        <v>7168</v>
      </c>
      <c r="F2430" s="1" t="str">
        <f>IFERROR(__xludf.DUMMYFUNCTION("GOOGLETRANSLATE(A2430, ""zh-CN"", ""ko"")"),"인정 있는")</f>
        <v>인정 있는</v>
      </c>
    </row>
    <row r="2431" ht="15.75" customHeight="1">
      <c r="A2431" s="1" t="s">
        <v>7169</v>
      </c>
      <c r="B2431" s="1">
        <v>5.0</v>
      </c>
      <c r="C2431" s="1" t="s">
        <v>7170</v>
      </c>
      <c r="D2431" s="1" t="s">
        <v>16</v>
      </c>
      <c r="E2431" s="1" t="s">
        <v>7171</v>
      </c>
      <c r="F2431" s="1" t="str">
        <f>IFERROR(__xludf.DUMMYFUNCTION("GOOGLETRANSLATE(A2431, ""zh-CN"", ""ko"")"),"돼지")</f>
        <v>돼지</v>
      </c>
    </row>
    <row r="2432" ht="15.75" customHeight="1">
      <c r="A2432" s="1" t="s">
        <v>7172</v>
      </c>
      <c r="B2432" s="1">
        <v>5.0</v>
      </c>
      <c r="C2432" s="1" t="s">
        <v>7173</v>
      </c>
      <c r="D2432" s="1" t="s">
        <v>33</v>
      </c>
      <c r="E2432" s="1" t="s">
        <v>7174</v>
      </c>
      <c r="F2432" s="1" t="str">
        <f>IFERROR(__xludf.DUMMYFUNCTION("GOOGLETRANSLATE(A2432, ""zh-CN"", ""ko"")"),"서서히")</f>
        <v>서서히</v>
      </c>
    </row>
    <row r="2433" ht="15.75" customHeight="1">
      <c r="A2433" s="1" t="s">
        <v>7175</v>
      </c>
      <c r="B2433" s="1">
        <v>5.0</v>
      </c>
      <c r="C2433" s="1" t="s">
        <v>7176</v>
      </c>
      <c r="D2433" s="1" t="s">
        <v>33</v>
      </c>
      <c r="E2433" s="1" t="s">
        <v>7177</v>
      </c>
      <c r="F2433" s="1" t="str">
        <f>IFERROR(__xludf.DUMMYFUNCTION("GOOGLETRANSLATE(A2433, ""zh-CN"", ""ko"")"),"서서히")</f>
        <v>서서히</v>
      </c>
    </row>
    <row r="2434" ht="15.75" customHeight="1">
      <c r="A2434" s="1" t="s">
        <v>7178</v>
      </c>
      <c r="B2434" s="1">
        <v>5.0</v>
      </c>
      <c r="C2434" s="1" t="s">
        <v>7179</v>
      </c>
      <c r="D2434" s="1" t="s">
        <v>16</v>
      </c>
      <c r="E2434" s="1" t="s">
        <v>7180</v>
      </c>
      <c r="F2434" s="1" t="str">
        <f>IFERROR(__xludf.DUMMYFUNCTION("GOOGLETRANSLATE(A2434, ""zh-CN"", ""ko"")"),"대나무")</f>
        <v>대나무</v>
      </c>
    </row>
    <row r="2435" ht="15.75" customHeight="1">
      <c r="A2435" s="1" t="s">
        <v>7181</v>
      </c>
      <c r="B2435" s="1">
        <v>5.0</v>
      </c>
      <c r="C2435" s="1" t="s">
        <v>7182</v>
      </c>
      <c r="D2435" s="1" t="s">
        <v>8</v>
      </c>
      <c r="E2435" s="1" t="s">
        <v>7183</v>
      </c>
      <c r="F2435" s="1" t="str">
        <f>IFERROR(__xludf.DUMMYFUNCTION("GOOGLETRANSLATE(A2435, ""zh-CN"", ""ko"")"),"요리하다")</f>
        <v>요리하다</v>
      </c>
    </row>
    <row r="2436" ht="15.75" customHeight="1">
      <c r="A2436" s="1" t="s">
        <v>7184</v>
      </c>
      <c r="B2436" s="1">
        <v>5.0</v>
      </c>
      <c r="C2436" s="1" t="s">
        <v>7185</v>
      </c>
      <c r="D2436" s="1" t="s">
        <v>8</v>
      </c>
      <c r="E2436" s="1" t="s">
        <v>7186</v>
      </c>
      <c r="F2436" s="1" t="str">
        <f>IFERROR(__xludf.DUMMYFUNCTION("GOOGLETRANSLATE(A2436, ""zh-CN"", ""ko"")"),"주인")</f>
        <v>주인</v>
      </c>
    </row>
    <row r="2437" ht="15.75" customHeight="1">
      <c r="A2437" s="1" t="s">
        <v>7187</v>
      </c>
      <c r="B2437" s="1">
        <v>5.0</v>
      </c>
      <c r="C2437" s="1" t="s">
        <v>7188</v>
      </c>
      <c r="D2437" s="1" t="s">
        <v>52</v>
      </c>
      <c r="E2437" s="1" t="s">
        <v>7189</v>
      </c>
      <c r="F2437" s="1" t="str">
        <f>IFERROR(__xludf.DUMMYFUNCTION("GOOGLETRANSLATE(A2437, ""zh-CN"", ""ko"")"),"계획")</f>
        <v>계획</v>
      </c>
    </row>
    <row r="2438" ht="15.75" customHeight="1">
      <c r="A2438" s="1" t="s">
        <v>7190</v>
      </c>
      <c r="B2438" s="1">
        <v>5.0</v>
      </c>
      <c r="C2438" s="1" t="s">
        <v>7191</v>
      </c>
      <c r="D2438" s="1" t="s">
        <v>52</v>
      </c>
      <c r="E2438" s="1" t="s">
        <v>7192</v>
      </c>
      <c r="F2438" s="1" t="str">
        <f>IFERROR(__xludf.DUMMYFUNCTION("GOOGLETRANSLATE(A2438, ""zh-CN"", ""ko"")"),"주걱")</f>
        <v>주걱</v>
      </c>
    </row>
    <row r="2439" ht="15.75" customHeight="1">
      <c r="A2439" s="1" t="s">
        <v>7193</v>
      </c>
      <c r="B2439" s="1">
        <v>5.0</v>
      </c>
      <c r="C2439" s="1" t="s">
        <v>7194</v>
      </c>
      <c r="D2439" s="1" t="s">
        <v>16</v>
      </c>
      <c r="E2439" s="1" t="s">
        <v>7195</v>
      </c>
      <c r="F2439" s="1" t="str">
        <f>IFERROR(__xludf.DUMMYFUNCTION("GOOGLETRANSLATE(A2439, ""zh-CN"", ""ko"")"),"소유자")</f>
        <v>소유자</v>
      </c>
    </row>
    <row r="2440" ht="15.75" customHeight="1">
      <c r="A2440" s="1" t="s">
        <v>7196</v>
      </c>
      <c r="B2440" s="1">
        <v>5.0</v>
      </c>
      <c r="C2440" s="1" t="s">
        <v>7197</v>
      </c>
      <c r="D2440" s="1" t="s">
        <v>16</v>
      </c>
      <c r="E2440" s="1" t="s">
        <v>4135</v>
      </c>
      <c r="F2440" s="1" t="str">
        <f>IFERROR(__xludf.DUMMYFUNCTION("GOOGLETRANSLATE(A2440, ""zh-CN"", ""ko"")"),"감독")</f>
        <v>감독</v>
      </c>
    </row>
    <row r="2441" ht="15.75" customHeight="1">
      <c r="A2441" s="1" t="s">
        <v>7198</v>
      </c>
      <c r="B2441" s="1">
        <v>5.0</v>
      </c>
      <c r="C2441" s="1" t="s">
        <v>7199</v>
      </c>
      <c r="D2441" s="1" t="s">
        <v>16</v>
      </c>
      <c r="E2441" s="1" t="s">
        <v>7200</v>
      </c>
      <c r="F2441" s="1" t="str">
        <f>IFERROR(__xludf.DUMMYFUNCTION("GOOGLETRANSLATE(A2441, ""zh-CN"", ""ko"")"),"주제")</f>
        <v>주제</v>
      </c>
    </row>
    <row r="2442" ht="15.75" customHeight="1">
      <c r="A2442" s="1" t="s">
        <v>7201</v>
      </c>
      <c r="B2442" s="1">
        <v>5.0</v>
      </c>
      <c r="C2442" s="1" t="s">
        <v>7202</v>
      </c>
      <c r="D2442" s="1" t="s">
        <v>16</v>
      </c>
      <c r="E2442" s="1" t="s">
        <v>7203</v>
      </c>
      <c r="F2442" s="1" t="str">
        <f>IFERROR(__xludf.DUMMYFUNCTION("GOOGLETRANSLATE(A2442, ""zh-CN"", ""ko"")"),"대통령")</f>
        <v>대통령</v>
      </c>
    </row>
    <row r="2443" ht="15.75" customHeight="1">
      <c r="A2443" s="1" t="s">
        <v>7204</v>
      </c>
      <c r="B2443" s="1">
        <v>5.0</v>
      </c>
      <c r="C2443" s="1" t="s">
        <v>7205</v>
      </c>
      <c r="D2443" s="1" t="s">
        <v>8</v>
      </c>
      <c r="E2443" s="1" t="s">
        <v>7206</v>
      </c>
      <c r="F2443" s="1" t="str">
        <f>IFERROR(__xludf.DUMMYFUNCTION("GOOGLETRANSLATE(A2443, ""zh-CN"", ""ko"")"),"옹호")</f>
        <v>옹호</v>
      </c>
    </row>
    <row r="2444" ht="15.75" customHeight="1">
      <c r="A2444" s="1" t="s">
        <v>7207</v>
      </c>
      <c r="B2444" s="1">
        <v>5.0</v>
      </c>
      <c r="C2444" s="1" t="s">
        <v>7208</v>
      </c>
      <c r="D2444" s="1" t="s">
        <v>8</v>
      </c>
      <c r="E2444" s="1" t="s">
        <v>7209</v>
      </c>
      <c r="F2444" s="1" t="str">
        <f>IFERROR(__xludf.DUMMYFUNCTION("GOOGLETRANSLATE(A2444, ""zh-CN"", ""ko"")"),"등록하다")</f>
        <v>등록하다</v>
      </c>
    </row>
    <row r="2445" ht="15.75" customHeight="1">
      <c r="A2445" s="1" t="s">
        <v>7210</v>
      </c>
      <c r="B2445" s="1">
        <v>5.0</v>
      </c>
      <c r="C2445" s="1" t="s">
        <v>7211</v>
      </c>
      <c r="D2445" s="1" t="s">
        <v>8</v>
      </c>
      <c r="E2445" s="1" t="s">
        <v>7212</v>
      </c>
      <c r="F2445" s="1" t="str">
        <f>IFERROR(__xludf.DUMMYFUNCTION("GOOGLETRANSLATE(A2445, ""zh-CN"", ""ko"")"),"신을 하다")</f>
        <v>신을 하다</v>
      </c>
    </row>
    <row r="2446" ht="15.75" customHeight="1">
      <c r="A2446" s="1" t="s">
        <v>7213</v>
      </c>
      <c r="B2446" s="1">
        <v>5.0</v>
      </c>
      <c r="C2446" s="1" t="s">
        <v>7214</v>
      </c>
      <c r="D2446" s="1" t="s">
        <v>8</v>
      </c>
      <c r="E2446" s="1" t="s">
        <v>7215</v>
      </c>
      <c r="F2446" s="1" t="str">
        <f>IFERROR(__xludf.DUMMYFUNCTION("GOOGLETRANSLATE(A2446, ""zh-CN"", ""ko"")"),"파악")</f>
        <v>파악</v>
      </c>
    </row>
    <row r="2447" ht="15.75" customHeight="1">
      <c r="A2447" s="1" t="s">
        <v>7216</v>
      </c>
      <c r="B2447" s="1">
        <v>5.0</v>
      </c>
      <c r="C2447" s="1" t="s">
        <v>7217</v>
      </c>
      <c r="D2447" s="1" t="s">
        <v>8</v>
      </c>
      <c r="E2447" s="1" t="s">
        <v>7218</v>
      </c>
      <c r="F2447" s="1" t="str">
        <f>IFERROR(__xludf.DUMMYFUNCTION("GOOGLETRANSLATE(A2447, ""zh-CN"", ""ko"")"),"주의 깊게 살펴보세요")</f>
        <v>주의 깊게 살펴보세요</v>
      </c>
    </row>
    <row r="2448" ht="15.75" customHeight="1">
      <c r="A2448" s="1" t="s">
        <v>7219</v>
      </c>
      <c r="B2448" s="1">
        <v>5.0</v>
      </c>
      <c r="C2448" s="1" t="s">
        <v>7220</v>
      </c>
      <c r="D2448" s="1" t="s">
        <v>16</v>
      </c>
      <c r="E2448" s="1" t="s">
        <v>7221</v>
      </c>
      <c r="F2448" s="1" t="str">
        <f>IFERROR(__xludf.DUMMYFUNCTION("GOOGLETRANSLATE(A2448, ""zh-CN"", ""ko"")"),"전문가")</f>
        <v>전문가</v>
      </c>
    </row>
    <row r="2449" ht="15.75" customHeight="1">
      <c r="A2449" s="1" t="s">
        <v>7222</v>
      </c>
      <c r="B2449" s="1">
        <v>5.0</v>
      </c>
      <c r="C2449" s="1" t="s">
        <v>7223</v>
      </c>
      <c r="D2449" s="1" t="s">
        <v>52</v>
      </c>
      <c r="E2449" s="1" t="s">
        <v>7224</v>
      </c>
      <c r="F2449" s="1" t="str">
        <f>IFERROR(__xludf.DUMMYFUNCTION("GOOGLETRANSLATE(A2449, ""zh-CN"", ""ko"")"),"집중하다")</f>
        <v>집중하다</v>
      </c>
    </row>
    <row r="2450" ht="15.75" customHeight="1">
      <c r="A2450" s="1" t="s">
        <v>7225</v>
      </c>
      <c r="B2450" s="1">
        <v>5.0</v>
      </c>
      <c r="C2450" s="1" t="s">
        <v>7226</v>
      </c>
      <c r="D2450" s="1" t="s">
        <v>8</v>
      </c>
      <c r="E2450" s="1" t="s">
        <v>7227</v>
      </c>
      <c r="F2450" s="1" t="str">
        <f>IFERROR(__xludf.DUMMYFUNCTION("GOOGLETRANSLATE(A2450, ""zh-CN"", ""ko"")"),"변화")</f>
        <v>변화</v>
      </c>
    </row>
    <row r="2451" ht="15.75" customHeight="1">
      <c r="A2451" s="1" t="s">
        <v>7228</v>
      </c>
      <c r="B2451" s="1">
        <v>5.0</v>
      </c>
      <c r="C2451" s="1" t="s">
        <v>7229</v>
      </c>
      <c r="D2451" s="1" t="s">
        <v>8</v>
      </c>
      <c r="E2451" s="1" t="s">
        <v>7230</v>
      </c>
      <c r="F2451" s="1" t="str">
        <f>IFERROR(__xludf.DUMMYFUNCTION("GOOGLETRANSLATE(A2451, ""zh-CN"", ""ko"")"),"말하다")</f>
        <v>말하다</v>
      </c>
    </row>
    <row r="2452" ht="15.75" customHeight="1">
      <c r="A2452" s="1" t="s">
        <v>7231</v>
      </c>
      <c r="B2452" s="1">
        <v>5.0</v>
      </c>
      <c r="C2452" s="1" t="s">
        <v>7232</v>
      </c>
      <c r="D2452" s="1" t="s">
        <v>8</v>
      </c>
      <c r="E2452" s="1" t="s">
        <v>7233</v>
      </c>
      <c r="F2452" s="1" t="str">
        <f>IFERROR(__xludf.DUMMYFUNCTION("GOOGLETRANSLATE(A2452, ""zh-CN"", ""ko"")"),"팩")</f>
        <v>팩</v>
      </c>
    </row>
    <row r="2453" ht="15.75" customHeight="1">
      <c r="A2453" s="1" t="s">
        <v>7234</v>
      </c>
      <c r="B2453" s="1">
        <v>5.0</v>
      </c>
      <c r="C2453" s="1" t="s">
        <v>7235</v>
      </c>
      <c r="D2453" s="1" t="s">
        <v>8</v>
      </c>
      <c r="E2453" s="1" t="s">
        <v>7236</v>
      </c>
      <c r="F2453" s="1" t="str">
        <f>IFERROR(__xludf.DUMMYFUNCTION("GOOGLETRANSLATE(A2453, ""zh-CN"", ""ko"")"),"장식하다")</f>
        <v>장식하다</v>
      </c>
    </row>
    <row r="2454" ht="15.75" customHeight="1">
      <c r="A2454" s="1" t="s">
        <v>7237</v>
      </c>
      <c r="B2454" s="1">
        <v>5.0</v>
      </c>
      <c r="C2454" s="1" t="s">
        <v>7238</v>
      </c>
      <c r="D2454" s="1" t="s">
        <v>8</v>
      </c>
      <c r="E2454" s="1" t="s">
        <v>7239</v>
      </c>
      <c r="F2454" s="1" t="str">
        <f>IFERROR(__xludf.DUMMYFUNCTION("GOOGLETRANSLATE(A2454, ""zh-CN"", ""ko"")"),"주다")</f>
        <v>주다</v>
      </c>
    </row>
    <row r="2455" ht="15.75" customHeight="1">
      <c r="A2455" s="1" t="s">
        <v>7240</v>
      </c>
      <c r="B2455" s="1">
        <v>5.0</v>
      </c>
      <c r="C2455" s="1" t="s">
        <v>7241</v>
      </c>
      <c r="D2455" s="1" t="s">
        <v>8</v>
      </c>
      <c r="E2455" s="1" t="s">
        <v>2780</v>
      </c>
      <c r="F2455" s="1" t="str">
        <f>IFERROR(__xludf.DUMMYFUNCTION("GOOGLETRANSLATE(A2455, ""zh-CN"", ""ko"")"),"충돌하다")</f>
        <v>충돌하다</v>
      </c>
    </row>
    <row r="2456" ht="15.75" customHeight="1">
      <c r="A2456" s="1" t="s">
        <v>7242</v>
      </c>
      <c r="B2456" s="1">
        <v>5.0</v>
      </c>
      <c r="C2456" s="1" t="s">
        <v>7243</v>
      </c>
      <c r="D2456" s="1" t="s">
        <v>16</v>
      </c>
      <c r="E2456" s="1" t="s">
        <v>7244</v>
      </c>
      <c r="F2456" s="1" t="str">
        <f>IFERROR(__xludf.DUMMYFUNCTION("GOOGLETRANSLATE(A2456, ""zh-CN"", ""ko"")"),"상황")</f>
        <v>상황</v>
      </c>
    </row>
    <row r="2457" ht="15.75" customHeight="1">
      <c r="A2457" s="1" t="s">
        <v>7245</v>
      </c>
      <c r="B2457" s="1">
        <v>5.0</v>
      </c>
      <c r="C2457" s="1" t="s">
        <v>7246</v>
      </c>
      <c r="D2457" s="1" t="s">
        <v>16</v>
      </c>
      <c r="E2457" s="1" t="s">
        <v>7247</v>
      </c>
      <c r="F2457" s="1" t="str">
        <f>IFERROR(__xludf.DUMMYFUNCTION("GOOGLETRANSLATE(A2457, ""zh-CN"", ""ko"")"),"상태")</f>
        <v>상태</v>
      </c>
    </row>
    <row r="2458" ht="15.75" customHeight="1">
      <c r="A2458" s="1" t="s">
        <v>7248</v>
      </c>
      <c r="B2458" s="1">
        <v>5.0</v>
      </c>
      <c r="C2458" s="1" t="s">
        <v>7249</v>
      </c>
      <c r="D2458" s="1" t="s">
        <v>8</v>
      </c>
      <c r="E2458" s="1" t="s">
        <v>7250</v>
      </c>
      <c r="F2458" s="1" t="str">
        <f>IFERROR(__xludf.DUMMYFUNCTION("GOOGLETRANSLATE(A2458, ""zh-CN"", ""ko"")"),"뒤쫓다다")</f>
        <v>뒤쫓다다</v>
      </c>
    </row>
    <row r="2459" ht="15.75" customHeight="1">
      <c r="A2459" s="1" t="s">
        <v>7251</v>
      </c>
      <c r="B2459" s="1">
        <v>5.0</v>
      </c>
      <c r="C2459" s="1" t="s">
        <v>7252</v>
      </c>
      <c r="D2459" s="1" t="s">
        <v>8</v>
      </c>
      <c r="E2459" s="1" t="s">
        <v>7253</v>
      </c>
      <c r="F2459" s="1" t="str">
        <f>IFERROR(__xludf.DUMMYFUNCTION("GOOGLETRANSLATE(A2459, ""zh-CN"", ""ko"")"),"추구하다")</f>
        <v>추구하다</v>
      </c>
    </row>
    <row r="2460" ht="15.75" customHeight="1">
      <c r="A2460" s="1" t="s">
        <v>7254</v>
      </c>
      <c r="B2460" s="1">
        <v>5.0</v>
      </c>
      <c r="C2460" s="1" t="s">
        <v>7255</v>
      </c>
      <c r="D2460" s="1" t="s">
        <v>16</v>
      </c>
      <c r="E2460" s="1" t="s">
        <v>7256</v>
      </c>
      <c r="F2460" s="1" t="str">
        <f>IFERROR(__xludf.DUMMYFUNCTION("GOOGLETRANSLATE(A2460, ""zh-CN"", ""ko"")"),"자격")</f>
        <v>자격</v>
      </c>
    </row>
    <row r="2461" ht="15.75" customHeight="1">
      <c r="A2461" s="1" t="s">
        <v>7257</v>
      </c>
      <c r="B2461" s="1">
        <v>5.0</v>
      </c>
      <c r="C2461" s="1" t="s">
        <v>7258</v>
      </c>
      <c r="D2461" s="1" t="s">
        <v>16</v>
      </c>
      <c r="E2461" s="1" t="s">
        <v>7259</v>
      </c>
      <c r="F2461" s="1" t="str">
        <f>IFERROR(__xludf.DUMMYFUNCTION("GOOGLETRANSLATE(A2461, ""zh-CN"", ""ko"")"),"자금")</f>
        <v>자금</v>
      </c>
    </row>
    <row r="2462" ht="15.75" customHeight="1">
      <c r="A2462" s="1" t="s">
        <v>7260</v>
      </c>
      <c r="B2462" s="1">
        <v>5.0</v>
      </c>
      <c r="C2462" s="1" t="s">
        <v>7261</v>
      </c>
      <c r="D2462" s="1" t="s">
        <v>16</v>
      </c>
      <c r="E2462" s="1" t="s">
        <v>7262</v>
      </c>
      <c r="F2462" s="1" t="str">
        <f>IFERROR(__xludf.DUMMYFUNCTION("GOOGLETRANSLATE(A2462, ""zh-CN"", ""ko"")"),"재료")</f>
        <v>재료</v>
      </c>
    </row>
    <row r="2463" ht="15.75" customHeight="1">
      <c r="A2463" s="1" t="s">
        <v>7263</v>
      </c>
      <c r="B2463" s="1">
        <v>5.0</v>
      </c>
      <c r="C2463" s="1" t="s">
        <v>7264</v>
      </c>
      <c r="D2463" s="1" t="s">
        <v>16</v>
      </c>
      <c r="E2463" s="1" t="s">
        <v>7265</v>
      </c>
      <c r="F2463" s="1" t="str">
        <f>IFERROR(__xludf.DUMMYFUNCTION("GOOGLETRANSLATE(A2463, ""zh-CN"", ""ko"")"),"자세")</f>
        <v>자세</v>
      </c>
    </row>
    <row r="2464" ht="15.75" customHeight="1">
      <c r="A2464" s="1" t="s">
        <v>7266</v>
      </c>
      <c r="B2464" s="1">
        <v>5.0</v>
      </c>
      <c r="C2464" s="1" t="s">
        <v>7267</v>
      </c>
      <c r="D2464" s="1" t="s">
        <v>8</v>
      </c>
      <c r="E2464" s="1" t="s">
        <v>7268</v>
      </c>
      <c r="F2464" s="1" t="str">
        <f>IFERROR(__xludf.DUMMYFUNCTION("GOOGLETRANSLATE(A2464, ""zh-CN"", ""ko"")"),"찾다")</f>
        <v>찾다</v>
      </c>
    </row>
    <row r="2465" ht="15.75" customHeight="1">
      <c r="A2465" s="1" t="s">
        <v>7269</v>
      </c>
      <c r="B2465" s="1">
        <v>5.0</v>
      </c>
      <c r="C2465" s="1" t="s">
        <v>7270</v>
      </c>
      <c r="D2465" s="1" t="s">
        <v>16</v>
      </c>
      <c r="E2465" s="1" t="s">
        <v>7271</v>
      </c>
      <c r="F2465" s="1" t="str">
        <f>IFERROR(__xludf.DUMMYFUNCTION("GOOGLETRANSLATE(A2465, ""zh-CN"", ""ko"")"),"의지")</f>
        <v>의지</v>
      </c>
    </row>
    <row r="2466" ht="15.75" customHeight="1">
      <c r="A2466" s="1" t="s">
        <v>7272</v>
      </c>
      <c r="B2466" s="1">
        <v>5.0</v>
      </c>
      <c r="C2466" s="1" t="s">
        <v>7273</v>
      </c>
      <c r="D2466" s="1" t="s">
        <v>52</v>
      </c>
      <c r="E2466" s="1" t="s">
        <v>7274</v>
      </c>
      <c r="F2466" s="1" t="str">
        <f>IFERROR(__xludf.DUMMYFUNCTION("GOOGLETRANSLATE(A2466, ""zh-CN"", ""ko"")"),"보라")</f>
        <v>보라</v>
      </c>
    </row>
    <row r="2467" ht="15.75" customHeight="1">
      <c r="A2467" s="1" t="s">
        <v>7275</v>
      </c>
      <c r="B2467" s="1">
        <v>5.0</v>
      </c>
      <c r="C2467" s="1" t="s">
        <v>7276</v>
      </c>
      <c r="D2467" s="1" t="s">
        <v>486</v>
      </c>
      <c r="E2467" s="1" t="s">
        <v>2347</v>
      </c>
      <c r="F2467" s="1" t="str">
        <f>IFERROR(__xludf.DUMMYFUNCTION("GOOGLETRANSLATE(A2467, ""zh-CN"", ""ko"")"),"~부터")</f>
        <v>~부터</v>
      </c>
    </row>
    <row r="2468" ht="15.75" customHeight="1">
      <c r="A2468" s="1" t="s">
        <v>7277</v>
      </c>
      <c r="B2468" s="1">
        <v>5.0</v>
      </c>
      <c r="C2468" s="1" t="s">
        <v>7278</v>
      </c>
      <c r="D2468" s="1" t="s">
        <v>1994</v>
      </c>
      <c r="E2468" s="1" t="s">
        <v>7279</v>
      </c>
      <c r="F2468" s="1" t="str">
        <f>IFERROR(__xludf.DUMMYFUNCTION("GOOGLETRANSLATE(A2468, ""zh-CN"", ""ko"")"),"오토매틱")</f>
        <v>오토매틱</v>
      </c>
    </row>
    <row r="2469" ht="15.75" customHeight="1">
      <c r="A2469" s="1" t="s">
        <v>7280</v>
      </c>
      <c r="B2469" s="1">
        <v>5.0</v>
      </c>
      <c r="C2469" s="1" t="s">
        <v>7281</v>
      </c>
      <c r="D2469" s="1" t="s">
        <v>52</v>
      </c>
      <c r="E2469" s="1" t="s">
        <v>7282</v>
      </c>
      <c r="F2469" s="1" t="str">
        <f>IFERROR(__xludf.DUMMYFUNCTION("GOOGLETRANSLATE(A2469, ""zh-CN"", ""ko"")"),"자부심")</f>
        <v>자부심</v>
      </c>
    </row>
    <row r="2470" ht="15.75" customHeight="1">
      <c r="A2470" s="1" t="s">
        <v>7283</v>
      </c>
      <c r="B2470" s="1">
        <v>5.0</v>
      </c>
      <c r="C2470" s="1" t="s">
        <v>7284</v>
      </c>
      <c r="D2470" s="1" t="s">
        <v>1003</v>
      </c>
      <c r="E2470" s="1" t="s">
        <v>7285</v>
      </c>
      <c r="F2470" s="1" t="str">
        <f>IFERROR(__xludf.DUMMYFUNCTION("GOOGLETRANSLATE(A2470, ""zh-CN"", ""ko"")"),"의식하는")</f>
        <v>의식하는</v>
      </c>
    </row>
    <row r="2471" ht="15.75" customHeight="1">
      <c r="A2471" s="1" t="s">
        <v>7286</v>
      </c>
      <c r="B2471" s="1">
        <v>5.0</v>
      </c>
      <c r="C2471" s="1" t="s">
        <v>7287</v>
      </c>
      <c r="D2471" s="1" t="s">
        <v>16</v>
      </c>
      <c r="E2471" s="1" t="s">
        <v>7288</v>
      </c>
      <c r="F2471" s="1" t="str">
        <f>IFERROR(__xludf.DUMMYFUNCTION("GOOGLETRANSLATE(A2471, ""zh-CN"", ""ko"")"),"편지")</f>
        <v>편지</v>
      </c>
    </row>
    <row r="2472" ht="15.75" customHeight="1">
      <c r="A2472" s="1" t="s">
        <v>7289</v>
      </c>
      <c r="B2472" s="1">
        <v>5.0</v>
      </c>
      <c r="C2472" s="1" t="s">
        <v>7290</v>
      </c>
      <c r="D2472" s="1" t="s">
        <v>16</v>
      </c>
      <c r="E2472" s="1" t="s">
        <v>7291</v>
      </c>
      <c r="F2472" s="1" t="str">
        <f>IFERROR(__xludf.DUMMYFUNCTION("GOOGLETRANSLATE(A2472, ""zh-CN"", ""ko"")"),"부제")</f>
        <v>부제</v>
      </c>
    </row>
    <row r="2473" ht="15.75" customHeight="1">
      <c r="A2473" s="1" t="s">
        <v>7292</v>
      </c>
      <c r="B2473" s="1">
        <v>5.0</v>
      </c>
      <c r="C2473" s="1" t="s">
        <v>7293</v>
      </c>
      <c r="D2473" s="1" t="s">
        <v>52</v>
      </c>
      <c r="E2473" s="1" t="s">
        <v>7294</v>
      </c>
      <c r="F2473" s="1" t="str">
        <f>IFERROR(__xludf.DUMMYFUNCTION("GOOGLETRANSLATE(A2473, ""zh-CN"", ""ko"")"),"이기적인")</f>
        <v>이기적인</v>
      </c>
    </row>
    <row r="2474" ht="15.75" customHeight="1">
      <c r="A2474" s="1" t="s">
        <v>7295</v>
      </c>
      <c r="B2474" s="1">
        <v>5.0</v>
      </c>
      <c r="C2474" s="1" t="s">
        <v>7296</v>
      </c>
      <c r="D2474" s="1" t="s">
        <v>6828</v>
      </c>
      <c r="E2474" s="1" t="s">
        <v>7297</v>
      </c>
      <c r="F2474" s="1" t="str">
        <f>IFERROR(__xludf.DUMMYFUNCTION("GOOGLETRANSLATE(A2474, ""zh-CN"", ""ko"")"),"무료")</f>
        <v>무료</v>
      </c>
    </row>
    <row r="2475" ht="15.75" customHeight="1">
      <c r="A2475" s="1" t="s">
        <v>7298</v>
      </c>
      <c r="B2475" s="1">
        <v>5.0</v>
      </c>
      <c r="C2475" s="1" t="s">
        <v>7299</v>
      </c>
      <c r="D2475" s="1" t="s">
        <v>8</v>
      </c>
      <c r="E2475" s="1" t="s">
        <v>7300</v>
      </c>
      <c r="F2475" s="1" t="str">
        <f>IFERROR(__xludf.DUMMYFUNCTION("GOOGLETRANSLATE(A2475, ""zh-CN"", ""ko"")"),"자발적인")</f>
        <v>자발적인</v>
      </c>
    </row>
    <row r="2476" ht="15.75" customHeight="1">
      <c r="A2476" s="1" t="s">
        <v>7301</v>
      </c>
      <c r="B2476" s="1">
        <v>5.0</v>
      </c>
      <c r="C2476" s="1" t="s">
        <v>7302</v>
      </c>
      <c r="D2476" s="1" t="s">
        <v>8</v>
      </c>
      <c r="E2476" s="1" t="s">
        <v>7303</v>
      </c>
      <c r="F2476" s="1" t="str">
        <f>IFERROR(__xludf.DUMMYFUNCTION("GOOGLETRANSLATE(A2476, ""zh-CN"", ""ko"")"),"포괄적인")</f>
        <v>포괄적인</v>
      </c>
    </row>
    <row r="2477" ht="15.75" customHeight="1">
      <c r="A2477" s="1" t="s">
        <v>7304</v>
      </c>
      <c r="B2477" s="1">
        <v>5.0</v>
      </c>
      <c r="C2477" s="1" t="s">
        <v>7305</v>
      </c>
      <c r="D2477" s="1" t="s">
        <v>16</v>
      </c>
      <c r="E2477" s="1" t="s">
        <v>7306</v>
      </c>
      <c r="F2477" s="1" t="str">
        <f>IFERROR(__xludf.DUMMYFUNCTION("GOOGLETRANSLATE(A2477, ""zh-CN"", ""ko"")"),"대통령")</f>
        <v>대통령</v>
      </c>
    </row>
    <row r="2478" ht="15.75" customHeight="1">
      <c r="A2478" s="1" t="s">
        <v>7307</v>
      </c>
      <c r="B2478" s="1">
        <v>5.0</v>
      </c>
      <c r="C2478" s="1" t="s">
        <v>7308</v>
      </c>
      <c r="D2478" s="1" t="s">
        <v>33</v>
      </c>
      <c r="E2478" s="1" t="s">
        <v>7309</v>
      </c>
      <c r="F2478" s="1" t="str">
        <f>IFERROR(__xludf.DUMMYFUNCTION("GOOGLETRANSLATE(A2478, ""zh-CN"", ""ko"")"),"총")</f>
        <v>총</v>
      </c>
    </row>
    <row r="2479" ht="15.75" customHeight="1">
      <c r="A2479" s="1" t="s">
        <v>7310</v>
      </c>
      <c r="B2479" s="1">
        <v>5.0</v>
      </c>
      <c r="C2479" s="1" t="s">
        <v>7311</v>
      </c>
      <c r="D2479" s="1" t="s">
        <v>16</v>
      </c>
      <c r="E2479" s="1" t="s">
        <v>7312</v>
      </c>
      <c r="F2479" s="1" t="str">
        <f>IFERROR(__xludf.DUMMYFUNCTION("GOOGLETRANSLATE(A2479, ""zh-CN"", ""ko"")"),"총리")</f>
        <v>총리</v>
      </c>
    </row>
    <row r="2480" ht="15.75" customHeight="1">
      <c r="A2480" s="1" t="s">
        <v>7313</v>
      </c>
      <c r="B2480" s="1">
        <v>5.0</v>
      </c>
      <c r="C2480" s="1" t="s">
        <v>7314</v>
      </c>
      <c r="D2480" s="1" t="s">
        <v>33</v>
      </c>
      <c r="E2480" s="1" t="s">
        <v>7315</v>
      </c>
      <c r="F2480" s="1" t="str">
        <f>IFERROR(__xludf.DUMMYFUNCTION("GOOGLETRANSLATE(A2480, ""zh-CN"", ""ko"")"),"마지막으로")</f>
        <v>마지막으로</v>
      </c>
    </row>
    <row r="2481" ht="15.75" customHeight="1">
      <c r="A2481" s="1" t="s">
        <v>7316</v>
      </c>
      <c r="B2481" s="1">
        <v>5.0</v>
      </c>
      <c r="C2481" s="1" t="s">
        <v>7317</v>
      </c>
      <c r="D2481" s="1" t="s">
        <v>16</v>
      </c>
      <c r="E2481" s="1" t="s">
        <v>7318</v>
      </c>
      <c r="F2481" s="1" t="str">
        <f>IFERROR(__xludf.DUMMYFUNCTION("GOOGLETRANSLATE(A2481, ""zh-CN"", ""ko"")"),"대통령")</f>
        <v>대통령</v>
      </c>
    </row>
    <row r="2482" ht="15.75" customHeight="1">
      <c r="A2482" s="1" t="s">
        <v>7319</v>
      </c>
      <c r="B2482" s="1">
        <v>5.0</v>
      </c>
      <c r="C2482" s="1" t="s">
        <v>7320</v>
      </c>
      <c r="D2482" s="1" t="s">
        <v>1473</v>
      </c>
      <c r="E2482" s="1" t="s">
        <v>7321</v>
      </c>
      <c r="F2482" s="1" t="str">
        <f>IFERROR(__xludf.DUMMYFUNCTION("GOOGLETRANSLATE(A2482, ""zh-CN"", ""ko"")"),"결론적으로")</f>
        <v>결론적으로</v>
      </c>
    </row>
    <row r="2483" ht="15.75" customHeight="1">
      <c r="A2483" s="1" t="s">
        <v>7322</v>
      </c>
      <c r="B2483" s="1">
        <v>5.0</v>
      </c>
      <c r="C2483" s="1" t="s">
        <v>7323</v>
      </c>
      <c r="D2483" s="1" t="s">
        <v>26</v>
      </c>
      <c r="E2483" s="1" t="s">
        <v>7324</v>
      </c>
      <c r="F2483" s="1" t="str">
        <f>IFERROR(__xludf.DUMMYFUNCTION("GOOGLETRANSLATE(A2483, ""zh-CN"", ""ko"")"),"그룹")</f>
        <v>그룹</v>
      </c>
    </row>
    <row r="2484" ht="15.75" customHeight="1">
      <c r="A2484" s="1" t="s">
        <v>7325</v>
      </c>
      <c r="B2484" s="1">
        <v>5.0</v>
      </c>
      <c r="C2484" s="1" t="s">
        <v>7326</v>
      </c>
      <c r="D2484" s="1" t="s">
        <v>8</v>
      </c>
      <c r="E2484" s="1" t="s">
        <v>7327</v>
      </c>
      <c r="F2484" s="1" t="str">
        <f>IFERROR(__xludf.DUMMYFUNCTION("GOOGLETRANSLATE(A2484, ""zh-CN"", ""ko"")"),"구성")</f>
        <v>구성</v>
      </c>
    </row>
    <row r="2485" ht="15.75" customHeight="1">
      <c r="A2485" s="1" t="s">
        <v>7328</v>
      </c>
      <c r="B2485" s="1">
        <v>5.0</v>
      </c>
      <c r="C2485" s="1" t="s">
        <v>7329</v>
      </c>
      <c r="D2485" s="1" t="s">
        <v>875</v>
      </c>
      <c r="E2485" s="1" t="s">
        <v>7330</v>
      </c>
      <c r="F2485" s="1" t="str">
        <f>IFERROR(__xludf.DUMMYFUNCTION("GOOGLETRANSLATE(A2485, ""zh-CN"", ""ko"")"),"콤비네이션")</f>
        <v>콤비네이션</v>
      </c>
    </row>
    <row r="2486" ht="15.75" customHeight="1">
      <c r="A2486" s="1" t="s">
        <v>7331</v>
      </c>
      <c r="B2486" s="1">
        <v>5.0</v>
      </c>
      <c r="C2486" s="1" t="s">
        <v>7332</v>
      </c>
      <c r="D2486" s="1" t="s">
        <v>875</v>
      </c>
      <c r="E2486" s="1" t="s">
        <v>7333</v>
      </c>
      <c r="F2486" s="1" t="str">
        <f>IFERROR(__xludf.DUMMYFUNCTION("GOOGLETRANSLATE(A2486, ""zh-CN"", ""ko"")"),"정리하다")</f>
        <v>정리하다</v>
      </c>
    </row>
    <row r="2487" ht="15.75" customHeight="1">
      <c r="A2487" s="1" t="s">
        <v>7334</v>
      </c>
      <c r="B2487" s="1">
        <v>5.0</v>
      </c>
      <c r="C2487" s="1" t="s">
        <v>7335</v>
      </c>
      <c r="D2487" s="1" t="s">
        <v>8</v>
      </c>
      <c r="E2487" s="1" t="s">
        <v>7336</v>
      </c>
      <c r="F2487" s="1" t="str">
        <f>IFERROR(__xludf.DUMMYFUNCTION("GOOGLETRANSLATE(A2487, ""zh-CN"", ""ko"")"),"예방하다")</f>
        <v>예방하다</v>
      </c>
    </row>
    <row r="2488" ht="15.75" customHeight="1">
      <c r="A2488" s="1" t="s">
        <v>7337</v>
      </c>
      <c r="B2488" s="1">
        <v>5.0</v>
      </c>
      <c r="C2488" s="1" t="s">
        <v>910</v>
      </c>
      <c r="D2488" s="1" t="s">
        <v>8</v>
      </c>
      <c r="E2488" s="1" t="s">
        <v>7338</v>
      </c>
      <c r="F2488" s="1" t="str">
        <f>IFERROR(__xludf.DUMMYFUNCTION("GOOGLETRANSLATE(A2488, ""zh-CN"", ""ko"")"),"술 취한")</f>
        <v>술 취한</v>
      </c>
    </row>
    <row r="2489" ht="15.75" customHeight="1">
      <c r="A2489" s="1" t="s">
        <v>7339</v>
      </c>
      <c r="B2489" s="1">
        <v>5.0</v>
      </c>
      <c r="C2489" s="1" t="s">
        <v>7340</v>
      </c>
      <c r="D2489" s="1" t="s">
        <v>16</v>
      </c>
      <c r="E2489" s="1" t="s">
        <v>7341</v>
      </c>
      <c r="F2489" s="1" t="str">
        <f>IFERROR(__xludf.DUMMYFUNCTION("GOOGLETRANSLATE(A2489, ""zh-CN"", ""ko"")"),"초기의")</f>
        <v>초기의</v>
      </c>
    </row>
    <row r="2490" ht="15.75" customHeight="1">
      <c r="A2490" s="1" t="s">
        <v>7342</v>
      </c>
      <c r="B2490" s="1">
        <v>5.0</v>
      </c>
      <c r="C2490" s="1" t="s">
        <v>7343</v>
      </c>
      <c r="D2490" s="1" t="s">
        <v>8</v>
      </c>
      <c r="E2490" s="1" t="s">
        <v>7344</v>
      </c>
      <c r="F2490" s="1" t="str">
        <f>IFERROR(__xludf.DUMMYFUNCTION("GOOGLETRANSLATE(A2490, ""zh-CN"", ""ko"")"),"존경")</f>
        <v>존경</v>
      </c>
    </row>
    <row r="2491" ht="15.75" customHeight="1">
      <c r="A2491" s="1" t="s">
        <v>7345</v>
      </c>
      <c r="B2491" s="1">
        <v>5.0</v>
      </c>
      <c r="C2491" s="1" t="s">
        <v>7346</v>
      </c>
      <c r="D2491" s="1" t="s">
        <v>8</v>
      </c>
      <c r="E2491" s="1" t="s">
        <v>7347</v>
      </c>
      <c r="F2491" s="1" t="str">
        <f>IFERROR(__xludf.DUMMYFUNCTION("GOOGLETRANSLATE(A2491, ""zh-CN"", ""ko"")"),"순종하다")</f>
        <v>순종하다</v>
      </c>
    </row>
    <row r="2492" ht="15.75" customHeight="1">
      <c r="A2492" s="1" t="s">
        <v>7348</v>
      </c>
      <c r="B2492" s="1">
        <v>5.0</v>
      </c>
      <c r="C2492" s="1" t="s">
        <v>7349</v>
      </c>
      <c r="D2492" s="1" t="s">
        <v>16</v>
      </c>
      <c r="E2492" s="1" t="s">
        <v>7350</v>
      </c>
      <c r="F2492" s="1" t="str">
        <f>IFERROR(__xludf.DUMMYFUNCTION("GOOGLETRANSLATE(A2492, ""zh-CN"", ""ko"")"),"일하다")</f>
        <v>일하다</v>
      </c>
    </row>
    <row r="2493" ht="15.75" customHeight="1">
      <c r="A2493" s="1" t="s">
        <v>7351</v>
      </c>
      <c r="B2493" s="1">
        <v>5.0</v>
      </c>
      <c r="C2493" s="1" t="s">
        <v>7352</v>
      </c>
      <c r="D2493" s="1" t="s">
        <v>486</v>
      </c>
      <c r="E2493" s="1" t="s">
        <v>7353</v>
      </c>
      <c r="F2493" s="1" t="str">
        <f>IFERROR(__xludf.DUMMYFUNCTION("GOOGLETRANSLATE(A2493, ""zh-CN"", ""ko"")"),"처럼")</f>
        <v>처럼</v>
      </c>
    </row>
    <row r="2494" ht="15.75" customHeight="1">
      <c r="A2494" s="1" t="s">
        <v>7354</v>
      </c>
      <c r="B2494" s="1">
        <v>5.0</v>
      </c>
      <c r="C2494" s="1" t="s">
        <v>7355</v>
      </c>
      <c r="D2494" s="1" t="s">
        <v>16</v>
      </c>
      <c r="E2494" s="1" t="s">
        <v>7356</v>
      </c>
      <c r="F2494" s="1" t="str">
        <f>IFERROR(__xludf.DUMMYFUNCTION("GOOGLETRANSLATE(A2494, ""zh-CN"", ""ko"")"),"구성")</f>
        <v>구성</v>
      </c>
    </row>
    <row r="2495" ht="15.75" customHeight="1">
      <c r="A2495" s="1" t="s">
        <v>7357</v>
      </c>
      <c r="B2495" s="1">
        <v>6.0</v>
      </c>
      <c r="C2495" s="1" t="s">
        <v>7358</v>
      </c>
      <c r="D2495" s="1" t="s">
        <v>16</v>
      </c>
      <c r="E2495" s="1" t="s">
        <v>7359</v>
      </c>
      <c r="F2495" s="1" t="str">
        <f>IFERROR(__xludf.DUMMYFUNCTION("GOOGLETRANSLATE(A2495, ""zh-CN"", ""ko"")"),"우상")</f>
        <v>우상</v>
      </c>
    </row>
    <row r="2496" ht="15.75" customHeight="1">
      <c r="A2496" s="1" t="s">
        <v>7360</v>
      </c>
      <c r="B2496" s="1">
        <v>6.0</v>
      </c>
      <c r="C2496" s="1" t="s">
        <v>7361</v>
      </c>
      <c r="D2496" s="1" t="s">
        <v>8</v>
      </c>
      <c r="E2496" s="1" t="s">
        <v>7362</v>
      </c>
      <c r="F2496" s="1" t="str">
        <f>IFERROR(__xludf.DUMMYFUNCTION("GOOGLETRANSLATE(A2496, ""zh-CN"", ""ko"")"),"시달리다")</f>
        <v>시달리다</v>
      </c>
    </row>
    <row r="2497" ht="15.75" customHeight="1">
      <c r="A2497" s="1" t="s">
        <v>7363</v>
      </c>
      <c r="B2497" s="1">
        <v>6.0</v>
      </c>
      <c r="C2497" s="1" t="s">
        <v>7364</v>
      </c>
      <c r="D2497" s="1" t="s">
        <v>16</v>
      </c>
      <c r="E2497" s="1" t="s">
        <v>7365</v>
      </c>
      <c r="F2497" s="1" t="str">
        <f>IFERROR(__xludf.DUMMYFUNCTION("GOOGLETRANSLATE(A2497, ""zh-CN"", ""ko"")"),"암")</f>
        <v>암</v>
      </c>
    </row>
    <row r="2498" ht="15.75" customHeight="1">
      <c r="A2498" s="1" t="s">
        <v>7366</v>
      </c>
      <c r="B2498" s="1">
        <v>6.0</v>
      </c>
      <c r="C2498" s="1" t="s">
        <v>7367</v>
      </c>
      <c r="E2498" s="1" t="s">
        <v>7368</v>
      </c>
      <c r="F2498" s="1" t="str">
        <f>IFERROR(__xludf.DUMMYFUNCTION("GOOGLETRANSLATE(A2498, ""zh-CN"", ""ko"")"),"저는 그것을 너무너무 좋아해요")</f>
        <v>저는 그것을 너무너무 좋아해요</v>
      </c>
    </row>
    <row r="2499" ht="15.75" customHeight="1">
      <c r="A2499" s="1" t="s">
        <v>7369</v>
      </c>
      <c r="B2499" s="1">
        <v>6.0</v>
      </c>
      <c r="C2499" s="1" t="s">
        <v>7370</v>
      </c>
      <c r="D2499" s="1" t="s">
        <v>8</v>
      </c>
      <c r="E2499" s="1" t="s">
        <v>7371</v>
      </c>
      <c r="F2499" s="1" t="str">
        <f>IFERROR(__xludf.DUMMYFUNCTION("GOOGLETRANSLATE(A2499, ""zh-CN"", ""ko"")"),"사랑과 존경")</f>
        <v>사랑과 존경</v>
      </c>
    </row>
    <row r="2500" ht="15.75" customHeight="1">
      <c r="A2500" s="1" t="s">
        <v>7372</v>
      </c>
      <c r="B2500" s="1">
        <v>6.0</v>
      </c>
      <c r="C2500" s="1" t="s">
        <v>7373</v>
      </c>
      <c r="D2500" s="1" t="s">
        <v>52</v>
      </c>
      <c r="E2500" s="1" t="s">
        <v>7374</v>
      </c>
      <c r="F2500" s="1" t="str">
        <f>IFERROR(__xludf.DUMMYFUNCTION("GOOGLETRANSLATE(A2500, ""zh-CN"", ""ko"")"),"모호한")</f>
        <v>모호한</v>
      </c>
    </row>
    <row r="2501" ht="15.75" customHeight="1">
      <c r="A2501" s="1" t="s">
        <v>7375</v>
      </c>
      <c r="B2501" s="1">
        <v>6.0</v>
      </c>
      <c r="C2501" s="1" t="s">
        <v>7376</v>
      </c>
      <c r="D2501" s="1" t="s">
        <v>52</v>
      </c>
      <c r="E2501" s="1" t="s">
        <v>7377</v>
      </c>
      <c r="F2501" s="1" t="str">
        <f>IFERROR(__xludf.DUMMYFUNCTION("GOOGLETRANSLATE(A2501, ""zh-CN"", ""ko"")"),"평화로운")</f>
        <v>평화로운</v>
      </c>
    </row>
    <row r="2502" ht="15.75" customHeight="1">
      <c r="A2502" s="1" t="s">
        <v>7378</v>
      </c>
      <c r="B2502" s="1">
        <v>6.0</v>
      </c>
      <c r="C2502" s="1" t="s">
        <v>7379</v>
      </c>
      <c r="D2502" s="1" t="s">
        <v>52</v>
      </c>
      <c r="E2502" s="1" t="s">
        <v>7380</v>
      </c>
      <c r="F2502" s="1" t="str">
        <f>IFERROR(__xludf.DUMMYFUNCTION("GOOGLETRANSLATE(A2502, ""zh-CN"", ""ko"")"),"고요한")</f>
        <v>고요한</v>
      </c>
    </row>
    <row r="2503" ht="15.75" customHeight="1">
      <c r="A2503" s="1" t="s">
        <v>7381</v>
      </c>
      <c r="B2503" s="1">
        <v>6.0</v>
      </c>
      <c r="C2503" s="1" t="s">
        <v>7382</v>
      </c>
      <c r="D2503" s="1" t="s">
        <v>8</v>
      </c>
      <c r="E2503" s="1" t="s">
        <v>7383</v>
      </c>
      <c r="F2503" s="1" t="str">
        <f>IFERROR(__xludf.DUMMYFUNCTION("GOOGLETRANSLATE(A2503, ""zh-CN"", ""ko"")"),"재정착")</f>
        <v>재정착</v>
      </c>
    </row>
    <row r="2504" ht="15.75" customHeight="1">
      <c r="A2504" s="1" t="s">
        <v>7384</v>
      </c>
      <c r="B2504" s="1">
        <v>6.0</v>
      </c>
      <c r="C2504" s="1" t="s">
        <v>7385</v>
      </c>
      <c r="D2504" s="1" t="s">
        <v>16</v>
      </c>
      <c r="E2504" s="1" t="s">
        <v>7386</v>
      </c>
      <c r="F2504" s="1" t="str">
        <f>IFERROR(__xludf.DUMMYFUNCTION("GOOGLETRANSLATE(A2504, ""zh-CN"", ""ko"")"),"사례")</f>
        <v>사례</v>
      </c>
    </row>
    <row r="2505" ht="15.75" customHeight="1">
      <c r="A2505" s="1" t="s">
        <v>7387</v>
      </c>
      <c r="B2505" s="1">
        <v>6.0</v>
      </c>
      <c r="C2505" s="1" t="s">
        <v>7388</v>
      </c>
      <c r="D2505" s="1" t="s">
        <v>16</v>
      </c>
      <c r="E2505" s="1" t="s">
        <v>7389</v>
      </c>
      <c r="F2505" s="1" t="str">
        <f>IFERROR(__xludf.DUMMYFUNCTION("GOOGLETRANSLATE(A2505, ""zh-CN"", ""ko"")"),"사례")</f>
        <v>사례</v>
      </c>
    </row>
    <row r="2506" ht="15.75" customHeight="1">
      <c r="A2506" s="1" t="s">
        <v>7390</v>
      </c>
      <c r="B2506" s="1">
        <v>6.0</v>
      </c>
      <c r="C2506" s="1" t="s">
        <v>7391</v>
      </c>
      <c r="D2506" s="1" t="s">
        <v>8</v>
      </c>
      <c r="E2506" s="1" t="s">
        <v>7392</v>
      </c>
      <c r="F2506" s="1" t="str">
        <f>IFERROR(__xludf.DUMMYFUNCTION("GOOGLETRANSLATE(A2506, ""zh-CN"", ""ko"")"),"마사지")</f>
        <v>마사지</v>
      </c>
    </row>
    <row r="2507" ht="15.75" customHeight="1">
      <c r="A2507" s="1" t="s">
        <v>7393</v>
      </c>
      <c r="B2507" s="1">
        <v>6.0</v>
      </c>
      <c r="C2507" s="1" t="s">
        <v>7394</v>
      </c>
      <c r="D2507" s="1" t="s">
        <v>8</v>
      </c>
      <c r="E2507" s="1" t="s">
        <v>7395</v>
      </c>
      <c r="F2507" s="1" t="str">
        <f>IFERROR(__xludf.DUMMYFUNCTION("GOOGLETRANSLATE(A2507, ""zh-CN"", ""ko"")"),"힌트")</f>
        <v>힌트</v>
      </c>
    </row>
    <row r="2508" ht="15.75" customHeight="1">
      <c r="A2508" s="1" t="s">
        <v>7396</v>
      </c>
      <c r="B2508" s="1">
        <v>6.0</v>
      </c>
      <c r="C2508" s="1" t="s">
        <v>7397</v>
      </c>
      <c r="D2508" s="1" t="s">
        <v>52</v>
      </c>
      <c r="E2508" s="1" t="s">
        <v>7398</v>
      </c>
      <c r="F2508" s="1" t="str">
        <f>IFERROR(__xludf.DUMMYFUNCTION("GOOGLETRANSLATE(A2508, ""zh-CN"", ""ko"")"),"값비싼")</f>
        <v>값비싼</v>
      </c>
    </row>
    <row r="2509" ht="15.75" customHeight="1">
      <c r="A2509" s="1" t="s">
        <v>7399</v>
      </c>
      <c r="B2509" s="1">
        <v>6.0</v>
      </c>
      <c r="C2509" s="1" t="s">
        <v>7400</v>
      </c>
      <c r="D2509" s="1" t="s">
        <v>52</v>
      </c>
      <c r="E2509" s="1" t="s">
        <v>7401</v>
      </c>
      <c r="F2509" s="1" t="str">
        <f>IFERROR(__xludf.DUMMYFUNCTION("GOOGLETRANSLATE(A2509, ""zh-CN"", ""ko"")"),"오목과 볼록")</f>
        <v>오목과 볼록</v>
      </c>
    </row>
    <row r="2510" ht="15.75" customHeight="1">
      <c r="A2510" s="1" t="s">
        <v>7402</v>
      </c>
      <c r="B2510" s="1">
        <v>6.0</v>
      </c>
      <c r="C2510" s="1" t="s">
        <v>7403</v>
      </c>
      <c r="D2510" s="1" t="s">
        <v>8</v>
      </c>
      <c r="E2510" s="1" t="s">
        <v>7404</v>
      </c>
      <c r="F2510" s="1" t="str">
        <f>IFERROR(__xludf.DUMMYFUNCTION("GOOGLETRANSLATE(A2510, ""zh-CN"", ""ko"")"),"종기")</f>
        <v>종기</v>
      </c>
    </row>
    <row r="2511" ht="15.75" customHeight="1">
      <c r="A2511" s="1" t="s">
        <v>7405</v>
      </c>
      <c r="B2511" s="1">
        <v>6.0</v>
      </c>
      <c r="C2511" s="1" t="s">
        <v>7406</v>
      </c>
      <c r="D2511" s="1" t="s">
        <v>16</v>
      </c>
      <c r="E2511" s="1" t="s">
        <v>7407</v>
      </c>
      <c r="F2511" s="1" t="str">
        <f>IFERROR(__xludf.DUMMYFUNCTION("GOOGLETRANSLATE(A2511, ""zh-CN"", ""ko"")"),"신비")</f>
        <v>신비</v>
      </c>
    </row>
    <row r="2512" ht="15.75" customHeight="1">
      <c r="A2512" s="1" t="s">
        <v>7408</v>
      </c>
      <c r="B2512" s="1">
        <v>6.0</v>
      </c>
      <c r="C2512" s="1" t="s">
        <v>11</v>
      </c>
      <c r="D2512" s="1" t="s">
        <v>8</v>
      </c>
      <c r="E2512" s="1" t="s">
        <v>7409</v>
      </c>
      <c r="F2512" s="1" t="str">
        <f>IFERROR(__xludf.DUMMYFUNCTION("GOOGLETRANSLATE(A2512, ""zh-CN"", ""ko"")"),"파기")</f>
        <v>파기</v>
      </c>
    </row>
    <row r="2513" ht="15.75" customHeight="1">
      <c r="A2513" s="1" t="s">
        <v>7410</v>
      </c>
      <c r="B2513" s="1">
        <v>6.0</v>
      </c>
      <c r="C2513" s="1" t="s">
        <v>11</v>
      </c>
      <c r="D2513" s="1" t="s">
        <v>16</v>
      </c>
      <c r="E2513" s="1" t="s">
        <v>7411</v>
      </c>
      <c r="F2513" s="1" t="str">
        <f>IFERROR(__xludf.DUMMYFUNCTION("GOOGLETRANSLATE(A2513, ""zh-CN"", ""ko"")"),"흉터")</f>
        <v>흉터</v>
      </c>
    </row>
    <row r="2514" ht="15.75" customHeight="1">
      <c r="A2514" s="1" t="s">
        <v>7412</v>
      </c>
      <c r="B2514" s="1">
        <v>6.0</v>
      </c>
      <c r="C2514" s="1" t="s">
        <v>7413</v>
      </c>
      <c r="D2514" s="1" t="s">
        <v>8</v>
      </c>
      <c r="E2514" s="1" t="s">
        <v>7414</v>
      </c>
      <c r="F2514" s="1" t="str">
        <f>IFERROR(__xludf.DUMMYFUNCTION("GOOGLETRANSLATE(A2514, ""zh-CN"", ""ko"")"),"불안해하는")</f>
        <v>불안해하는</v>
      </c>
    </row>
    <row r="2515" ht="15.75" customHeight="1">
      <c r="A2515" s="1" t="s">
        <v>7415</v>
      </c>
      <c r="B2515" s="1">
        <v>6.0</v>
      </c>
      <c r="C2515" s="1" t="s">
        <v>7416</v>
      </c>
      <c r="D2515" s="1" t="s">
        <v>8</v>
      </c>
      <c r="E2515" s="1" t="s">
        <v>7417</v>
      </c>
      <c r="F2515" s="1" t="str">
        <f>IFERROR(__xludf.DUMMYFUNCTION("GOOGLETRANSLATE(A2515, ""zh-CN"", ""ko"")"),"아첨")</f>
        <v>아첨</v>
      </c>
    </row>
    <row r="2516" ht="15.75" customHeight="1">
      <c r="A2516" s="1" t="s">
        <v>7418</v>
      </c>
      <c r="B2516" s="1">
        <v>6.0</v>
      </c>
      <c r="C2516" s="1" t="s">
        <v>7419</v>
      </c>
      <c r="D2516" s="1" t="s">
        <v>8</v>
      </c>
      <c r="E2516" s="1" t="s">
        <v>7420</v>
      </c>
      <c r="F2516" s="1" t="str">
        <f>IFERROR(__xludf.DUMMYFUNCTION("GOOGLETRANSLATE(A2516, ""zh-CN"", ""ko"")"),"다이얼")</f>
        <v>다이얼</v>
      </c>
    </row>
    <row r="2517" ht="15.75" customHeight="1">
      <c r="A2517" s="1" t="s">
        <v>7421</v>
      </c>
      <c r="B2517" s="1">
        <v>6.0</v>
      </c>
      <c r="C2517" s="1" t="s">
        <v>7422</v>
      </c>
      <c r="E2517" s="1" t="s">
        <v>7423</v>
      </c>
      <c r="F2517" s="1" t="str">
        <f>IFERROR(__xludf.DUMMYFUNCTION("GOOGLETRANSLATE(A2517, ""zh-CN"", ""ko"")"),"새싹을 뽑아내어 성장을 돕는 것")</f>
        <v>새싹을 뽑아내어 성장을 돕는 것</v>
      </c>
    </row>
    <row r="2518" ht="15.75" customHeight="1">
      <c r="A2518" s="1" t="s">
        <v>7424</v>
      </c>
      <c r="B2518" s="1">
        <v>6.0</v>
      </c>
      <c r="C2518" s="1" t="s">
        <v>7425</v>
      </c>
      <c r="D2518" s="1" t="s">
        <v>8</v>
      </c>
      <c r="E2518" s="1" t="s">
        <v>7426</v>
      </c>
      <c r="F2518" s="1" t="str">
        <f>IFERROR(__xludf.DUMMYFUNCTION("GOOGLETRANSLATE(A2518, ""zh-CN"", ""ko"")"),"확인하다")</f>
        <v>확인하다</v>
      </c>
    </row>
    <row r="2519" ht="15.75" customHeight="1">
      <c r="A2519" s="1" t="s">
        <v>7427</v>
      </c>
      <c r="B2519" s="1">
        <v>6.0</v>
      </c>
      <c r="C2519" s="1" t="s">
        <v>7428</v>
      </c>
      <c r="D2519" s="1" t="s">
        <v>16</v>
      </c>
      <c r="E2519" s="1" t="s">
        <v>7429</v>
      </c>
      <c r="F2519" s="1" t="str">
        <f>IFERROR(__xludf.DUMMYFUNCTION("GOOGLETRANSLATE(A2519, ""zh-CN"", ""ko"")"),"핸들")</f>
        <v>핸들</v>
      </c>
    </row>
    <row r="2520" ht="15.75" customHeight="1">
      <c r="A2520" s="1" t="s">
        <v>7430</v>
      </c>
      <c r="B2520" s="1">
        <v>6.0</v>
      </c>
      <c r="C2520" s="1" t="s">
        <v>7431</v>
      </c>
      <c r="D2520" s="1" t="s">
        <v>52</v>
      </c>
      <c r="E2520" s="1" t="s">
        <v>7432</v>
      </c>
      <c r="F2520" s="1" t="str">
        <f>IFERROR(__xludf.DUMMYFUNCTION("GOOGLETRANSLATE(A2520, ""zh-CN"", ""ko"")"),"뽐내는")</f>
        <v>뽐내는</v>
      </c>
    </row>
    <row r="2521" ht="15.75" customHeight="1">
      <c r="A2521" s="1" t="s">
        <v>7433</v>
      </c>
      <c r="B2521" s="1">
        <v>6.0</v>
      </c>
      <c r="C2521" s="1" t="s">
        <v>7434</v>
      </c>
      <c r="D2521" s="1" t="s">
        <v>8</v>
      </c>
      <c r="E2521" s="1" t="s">
        <v>7435</v>
      </c>
      <c r="F2521" s="1" t="str">
        <f>IFERROR(__xludf.DUMMYFUNCTION("GOOGLETRANSLATE(A2521, ""zh-CN"", ""ko"")"),"스트라이크")</f>
        <v>스트라이크</v>
      </c>
    </row>
    <row r="2522" ht="15.75" customHeight="1">
      <c r="A2522" s="1" t="s">
        <v>7436</v>
      </c>
      <c r="B2522" s="1">
        <v>6.0</v>
      </c>
      <c r="C2522" s="1" t="s">
        <v>7437</v>
      </c>
      <c r="D2522" s="1" t="s">
        <v>8</v>
      </c>
      <c r="E2522" s="1" t="s">
        <v>7438</v>
      </c>
      <c r="F2522" s="1" t="str">
        <f>IFERROR(__xludf.DUMMYFUNCTION("GOOGLETRANSLATE(A2522, ""zh-CN"", ""ko"")"),"부서지다")</f>
        <v>부서지다</v>
      </c>
    </row>
    <row r="2523" ht="15.75" customHeight="1">
      <c r="A2523" s="1" t="s">
        <v>7439</v>
      </c>
      <c r="B2523" s="1">
        <v>6.0</v>
      </c>
      <c r="C2523" s="1" t="s">
        <v>7440</v>
      </c>
      <c r="D2523" s="1" t="s">
        <v>8</v>
      </c>
      <c r="E2523" s="1" t="s">
        <v>7441</v>
      </c>
      <c r="F2523" s="1" t="str">
        <f>IFERROR(__xludf.DUMMYFUNCTION("GOOGLETRANSLATE(A2523, ""zh-CN"", ""ko"")"),"없애다")</f>
        <v>없애다</v>
      </c>
    </row>
    <row r="2524" ht="15.75" customHeight="1">
      <c r="A2524" s="1" t="s">
        <v>7442</v>
      </c>
      <c r="B2524" s="1">
        <v>6.0</v>
      </c>
      <c r="C2524" s="1" t="s">
        <v>7443</v>
      </c>
      <c r="D2524" s="1" t="s">
        <v>8</v>
      </c>
      <c r="E2524" s="1" t="s">
        <v>7444</v>
      </c>
      <c r="F2524" s="1" t="str">
        <f>IFERROR(__xludf.DUMMYFUNCTION("GOOGLETRANSLATE(A2524, ""zh-CN"", ""ko"")"),"방문하다")</f>
        <v>방문하다</v>
      </c>
    </row>
    <row r="2525" ht="15.75" customHeight="1">
      <c r="A2525" s="1" t="s">
        <v>7445</v>
      </c>
      <c r="B2525" s="1">
        <v>6.0</v>
      </c>
      <c r="C2525" s="1" t="s">
        <v>7446</v>
      </c>
      <c r="D2525" s="1" t="s">
        <v>8</v>
      </c>
      <c r="E2525" s="1" t="s">
        <v>7447</v>
      </c>
      <c r="F2525" s="1" t="str">
        <f>IFERROR(__xludf.DUMMYFUNCTION("GOOGLETRANSLATE(A2525, ""zh-CN"", ""ko"")"),"부정한")</f>
        <v>부정한</v>
      </c>
    </row>
    <row r="2526" ht="15.75" customHeight="1">
      <c r="A2526" s="1" t="s">
        <v>7448</v>
      </c>
      <c r="B2526" s="1">
        <v>6.0</v>
      </c>
      <c r="C2526" s="1" t="s">
        <v>7449</v>
      </c>
      <c r="D2526" s="1" t="s">
        <v>8</v>
      </c>
      <c r="E2526" s="1" t="s">
        <v>7450</v>
      </c>
      <c r="F2526" s="1" t="str">
        <f>IFERROR(__xludf.DUMMYFUNCTION("GOOGLETRANSLATE(A2526, ""zh-CN"", ""ko"")"),"새해 전화를 걸다")</f>
        <v>새해 전화를 걸다</v>
      </c>
    </row>
    <row r="2527" ht="15.75" customHeight="1">
      <c r="A2527" s="1" t="s">
        <v>7451</v>
      </c>
      <c r="B2527" s="1">
        <v>6.0</v>
      </c>
      <c r="C2527" s="1" t="s">
        <v>7452</v>
      </c>
      <c r="D2527" s="1" t="s">
        <v>8</v>
      </c>
      <c r="E2527" s="1" t="s">
        <v>7453</v>
      </c>
      <c r="F2527" s="1" t="str">
        <f>IFERROR(__xludf.DUMMYFUNCTION("GOOGLETRANSLATE(A2527, ""zh-CN"", ""ko"")"),"제발")</f>
        <v>제발</v>
      </c>
    </row>
    <row r="2528" ht="15.75" customHeight="1">
      <c r="A2528" s="1" t="s">
        <v>7454</v>
      </c>
      <c r="B2528" s="1">
        <v>6.0</v>
      </c>
      <c r="C2528" s="1" t="s">
        <v>934</v>
      </c>
      <c r="D2528" s="1" t="s">
        <v>16</v>
      </c>
      <c r="E2528" s="1" t="s">
        <v>7455</v>
      </c>
      <c r="F2528" s="1" t="str">
        <f>IFERROR(__xludf.DUMMYFUNCTION("GOOGLETRANSLATE(A2528, ""zh-CN"", ""ko"")"),"점")</f>
        <v>점</v>
      </c>
    </row>
    <row r="2529" ht="15.75" customHeight="1">
      <c r="A2529" s="1" t="s">
        <v>7456</v>
      </c>
      <c r="B2529" s="1">
        <v>6.0</v>
      </c>
      <c r="C2529" s="1" t="s">
        <v>7457</v>
      </c>
      <c r="D2529" s="1" t="s">
        <v>8</v>
      </c>
      <c r="E2529" s="1" t="s">
        <v>7458</v>
      </c>
      <c r="F2529" s="1" t="str">
        <f>IFERROR(__xludf.DUMMYFUNCTION("GOOGLETRANSLATE(A2529, ""zh-CN"", ""ko"")"),"공포")</f>
        <v>공포</v>
      </c>
    </row>
    <row r="2530" ht="15.75" customHeight="1">
      <c r="A2530" s="1" t="s">
        <v>7459</v>
      </c>
      <c r="B2530" s="1">
        <v>6.0</v>
      </c>
      <c r="C2530" s="1" t="s">
        <v>7460</v>
      </c>
      <c r="D2530" s="1" t="s">
        <v>8</v>
      </c>
      <c r="E2530" s="1" t="s">
        <v>7461</v>
      </c>
      <c r="F2530" s="1" t="str">
        <f>IFERROR(__xludf.DUMMYFUNCTION("GOOGLETRANSLATE(A2530, ""zh-CN"", ""ko"")"),"상")</f>
        <v>상</v>
      </c>
    </row>
    <row r="2531" ht="15.75" customHeight="1">
      <c r="A2531" s="1" t="s">
        <v>7462</v>
      </c>
      <c r="B2531" s="1">
        <v>6.0</v>
      </c>
      <c r="C2531" s="1" t="s">
        <v>7463</v>
      </c>
      <c r="D2531" s="1" t="s">
        <v>16</v>
      </c>
      <c r="E2531" s="1" t="s">
        <v>7464</v>
      </c>
      <c r="F2531" s="1" t="str">
        <f>IFERROR(__xludf.DUMMYFUNCTION("GOOGLETRANSLATE(A2531, ""zh-CN"", ""ko"")"),"버전")</f>
        <v>버전</v>
      </c>
    </row>
    <row r="2532" ht="15.75" customHeight="1">
      <c r="A2532" s="1" t="s">
        <v>7465</v>
      </c>
      <c r="B2532" s="1">
        <v>6.0</v>
      </c>
      <c r="C2532" s="1" t="s">
        <v>7466</v>
      </c>
      <c r="D2532" s="1" t="s">
        <v>16</v>
      </c>
      <c r="E2532" s="1" t="s">
        <v>7467</v>
      </c>
      <c r="F2532" s="1" t="str">
        <f>IFERROR(__xludf.DUMMYFUNCTION("GOOGLETRANSLATE(A2532, ""zh-CN"", ""ko"")"),"동반자")</f>
        <v>동반자</v>
      </c>
    </row>
    <row r="2533" ht="15.75" customHeight="1">
      <c r="A2533" s="1" t="s">
        <v>7468</v>
      </c>
      <c r="B2533" s="1">
        <v>6.0</v>
      </c>
      <c r="C2533" s="1" t="s">
        <v>7469</v>
      </c>
      <c r="D2533" s="1" t="s">
        <v>8</v>
      </c>
      <c r="E2533" s="1" t="s">
        <v>7470</v>
      </c>
      <c r="F2533" s="1" t="str">
        <f>IFERROR(__xludf.DUMMYFUNCTION("GOOGLETRANSLATE(A2533, ""zh-CN"", ""ko"")"),"동반")</f>
        <v>동반</v>
      </c>
    </row>
    <row r="2534" ht="15.75" customHeight="1">
      <c r="A2534" s="1" t="s">
        <v>7471</v>
      </c>
      <c r="B2534" s="1">
        <v>6.0</v>
      </c>
      <c r="C2534" s="1" t="s">
        <v>7472</v>
      </c>
      <c r="E2534" s="1" t="s">
        <v>7473</v>
      </c>
      <c r="F2534" s="1" t="str">
        <f>IFERROR(__xludf.DUMMYFUNCTION("GOOGLETRANSLATE(A2534, ""zh-CN"", ""ko"")"),"중간에 포기하다")</f>
        <v>중간에 포기하다</v>
      </c>
    </row>
    <row r="2535" ht="15.75" customHeight="1">
      <c r="A2535" s="1" t="s">
        <v>7474</v>
      </c>
      <c r="B2535" s="1">
        <v>6.0</v>
      </c>
      <c r="C2535" s="1" t="s">
        <v>7475</v>
      </c>
      <c r="D2535" s="1" t="s">
        <v>8</v>
      </c>
      <c r="E2535" s="1" t="s">
        <v>7476</v>
      </c>
      <c r="F2535" s="1" t="str">
        <f>IFERROR(__xludf.DUMMYFUNCTION("GOOGLETRANSLATE(A2535, ""zh-CN"", ""ko"")"),"연주 중")</f>
        <v>연주 중</v>
      </c>
    </row>
    <row r="2536" ht="15.75" customHeight="1">
      <c r="A2536" s="1" t="s">
        <v>7477</v>
      </c>
      <c r="B2536" s="1">
        <v>6.0</v>
      </c>
      <c r="C2536" s="1" t="s">
        <v>7478</v>
      </c>
      <c r="D2536" s="1" t="s">
        <v>8</v>
      </c>
      <c r="E2536" s="1" t="s">
        <v>7479</v>
      </c>
      <c r="F2536" s="1" t="str">
        <f>IFERROR(__xludf.DUMMYFUNCTION("GOOGLETRANSLATE(A2536, ""zh-CN"", ""ko"")"),"유괴")</f>
        <v>유괴</v>
      </c>
    </row>
    <row r="2537" ht="15.75" customHeight="1">
      <c r="A2537" s="1" t="s">
        <v>7480</v>
      </c>
      <c r="B2537" s="1">
        <v>6.0</v>
      </c>
      <c r="C2537" s="1" t="s">
        <v>7481</v>
      </c>
      <c r="D2537" s="1" t="s">
        <v>16</v>
      </c>
      <c r="E2537" s="1" t="s">
        <v>7482</v>
      </c>
      <c r="F2537" s="1" t="str">
        <f>IFERROR(__xludf.DUMMYFUNCTION("GOOGLETRANSLATE(A2537, ""zh-CN"", ""ko"")"),"예")</f>
        <v>예</v>
      </c>
    </row>
    <row r="2538" ht="15.75" customHeight="1">
      <c r="A2538" s="1" t="s">
        <v>7483</v>
      </c>
      <c r="B2538" s="1">
        <v>6.0</v>
      </c>
      <c r="C2538" s="1" t="s">
        <v>1803</v>
      </c>
      <c r="D2538" s="1" t="s">
        <v>26</v>
      </c>
      <c r="E2538" s="1" t="s">
        <v>7484</v>
      </c>
      <c r="F2538" s="1" t="str">
        <f>IFERROR(__xludf.DUMMYFUNCTION("GOOGLETRANSLATE(A2538, ""zh-CN"", ""ko"")"),"파운드")</f>
        <v>파운드</v>
      </c>
    </row>
    <row r="2539" ht="15.75" customHeight="1">
      <c r="A2539" s="1" t="s">
        <v>7485</v>
      </c>
      <c r="B2539" s="1">
        <v>6.0</v>
      </c>
      <c r="C2539" s="1" t="s">
        <v>7486</v>
      </c>
      <c r="D2539" s="1" t="s">
        <v>8</v>
      </c>
      <c r="E2539" s="1" t="s">
        <v>7487</v>
      </c>
      <c r="F2539" s="1" t="str">
        <f>IFERROR(__xludf.DUMMYFUNCTION("GOOGLETRANSLATE(A2539, ""zh-CN"", ""ko"")"),"씌우다")</f>
        <v>씌우다</v>
      </c>
    </row>
    <row r="2540" ht="15.75" customHeight="1">
      <c r="A2540" s="1" t="s">
        <v>7488</v>
      </c>
      <c r="B2540" s="1">
        <v>6.0</v>
      </c>
      <c r="C2540" s="1" t="s">
        <v>7489</v>
      </c>
      <c r="D2540" s="1" t="s">
        <v>16</v>
      </c>
      <c r="E2540" s="1" t="s">
        <v>7490</v>
      </c>
      <c r="F2540" s="1" t="str">
        <f>IFERROR(__xludf.DUMMYFUNCTION("GOOGLETRANSLATE(A2540, ""zh-CN"", ""ko"")"),"부담")</f>
        <v>부담</v>
      </c>
    </row>
    <row r="2541" ht="15.75" customHeight="1">
      <c r="A2541" s="1" t="s">
        <v>7491</v>
      </c>
      <c r="B2541" s="1">
        <v>6.0</v>
      </c>
      <c r="C2541" s="1" t="s">
        <v>7492</v>
      </c>
      <c r="D2541" s="1" t="s">
        <v>8</v>
      </c>
      <c r="E2541" s="1" t="s">
        <v>7493</v>
      </c>
      <c r="F2541" s="1" t="str">
        <f>IFERROR(__xludf.DUMMYFUNCTION("GOOGLETRANSLATE(A2541, ""zh-CN"", ""ko"")"),"주변")</f>
        <v>주변</v>
      </c>
    </row>
    <row r="2542" ht="15.75" customHeight="1">
      <c r="A2542" s="1" t="s">
        <v>7494</v>
      </c>
      <c r="B2542" s="1">
        <v>6.0</v>
      </c>
      <c r="C2542" s="1" t="s">
        <v>7495</v>
      </c>
      <c r="D2542" s="1" t="s">
        <v>875</v>
      </c>
      <c r="E2542" s="1" t="s">
        <v>7496</v>
      </c>
      <c r="F2542" s="1" t="str">
        <f>IFERROR(__xludf.DUMMYFUNCTION("GOOGLETRANSLATE(A2542, ""zh-CN"", ""ko"")"),"패키지")</f>
        <v>패키지</v>
      </c>
    </row>
    <row r="2543" ht="15.75" customHeight="1">
      <c r="A2543" s="1" t="s">
        <v>7497</v>
      </c>
      <c r="B2543" s="1">
        <v>6.0</v>
      </c>
      <c r="C2543" s="1" t="s">
        <v>7498</v>
      </c>
      <c r="D2543" s="1" t="s">
        <v>8</v>
      </c>
      <c r="E2543" s="1" t="s">
        <v>7499</v>
      </c>
      <c r="F2543" s="1" t="str">
        <f>IFERROR(__xludf.DUMMYFUNCTION("GOOGLETRANSLATE(A2543, ""zh-CN"", ""ko"")"),"보관")</f>
        <v>보관</v>
      </c>
    </row>
    <row r="2544" ht="15.75" customHeight="1">
      <c r="A2544" s="1" t="s">
        <v>7500</v>
      </c>
      <c r="B2544" s="1">
        <v>6.0</v>
      </c>
      <c r="C2544" s="1" t="s">
        <v>7501</v>
      </c>
      <c r="D2544" s="1" t="s">
        <v>8</v>
      </c>
      <c r="E2544" s="1" t="s">
        <v>7502</v>
      </c>
      <c r="F2544" s="1" t="str">
        <f>IFERROR(__xludf.DUMMYFUNCTION("GOOGLETRANSLATE(A2544, ""zh-CN"", ""ko"")"),"포화")</f>
        <v>포화</v>
      </c>
    </row>
    <row r="2545" ht="15.75" customHeight="1">
      <c r="A2545" s="1" t="s">
        <v>7503</v>
      </c>
      <c r="B2545" s="1">
        <v>6.0</v>
      </c>
      <c r="C2545" s="1" t="s">
        <v>7504</v>
      </c>
      <c r="E2545" s="1" t="s">
        <v>7505</v>
      </c>
      <c r="F2545" s="1" t="str">
        <f>IFERROR(__xludf.DUMMYFUNCTION("GOOGLETRANSLATE(A2545, ""zh-CN"", ""ko"")"),"세월의 풍화 작용")</f>
        <v>세월의 풍화 작용</v>
      </c>
    </row>
    <row r="2546" ht="15.75" customHeight="1">
      <c r="A2546" s="1" t="s">
        <v>7506</v>
      </c>
      <c r="B2546" s="1">
        <v>6.0</v>
      </c>
      <c r="C2546" s="1" t="s">
        <v>7507</v>
      </c>
      <c r="D2546" s="1" t="s">
        <v>8</v>
      </c>
      <c r="E2546" s="1" t="s">
        <v>7508</v>
      </c>
      <c r="F2546" s="1" t="str">
        <f>IFERROR(__xludf.DUMMYFUNCTION("GOOGLETRANSLATE(A2546, ""zh-CN"", ""ko"")"),"비밀의")</f>
        <v>비밀의</v>
      </c>
    </row>
    <row r="2547" ht="15.75" customHeight="1">
      <c r="A2547" s="1" t="s">
        <v>7509</v>
      </c>
      <c r="B2547" s="1">
        <v>6.0</v>
      </c>
      <c r="C2547" s="1" t="s">
        <v>7510</v>
      </c>
      <c r="D2547" s="1" t="s">
        <v>16</v>
      </c>
      <c r="E2547" s="1" t="s">
        <v>7511</v>
      </c>
      <c r="F2547" s="1" t="str">
        <f>IFERROR(__xludf.DUMMYFUNCTION("GOOGLETRANSLATE(A2547, ""zh-CN"", ""ko"")"),"여자 이름")</f>
        <v>여자 이름</v>
      </c>
    </row>
    <row r="2548" ht="15.75" customHeight="1">
      <c r="A2548" s="1" t="s">
        <v>7512</v>
      </c>
      <c r="B2548" s="1">
        <v>6.0</v>
      </c>
      <c r="C2548" s="1" t="s">
        <v>7513</v>
      </c>
      <c r="D2548" s="1" t="s">
        <v>1003</v>
      </c>
      <c r="E2548" s="1" t="s">
        <v>7514</v>
      </c>
      <c r="F2548" s="1" t="str">
        <f>IFERROR(__xludf.DUMMYFUNCTION("GOOGLETRANSLATE(A2548, ""zh-CN"", ""ko"")"),"유지하다")</f>
        <v>유지하다</v>
      </c>
    </row>
    <row r="2549" ht="15.75" customHeight="1">
      <c r="A2549" s="1" t="s">
        <v>7515</v>
      </c>
      <c r="B2549" s="1">
        <v>6.0</v>
      </c>
      <c r="C2549" s="1" t="s">
        <v>7516</v>
      </c>
      <c r="D2549" s="1" t="s">
        <v>8</v>
      </c>
      <c r="E2549" s="1" t="s">
        <v>7517</v>
      </c>
      <c r="F2549" s="1" t="str">
        <f>IFERROR(__xludf.DUMMYFUNCTION("GOOGLETRANSLATE(A2549, ""zh-CN"", ""ko"")"),"지키다")</f>
        <v>지키다</v>
      </c>
    </row>
    <row r="2550" ht="15.75" customHeight="1">
      <c r="A2550" s="1" t="s">
        <v>7518</v>
      </c>
      <c r="B2550" s="1">
        <v>6.0</v>
      </c>
      <c r="C2550" s="1" t="s">
        <v>7519</v>
      </c>
      <c r="D2550" s="1" t="s">
        <v>8</v>
      </c>
      <c r="E2550" s="1" t="s">
        <v>7520</v>
      </c>
      <c r="F2550" s="1" t="str">
        <f>IFERROR(__xludf.DUMMYFUNCTION("GOOGLETRANSLATE(A2550, ""zh-CN"", ""ko"")"),"유지보수")</f>
        <v>유지보수</v>
      </c>
    </row>
    <row r="2551" ht="15.75" customHeight="1">
      <c r="A2551" s="1" t="s">
        <v>7521</v>
      </c>
      <c r="B2551" s="1">
        <v>6.0</v>
      </c>
      <c r="C2551" s="1" t="s">
        <v>7522</v>
      </c>
      <c r="D2551" s="1" t="s">
        <v>8</v>
      </c>
      <c r="E2551" s="1" t="s">
        <v>7523</v>
      </c>
      <c r="F2551" s="1" t="str">
        <f>IFERROR(__xludf.DUMMYFUNCTION("GOOGLETRANSLATE(A2551, ""zh-CN"", ""ko"")"),"확신하세요")</f>
        <v>확신하세요</v>
      </c>
    </row>
    <row r="2552" ht="15.75" customHeight="1">
      <c r="A2552" s="1" t="s">
        <v>7524</v>
      </c>
      <c r="B2552" s="1">
        <v>6.0</v>
      </c>
      <c r="C2552" s="1" t="s">
        <v>7525</v>
      </c>
      <c r="D2552" s="1" t="s">
        <v>8</v>
      </c>
      <c r="E2552" s="1" t="s">
        <v>7526</v>
      </c>
      <c r="F2552" s="1" t="str">
        <f>IFERROR(__xludf.DUMMYFUNCTION("GOOGLETRANSLATE(A2552, ""zh-CN"", ""ko"")"),"몸 조심하세요")</f>
        <v>몸 조심하세요</v>
      </c>
    </row>
    <row r="2553" ht="15.75" customHeight="1">
      <c r="A2553" s="1" t="s">
        <v>7527</v>
      </c>
      <c r="B2553" s="1">
        <v>6.0</v>
      </c>
      <c r="C2553" s="1" t="s">
        <v>7528</v>
      </c>
      <c r="D2553" s="1" t="s">
        <v>8</v>
      </c>
      <c r="E2553" s="1" t="s">
        <v>7529</v>
      </c>
      <c r="F2553" s="1" t="str">
        <f>IFERROR(__xludf.DUMMYFUNCTION("GOOGLETRANSLATE(A2553, ""zh-CN"", ""ko"")"),"복수")</f>
        <v>복수</v>
      </c>
    </row>
    <row r="2554" ht="15.75" customHeight="1">
      <c r="A2554" s="1" t="s">
        <v>7530</v>
      </c>
      <c r="B2554" s="1">
        <v>6.0</v>
      </c>
      <c r="C2554" s="1" t="s">
        <v>7531</v>
      </c>
      <c r="D2554" s="1" t="s">
        <v>16</v>
      </c>
      <c r="E2554" s="1" t="s">
        <v>7532</v>
      </c>
      <c r="F2554" s="1" t="str">
        <f>IFERROR(__xludf.DUMMYFUNCTION("GOOGLETRANSLATE(A2554, ""zh-CN"", ""ko"")"),"보수")</f>
        <v>보수</v>
      </c>
    </row>
    <row r="2555" ht="15.75" customHeight="1">
      <c r="A2555" s="1" t="s">
        <v>7533</v>
      </c>
      <c r="B2555" s="1">
        <v>6.0</v>
      </c>
      <c r="C2555" s="1" t="s">
        <v>7534</v>
      </c>
      <c r="D2555" s="1" t="s">
        <v>8</v>
      </c>
      <c r="E2555" s="1" t="s">
        <v>7535</v>
      </c>
      <c r="F2555" s="1" t="str">
        <f>IFERROR(__xludf.DUMMYFUNCTION("GOOGLETRANSLATE(A2555, ""zh-CN"", ""ko"")"),"갚다")</f>
        <v>갚다</v>
      </c>
    </row>
    <row r="2556" ht="15.75" customHeight="1">
      <c r="A2556" s="1" t="s">
        <v>7536</v>
      </c>
      <c r="B2556" s="1">
        <v>6.0</v>
      </c>
      <c r="C2556" s="1" t="s">
        <v>7537</v>
      </c>
      <c r="D2556" s="1" t="s">
        <v>8</v>
      </c>
      <c r="E2556" s="1" t="s">
        <v>7538</v>
      </c>
      <c r="F2556" s="1" t="str">
        <f>IFERROR(__xludf.DUMMYFUNCTION("GOOGLETRANSLATE(A2556, ""zh-CN"", ""ko"")"),"돌파하다")</f>
        <v>돌파하다</v>
      </c>
    </row>
    <row r="2557" ht="15.75" customHeight="1">
      <c r="A2557" s="1" t="s">
        <v>7539</v>
      </c>
      <c r="B2557" s="1">
        <v>6.0</v>
      </c>
      <c r="C2557" s="1" t="s">
        <v>7540</v>
      </c>
      <c r="D2557" s="1" t="s">
        <v>8</v>
      </c>
      <c r="E2557" s="1" t="s">
        <v>7541</v>
      </c>
      <c r="F2557" s="1" t="str">
        <f>IFERROR(__xludf.DUMMYFUNCTION("GOOGLETRANSLATE(A2557, ""zh-CN"", ""ko"")"),"복수")</f>
        <v>복수</v>
      </c>
    </row>
    <row r="2558" ht="15.75" customHeight="1">
      <c r="A2558" s="1" t="s">
        <v>7542</v>
      </c>
      <c r="B2558" s="1">
        <v>6.0</v>
      </c>
      <c r="C2558" s="1" t="s">
        <v>7540</v>
      </c>
      <c r="D2558" s="1" t="s">
        <v>16</v>
      </c>
      <c r="E2558" s="1" t="s">
        <v>7543</v>
      </c>
      <c r="F2558" s="1" t="str">
        <f>IFERROR(__xludf.DUMMYFUNCTION("GOOGLETRANSLATE(A2558, ""zh-CN"", ""ko"")"),"큰 뜻")</f>
        <v>큰 뜻</v>
      </c>
    </row>
    <row r="2559" ht="15.75" customHeight="1">
      <c r="A2559" s="1" t="s">
        <v>7544</v>
      </c>
      <c r="B2559" s="1">
        <v>6.0</v>
      </c>
      <c r="C2559" s="1" t="s">
        <v>7545</v>
      </c>
      <c r="D2559" s="1" t="s">
        <v>8</v>
      </c>
      <c r="E2559" s="1" t="s">
        <v>7546</v>
      </c>
      <c r="F2559" s="1" t="str">
        <f>IFERROR(__xludf.DUMMYFUNCTION("GOOGLETRANSLATE(A2559, ""zh-CN"", ""ko"")"),"노출")</f>
        <v>노출</v>
      </c>
    </row>
    <row r="2560" ht="15.75" customHeight="1">
      <c r="A2560" s="1" t="s">
        <v>7547</v>
      </c>
      <c r="B2560" s="1">
        <v>6.0</v>
      </c>
      <c r="C2560" s="1" t="s">
        <v>7548</v>
      </c>
      <c r="D2560" s="1" t="s">
        <v>8</v>
      </c>
      <c r="E2560" s="1" t="s">
        <v>7549</v>
      </c>
      <c r="F2560" s="1" t="str">
        <f>IFERROR(__xludf.DUMMYFUNCTION("GOOGLETRANSLATE(A2560, ""zh-CN"", ""ko"")"),"경찰에 신고하세요")</f>
        <v>경찰에 신고하세요</v>
      </c>
    </row>
    <row r="2561" ht="15.75" customHeight="1">
      <c r="A2561" s="1" t="s">
        <v>7550</v>
      </c>
      <c r="B2561" s="1">
        <v>6.0</v>
      </c>
      <c r="C2561" s="1" t="s">
        <v>7551</v>
      </c>
      <c r="D2561" s="1" t="s">
        <v>16</v>
      </c>
      <c r="E2561" s="1" t="s">
        <v>7552</v>
      </c>
      <c r="F2561" s="1" t="str">
        <f>IFERROR(__xludf.DUMMYFUNCTION("GOOGLETRANSLATE(A2561, ""zh-CN"", ""ko"")"),"폭행")</f>
        <v>폭행</v>
      </c>
    </row>
    <row r="2562" ht="15.75" customHeight="1">
      <c r="A2562" s="1" t="s">
        <v>7553</v>
      </c>
      <c r="B2562" s="1">
        <v>6.0</v>
      </c>
      <c r="C2562" s="1" t="s">
        <v>7554</v>
      </c>
      <c r="D2562" s="1" t="s">
        <v>8</v>
      </c>
      <c r="E2562" s="1" t="s">
        <v>7555</v>
      </c>
      <c r="F2562" s="1" t="str">
        <f>IFERROR(__xludf.DUMMYFUNCTION("GOOGLETRANSLATE(A2562, ""zh-CN"", ""ko"")"),"노출")</f>
        <v>노출</v>
      </c>
    </row>
    <row r="2563" ht="15.75" customHeight="1">
      <c r="A2563" s="1" t="s">
        <v>7556</v>
      </c>
      <c r="B2563" s="1">
        <v>6.0</v>
      </c>
      <c r="C2563" s="1" t="s">
        <v>7557</v>
      </c>
      <c r="D2563" s="1" t="s">
        <v>8</v>
      </c>
      <c r="E2563" s="1" t="s">
        <v>7558</v>
      </c>
      <c r="F2563" s="1" t="str">
        <f>IFERROR(__xludf.DUMMYFUNCTION("GOOGLETRANSLATE(A2563, ""zh-CN"", ""ko"")"),"보상하기 위해")</f>
        <v>보상하기 위해</v>
      </c>
    </row>
    <row r="2564" ht="15.75" customHeight="1">
      <c r="A2564" s="1" t="s">
        <v>7559</v>
      </c>
      <c r="B2564" s="1">
        <v>6.0</v>
      </c>
      <c r="C2564" s="1" t="s">
        <v>7560</v>
      </c>
      <c r="D2564" s="1" t="s">
        <v>8</v>
      </c>
      <c r="E2564" s="1" t="s">
        <v>7561</v>
      </c>
      <c r="F2564" s="1" t="str">
        <f>IFERROR(__xludf.DUMMYFUNCTION("GOOGLETRANSLATE(A2564, ""zh-CN"", ""ko"")"),"터지다")</f>
        <v>터지다</v>
      </c>
    </row>
    <row r="2565" ht="15.75" customHeight="1">
      <c r="A2565" s="1" t="s">
        <v>7562</v>
      </c>
      <c r="B2565" s="1">
        <v>6.0</v>
      </c>
      <c r="C2565" s="1" t="s">
        <v>7563</v>
      </c>
      <c r="D2565" s="1" t="s">
        <v>52</v>
      </c>
      <c r="E2565" s="1" t="s">
        <v>7564</v>
      </c>
      <c r="F2565" s="1" t="str">
        <f>IFERROR(__xludf.DUMMYFUNCTION("GOOGLETRANSLATE(A2565, ""zh-CN"", ""ko"")"),"슬픔")</f>
        <v>슬픔</v>
      </c>
    </row>
    <row r="2566" ht="15.75" customHeight="1">
      <c r="A2566" s="1" t="s">
        <v>7565</v>
      </c>
      <c r="B2566" s="1">
        <v>6.0</v>
      </c>
      <c r="C2566" s="1" t="s">
        <v>7566</v>
      </c>
      <c r="D2566" s="1" t="s">
        <v>52</v>
      </c>
      <c r="E2566" s="1" t="s">
        <v>7567</v>
      </c>
      <c r="F2566" s="1" t="str">
        <f>IFERROR(__xludf.DUMMYFUNCTION("GOOGLETRANSLATE(A2566, ""zh-CN"", ""ko"")"),"평균")</f>
        <v>평균</v>
      </c>
    </row>
    <row r="2567" ht="15.75" customHeight="1">
      <c r="A2567" s="1" t="s">
        <v>7568</v>
      </c>
      <c r="B2567" s="1">
        <v>6.0</v>
      </c>
      <c r="C2567" s="1" t="s">
        <v>7569</v>
      </c>
      <c r="D2567" s="1" t="s">
        <v>52</v>
      </c>
      <c r="E2567" s="1" t="s">
        <v>7570</v>
      </c>
      <c r="F2567" s="1" t="str">
        <f>IFERROR(__xludf.DUMMYFUNCTION("GOOGLETRANSLATE(A2567, ""zh-CN"", ""ko"")"),"비참한")</f>
        <v>비참한</v>
      </c>
    </row>
    <row r="2568" ht="15.75" customHeight="1">
      <c r="A2568" s="1" t="s">
        <v>7571</v>
      </c>
      <c r="B2568" s="1">
        <v>6.0</v>
      </c>
      <c r="C2568" s="1" t="s">
        <v>7572</v>
      </c>
      <c r="D2568" s="1" t="s">
        <v>16</v>
      </c>
      <c r="E2568" s="1" t="s">
        <v>7573</v>
      </c>
      <c r="F2568" s="1" t="str">
        <f>IFERROR(__xludf.DUMMYFUNCTION("GOOGLETRANSLATE(A2568, ""zh-CN"", ""ko"")"),"북극")</f>
        <v>북극</v>
      </c>
    </row>
    <row r="2569" ht="15.75" customHeight="1">
      <c r="A2569" s="1" t="s">
        <v>7574</v>
      </c>
      <c r="B2569" s="1">
        <v>6.0</v>
      </c>
      <c r="C2569" s="1" t="s">
        <v>7575</v>
      </c>
      <c r="D2569" s="1" t="s">
        <v>52</v>
      </c>
      <c r="E2569" s="1" t="s">
        <v>7576</v>
      </c>
      <c r="F2569" s="1" t="str">
        <f>IFERROR(__xludf.DUMMYFUNCTION("GOOGLETRANSLATE(A2569, ""zh-CN"", ""ko"")"),"수동적인")</f>
        <v>수동적인</v>
      </c>
    </row>
    <row r="2570" ht="15.75" customHeight="1">
      <c r="A2570" s="1" t="s">
        <v>7577</v>
      </c>
      <c r="B2570" s="1">
        <v>6.0</v>
      </c>
      <c r="C2570" s="1" t="s">
        <v>7578</v>
      </c>
      <c r="D2570" s="1" t="s">
        <v>113</v>
      </c>
      <c r="E2570" s="1" t="s">
        <v>7579</v>
      </c>
      <c r="F2570" s="1" t="str">
        <f>IFERROR(__xludf.DUMMYFUNCTION("GOOGLETRANSLATE(A2570, ""zh-CN"", ""ko"")"),"지원")</f>
        <v>지원</v>
      </c>
    </row>
    <row r="2571" ht="15.75" customHeight="1">
      <c r="A2571" s="1" t="s">
        <v>7580</v>
      </c>
      <c r="B2571" s="1">
        <v>6.0</v>
      </c>
      <c r="C2571" s="1" t="s">
        <v>7581</v>
      </c>
      <c r="D2571" s="1" t="s">
        <v>16</v>
      </c>
      <c r="E2571" s="1" t="s">
        <v>7582</v>
      </c>
      <c r="F2571" s="1" t="str">
        <f>IFERROR(__xludf.DUMMYFUNCTION("GOOGLETRANSLATE(A2571, ""zh-CN"", ""ko"")"),"피고")</f>
        <v>피고</v>
      </c>
    </row>
    <row r="2572" ht="15.75" customHeight="1">
      <c r="A2572" s="1" t="s">
        <v>7583</v>
      </c>
      <c r="B2572" s="1">
        <v>6.0</v>
      </c>
      <c r="C2572" s="1" t="s">
        <v>7584</v>
      </c>
      <c r="D2572" s="1" t="s">
        <v>16</v>
      </c>
      <c r="E2572" s="1" t="s">
        <v>7585</v>
      </c>
      <c r="F2572" s="1" t="str">
        <f>IFERROR(__xludf.DUMMYFUNCTION("GOOGLETRANSLATE(A2572, ""zh-CN"", ""ko"")"),"껍데기")</f>
        <v>껍데기</v>
      </c>
    </row>
    <row r="2573" ht="15.75" customHeight="1">
      <c r="A2573" s="1" t="s">
        <v>7586</v>
      </c>
      <c r="B2573" s="1">
        <v>6.0</v>
      </c>
      <c r="C2573" s="1" t="s">
        <v>7587</v>
      </c>
      <c r="D2573" s="1" t="s">
        <v>8</v>
      </c>
      <c r="E2573" s="1" t="s">
        <v>7588</v>
      </c>
      <c r="F2573" s="1" t="str">
        <f>IFERROR(__xludf.DUMMYFUNCTION("GOOGLETRANSLATE(A2573, ""zh-CN"", ""ko"")"),"무심코 드러내다")</f>
        <v>무심코 드러내다</v>
      </c>
    </row>
    <row r="2574" ht="15.75" customHeight="1">
      <c r="A2574" s="1" t="s">
        <v>7589</v>
      </c>
      <c r="B2574" s="1">
        <v>6.0</v>
      </c>
      <c r="C2574" s="1" t="s">
        <v>7590</v>
      </c>
      <c r="D2574" s="1" t="s">
        <v>8</v>
      </c>
      <c r="E2574" s="1" t="s">
        <v>7591</v>
      </c>
      <c r="F2574" s="1" t="str">
        <f>IFERROR(__xludf.DUMMYFUNCTION("GOOGLETRANSLATE(A2574, ""zh-CN"", ""ko"")"),"암송하다")</f>
        <v>암송하다</v>
      </c>
    </row>
    <row r="2575" ht="15.75" customHeight="1">
      <c r="A2575" s="1" t="s">
        <v>7592</v>
      </c>
      <c r="B2575" s="1">
        <v>6.0</v>
      </c>
      <c r="C2575" s="1" t="s">
        <v>7593</v>
      </c>
      <c r="D2575" s="1" t="s">
        <v>16</v>
      </c>
      <c r="E2575" s="1" t="s">
        <v>7594</v>
      </c>
      <c r="F2575" s="1" t="str">
        <f>IFERROR(__xludf.DUMMYFUNCTION("GOOGLETRANSLATE(A2575, ""zh-CN"", ""ko"")"),"각서")</f>
        <v>각서</v>
      </c>
    </row>
    <row r="2576" ht="15.75" customHeight="1">
      <c r="A2576" s="1" t="s">
        <v>7595</v>
      </c>
      <c r="B2576" s="1">
        <v>6.0</v>
      </c>
      <c r="C2576" s="1" t="s">
        <v>7596</v>
      </c>
      <c r="D2576" s="1" t="s">
        <v>8</v>
      </c>
      <c r="E2576" s="1" t="s">
        <v>7597</v>
      </c>
      <c r="F2576" s="1" t="str">
        <f>IFERROR(__xludf.DUMMYFUNCTION("GOOGLETRANSLATE(A2576, ""zh-CN"", ""ko"")"),"바쁘다")</f>
        <v>바쁘다</v>
      </c>
    </row>
    <row r="2577" ht="15.75" customHeight="1">
      <c r="A2577" s="1" t="s">
        <v>7598</v>
      </c>
      <c r="B2577" s="1">
        <v>6.0</v>
      </c>
      <c r="C2577" s="1" t="s">
        <v>7599</v>
      </c>
      <c r="D2577" s="1" t="s">
        <v>8</v>
      </c>
      <c r="E2577" s="1" t="s">
        <v>7600</v>
      </c>
      <c r="F2577" s="1" t="str">
        <f>IFERROR(__xludf.DUMMYFUNCTION("GOOGLETRANSLATE(A2577, ""zh-CN"", ""ko"")"),"벤츠")</f>
        <v>벤츠</v>
      </c>
    </row>
    <row r="2578" ht="15.75" customHeight="1">
      <c r="A2578" s="1" t="s">
        <v>7601</v>
      </c>
      <c r="B2578" s="1">
        <v>6.0</v>
      </c>
      <c r="C2578" s="1" t="s">
        <v>7602</v>
      </c>
      <c r="D2578" s="1" t="s">
        <v>16</v>
      </c>
      <c r="E2578" s="1" t="s">
        <v>7603</v>
      </c>
      <c r="F2578" s="1" t="str">
        <f>IFERROR(__xludf.DUMMYFUNCTION("GOOGLETRANSLATE(A2578, ""zh-CN"", ""ko"")"),"본능")</f>
        <v>본능</v>
      </c>
    </row>
    <row r="2579" ht="15.75" customHeight="1">
      <c r="A2579" s="1" t="s">
        <v>7604</v>
      </c>
      <c r="B2579" s="1">
        <v>6.0</v>
      </c>
      <c r="C2579" s="1" t="s">
        <v>7605</v>
      </c>
      <c r="D2579" s="1" t="s">
        <v>16</v>
      </c>
      <c r="E2579" s="1" t="s">
        <v>7606</v>
      </c>
      <c r="F2579" s="1" t="str">
        <f>IFERROR(__xludf.DUMMYFUNCTION("GOOGLETRANSLATE(A2579, ""zh-CN"", ""ko"")"),"수도")</f>
        <v>수도</v>
      </c>
    </row>
    <row r="2580" ht="15.75" customHeight="1">
      <c r="A2580" s="1" t="s">
        <v>7607</v>
      </c>
      <c r="B2580" s="1">
        <v>6.0</v>
      </c>
      <c r="C2580" s="1" t="s">
        <v>7608</v>
      </c>
      <c r="D2580" s="1" t="s">
        <v>88</v>
      </c>
      <c r="E2580" s="1" t="s">
        <v>7609</v>
      </c>
      <c r="F2580" s="1" t="str">
        <f>IFERROR(__xludf.DUMMYFUNCTION("GOOGLETRANSLATE(A2580, ""zh-CN"", ""ko"")"),"내 자신")</f>
        <v>내 자신</v>
      </c>
    </row>
    <row r="2581" ht="15.75" customHeight="1">
      <c r="A2581" s="1" t="s">
        <v>7610</v>
      </c>
      <c r="B2581" s="1">
        <v>6.0</v>
      </c>
      <c r="C2581" s="1" t="s">
        <v>7611</v>
      </c>
      <c r="D2581" s="1" t="s">
        <v>88</v>
      </c>
      <c r="E2581" s="1" t="s">
        <v>7612</v>
      </c>
      <c r="F2581" s="1" t="str">
        <f>IFERROR(__xludf.DUMMYFUNCTION("GOOGLETRANSLATE(A2581, ""zh-CN"", ""ko"")"),"그 자체")</f>
        <v>그 자체</v>
      </c>
    </row>
    <row r="2582" ht="15.75" customHeight="1">
      <c r="A2582" s="1" t="s">
        <v>7613</v>
      </c>
      <c r="B2582" s="1">
        <v>6.0</v>
      </c>
      <c r="C2582" s="1" t="s">
        <v>7614</v>
      </c>
      <c r="D2582" s="1" t="s">
        <v>16</v>
      </c>
      <c r="E2582" s="1" t="s">
        <v>7615</v>
      </c>
      <c r="F2582" s="1" t="str">
        <f>IFERROR(__xludf.DUMMYFUNCTION("GOOGLETRANSLATE(A2582, ""zh-CN"", ""ko"")"),"능력")</f>
        <v>능력</v>
      </c>
    </row>
    <row r="2583" ht="15.75" customHeight="1">
      <c r="A2583" s="1" t="s">
        <v>7616</v>
      </c>
      <c r="B2583" s="1">
        <v>6.0</v>
      </c>
      <c r="C2583" s="1" t="s">
        <v>7617</v>
      </c>
      <c r="D2583" s="1" t="s">
        <v>52</v>
      </c>
      <c r="E2583" s="1" t="s">
        <v>7618</v>
      </c>
      <c r="F2583" s="1" t="str">
        <f>IFERROR(__xludf.DUMMYFUNCTION("GOOGLETRANSLATE(A2583, ""zh-CN"", ""ko"")"),"어설픈")</f>
        <v>어설픈</v>
      </c>
    </row>
    <row r="2584" ht="15.75" customHeight="1">
      <c r="A2584" s="1" t="s">
        <v>7619</v>
      </c>
      <c r="B2584" s="1">
        <v>6.0</v>
      </c>
      <c r="C2584" s="1" t="s">
        <v>7620</v>
      </c>
      <c r="D2584" s="1" t="s">
        <v>8</v>
      </c>
      <c r="E2584" s="1" t="s">
        <v>7621</v>
      </c>
      <c r="F2584" s="1" t="str">
        <f>IFERROR(__xludf.DUMMYFUNCTION("GOOGLETRANSLATE(A2584, ""zh-CN"", ""ko"")"),"무너지다")</f>
        <v>무너지다</v>
      </c>
    </row>
    <row r="2585" ht="15.75" customHeight="1">
      <c r="A2585" s="1" t="s">
        <v>7622</v>
      </c>
      <c r="B2585" s="1">
        <v>6.0</v>
      </c>
      <c r="C2585" s="1" t="s">
        <v>7623</v>
      </c>
      <c r="D2585" s="1" t="s">
        <v>33</v>
      </c>
      <c r="E2585" s="1" t="s">
        <v>7624</v>
      </c>
      <c r="F2585" s="1" t="str">
        <f>IFERROR(__xludf.DUMMYFUNCTION("GOOGLETRANSLATE(A2585, ""zh-CN"", ""ko"")"),"아니요")</f>
        <v>아니요</v>
      </c>
    </row>
    <row r="2586" ht="15.75" customHeight="1">
      <c r="A2586" s="1" t="s">
        <v>7625</v>
      </c>
      <c r="B2586" s="1">
        <v>6.0</v>
      </c>
      <c r="C2586" s="1" t="s">
        <v>7626</v>
      </c>
      <c r="D2586" s="1" t="s">
        <v>8</v>
      </c>
      <c r="E2586" s="1" t="s">
        <v>7627</v>
      </c>
      <c r="F2586" s="1" t="str">
        <f>IFERROR(__xludf.DUMMYFUNCTION("GOOGLETRANSLATE(A2586, ""zh-CN"", ""ko"")"),"도약")</f>
        <v>도약</v>
      </c>
    </row>
    <row r="2587" ht="15.75" customHeight="1">
      <c r="A2587" s="1" t="s">
        <v>7628</v>
      </c>
      <c r="B2587" s="1">
        <v>6.0</v>
      </c>
      <c r="C2587" s="1" t="s">
        <v>7629</v>
      </c>
      <c r="D2587" s="1" t="s">
        <v>8</v>
      </c>
      <c r="E2587" s="1" t="s">
        <v>7630</v>
      </c>
      <c r="F2587" s="1" t="str">
        <f>IFERROR(__xludf.DUMMYFUNCTION("GOOGLETRANSLATE(A2587, ""zh-CN"", ""ko"")"),"터지다")</f>
        <v>터지다</v>
      </c>
    </row>
    <row r="2588" ht="15.75" customHeight="1">
      <c r="A2588" s="1" t="s">
        <v>7631</v>
      </c>
      <c r="B2588" s="1">
        <v>6.0</v>
      </c>
      <c r="C2588" s="1" t="s">
        <v>7632</v>
      </c>
      <c r="D2588" s="1" t="s">
        <v>8</v>
      </c>
      <c r="E2588" s="1" t="s">
        <v>7633</v>
      </c>
      <c r="F2588" s="1" t="str">
        <f>IFERROR(__xludf.DUMMYFUNCTION("GOOGLETRANSLATE(A2588, ""zh-CN"", ""ko"")"),"힘")</f>
        <v>힘</v>
      </c>
    </row>
    <row r="2589" ht="15.75" customHeight="1">
      <c r="A2589" s="1" t="s">
        <v>7634</v>
      </c>
      <c r="B2589" s="1">
        <v>6.0</v>
      </c>
      <c r="C2589" s="1" t="s">
        <v>7635</v>
      </c>
      <c r="D2589" s="1" t="s">
        <v>16</v>
      </c>
      <c r="E2589" s="1" t="s">
        <v>7636</v>
      </c>
      <c r="F2589" s="1" t="str">
        <f>IFERROR(__xludf.DUMMYFUNCTION("GOOGLETRANSLATE(A2589, ""zh-CN"", ""ko"")"),"코딱지")</f>
        <v>코딱지</v>
      </c>
    </row>
    <row r="2590" ht="15.75" customHeight="1">
      <c r="A2590" s="1" t="s">
        <v>7637</v>
      </c>
      <c r="B2590" s="1">
        <v>6.0</v>
      </c>
      <c r="C2590" s="1" t="s">
        <v>7638</v>
      </c>
      <c r="D2590" s="1" t="s">
        <v>8</v>
      </c>
      <c r="E2590" s="1" t="s">
        <v>7639</v>
      </c>
      <c r="F2590" s="1" t="str">
        <f>IFERROR(__xludf.DUMMYFUNCTION("GOOGLETRANSLATE(A2590, ""zh-CN"", ""ko"")"),"예를 들어")</f>
        <v>예를 들어</v>
      </c>
    </row>
    <row r="2591" ht="15.75" customHeight="1">
      <c r="A2591" s="1" t="s">
        <v>7640</v>
      </c>
      <c r="B2591" s="1">
        <v>6.0</v>
      </c>
      <c r="C2591" s="1" t="s">
        <v>7641</v>
      </c>
      <c r="D2591" s="1" t="s">
        <v>8</v>
      </c>
      <c r="E2591" s="1" t="s">
        <v>7642</v>
      </c>
      <c r="F2591" s="1" t="str">
        <f>IFERROR(__xludf.DUMMYFUNCTION("GOOGLETRANSLATE(A2591, ""zh-CN"", ""ko"")"),"경멸하다")</f>
        <v>경멸하다</v>
      </c>
    </row>
    <row r="2592" ht="15.75" customHeight="1">
      <c r="A2592" s="1" t="s">
        <v>7643</v>
      </c>
      <c r="B2592" s="1">
        <v>6.0</v>
      </c>
      <c r="C2592" s="1" t="s">
        <v>7644</v>
      </c>
      <c r="D2592" s="1" t="s">
        <v>8</v>
      </c>
      <c r="E2592" s="1" t="s">
        <v>7645</v>
      </c>
      <c r="F2592" s="1" t="str">
        <f>IFERROR(__xludf.DUMMYFUNCTION("GOOGLETRANSLATE(A2592, ""zh-CN"", ""ko"")"),"직유")</f>
        <v>직유</v>
      </c>
    </row>
    <row r="2593" ht="15.75" customHeight="1">
      <c r="A2593" s="1" t="s">
        <v>7646</v>
      </c>
      <c r="B2593" s="1">
        <v>6.0</v>
      </c>
      <c r="C2593" s="1" t="s">
        <v>7647</v>
      </c>
      <c r="D2593" s="1" t="s">
        <v>16</v>
      </c>
      <c r="E2593" s="1" t="s">
        <v>7648</v>
      </c>
      <c r="F2593" s="1" t="str">
        <f>IFERROR(__xludf.DUMMYFUNCTION("GOOGLETRANSLATE(A2593, ""zh-CN"", ""ko"")"),"비율")</f>
        <v>비율</v>
      </c>
    </row>
    <row r="2594" ht="15.75" customHeight="1">
      <c r="A2594" s="1" t="s">
        <v>7649</v>
      </c>
      <c r="B2594" s="1">
        <v>6.0</v>
      </c>
      <c r="C2594" s="1" t="s">
        <v>7650</v>
      </c>
      <c r="D2594" s="1" t="s">
        <v>16</v>
      </c>
      <c r="E2594" s="1" t="s">
        <v>2183</v>
      </c>
      <c r="F2594" s="1" t="str">
        <f>IFERROR(__xludf.DUMMYFUNCTION("GOOGLETRANSLATE(A2594, ""zh-CN"", ""ko"")"),"팔")</f>
        <v>팔</v>
      </c>
    </row>
    <row r="2595" ht="15.75" customHeight="1">
      <c r="A2595" s="1" t="s">
        <v>7651</v>
      </c>
      <c r="B2595" s="1">
        <v>6.0</v>
      </c>
      <c r="C2595" s="1" t="s">
        <v>7652</v>
      </c>
      <c r="D2595" s="1" t="s">
        <v>16</v>
      </c>
      <c r="E2595" s="1" t="s">
        <v>7653</v>
      </c>
      <c r="F2595" s="1" t="str">
        <f>IFERROR(__xludf.DUMMYFUNCTION("GOOGLETRANSLATE(A2595, ""zh-CN"", ""ko"")"),"단점")</f>
        <v>단점</v>
      </c>
    </row>
    <row r="2596" ht="15.75" customHeight="1">
      <c r="A2596" s="1" t="s">
        <v>7654</v>
      </c>
      <c r="B2596" s="1">
        <v>6.0</v>
      </c>
      <c r="C2596" s="1" t="s">
        <v>7655</v>
      </c>
      <c r="D2596" s="1" t="s">
        <v>16</v>
      </c>
      <c r="E2596" s="1" t="s">
        <v>7656</v>
      </c>
      <c r="F2596" s="1" t="str">
        <f>IFERROR(__xludf.DUMMYFUNCTION("GOOGLETRANSLATE(A2596, ""zh-CN"", ""ko"")"),"단점")</f>
        <v>단점</v>
      </c>
    </row>
    <row r="2597" ht="15.75" customHeight="1">
      <c r="A2597" s="1" t="s">
        <v>7657</v>
      </c>
      <c r="B2597" s="1">
        <v>6.0</v>
      </c>
      <c r="C2597" s="1" t="s">
        <v>7658</v>
      </c>
      <c r="D2597" s="1" t="s">
        <v>52</v>
      </c>
      <c r="E2597" s="1" t="s">
        <v>7659</v>
      </c>
      <c r="F2597" s="1" t="str">
        <f>IFERROR(__xludf.DUMMYFUNCTION("GOOGLETRANSLATE(A2597, ""zh-CN"", ""ko"")"),"막힘")</f>
        <v>막힘</v>
      </c>
    </row>
    <row r="2598" ht="15.75" customHeight="1">
      <c r="A2598" s="1" t="s">
        <v>7660</v>
      </c>
      <c r="B2598" s="1">
        <v>6.0</v>
      </c>
      <c r="C2598" s="1" t="s">
        <v>7661</v>
      </c>
      <c r="D2598" s="1" t="s">
        <v>8</v>
      </c>
      <c r="E2598" s="1" t="s">
        <v>7662</v>
      </c>
      <c r="F2598" s="1" t="str">
        <f>IFERROR(__xludf.DUMMYFUNCTION("GOOGLETRANSLATE(A2598, ""zh-CN"", ""ko"")"),"격려")</f>
        <v>격려</v>
      </c>
    </row>
    <row r="2599" ht="15.75" customHeight="1">
      <c r="A2599" s="1" t="s">
        <v>7663</v>
      </c>
      <c r="B2599" s="1">
        <v>6.0</v>
      </c>
      <c r="C2599" s="1" t="s">
        <v>7664</v>
      </c>
      <c r="D2599" s="1" t="s">
        <v>16</v>
      </c>
      <c r="E2599" s="1" t="s">
        <v>7665</v>
      </c>
      <c r="F2599" s="1" t="str">
        <f>IFERROR(__xludf.DUMMYFUNCTION("GOOGLETRANSLATE(A2599, ""zh-CN"", ""ko"")"),"국경 지방")</f>
        <v>국경 지방</v>
      </c>
    </row>
    <row r="2600" ht="15.75" customHeight="1">
      <c r="A2600" s="1" t="s">
        <v>7666</v>
      </c>
      <c r="B2600" s="1">
        <v>6.0</v>
      </c>
      <c r="C2600" s="1" t="s">
        <v>7667</v>
      </c>
      <c r="D2600" s="1" t="s">
        <v>16</v>
      </c>
      <c r="E2600" s="1" t="s">
        <v>7668</v>
      </c>
      <c r="F2600" s="1" t="str">
        <f>IFERROR(__xludf.DUMMYFUNCTION("GOOGLETRANSLATE(A2600, ""zh-CN"", ""ko"")"),"경계")</f>
        <v>경계</v>
      </c>
    </row>
    <row r="2601" ht="15.75" customHeight="1">
      <c r="A2601" s="1" t="s">
        <v>7669</v>
      </c>
      <c r="B2601" s="1">
        <v>6.0</v>
      </c>
      <c r="C2601" s="1" t="s">
        <v>7670</v>
      </c>
      <c r="D2601" s="1" t="s">
        <v>16</v>
      </c>
      <c r="E2601" s="1" t="s">
        <v>7671</v>
      </c>
      <c r="F2601" s="1" t="str">
        <f>IFERROR(__xludf.DUMMYFUNCTION("GOOGLETRANSLATE(A2601, ""zh-CN"", ""ko"")"),"국경")</f>
        <v>국경</v>
      </c>
    </row>
    <row r="2602" ht="15.75" customHeight="1">
      <c r="A2602" s="1" t="s">
        <v>7672</v>
      </c>
      <c r="B2602" s="1">
        <v>6.0</v>
      </c>
      <c r="C2602" s="1" t="s">
        <v>7673</v>
      </c>
      <c r="D2602" s="1" t="s">
        <v>16</v>
      </c>
      <c r="E2602" s="1" t="s">
        <v>7674</v>
      </c>
      <c r="F2602" s="1" t="str">
        <f>IFERROR(__xludf.DUMMYFUNCTION("GOOGLETRANSLATE(A2602, ""zh-CN"", ""ko"")"),"가장자리")</f>
        <v>가장자리</v>
      </c>
    </row>
    <row r="2603" ht="15.75" customHeight="1">
      <c r="A2603" s="1" t="s">
        <v>7675</v>
      </c>
      <c r="B2603" s="1">
        <v>6.0</v>
      </c>
      <c r="C2603" s="1" t="s">
        <v>7676</v>
      </c>
      <c r="D2603" s="1" t="s">
        <v>8</v>
      </c>
      <c r="E2603" s="1" t="s">
        <v>7677</v>
      </c>
      <c r="F2603" s="1" t="str">
        <f>IFERROR(__xludf.DUMMYFUNCTION("GOOGLETRANSLATE(A2603, ""zh-CN"", ""ko"")"),"직조")</f>
        <v>직조</v>
      </c>
    </row>
    <row r="2604" ht="15.75" customHeight="1">
      <c r="A2604" s="1" t="s">
        <v>7678</v>
      </c>
      <c r="B2604" s="1">
        <v>6.0</v>
      </c>
      <c r="C2604" s="1" t="s">
        <v>7679</v>
      </c>
      <c r="D2604" s="1" t="s">
        <v>52</v>
      </c>
      <c r="E2604" s="1" t="s">
        <v>7680</v>
      </c>
      <c r="F2604" s="1" t="str">
        <f>IFERROR(__xludf.DUMMYFUNCTION("GOOGLETRANSLATE(A2604, ""zh-CN"", ""ko"")"),"평평한")</f>
        <v>평평한</v>
      </c>
    </row>
    <row r="2605" ht="15.75" customHeight="1">
      <c r="A2605" s="1" t="s">
        <v>7681</v>
      </c>
      <c r="B2605" s="1">
        <v>6.0</v>
      </c>
      <c r="C2605" s="1" t="s">
        <v>7682</v>
      </c>
      <c r="D2605" s="1" t="s">
        <v>8</v>
      </c>
      <c r="E2605" s="1" t="s">
        <v>7683</v>
      </c>
      <c r="F2605" s="1" t="str">
        <f>IFERROR(__xludf.DUMMYFUNCTION("GOOGLETRANSLATE(A2605, ""zh-CN"", ""ko"")"),"얕보다")</f>
        <v>얕보다</v>
      </c>
    </row>
    <row r="2606" ht="15.75" customHeight="1">
      <c r="A2606" s="1" t="s">
        <v>7684</v>
      </c>
      <c r="B2606" s="1">
        <v>6.0</v>
      </c>
      <c r="C2606" s="1" t="s">
        <v>7685</v>
      </c>
      <c r="D2606" s="1" t="s">
        <v>16</v>
      </c>
      <c r="E2606" s="1" t="s">
        <v>7686</v>
      </c>
      <c r="F2606" s="1" t="str">
        <f>IFERROR(__xludf.DUMMYFUNCTION("GOOGLETRANSLATE(A2606, ""zh-CN"", ""ko"")"),"경멸적인")</f>
        <v>경멸적인</v>
      </c>
    </row>
    <row r="2607" ht="15.75" customHeight="1">
      <c r="A2607" s="1" t="s">
        <v>7687</v>
      </c>
      <c r="B2607" s="1">
        <v>6.0</v>
      </c>
      <c r="C2607" s="1" t="s">
        <v>7688</v>
      </c>
      <c r="D2607" s="1" t="s">
        <v>8</v>
      </c>
      <c r="E2607" s="1" t="s">
        <v>7689</v>
      </c>
      <c r="F2607" s="1" t="str">
        <f>IFERROR(__xludf.DUMMYFUNCTION("GOOGLETRANSLATE(A2607, ""zh-CN"", ""ko"")"),"펼친")</f>
        <v>펼친</v>
      </c>
    </row>
    <row r="2608" ht="15.75" customHeight="1">
      <c r="A2608" s="1" t="s">
        <v>7690</v>
      </c>
      <c r="B2608" s="1">
        <v>6.0</v>
      </c>
      <c r="C2608" s="1" t="s">
        <v>7691</v>
      </c>
      <c r="D2608" s="1" t="s">
        <v>16</v>
      </c>
      <c r="E2608" s="1" t="s">
        <v>7692</v>
      </c>
      <c r="F2608" s="1" t="str">
        <f>IFERROR(__xludf.DUMMYFUNCTION("GOOGLETRANSLATE(A2608, ""zh-CN"", ""ko"")"),"불행")</f>
        <v>불행</v>
      </c>
    </row>
    <row r="2609" ht="15.75" customHeight="1">
      <c r="A2609" s="1" t="s">
        <v>7693</v>
      </c>
      <c r="B2609" s="1">
        <v>6.0</v>
      </c>
      <c r="C2609" s="1" t="s">
        <v>7694</v>
      </c>
      <c r="D2609" s="1" t="s">
        <v>8</v>
      </c>
      <c r="E2609" s="1" t="s">
        <v>7695</v>
      </c>
      <c r="F2609" s="1" t="str">
        <f>IFERROR(__xludf.DUMMYFUNCTION("GOOGLETRANSLATE(A2609, ""zh-CN"", ""ko"")"),"지키다")</f>
        <v>지키다</v>
      </c>
    </row>
    <row r="2610" ht="15.75" customHeight="1">
      <c r="A2610" s="1" t="s">
        <v>7696</v>
      </c>
      <c r="B2610" s="1">
        <v>6.0</v>
      </c>
      <c r="C2610" s="1" t="s">
        <v>7697</v>
      </c>
      <c r="D2610" s="1" t="s">
        <v>8</v>
      </c>
      <c r="E2610" s="1" t="s">
        <v>7698</v>
      </c>
      <c r="F2610" s="1" t="str">
        <f>IFERROR(__xludf.DUMMYFUNCTION("GOOGLETRANSLATE(A2610, ""zh-CN"", ""ko"")"),"변명")</f>
        <v>변명</v>
      </c>
    </row>
    <row r="2611" ht="15.75" customHeight="1">
      <c r="A2611" s="1" t="s">
        <v>7699</v>
      </c>
      <c r="B2611" s="1">
        <v>6.0</v>
      </c>
      <c r="C2611" s="1" t="s">
        <v>7700</v>
      </c>
      <c r="D2611" s="1" t="s">
        <v>52</v>
      </c>
      <c r="E2611" s="1" t="s">
        <v>7701</v>
      </c>
      <c r="F2611" s="1" t="str">
        <f>IFERROR(__xludf.DUMMYFUNCTION("GOOGLETRANSLATE(A2611, ""zh-CN"", ""ko"")"),"편리한")</f>
        <v>편리한</v>
      </c>
    </row>
    <row r="2612" ht="15.75" customHeight="1">
      <c r="A2612" s="1" t="s">
        <v>7702</v>
      </c>
      <c r="B2612" s="1">
        <v>6.0</v>
      </c>
      <c r="C2612" s="1" t="s">
        <v>7703</v>
      </c>
      <c r="D2612" s="1" t="s">
        <v>8</v>
      </c>
      <c r="E2612" s="1" t="s">
        <v>7704</v>
      </c>
      <c r="F2612" s="1" t="str">
        <f>IFERROR(__xludf.DUMMYFUNCTION("GOOGLETRANSLATE(A2612, ""zh-CN"", ""ko"")"),"변화")</f>
        <v>변화</v>
      </c>
    </row>
    <row r="2613" ht="15.75" customHeight="1">
      <c r="A2613" s="1" t="s">
        <v>7705</v>
      </c>
      <c r="B2613" s="1">
        <v>6.0</v>
      </c>
      <c r="C2613" s="1" t="s">
        <v>7706</v>
      </c>
      <c r="D2613" s="1" t="s">
        <v>8</v>
      </c>
      <c r="E2613" s="1" t="s">
        <v>7707</v>
      </c>
      <c r="F2613" s="1" t="str">
        <f>IFERROR(__xludf.DUMMYFUNCTION("GOOGLETRANSLATE(A2613, ""zh-CN"", ""ko"")"),"식별하다")</f>
        <v>식별하다</v>
      </c>
    </row>
    <row r="2614" ht="15.75" customHeight="1">
      <c r="A2614" s="1" t="s">
        <v>7708</v>
      </c>
      <c r="B2614" s="1">
        <v>6.0</v>
      </c>
      <c r="C2614" s="1" t="s">
        <v>7709</v>
      </c>
      <c r="D2614" s="1" t="s">
        <v>16</v>
      </c>
      <c r="E2614" s="1" t="s">
        <v>7710</v>
      </c>
      <c r="F2614" s="1" t="str">
        <f>IFERROR(__xludf.DUMMYFUNCTION("GOOGLETRANSLATE(A2614, ""zh-CN"", ""ko"")"),"메모")</f>
        <v>메모</v>
      </c>
    </row>
    <row r="2615" ht="15.75" customHeight="1">
      <c r="A2615" s="1" t="s">
        <v>7711</v>
      </c>
      <c r="B2615" s="1">
        <v>6.0</v>
      </c>
      <c r="C2615" s="1" t="s">
        <v>7712</v>
      </c>
      <c r="D2615" s="1" t="s">
        <v>8</v>
      </c>
      <c r="E2615" s="1" t="s">
        <v>7713</v>
      </c>
      <c r="F2615" s="1" t="str">
        <f>IFERROR(__xludf.DUMMYFUNCTION("GOOGLETRANSLATE(A2615, ""zh-CN"", ""ko"")"),"쉬운")</f>
        <v>쉬운</v>
      </c>
    </row>
    <row r="2616" ht="15.75" customHeight="1">
      <c r="A2616" s="1" t="s">
        <v>7714</v>
      </c>
      <c r="B2616" s="1">
        <v>6.0</v>
      </c>
      <c r="C2616" s="1" t="s">
        <v>7715</v>
      </c>
      <c r="D2616" s="1" t="s">
        <v>52</v>
      </c>
      <c r="E2616" s="1" t="s">
        <v>7716</v>
      </c>
      <c r="F2616" s="1" t="str">
        <f>IFERROR(__xludf.DUMMYFUNCTION("GOOGLETRANSLATE(A2616, ""zh-CN"", ""ko"")"),"변증법적")</f>
        <v>변증법적</v>
      </c>
    </row>
    <row r="2617" ht="15.75" customHeight="1">
      <c r="A2617" s="1" t="s">
        <v>7717</v>
      </c>
      <c r="B2617" s="1">
        <v>6.0</v>
      </c>
      <c r="C2617" s="1" t="s">
        <v>7718</v>
      </c>
      <c r="D2617" s="1" t="s">
        <v>8</v>
      </c>
      <c r="E2617" s="1" t="s">
        <v>7719</v>
      </c>
      <c r="F2617" s="1" t="str">
        <f>IFERROR(__xludf.DUMMYFUNCTION("GOOGLETRANSLATE(A2617, ""zh-CN"", ""ko"")"),"악화")</f>
        <v>악화</v>
      </c>
    </row>
    <row r="2618" ht="15.75" customHeight="1">
      <c r="A2618" s="1" t="s">
        <v>7720</v>
      </c>
      <c r="B2618" s="1">
        <v>6.0</v>
      </c>
      <c r="C2618" s="1" t="s">
        <v>7721</v>
      </c>
      <c r="D2618" s="1" t="s">
        <v>16</v>
      </c>
      <c r="E2618" s="1" t="s">
        <v>7722</v>
      </c>
      <c r="F2618" s="1" t="str">
        <f>IFERROR(__xludf.DUMMYFUNCTION("GOOGLETRANSLATE(A2618, ""zh-CN"", ""ko"")"),"드리다")</f>
        <v>드리다</v>
      </c>
    </row>
    <row r="2619" ht="15.75" customHeight="1">
      <c r="A2619" s="1" t="s">
        <v>7723</v>
      </c>
      <c r="B2619" s="1">
        <v>6.0</v>
      </c>
      <c r="C2619" s="1" t="s">
        <v>7724</v>
      </c>
      <c r="D2619" s="1" t="s">
        <v>16</v>
      </c>
      <c r="E2619" s="1" t="s">
        <v>7725</v>
      </c>
      <c r="F2619" s="1" t="str">
        <f>IFERROR(__xludf.DUMMYFUNCTION("GOOGLETRANSLATE(A2619, ""zh-CN"", ""ko"")"),"표본")</f>
        <v>표본</v>
      </c>
    </row>
    <row r="2620" ht="15.75" customHeight="1">
      <c r="A2620" s="1" t="s">
        <v>7726</v>
      </c>
      <c r="B2620" s="1">
        <v>6.0</v>
      </c>
      <c r="C2620" s="1" t="s">
        <v>7727</v>
      </c>
      <c r="D2620" s="1" t="s">
        <v>16</v>
      </c>
      <c r="E2620" s="1" t="s">
        <v>7728</v>
      </c>
      <c r="F2620" s="1" t="str">
        <f>IFERROR(__xludf.DUMMYFUNCTION("GOOGLETRANSLATE(A2620, ""zh-CN"", ""ko"")"),"표시")</f>
        <v>표시</v>
      </c>
    </row>
    <row r="2621" ht="15.75" customHeight="1">
      <c r="A2621" s="1" t="s">
        <v>7729</v>
      </c>
      <c r="B2621" s="1">
        <v>6.0</v>
      </c>
      <c r="C2621" s="1" t="s">
        <v>7730</v>
      </c>
      <c r="D2621" s="1" t="s">
        <v>16</v>
      </c>
      <c r="E2621" s="1" t="s">
        <v>7731</v>
      </c>
      <c r="F2621" s="1" t="str">
        <f>IFERROR(__xludf.DUMMYFUNCTION("GOOGLETRANSLATE(A2621, ""zh-CN"", ""ko"")"),"제목")</f>
        <v>제목</v>
      </c>
    </row>
    <row r="2622" ht="15.75" customHeight="1">
      <c r="A2622" s="1" t="s">
        <v>7732</v>
      </c>
      <c r="B2622" s="1">
        <v>6.0</v>
      </c>
      <c r="C2622" s="1" t="s">
        <v>7733</v>
      </c>
      <c r="D2622" s="1" t="s">
        <v>8</v>
      </c>
      <c r="E2622" s="1" t="s">
        <v>7734</v>
      </c>
      <c r="F2622" s="1" t="str">
        <f>IFERROR(__xludf.DUMMYFUNCTION("GOOGLETRANSLATE(A2622, ""zh-CN"", ""ko"")"),"투표")</f>
        <v>투표</v>
      </c>
    </row>
    <row r="2623" ht="15.75" customHeight="1">
      <c r="A2623" s="1" t="s">
        <v>7735</v>
      </c>
      <c r="B2623" s="1">
        <v>6.0</v>
      </c>
      <c r="C2623" s="1" t="s">
        <v>7736</v>
      </c>
      <c r="D2623" s="1" t="s">
        <v>8</v>
      </c>
      <c r="E2623" s="1" t="s">
        <v>7737</v>
      </c>
      <c r="F2623" s="1" t="str">
        <f>IFERROR(__xludf.DUMMYFUNCTION("GOOGLETRANSLATE(A2623, ""zh-CN"", ""ko"")"),"성명")</f>
        <v>성명</v>
      </c>
    </row>
    <row r="2624" ht="15.75" customHeight="1">
      <c r="A2624" s="1" t="s">
        <v>7738</v>
      </c>
      <c r="B2624" s="1">
        <v>6.0</v>
      </c>
      <c r="C2624" s="1" t="s">
        <v>7739</v>
      </c>
      <c r="D2624" s="1" t="s">
        <v>8</v>
      </c>
      <c r="E2624" s="1" t="s">
        <v>7740</v>
      </c>
      <c r="F2624" s="1" t="str">
        <f>IFERROR(__xludf.DUMMYFUNCTION("GOOGLETRANSLATE(A2624, ""zh-CN"", ""ko"")"),"칭찬")</f>
        <v>칭찬</v>
      </c>
    </row>
    <row r="2625" ht="15.75" customHeight="1">
      <c r="A2625" s="1" t="s">
        <v>7741</v>
      </c>
      <c r="B2625" s="1">
        <v>6.0</v>
      </c>
      <c r="C2625" s="1" t="s">
        <v>7742</v>
      </c>
      <c r="D2625" s="1" t="s">
        <v>8</v>
      </c>
      <c r="E2625" s="1" t="s">
        <v>7743</v>
      </c>
      <c r="F2625" s="1" t="str">
        <f>IFERROR(__xludf.DUMMYFUNCTION("GOOGLETRANSLATE(A2625, ""zh-CN"", ""ko"")"),"참다")</f>
        <v>참다</v>
      </c>
    </row>
    <row r="2626" ht="15.75" customHeight="1">
      <c r="A2626" s="1" t="s">
        <v>7744</v>
      </c>
      <c r="B2626" s="1">
        <v>6.0</v>
      </c>
      <c r="C2626" s="1" t="s">
        <v>7745</v>
      </c>
      <c r="D2626" s="1" t="s">
        <v>16</v>
      </c>
      <c r="E2626" s="1" t="s">
        <v>7746</v>
      </c>
      <c r="F2626" s="1" t="str">
        <f>IFERROR(__xludf.DUMMYFUNCTION("GOOGLETRANSLATE(A2626, ""zh-CN"", ""ko"")"),"별장")</f>
        <v>별장</v>
      </c>
    </row>
    <row r="2627" ht="15.75" customHeight="1">
      <c r="A2627" s="1" t="s">
        <v>7747</v>
      </c>
      <c r="B2627" s="1">
        <v>6.0</v>
      </c>
      <c r="C2627" s="1" t="s">
        <v>7748</v>
      </c>
      <c r="D2627" s="1" t="s">
        <v>52</v>
      </c>
      <c r="E2627" s="1" t="s">
        <v>7749</v>
      </c>
      <c r="F2627" s="1" t="str">
        <f>IFERROR(__xludf.DUMMYFUNCTION("GOOGLETRANSLATE(A2627, ""zh-CN"", ""ko"")"),"고유한")</f>
        <v>고유한</v>
      </c>
    </row>
    <row r="2628" ht="15.75" customHeight="1">
      <c r="A2628" s="1" t="s">
        <v>7750</v>
      </c>
      <c r="B2628" s="1">
        <v>6.0</v>
      </c>
      <c r="C2628" s="1" t="s">
        <v>7751</v>
      </c>
      <c r="D2628" s="1" t="s">
        <v>52</v>
      </c>
      <c r="E2628" s="1" t="s">
        <v>7752</v>
      </c>
      <c r="F2628" s="1" t="str">
        <f>IFERROR(__xludf.DUMMYFUNCTION("GOOGLETRANSLATE(A2628, ""zh-CN"", ""ko"")"),"어색한")</f>
        <v>어색한</v>
      </c>
    </row>
    <row r="2629" ht="15.75" customHeight="1">
      <c r="A2629" s="1" t="s">
        <v>7753</v>
      </c>
      <c r="B2629" s="1">
        <v>6.0</v>
      </c>
      <c r="C2629" s="1" t="s">
        <v>7754</v>
      </c>
      <c r="D2629" s="1" t="s">
        <v>8</v>
      </c>
      <c r="E2629" s="1" t="s">
        <v>7755</v>
      </c>
      <c r="F2629" s="1" t="str">
        <f>IFERROR(__xludf.DUMMYFUNCTION("GOOGLETRANSLATE(A2629, ""zh-CN"", ""ko"")"),"~의 문턱에")</f>
        <v>~의 문턱에</v>
      </c>
    </row>
    <row r="2630" ht="15.75" customHeight="1">
      <c r="A2630" s="1" t="s">
        <v>7756</v>
      </c>
      <c r="B2630" s="1">
        <v>6.0</v>
      </c>
      <c r="C2630" s="1" t="s">
        <v>7757</v>
      </c>
      <c r="D2630" s="1" t="s">
        <v>16</v>
      </c>
      <c r="E2630" s="1" t="s">
        <v>7758</v>
      </c>
      <c r="F2630" s="1" t="str">
        <f>IFERROR(__xludf.DUMMYFUNCTION("GOOGLETRANSLATE(A2630, ""zh-CN"", ""ko"")"),"빗발")</f>
        <v>빗발</v>
      </c>
    </row>
    <row r="2631" ht="15.75" customHeight="1">
      <c r="A2631" s="1" t="s">
        <v>7759</v>
      </c>
      <c r="B2631" s="1">
        <v>6.0</v>
      </c>
      <c r="C2631" s="1" t="s">
        <v>7760</v>
      </c>
      <c r="D2631" s="1" t="s">
        <v>16</v>
      </c>
      <c r="E2631" s="1" t="s">
        <v>7761</v>
      </c>
      <c r="F2631" s="1" t="str">
        <f>IFERROR(__xludf.DUMMYFUNCTION("GOOGLETRANSLATE(A2631, ""zh-CN"", ""ko"")"),"기음")</f>
        <v>기음</v>
      </c>
    </row>
    <row r="2632" ht="15.75" customHeight="1">
      <c r="A2632" s="1" t="s">
        <v>7762</v>
      </c>
      <c r="B2632" s="1">
        <v>6.0</v>
      </c>
      <c r="C2632" s="1" t="s">
        <v>7763</v>
      </c>
      <c r="D2632" s="1" t="s">
        <v>8</v>
      </c>
      <c r="E2632" s="1" t="s">
        <v>7764</v>
      </c>
      <c r="F2632" s="1" t="str">
        <f>IFERROR(__xludf.DUMMYFUNCTION("GOOGLETRANSLATE(A2632, ""zh-CN"", ""ko"")"),"아니다")</f>
        <v>아니다</v>
      </c>
    </row>
    <row r="2633" ht="15.75" customHeight="1">
      <c r="A2633" s="1" t="s">
        <v>7765</v>
      </c>
      <c r="B2633" s="1">
        <v>6.0</v>
      </c>
      <c r="C2633" s="1" t="s">
        <v>7766</v>
      </c>
      <c r="D2633" s="1" t="s">
        <v>8</v>
      </c>
      <c r="E2633" s="1" t="s">
        <v>7767</v>
      </c>
      <c r="F2633" s="1" t="str">
        <f>IFERROR(__xludf.DUMMYFUNCTION("GOOGLETRANSLATE(A2633, ""zh-CN"", ""ko"")"),"평행한")</f>
        <v>평행한</v>
      </c>
    </row>
    <row r="2634" ht="15.75" customHeight="1">
      <c r="A2634" s="1" t="s">
        <v>7768</v>
      </c>
      <c r="B2634" s="1">
        <v>6.0</v>
      </c>
      <c r="C2634" s="1" t="s">
        <v>7769</v>
      </c>
      <c r="D2634" s="1" t="s">
        <v>16</v>
      </c>
      <c r="E2634" s="1" t="s">
        <v>7770</v>
      </c>
      <c r="F2634" s="1" t="str">
        <f>IFERROR(__xludf.DUMMYFUNCTION("GOOGLETRANSLATE(A2634, ""zh-CN"", ""ko"")"),"파도")</f>
        <v>파도</v>
      </c>
    </row>
    <row r="2635" ht="15.75" customHeight="1">
      <c r="A2635" s="1" t="s">
        <v>7771</v>
      </c>
      <c r="B2635" s="1">
        <v>6.0</v>
      </c>
      <c r="C2635" s="1" t="s">
        <v>7772</v>
      </c>
      <c r="D2635" s="1" t="s">
        <v>8</v>
      </c>
      <c r="E2635" s="1" t="s">
        <v>7773</v>
      </c>
      <c r="F2635" s="1" t="str">
        <f>IFERROR(__xludf.DUMMYFUNCTION("GOOGLETRANSLATE(A2635, ""zh-CN"", ""ko"")"),"파도")</f>
        <v>파도</v>
      </c>
    </row>
    <row r="2636" ht="15.75" customHeight="1">
      <c r="A2636" s="1" t="s">
        <v>7774</v>
      </c>
      <c r="B2636" s="1">
        <v>6.0</v>
      </c>
      <c r="C2636" s="1" t="s">
        <v>7775</v>
      </c>
      <c r="D2636" s="1" t="s">
        <v>8</v>
      </c>
      <c r="E2636" s="1" t="s">
        <v>7776</v>
      </c>
      <c r="F2636" s="1" t="str">
        <f>IFERROR(__xludf.DUMMYFUNCTION("GOOGLETRANSLATE(A2636, ""zh-CN"", ""ko"")"),"착취")</f>
        <v>착취</v>
      </c>
    </row>
    <row r="2637" ht="15.75" customHeight="1">
      <c r="A2637" s="1" t="s">
        <v>7777</v>
      </c>
      <c r="B2637" s="1">
        <v>6.0</v>
      </c>
      <c r="C2637" s="1" t="s">
        <v>7778</v>
      </c>
      <c r="D2637" s="1" t="s">
        <v>8</v>
      </c>
      <c r="E2637" s="1" t="s">
        <v>7779</v>
      </c>
      <c r="F2637" s="1" t="str">
        <f>IFERROR(__xludf.DUMMYFUNCTION("GOOGLETRANSLATE(A2637, ""zh-CN"", ""ko"")"),"파종")</f>
        <v>파종</v>
      </c>
    </row>
    <row r="2638" ht="15.75" customHeight="1">
      <c r="A2638" s="1" t="s">
        <v>7780</v>
      </c>
      <c r="B2638" s="1">
        <v>6.0</v>
      </c>
      <c r="C2638" s="1" t="s">
        <v>7781</v>
      </c>
      <c r="E2638" s="1" t="s">
        <v>7782</v>
      </c>
      <c r="F2638" s="1" t="str">
        <f>IFERROR(__xludf.DUMMYFUNCTION("GOOGLETRANSLATE(A2638, ""zh-CN"", ""ko"")"),"심오한")</f>
        <v>심오한</v>
      </c>
    </row>
    <row r="2639" ht="15.75" customHeight="1">
      <c r="A2639" s="1" t="s">
        <v>7783</v>
      </c>
      <c r="B2639" s="1">
        <v>6.0</v>
      </c>
      <c r="C2639" s="1" t="s">
        <v>7784</v>
      </c>
      <c r="D2639" s="1" t="s">
        <v>8</v>
      </c>
      <c r="E2639" s="1" t="s">
        <v>7785</v>
      </c>
      <c r="F2639" s="1" t="str">
        <f>IFERROR(__xludf.DUMMYFUNCTION("GOOGLETRANSLATE(A2639, ""zh-CN"", ""ko"")"),"싸움")</f>
        <v>싸움</v>
      </c>
    </row>
    <row r="2640" ht="15.75" customHeight="1">
      <c r="A2640" s="1" t="s">
        <v>7786</v>
      </c>
      <c r="B2640" s="1">
        <v>6.0</v>
      </c>
      <c r="C2640" s="1" t="s">
        <v>7787</v>
      </c>
      <c r="D2640" s="1" t="s">
        <v>16</v>
      </c>
      <c r="E2640" s="1" t="s">
        <v>7788</v>
      </c>
      <c r="F2640" s="1" t="str">
        <f>IFERROR(__xludf.DUMMYFUNCTION("GOOGLETRANSLATE(A2640, ""zh-CN"", ""ko"")"),"엑스포")</f>
        <v>엑스포</v>
      </c>
    </row>
    <row r="2641" ht="15.75" customHeight="1">
      <c r="A2641" s="1" t="s">
        <v>7789</v>
      </c>
      <c r="B2641" s="1">
        <v>6.0</v>
      </c>
      <c r="C2641" s="1" t="s">
        <v>7790</v>
      </c>
      <c r="D2641" s="1" t="s">
        <v>16</v>
      </c>
      <c r="E2641" s="1" t="s">
        <v>7791</v>
      </c>
      <c r="F2641" s="1" t="str">
        <f>IFERROR(__xludf.DUMMYFUNCTION("GOOGLETRANSLATE(A2641, ""zh-CN"", ""ko"")"),"이모")</f>
        <v>이모</v>
      </c>
    </row>
    <row r="2642" ht="15.75" customHeight="1">
      <c r="A2642" s="1" t="s">
        <v>7792</v>
      </c>
      <c r="B2642" s="1">
        <v>6.0</v>
      </c>
      <c r="C2642" s="1" t="s">
        <v>7793</v>
      </c>
      <c r="D2642" s="1" t="s">
        <v>52</v>
      </c>
      <c r="E2642" s="1" t="s">
        <v>7794</v>
      </c>
      <c r="F2642" s="1" t="str">
        <f>IFERROR(__xludf.DUMMYFUNCTION("GOOGLETRANSLATE(A2642, ""zh-CN"", ""ko"")"),"약한")</f>
        <v>약한</v>
      </c>
    </row>
    <row r="2643" ht="15.75" customHeight="1">
      <c r="A2643" s="1" t="s">
        <v>7795</v>
      </c>
      <c r="B2643" s="1">
        <v>6.0</v>
      </c>
      <c r="C2643" s="1" t="s">
        <v>7796</v>
      </c>
      <c r="D2643" s="1" t="s">
        <v>8</v>
      </c>
      <c r="E2643" s="1" t="s">
        <v>7797</v>
      </c>
      <c r="F2643" s="1" t="str">
        <f>IFERROR(__xludf.DUMMYFUNCTION("GOOGLETRANSLATE(A2643, ""zh-CN"", ""ko"")"),"~에 관계없이")</f>
        <v>~에 관계없이</v>
      </c>
    </row>
    <row r="2644" ht="15.75" customHeight="1">
      <c r="A2644" s="1" t="s">
        <v>7798</v>
      </c>
      <c r="B2644" s="1">
        <v>6.0</v>
      </c>
      <c r="C2644" s="1" t="s">
        <v>7799</v>
      </c>
      <c r="D2644" s="1" t="s">
        <v>33</v>
      </c>
      <c r="E2644" s="1" t="s">
        <v>7800</v>
      </c>
      <c r="F2644" s="1" t="str">
        <f>IFERROR(__xludf.DUMMYFUNCTION("GOOGLETRANSLATE(A2644, ""zh-CN"", ""ko"")"),"예상대로")</f>
        <v>예상대로</v>
      </c>
    </row>
    <row r="2645" ht="15.75" customHeight="1">
      <c r="A2645" s="1" t="s">
        <v>7801</v>
      </c>
      <c r="B2645" s="1">
        <v>6.0</v>
      </c>
      <c r="C2645" s="1" t="s">
        <v>7802</v>
      </c>
      <c r="D2645" s="1" t="s">
        <v>1473</v>
      </c>
      <c r="E2645" s="1" t="s">
        <v>5090</v>
      </c>
      <c r="F2645" s="1" t="str">
        <f>IFERROR(__xludf.DUMMYFUNCTION("GOOGLETRANSLATE(A2645, ""zh-CN"", ""ko"")"),"뜻밖에")</f>
        <v>뜻밖에</v>
      </c>
    </row>
    <row r="2646" ht="15.75" customHeight="1">
      <c r="A2646" s="1" t="s">
        <v>7803</v>
      </c>
      <c r="B2646" s="1">
        <v>6.0</v>
      </c>
      <c r="C2646" s="1" t="s">
        <v>7804</v>
      </c>
      <c r="D2646" s="1" t="s">
        <v>52</v>
      </c>
      <c r="E2646" s="1" t="s">
        <v>7805</v>
      </c>
      <c r="F2646" s="1" t="str">
        <f>IFERROR(__xludf.DUMMYFUNCTION("GOOGLETRANSLATE(A2646, ""zh-CN"", ""ko"")"),"터무니없는")</f>
        <v>터무니없는</v>
      </c>
    </row>
    <row r="2647" ht="15.75" customHeight="1">
      <c r="A2647" s="1" t="s">
        <v>7806</v>
      </c>
      <c r="B2647" s="1">
        <v>6.0</v>
      </c>
      <c r="C2647" s="1" t="s">
        <v>7807</v>
      </c>
      <c r="E2647" s="1" t="s">
        <v>7808</v>
      </c>
      <c r="F2647" s="1" t="str">
        <f>IFERROR(__xludf.DUMMYFUNCTION("GOOGLETRANSLATE(A2647, ""zh-CN"", ""ko"")"),"경멸감")</f>
        <v>경멸감</v>
      </c>
    </row>
    <row r="2648" ht="15.75" customHeight="1">
      <c r="A2648" s="1" t="s">
        <v>7809</v>
      </c>
      <c r="B2648" s="1">
        <v>6.0</v>
      </c>
      <c r="C2648" s="1" t="s">
        <v>7810</v>
      </c>
      <c r="D2648" s="1" t="s">
        <v>8</v>
      </c>
      <c r="E2648" s="1" t="s">
        <v>7811</v>
      </c>
      <c r="F2648" s="1" t="str">
        <f>IFERROR(__xludf.DUMMYFUNCTION("GOOGLETRANSLATE(A2648, ""zh-CN"", ""ko"")"),"보상하다")</f>
        <v>보상하다</v>
      </c>
    </row>
    <row r="2649" ht="15.75" customHeight="1">
      <c r="A2649" s="1" t="s">
        <v>7812</v>
      </c>
      <c r="B2649" s="1">
        <v>6.0</v>
      </c>
      <c r="C2649" s="1" t="s">
        <v>7813</v>
      </c>
      <c r="D2649" s="1" t="s">
        <v>8</v>
      </c>
      <c r="E2649" s="1" t="s">
        <v>7814</v>
      </c>
      <c r="F2649" s="1" t="str">
        <f>IFERROR(__xludf.DUMMYFUNCTION("GOOGLETRANSLATE(A2649, ""zh-CN"", ""ko"")"),"치료")</f>
        <v>치료</v>
      </c>
    </row>
    <row r="2650" ht="15.75" customHeight="1">
      <c r="A2650" s="1" t="s">
        <v>7815</v>
      </c>
      <c r="B2650" s="1">
        <v>6.0</v>
      </c>
      <c r="C2650" s="1" t="s">
        <v>7816</v>
      </c>
      <c r="D2650" s="1" t="s">
        <v>8</v>
      </c>
      <c r="E2650" s="1" t="s">
        <v>7817</v>
      </c>
      <c r="F2650" s="1" t="str">
        <f>IFERROR(__xludf.DUMMYFUNCTION("GOOGLETRANSLATE(A2650, ""zh-CN"", ""ko"")"),"모유 수유")</f>
        <v>모유 수유</v>
      </c>
    </row>
    <row r="2651" ht="15.75" customHeight="1">
      <c r="A2651" s="1" t="s">
        <v>7818</v>
      </c>
      <c r="B2651" s="1">
        <v>6.0</v>
      </c>
      <c r="C2651" s="1" t="s">
        <v>7819</v>
      </c>
      <c r="D2651" s="1" t="s">
        <v>875</v>
      </c>
      <c r="E2651" s="1" t="s">
        <v>7820</v>
      </c>
      <c r="F2651" s="1" t="str">
        <f>IFERROR(__xludf.DUMMYFUNCTION("GOOGLETRANSLATE(A2651, ""zh-CN"", ""ko"")"),"보조금")</f>
        <v>보조금</v>
      </c>
    </row>
    <row r="2652" ht="15.75" customHeight="1">
      <c r="A2652" s="1" t="s">
        <v>7821</v>
      </c>
      <c r="B2652" s="1">
        <v>6.0</v>
      </c>
      <c r="C2652" s="1" t="s">
        <v>7822</v>
      </c>
      <c r="D2652" s="1" t="s">
        <v>8</v>
      </c>
      <c r="E2652" s="1" t="s">
        <v>7823</v>
      </c>
      <c r="F2652" s="1" t="str">
        <f>IFERROR(__xludf.DUMMYFUNCTION("GOOGLETRANSLATE(A2652, ""zh-CN"", ""ko"")"),"포착")</f>
        <v>포착</v>
      </c>
    </row>
    <row r="2653" ht="15.75" customHeight="1">
      <c r="A2653" s="1" t="s">
        <v>7824</v>
      </c>
      <c r="B2653" s="1">
        <v>6.0</v>
      </c>
      <c r="C2653" s="1" t="s">
        <v>7825</v>
      </c>
      <c r="D2653" s="1" t="s">
        <v>52</v>
      </c>
      <c r="E2653" s="1" t="s">
        <v>7826</v>
      </c>
      <c r="F2653" s="1" t="str">
        <f>IFERROR(__xludf.DUMMYFUNCTION("GOOGLETRANSLATE(A2653, ""zh-CN"", ""ko"")"),"피하기 어려운")</f>
        <v>피하기 어려운</v>
      </c>
    </row>
    <row r="2654" ht="15.75" customHeight="1">
      <c r="A2654" s="1" t="s">
        <v>7827</v>
      </c>
      <c r="B2654" s="1">
        <v>6.0</v>
      </c>
      <c r="C2654" s="1" t="s">
        <v>7828</v>
      </c>
      <c r="D2654" s="1" t="s">
        <v>16</v>
      </c>
      <c r="E2654" s="1" t="s">
        <v>7829</v>
      </c>
      <c r="F2654" s="1" t="str">
        <f>IFERROR(__xludf.DUMMYFUNCTION("GOOGLETRANSLATE(A2654, ""zh-CN"", ""ko"")"),"속도")</f>
        <v>속도</v>
      </c>
    </row>
    <row r="2655" ht="15.75" customHeight="1">
      <c r="A2655" s="1" t="s">
        <v>7830</v>
      </c>
      <c r="B2655" s="1">
        <v>6.0</v>
      </c>
      <c r="C2655" s="1" t="s">
        <v>7831</v>
      </c>
      <c r="D2655" s="1" t="s">
        <v>33</v>
      </c>
      <c r="E2655" s="1" t="s">
        <v>7832</v>
      </c>
      <c r="F2655" s="1" t="str">
        <f>IFERROR(__xludf.DUMMYFUNCTION("GOOGLETRANSLATE(A2655, ""zh-CN"", ""ko"")"),"왜 안 돼")</f>
        <v>왜 안 돼</v>
      </c>
    </row>
    <row r="2656" ht="15.75" customHeight="1">
      <c r="A2656" s="1" t="s">
        <v>7833</v>
      </c>
      <c r="B2656" s="1">
        <v>6.0</v>
      </c>
      <c r="C2656" s="1" t="s">
        <v>7834</v>
      </c>
      <c r="D2656" s="1" t="s">
        <v>8</v>
      </c>
      <c r="E2656" s="1" t="s">
        <v>7835</v>
      </c>
      <c r="F2656" s="1" t="str">
        <f>IFERROR(__xludf.DUMMYFUNCTION("GOOGLETRANSLATE(A2656, ""zh-CN"", ""ko"")"),"나는 감히 받아들일 수 없다")</f>
        <v>나는 감히 받아들일 수 없다</v>
      </c>
    </row>
    <row r="2657" ht="15.75" customHeight="1">
      <c r="A2657" s="1" t="s">
        <v>7836</v>
      </c>
      <c r="B2657" s="1">
        <v>6.0</v>
      </c>
      <c r="C2657" s="1" t="s">
        <v>7837</v>
      </c>
      <c r="D2657" s="1" t="s">
        <v>16</v>
      </c>
      <c r="E2657" s="1" t="s">
        <v>7838</v>
      </c>
      <c r="F2657" s="1" t="str">
        <f>IFERROR(__xludf.DUMMYFUNCTION("GOOGLETRANSLATE(A2657, ""zh-CN"", ""ko"")"),"알아채다")</f>
        <v>알아채다</v>
      </c>
    </row>
    <row r="2658" ht="15.75" customHeight="1">
      <c r="A2658" s="1" t="s">
        <v>7839</v>
      </c>
      <c r="B2658" s="1">
        <v>6.0</v>
      </c>
      <c r="C2658" s="1" t="s">
        <v>7840</v>
      </c>
      <c r="D2658" s="1" t="s">
        <v>33</v>
      </c>
      <c r="E2658" s="1" t="s">
        <v>7841</v>
      </c>
      <c r="F2658" s="1" t="str">
        <f>IFERROR(__xludf.DUMMYFUNCTION("GOOGLETRANSLATE(A2658, ""zh-CN"", ""ko"")"),"할 수 없습니다")</f>
        <v>할 수 없습니다</v>
      </c>
    </row>
    <row r="2659" ht="15.75" customHeight="1">
      <c r="A2659" s="1" t="s">
        <v>7842</v>
      </c>
      <c r="B2659" s="1">
        <v>6.0</v>
      </c>
      <c r="C2659" s="1" t="s">
        <v>7843</v>
      </c>
      <c r="D2659" s="1" t="s">
        <v>875</v>
      </c>
      <c r="E2659" s="1" t="s">
        <v>7844</v>
      </c>
      <c r="F2659" s="1" t="str">
        <f>IFERROR(__xludf.DUMMYFUNCTION("GOOGLETRANSLATE(A2659, ""zh-CN"", ""ko"")"),"공들여 나열한 것")</f>
        <v>공들여 나열한 것</v>
      </c>
    </row>
    <row r="2660" ht="15.75" customHeight="1">
      <c r="A2660" s="1" t="s">
        <v>7845</v>
      </c>
      <c r="B2660" s="1">
        <v>6.0</v>
      </c>
      <c r="C2660" s="1" t="s">
        <v>7846</v>
      </c>
      <c r="D2660" s="1" t="s">
        <v>8</v>
      </c>
      <c r="E2660" s="1" t="s">
        <v>7847</v>
      </c>
      <c r="F2660" s="1" t="str">
        <f>IFERROR(__xludf.DUMMYFUNCTION("GOOGLETRANSLATE(A2660, ""zh-CN"", ""ko"")"),"견딜 수 없는")</f>
        <v>견딜 수 없는</v>
      </c>
    </row>
    <row r="2661" ht="15.75" customHeight="1">
      <c r="A2661" s="1" t="s">
        <v>7848</v>
      </c>
      <c r="B2661" s="1">
        <v>6.0</v>
      </c>
      <c r="C2661" s="1" t="s">
        <v>7849</v>
      </c>
      <c r="E2661" s="1" t="s">
        <v>7850</v>
      </c>
      <c r="F2661" s="1" t="str">
        <f>IFERROR(__xludf.DUMMYFUNCTION("GOOGLETRANSLATE(A2661, ""zh-CN"", ""ko"")"),"믿을 수 없는")</f>
        <v>믿을 수 없는</v>
      </c>
    </row>
    <row r="2662" ht="15.75" customHeight="1">
      <c r="A2662" s="1" t="s">
        <v>7851</v>
      </c>
      <c r="B2662" s="1">
        <v>6.0</v>
      </c>
      <c r="C2662" s="1" t="s">
        <v>7852</v>
      </c>
      <c r="D2662" s="1" t="s">
        <v>33</v>
      </c>
      <c r="E2662" s="1" t="s">
        <v>7853</v>
      </c>
      <c r="F2662" s="1" t="str">
        <f>IFERROR(__xludf.DUMMYFUNCTION("GOOGLETRANSLATE(A2662, ""zh-CN"", ""ko"")"),"필연적으로")</f>
        <v>필연적으로</v>
      </c>
    </row>
    <row r="2663" ht="15.75" customHeight="1">
      <c r="A2663" s="1" t="s">
        <v>7854</v>
      </c>
      <c r="B2663" s="1">
        <v>6.0</v>
      </c>
      <c r="C2663" s="1" t="s">
        <v>7855</v>
      </c>
      <c r="D2663" s="1" t="s">
        <v>33</v>
      </c>
      <c r="E2663" s="1" t="s">
        <v>7856</v>
      </c>
      <c r="F2663" s="1" t="str">
        <f>IFERROR(__xludf.DUMMYFUNCTION("GOOGLETRANSLATE(A2663, ""zh-CN"", ""ko"")"),"때때로")</f>
        <v>때때로</v>
      </c>
    </row>
    <row r="2664" ht="15.75" customHeight="1">
      <c r="A2664" s="1" t="s">
        <v>7857</v>
      </c>
      <c r="B2664" s="1">
        <v>6.0</v>
      </c>
      <c r="C2664" s="1" t="s">
        <v>7858</v>
      </c>
      <c r="D2664" s="1" t="s">
        <v>8</v>
      </c>
      <c r="E2664" s="1" t="s">
        <v>7859</v>
      </c>
      <c r="F2664" s="1" t="str">
        <f>IFERROR(__xludf.DUMMYFUNCTION("GOOGLETRANSLATE(A2664, ""zh-CN"", ""ko"")"),"배포")</f>
        <v>배포</v>
      </c>
    </row>
    <row r="2665" ht="15.75" customHeight="1">
      <c r="A2665" s="1" t="s">
        <v>7860</v>
      </c>
      <c r="B2665" s="1">
        <v>6.0</v>
      </c>
      <c r="C2665" s="1" t="s">
        <v>7861</v>
      </c>
      <c r="D2665" s="1" t="s">
        <v>16</v>
      </c>
      <c r="E2665" s="1" t="s">
        <v>7862</v>
      </c>
      <c r="F2665" s="1" t="str">
        <f>IFERROR(__xludf.DUMMYFUNCTION("GOOGLETRANSLATE(A2665, ""zh-CN"", ""ko"")"),"부분")</f>
        <v>부분</v>
      </c>
    </row>
    <row r="2666" ht="15.75" customHeight="1">
      <c r="A2666" s="1" t="s">
        <v>7863</v>
      </c>
      <c r="B2666" s="1">
        <v>6.0</v>
      </c>
      <c r="C2666" s="1" t="s">
        <v>7864</v>
      </c>
      <c r="D2666" s="1" t="s">
        <v>8</v>
      </c>
      <c r="E2666" s="1" t="s">
        <v>7865</v>
      </c>
      <c r="F2666" s="1" t="str">
        <f>IFERROR(__xludf.DUMMYFUNCTION("GOOGLETRANSLATE(A2666, ""zh-CN"", ""ko"")"),"별말씀을요")</f>
        <v>별말씀을요</v>
      </c>
    </row>
    <row r="2667" ht="15.75" customHeight="1">
      <c r="A2667" s="1" t="s">
        <v>7866</v>
      </c>
      <c r="B2667" s="1">
        <v>6.0</v>
      </c>
      <c r="C2667" s="1" t="s">
        <v>7867</v>
      </c>
      <c r="E2667" s="1" t="s">
        <v>7868</v>
      </c>
      <c r="F2667" s="1" t="str">
        <f>IFERROR(__xludf.DUMMYFUNCTION("GOOGLETRANSLATE(A2667, ""zh-CN"", ""ko"")"),"박빙의 승부")</f>
        <v>박빙의 승부</v>
      </c>
    </row>
    <row r="2668" ht="15.75" customHeight="1">
      <c r="A2668" s="1" t="s">
        <v>7869</v>
      </c>
      <c r="B2668" s="1">
        <v>6.0</v>
      </c>
      <c r="C2668" s="1" t="s">
        <v>7870</v>
      </c>
      <c r="E2668" s="1" t="s">
        <v>7871</v>
      </c>
      <c r="F2668" s="1" t="str">
        <f>IFERROR(__xludf.DUMMYFUNCTION("GOOGLETRANSLATE(A2668, ""zh-CN"", ""ko"")"),"말할 필요도 없다")</f>
        <v>말할 필요도 없다</v>
      </c>
    </row>
    <row r="2669" ht="15.75" customHeight="1">
      <c r="A2669" s="1" t="s">
        <v>7872</v>
      </c>
      <c r="B2669" s="1">
        <v>6.0</v>
      </c>
      <c r="C2669" s="1" t="s">
        <v>7873</v>
      </c>
      <c r="D2669" s="1" t="s">
        <v>33</v>
      </c>
      <c r="E2669" s="1" t="s">
        <v>7874</v>
      </c>
      <c r="F2669" s="1" t="str">
        <f>IFERROR(__xludf.DUMMYFUNCTION("GOOGLETRANSLATE(A2669, ""zh-CN"", ""ko"")"),"비자발적으로")</f>
        <v>비자발적으로</v>
      </c>
    </row>
    <row r="2670" ht="15.75" customHeight="1">
      <c r="A2670" s="1" t="s">
        <v>7875</v>
      </c>
      <c r="B2670" s="1">
        <v>6.0</v>
      </c>
      <c r="C2670" s="1" t="s">
        <v>7876</v>
      </c>
      <c r="E2670" s="1" t="s">
        <v>7877</v>
      </c>
      <c r="F2670" s="1" t="str">
        <f>IFERROR(__xludf.DUMMYFUNCTION("GOOGLETRANSLATE(A2670, ""zh-CN"", ""ko"")"),"열심히 플레이하세요")</f>
        <v>열심히 플레이하세요</v>
      </c>
    </row>
    <row r="2671" ht="15.75" customHeight="1">
      <c r="A2671" s="1" t="s">
        <v>7878</v>
      </c>
      <c r="B2671" s="1">
        <v>6.0</v>
      </c>
      <c r="C2671" s="1" t="s">
        <v>7879</v>
      </c>
      <c r="D2671" s="1" t="s">
        <v>33</v>
      </c>
      <c r="E2671" s="1" t="s">
        <v>7880</v>
      </c>
      <c r="F2671" s="1" t="str">
        <f>IFERROR(__xludf.DUMMYFUNCTION("GOOGLETRANSLATE(A2671, ""zh-CN"", ""ko"")"),"이상")</f>
        <v>이상</v>
      </c>
    </row>
    <row r="2672" ht="15.75" customHeight="1">
      <c r="A2672" s="1" t="s">
        <v>7881</v>
      </c>
      <c r="B2672" s="1">
        <v>6.0</v>
      </c>
      <c r="C2672" s="1" t="s">
        <v>7882</v>
      </c>
      <c r="E2672" s="1" t="s">
        <v>7883</v>
      </c>
      <c r="F2672" s="1" t="str">
        <f>IFERROR(__xludf.DUMMYFUNCTION("GOOGLETRANSLATE(A2672, ""zh-CN"", ""ko"")"),"준비")</f>
        <v>준비</v>
      </c>
    </row>
    <row r="2673" ht="15.75" customHeight="1">
      <c r="A2673" s="1" t="s">
        <v>7884</v>
      </c>
      <c r="B2673" s="1">
        <v>6.0</v>
      </c>
      <c r="C2673" s="1" t="s">
        <v>7885</v>
      </c>
      <c r="D2673" s="1" t="s">
        <v>16</v>
      </c>
      <c r="E2673" s="1" t="s">
        <v>7886</v>
      </c>
      <c r="F2673" s="1" t="str">
        <f>IFERROR(__xludf.DUMMYFUNCTION("GOOGLETRANSLATE(A2673, ""zh-CN"", ""ko"")"),"재단사")</f>
        <v>재단사</v>
      </c>
    </row>
    <row r="2674" ht="15.75" customHeight="1">
      <c r="A2674" s="1" t="s">
        <v>7887</v>
      </c>
      <c r="B2674" s="1">
        <v>6.0</v>
      </c>
      <c r="C2674" s="1" t="s">
        <v>7888</v>
      </c>
      <c r="D2674" s="1" t="s">
        <v>16</v>
      </c>
      <c r="E2674" s="1" t="s">
        <v>7889</v>
      </c>
      <c r="F2674" s="1" t="str">
        <f>IFERROR(__xludf.DUMMYFUNCTION("GOOGLETRANSLATE(A2674, ""zh-CN"", ""ko"")"),"재산")</f>
        <v>재산</v>
      </c>
    </row>
    <row r="2675" ht="15.75" customHeight="1">
      <c r="A2675" s="1" t="s">
        <v>7890</v>
      </c>
      <c r="B2675" s="1">
        <v>6.0</v>
      </c>
      <c r="C2675" s="1" t="s">
        <v>7891</v>
      </c>
      <c r="D2675" s="1" t="s">
        <v>16</v>
      </c>
      <c r="E2675" s="1" t="s">
        <v>7892</v>
      </c>
      <c r="F2675" s="1" t="str">
        <f>IFERROR(__xludf.DUMMYFUNCTION("GOOGLETRANSLATE(A2675, ""zh-CN"", ""ko"")"),"능력")</f>
        <v>능력</v>
      </c>
    </row>
    <row r="2676" ht="15.75" customHeight="1">
      <c r="A2676" s="1" t="s">
        <v>7893</v>
      </c>
      <c r="B2676" s="1">
        <v>6.0</v>
      </c>
      <c r="C2676" s="1" t="s">
        <v>7894</v>
      </c>
      <c r="D2676" s="1" t="s">
        <v>16</v>
      </c>
      <c r="E2676" s="1" t="s">
        <v>7895</v>
      </c>
      <c r="F2676" s="1" t="str">
        <f>IFERROR(__xludf.DUMMYFUNCTION("GOOGLETRANSLATE(A2676, ""zh-CN"", ""ko"")"),"심판")</f>
        <v>심판</v>
      </c>
    </row>
    <row r="2677" ht="15.75" customHeight="1">
      <c r="A2677" s="1" t="s">
        <v>7896</v>
      </c>
      <c r="B2677" s="1">
        <v>6.0</v>
      </c>
      <c r="C2677" s="1" t="s">
        <v>7897</v>
      </c>
      <c r="D2677" s="1" t="s">
        <v>16</v>
      </c>
      <c r="E2677" s="1" t="s">
        <v>7898</v>
      </c>
      <c r="F2677" s="1" t="str">
        <f>IFERROR(__xludf.DUMMYFUNCTION("GOOGLETRANSLATE(A2677, ""zh-CN"", ""ko"")"),"재원")</f>
        <v>재원</v>
      </c>
    </row>
    <row r="2678" ht="15.75" customHeight="1">
      <c r="A2678" s="1" t="s">
        <v>7899</v>
      </c>
      <c r="B2678" s="1">
        <v>6.0</v>
      </c>
      <c r="C2678" s="1" t="s">
        <v>7900</v>
      </c>
      <c r="D2678" s="1" t="s">
        <v>8</v>
      </c>
      <c r="E2678" s="1" t="s">
        <v>7901</v>
      </c>
      <c r="F2678" s="1" t="str">
        <f>IFERROR(__xludf.DUMMYFUNCTION("GOOGLETRANSLATE(A2678, ""zh-CN"", ""ko"")"),"해고")</f>
        <v>해고</v>
      </c>
    </row>
    <row r="2679" ht="15.75" customHeight="1">
      <c r="A2679" s="1" t="s">
        <v>7902</v>
      </c>
      <c r="B2679" s="1">
        <v>6.0</v>
      </c>
      <c r="C2679" s="1" t="s">
        <v>7903</v>
      </c>
      <c r="D2679" s="1" t="s">
        <v>16</v>
      </c>
      <c r="E2679" s="1" t="s">
        <v>7904</v>
      </c>
      <c r="F2679" s="1" t="str">
        <f>IFERROR(__xludf.DUMMYFUNCTION("GOOGLETRANSLATE(A2679, ""zh-CN"", ""ko"")"),"재정적인")</f>
        <v>재정적인</v>
      </c>
    </row>
    <row r="2680" ht="15.75" customHeight="1">
      <c r="A2680" s="1" t="s">
        <v>7905</v>
      </c>
      <c r="B2680" s="1">
        <v>6.0</v>
      </c>
      <c r="C2680" s="1" t="s">
        <v>7906</v>
      </c>
      <c r="D2680" s="1" t="s">
        <v>8</v>
      </c>
      <c r="E2680" s="1" t="s">
        <v>7907</v>
      </c>
      <c r="F2680" s="1" t="str">
        <f>IFERROR(__xludf.DUMMYFUNCTION("GOOGLETRANSLATE(A2680, ""zh-CN"", ""ko"")"),"구입")</f>
        <v>구입</v>
      </c>
    </row>
    <row r="2681" ht="15.75" customHeight="1">
      <c r="A2681" s="1" t="s">
        <v>7908</v>
      </c>
      <c r="B2681" s="1">
        <v>6.0</v>
      </c>
      <c r="C2681" s="1" t="s">
        <v>7909</v>
      </c>
      <c r="D2681" s="1" t="s">
        <v>8</v>
      </c>
      <c r="E2681" s="1" t="s">
        <v>7910</v>
      </c>
      <c r="F2681" s="1" t="str">
        <f>IFERROR(__xludf.DUMMYFUNCTION("GOOGLETRANSLATE(A2681, ""zh-CN"", ""ko"")"),"수집")</f>
        <v>수집</v>
      </c>
    </row>
    <row r="2682" ht="15.75" customHeight="1">
      <c r="A2682" s="1" t="s">
        <v>7911</v>
      </c>
      <c r="B2682" s="1">
        <v>6.0</v>
      </c>
      <c r="C2682" s="1" t="s">
        <v>7912</v>
      </c>
      <c r="D2682" s="1" t="s">
        <v>8</v>
      </c>
      <c r="E2682" s="1" t="s">
        <v>7913</v>
      </c>
      <c r="F2682" s="1" t="str">
        <f>IFERROR(__xludf.DUMMYFUNCTION("GOOGLETRANSLATE(A2682, ""zh-CN"", ""ko"")"),"양자")</f>
        <v>양자</v>
      </c>
    </row>
    <row r="2683" ht="15.75" customHeight="1">
      <c r="A2683" s="1" t="s">
        <v>7914</v>
      </c>
      <c r="B2683" s="1">
        <v>6.0</v>
      </c>
      <c r="C2683" s="1" t="s">
        <v>7915</v>
      </c>
      <c r="D2683" s="1" t="s">
        <v>16</v>
      </c>
      <c r="E2683" s="1" t="s">
        <v>7916</v>
      </c>
      <c r="F2683" s="1" t="str">
        <f>IFERROR(__xludf.DUMMYFUNCTION("GOOGLETRANSLATE(A2683, ""zh-CN"", ""ko"")"),"운")</f>
        <v>운</v>
      </c>
    </row>
    <row r="2684" ht="15.75" customHeight="1">
      <c r="A2684" s="1" t="s">
        <v>7917</v>
      </c>
      <c r="B2684" s="1">
        <v>6.0</v>
      </c>
      <c r="C2684" s="1" t="s">
        <v>7918</v>
      </c>
      <c r="D2684" s="1" t="s">
        <v>8</v>
      </c>
      <c r="E2684" s="1" t="s">
        <v>7919</v>
      </c>
      <c r="F2684" s="1" t="str">
        <f>IFERROR(__xludf.DUMMYFUNCTION("GOOGLETRANSLATE(A2684, ""zh-CN"", ""ko"")"),"참모")</f>
        <v>참모</v>
      </c>
    </row>
    <row r="2685" ht="15.75" customHeight="1">
      <c r="A2685" s="1" t="s">
        <v>7920</v>
      </c>
      <c r="B2685" s="1">
        <v>6.0</v>
      </c>
      <c r="C2685" s="1" t="s">
        <v>7921</v>
      </c>
      <c r="D2685" s="1" t="s">
        <v>8</v>
      </c>
      <c r="E2685" s="1" t="s">
        <v>7922</v>
      </c>
      <c r="F2685" s="1" t="str">
        <f>IFERROR(__xludf.DUMMYFUNCTION("GOOGLETRANSLATE(A2685, ""zh-CN"", ""ko"")"),"참조")</f>
        <v>참조</v>
      </c>
    </row>
    <row r="2686" ht="15.75" customHeight="1">
      <c r="A2686" s="1" t="s">
        <v>7923</v>
      </c>
      <c r="B2686" s="1">
        <v>6.0</v>
      </c>
      <c r="C2686" s="1" t="s">
        <v>7924</v>
      </c>
      <c r="D2686" s="1" t="s">
        <v>16</v>
      </c>
      <c r="E2686" s="1" t="s">
        <v>7925</v>
      </c>
      <c r="F2686" s="1" t="str">
        <f>IFERROR(__xludf.DUMMYFUNCTION("GOOGLETRANSLATE(A2686, ""zh-CN"", ""ko"")"),"무능")</f>
        <v>무능</v>
      </c>
    </row>
    <row r="2687" ht="15.75" customHeight="1">
      <c r="A2687" s="1" t="s">
        <v>7926</v>
      </c>
      <c r="B2687" s="1">
        <v>6.0</v>
      </c>
      <c r="C2687" s="1" t="s">
        <v>7927</v>
      </c>
      <c r="D2687" s="1" t="s">
        <v>52</v>
      </c>
      <c r="E2687" s="1" t="s">
        <v>7928</v>
      </c>
      <c r="F2687" s="1" t="str">
        <f>IFERROR(__xludf.DUMMYFUNCTION("GOOGLETRANSLATE(A2687, ""zh-CN"", ""ko"")"),"잔혹한")</f>
        <v>잔혹한</v>
      </c>
    </row>
    <row r="2688" ht="15.75" customHeight="1">
      <c r="A2688" s="1" t="s">
        <v>7929</v>
      </c>
      <c r="B2688" s="1">
        <v>6.0</v>
      </c>
      <c r="C2688" s="1" t="s">
        <v>7930</v>
      </c>
      <c r="D2688" s="1" t="s">
        <v>8</v>
      </c>
      <c r="E2688" s="1" t="s">
        <v>7931</v>
      </c>
      <c r="F2688" s="1" t="str">
        <f>IFERROR(__xludf.DUMMYFUNCTION("GOOGLETRANSLATE(A2688, ""zh-CN"", ""ko"")"),"잔여물")</f>
        <v>잔여물</v>
      </c>
    </row>
    <row r="2689" ht="15.75" customHeight="1">
      <c r="A2689" s="1" t="s">
        <v>7932</v>
      </c>
      <c r="B2689" s="1">
        <v>6.0</v>
      </c>
      <c r="C2689" s="1" t="s">
        <v>7933</v>
      </c>
      <c r="D2689" s="1" t="s">
        <v>52</v>
      </c>
      <c r="E2689" s="1" t="s">
        <v>7934</v>
      </c>
      <c r="F2689" s="1" t="str">
        <f>IFERROR(__xludf.DUMMYFUNCTION("GOOGLETRANSLATE(A2689, ""zh-CN"", ""ko"")"),"잔혹한")</f>
        <v>잔혹한</v>
      </c>
    </row>
    <row r="2690" ht="15.75" customHeight="1">
      <c r="A2690" s="1" t="s">
        <v>7935</v>
      </c>
      <c r="B2690" s="1">
        <v>6.0</v>
      </c>
      <c r="C2690" s="1" t="s">
        <v>7936</v>
      </c>
      <c r="D2690" s="1" t="s">
        <v>52</v>
      </c>
      <c r="E2690" s="1" t="s">
        <v>7937</v>
      </c>
      <c r="F2690" s="1" t="str">
        <f>IFERROR(__xludf.DUMMYFUNCTION("GOOGLETRANSLATE(A2690, ""zh-CN"", ""ko"")"),"멋진")</f>
        <v>멋진</v>
      </c>
    </row>
    <row r="2691" ht="15.75" customHeight="1">
      <c r="A2691" s="1" t="s">
        <v>7938</v>
      </c>
      <c r="B2691" s="1">
        <v>6.0</v>
      </c>
      <c r="C2691" s="1" t="s">
        <v>7939</v>
      </c>
      <c r="D2691" s="1" t="s">
        <v>16</v>
      </c>
      <c r="E2691" s="1" t="s">
        <v>7940</v>
      </c>
      <c r="F2691" s="1" t="str">
        <f>IFERROR(__xludf.DUMMYFUNCTION("GOOGLETRANSLATE(A2691, ""zh-CN"", ""ko"")"),"선실")</f>
        <v>선실</v>
      </c>
    </row>
    <row r="2692" ht="15.75" customHeight="1">
      <c r="A2692" s="1" t="s">
        <v>7941</v>
      </c>
      <c r="B2692" s="1">
        <v>6.0</v>
      </c>
      <c r="C2692" s="1" t="s">
        <v>7942</v>
      </c>
      <c r="D2692" s="1" t="s">
        <v>52</v>
      </c>
      <c r="E2692" s="1" t="s">
        <v>7943</v>
      </c>
      <c r="F2692" s="1" t="str">
        <f>IFERROR(__xludf.DUMMYFUNCTION("GOOGLETRANSLATE(A2692, ""zh-CN"", ""ko"")"),"창백한")</f>
        <v>창백한</v>
      </c>
    </row>
    <row r="2693" ht="15.75" customHeight="1">
      <c r="A2693" s="1" t="s">
        <v>7944</v>
      </c>
      <c r="B2693" s="1">
        <v>6.0</v>
      </c>
      <c r="C2693" s="1" t="s">
        <v>7945</v>
      </c>
      <c r="D2693" s="1" t="s">
        <v>52</v>
      </c>
      <c r="E2693" s="1" t="s">
        <v>7946</v>
      </c>
      <c r="F2693" s="1" t="str">
        <f>IFERROR(__xludf.DUMMYFUNCTION("GOOGLETRANSLATE(A2693, ""zh-CN"", ""ko"")"),"황급히")</f>
        <v>황급히</v>
      </c>
    </row>
    <row r="2694" ht="15.75" customHeight="1">
      <c r="A2694" s="1" t="s">
        <v>7947</v>
      </c>
      <c r="B2694" s="1">
        <v>6.0</v>
      </c>
      <c r="C2694" s="1" t="s">
        <v>7948</v>
      </c>
      <c r="D2694" s="1" t="s">
        <v>16</v>
      </c>
      <c r="E2694" s="1" t="s">
        <v>7949</v>
      </c>
      <c r="F2694" s="1" t="str">
        <f>IFERROR(__xludf.DUMMYFUNCTION("GOOGLETRANSLATE(A2694, ""zh-CN"", ""ko"")"),"창고")</f>
        <v>창고</v>
      </c>
    </row>
    <row r="2695" ht="15.75" customHeight="1">
      <c r="A2695" s="1" t="s">
        <v>7950</v>
      </c>
      <c r="B2695" s="1">
        <v>6.0</v>
      </c>
      <c r="C2695" s="1" t="s">
        <v>7951</v>
      </c>
      <c r="D2695" s="1" t="s">
        <v>8</v>
      </c>
      <c r="E2695" s="1" t="s">
        <v>7952</v>
      </c>
      <c r="F2695" s="1" t="str">
        <f>IFERROR(__xludf.DUMMYFUNCTION("GOOGLETRANSLATE(A2695, ""zh-CN"", ""ko"")"),"노력")</f>
        <v>노력</v>
      </c>
    </row>
    <row r="2696" ht="15.75" customHeight="1">
      <c r="A2696" s="1" t="s">
        <v>7953</v>
      </c>
      <c r="B2696" s="1">
        <v>6.0</v>
      </c>
      <c r="C2696" s="1" t="s">
        <v>7954</v>
      </c>
      <c r="D2696" s="1" t="s">
        <v>8</v>
      </c>
      <c r="E2696" s="1" t="s">
        <v>7955</v>
      </c>
      <c r="F2696" s="1" t="str">
        <f>IFERROR(__xludf.DUMMYFUNCTION("GOOGLETRANSLATE(A2696, ""zh-CN"", ""ko"")"),"관행")</f>
        <v>관행</v>
      </c>
    </row>
    <row r="2697" ht="15.75" customHeight="1">
      <c r="A2697" s="1" t="s">
        <v>7956</v>
      </c>
      <c r="B2697" s="1">
        <v>6.0</v>
      </c>
      <c r="C2697" s="1" t="s">
        <v>7957</v>
      </c>
      <c r="D2697" s="1" t="s">
        <v>8</v>
      </c>
      <c r="E2697" s="1" t="s">
        <v>7958</v>
      </c>
      <c r="F2697" s="1" t="str">
        <f>IFERROR(__xludf.DUMMYFUNCTION("GOOGLETRANSLATE(A2697, ""zh-CN"", ""ko"")"),"조종하다")</f>
        <v>조종하다</v>
      </c>
    </row>
    <row r="2698" ht="15.75" customHeight="1">
      <c r="A2698" s="1" t="s">
        <v>7959</v>
      </c>
      <c r="B2698" s="1">
        <v>6.0</v>
      </c>
      <c r="C2698" s="1" t="s">
        <v>7960</v>
      </c>
      <c r="D2698" s="1" t="s">
        <v>8</v>
      </c>
      <c r="E2698" s="1" t="s">
        <v>7961</v>
      </c>
      <c r="F2698" s="1" t="str">
        <f>IFERROR(__xludf.DUMMYFUNCTION("GOOGLETRANSLATE(A2698, ""zh-CN"", ""ko"")"),"작동하다")</f>
        <v>작동하다</v>
      </c>
    </row>
    <row r="2699" ht="15.75" customHeight="1">
      <c r="A2699" s="1" t="s">
        <v>7962</v>
      </c>
      <c r="B2699" s="1">
        <v>6.0</v>
      </c>
      <c r="C2699" s="1" t="s">
        <v>7963</v>
      </c>
      <c r="D2699" s="1" t="s">
        <v>52</v>
      </c>
      <c r="E2699" s="1" t="s">
        <v>7964</v>
      </c>
      <c r="F2699" s="1" t="str">
        <f>IFERROR(__xludf.DUMMYFUNCTION("GOOGLETRANSLATE(A2699, ""zh-CN"", ""ko"")"),"시끄러운")</f>
        <v>시끄러운</v>
      </c>
    </row>
    <row r="2700" ht="15.75" customHeight="1">
      <c r="A2700" s="1" t="s">
        <v>7965</v>
      </c>
      <c r="B2700" s="1">
        <v>6.0</v>
      </c>
      <c r="C2700" s="1" t="s">
        <v>7966</v>
      </c>
      <c r="D2700" s="1" t="s">
        <v>16</v>
      </c>
      <c r="E2700" s="1" t="s">
        <v>7967</v>
      </c>
      <c r="F2700" s="1" t="str">
        <f>IFERROR(__xludf.DUMMYFUNCTION("GOOGLETRANSLATE(A2700, ""zh-CN"", ""ko"")"),"초안")</f>
        <v>초안</v>
      </c>
    </row>
    <row r="2701" ht="15.75" customHeight="1">
      <c r="A2701" s="1" t="s">
        <v>7968</v>
      </c>
      <c r="B2701" s="1">
        <v>6.0</v>
      </c>
      <c r="C2701" s="1" t="s">
        <v>7969</v>
      </c>
      <c r="D2701" s="1" t="s">
        <v>52</v>
      </c>
      <c r="E2701" s="1" t="s">
        <v>7970</v>
      </c>
      <c r="F2701" s="1" t="str">
        <f>IFERROR(__xludf.DUMMYFUNCTION("GOOGLETRANSLATE(A2701, ""zh-CN"", ""ko"")"),"급한")</f>
        <v>급한</v>
      </c>
    </row>
    <row r="2702" ht="15.75" customHeight="1">
      <c r="A2702" s="1" t="s">
        <v>7971</v>
      </c>
      <c r="B2702" s="1">
        <v>6.0</v>
      </c>
      <c r="C2702" s="1" t="s">
        <v>7972</v>
      </c>
      <c r="D2702" s="1" t="s">
        <v>8</v>
      </c>
      <c r="E2702" s="1" t="s">
        <v>7973</v>
      </c>
      <c r="F2702" s="1" t="str">
        <f>IFERROR(__xludf.DUMMYFUNCTION("GOOGLETRANSLATE(A2702, ""zh-CN"", ""ko"")"),"계획")</f>
        <v>계획</v>
      </c>
    </row>
    <row r="2703" ht="15.75" customHeight="1">
      <c r="A2703" s="1" t="s">
        <v>7974</v>
      </c>
      <c r="B2703" s="1">
        <v>6.0</v>
      </c>
      <c r="C2703" s="1" t="s">
        <v>7975</v>
      </c>
      <c r="D2703" s="1" t="s">
        <v>8</v>
      </c>
      <c r="E2703" s="1" t="s">
        <v>7976</v>
      </c>
      <c r="F2703" s="1" t="str">
        <f>IFERROR(__xludf.DUMMYFUNCTION("GOOGLETRANSLATE(A2703, ""zh-CN"", ""ko"")"),"측정")</f>
        <v>측정</v>
      </c>
    </row>
    <row r="2704" ht="15.75" customHeight="1">
      <c r="A2704" s="1" t="s">
        <v>7977</v>
      </c>
      <c r="B2704" s="1">
        <v>6.0</v>
      </c>
      <c r="C2704" s="1" t="s">
        <v>7978</v>
      </c>
      <c r="D2704" s="1" t="s">
        <v>16</v>
      </c>
      <c r="E2704" s="1" t="s">
        <v>7979</v>
      </c>
      <c r="F2704" s="1" t="str">
        <f>IFERROR(__xludf.DUMMYFUNCTION("GOOGLETRANSLATE(A2704, ""zh-CN"", ""ko"")"),"전략")</f>
        <v>전략</v>
      </c>
    </row>
    <row r="2705" ht="15.75" customHeight="1">
      <c r="A2705" s="1" t="s">
        <v>7980</v>
      </c>
      <c r="B2705" s="1">
        <v>6.0</v>
      </c>
      <c r="C2705" s="1" t="s">
        <v>7981</v>
      </c>
      <c r="D2705" s="1" t="s">
        <v>16</v>
      </c>
      <c r="E2705" s="1" t="s">
        <v>7982</v>
      </c>
      <c r="F2705" s="1" t="str">
        <f>IFERROR(__xludf.DUMMYFUNCTION("GOOGLETRANSLATE(A2705, ""zh-CN"", ""ko"")"),"옆")</f>
        <v>옆</v>
      </c>
    </row>
    <row r="2706" ht="15.75" customHeight="1">
      <c r="A2706" s="1" t="s">
        <v>7983</v>
      </c>
      <c r="B2706" s="1">
        <v>6.0</v>
      </c>
      <c r="C2706" s="1" t="s">
        <v>7984</v>
      </c>
      <c r="E2706" s="1" t="s">
        <v>7985</v>
      </c>
      <c r="F2706" s="1" t="str">
        <f>IFERROR(__xludf.DUMMYFUNCTION("GOOGLETRANSLATE(A2706, ""zh-CN"", ""ko"")"),"끝없이 흐르는 물줄기 속에서 나타나다")</f>
        <v>끝없이 흐르는 물줄기 속에서 나타나다</v>
      </c>
    </row>
    <row r="2707" ht="15.75" customHeight="1">
      <c r="A2707" s="1" t="s">
        <v>7986</v>
      </c>
      <c r="B2707" s="1">
        <v>6.0</v>
      </c>
      <c r="C2707" s="1" t="s">
        <v>7987</v>
      </c>
      <c r="D2707" s="1" t="s">
        <v>16</v>
      </c>
      <c r="E2707" s="1" t="s">
        <v>7988</v>
      </c>
      <c r="F2707" s="1" t="str">
        <f>IFERROR(__xludf.DUMMYFUNCTION("GOOGLETRANSLATE(A2707, ""zh-CN"", ""ko"")"),"수준")</f>
        <v>수준</v>
      </c>
    </row>
    <row r="2708" ht="15.75" customHeight="1">
      <c r="A2708" s="1" t="s">
        <v>7989</v>
      </c>
      <c r="B2708" s="1">
        <v>6.0</v>
      </c>
      <c r="C2708" s="1" t="s">
        <v>7990</v>
      </c>
      <c r="D2708" s="1" t="s">
        <v>16</v>
      </c>
      <c r="E2708" s="1" t="s">
        <v>7991</v>
      </c>
      <c r="F2708" s="1" t="str">
        <f>IFERROR(__xludf.DUMMYFUNCTION("GOOGLETRANSLATE(A2708, ""zh-CN"", ""ko"")"),"소켓")</f>
        <v>소켓</v>
      </c>
    </row>
    <row r="2709" ht="15.75" customHeight="1">
      <c r="A2709" s="1" t="s">
        <v>7992</v>
      </c>
      <c r="B2709" s="1">
        <v>6.0</v>
      </c>
      <c r="C2709" s="1" t="s">
        <v>7993</v>
      </c>
      <c r="D2709" s="1" t="s">
        <v>8</v>
      </c>
      <c r="E2709" s="1" t="s">
        <v>7994</v>
      </c>
      <c r="F2709" s="1" t="str">
        <f>IFERROR(__xludf.DUMMYFUNCTION("GOOGLETRANSLATE(A2709, ""zh-CN"", ""ko"")"),"압수됨")</f>
        <v>압수됨</v>
      </c>
    </row>
    <row r="2710" ht="15.75" customHeight="1">
      <c r="A2710" s="1" t="s">
        <v>7995</v>
      </c>
      <c r="B2710" s="1">
        <v>6.0</v>
      </c>
      <c r="C2710" s="1" t="s">
        <v>1002</v>
      </c>
      <c r="D2710" s="1" t="s">
        <v>875</v>
      </c>
      <c r="E2710" s="1" t="s">
        <v>7996</v>
      </c>
      <c r="F2710" s="1" t="str">
        <f>IFERROR(__xludf.DUMMYFUNCTION("GOOGLETRANSLATE(A2710, ""zh-CN"", ""ko"")"),"포크")</f>
        <v>포크</v>
      </c>
    </row>
    <row r="2711" ht="15.75" customHeight="1">
      <c r="A2711" s="1" t="s">
        <v>7997</v>
      </c>
      <c r="B2711" s="1">
        <v>6.0</v>
      </c>
      <c r="C2711" s="1" t="s">
        <v>7998</v>
      </c>
      <c r="D2711" s="1" t="s">
        <v>16</v>
      </c>
      <c r="E2711" s="1" t="s">
        <v>7999</v>
      </c>
      <c r="F2711" s="1" t="str">
        <f>IFERROR(__xludf.DUMMYFUNCTION("GOOGLETRANSLATE(A2711, ""zh-CN"", ""ko"")"),"순간")</f>
        <v>순간</v>
      </c>
    </row>
    <row r="2712" ht="15.75" customHeight="1">
      <c r="A2712" s="1" t="s">
        <v>8000</v>
      </c>
      <c r="B2712" s="1">
        <v>6.0</v>
      </c>
      <c r="C2712" s="1" t="s">
        <v>8001</v>
      </c>
      <c r="D2712" s="1" t="s">
        <v>52</v>
      </c>
      <c r="E2712" s="1" t="s">
        <v>8002</v>
      </c>
      <c r="F2712" s="1" t="str">
        <f>IFERROR(__xludf.DUMMYFUNCTION("GOOGLETRANSLATE(A2712, ""zh-CN"", ""ko"")"),"놀란")</f>
        <v>놀란</v>
      </c>
    </row>
    <row r="2713" ht="15.75" customHeight="1">
      <c r="A2713" s="1" t="s">
        <v>8003</v>
      </c>
      <c r="B2713" s="1">
        <v>6.0</v>
      </c>
      <c r="C2713" s="1" t="s">
        <v>8004</v>
      </c>
      <c r="D2713" s="1" t="s">
        <v>16</v>
      </c>
      <c r="E2713" s="1" t="s">
        <v>8005</v>
      </c>
      <c r="F2713" s="1" t="str">
        <f>IFERROR(__xludf.DUMMYFUNCTION("GOOGLETRANSLATE(A2713, ""zh-CN"", ""ko"")"),"디젤 연료")</f>
        <v>디젤 연료</v>
      </c>
    </row>
    <row r="2714" ht="15.75" customHeight="1">
      <c r="A2714" s="1" t="s">
        <v>8006</v>
      </c>
      <c r="B2714" s="1">
        <v>6.0</v>
      </c>
      <c r="C2714" s="1" t="s">
        <v>8007</v>
      </c>
      <c r="D2714" s="1" t="s">
        <v>8</v>
      </c>
      <c r="E2714" s="1" t="s">
        <v>8008</v>
      </c>
      <c r="F2714" s="1" t="str">
        <f>IFERROR(__xludf.DUMMYFUNCTION("GOOGLETRANSLATE(A2714, ""zh-CN"", ""ko"")"),"혼합")</f>
        <v>혼합</v>
      </c>
    </row>
    <row r="2715" ht="15.75" customHeight="1">
      <c r="A2715" s="1" t="s">
        <v>8009</v>
      </c>
      <c r="B2715" s="1">
        <v>6.0</v>
      </c>
      <c r="C2715" s="1" t="s">
        <v>8010</v>
      </c>
      <c r="D2715" s="1" t="s">
        <v>8</v>
      </c>
      <c r="E2715" s="1" t="s">
        <v>8011</v>
      </c>
      <c r="F2715" s="1" t="str">
        <f>IFERROR(__xludf.DUMMYFUNCTION("GOOGLETRANSLATE(A2715, ""zh-CN"", ""ko"")"),"탐욕스러운")</f>
        <v>탐욕스러운</v>
      </c>
    </row>
    <row r="2716" ht="15.75" customHeight="1">
      <c r="A2716" s="1" t="s">
        <v>8012</v>
      </c>
      <c r="B2716" s="1">
        <v>6.0</v>
      </c>
      <c r="C2716" s="1" t="s">
        <v>8013</v>
      </c>
      <c r="D2716" s="1" t="s">
        <v>8</v>
      </c>
      <c r="E2716" s="1" t="s">
        <v>8014</v>
      </c>
      <c r="F2716" s="1" t="str">
        <f>IFERROR(__xludf.DUMMYFUNCTION("GOOGLETRANSLATE(A2716, ""zh-CN"", ""ko"")"),"녹채")</f>
        <v>녹채</v>
      </c>
    </row>
    <row r="2717" ht="15.75" customHeight="1">
      <c r="A2717" s="1" t="s">
        <v>8015</v>
      </c>
      <c r="B2717" s="1">
        <v>6.0</v>
      </c>
      <c r="C2717" s="1" t="s">
        <v>8016</v>
      </c>
      <c r="D2717" s="1" t="s">
        <v>8</v>
      </c>
      <c r="E2717" s="1" t="s">
        <v>8017</v>
      </c>
      <c r="F2717" s="1" t="str">
        <f>IFERROR(__xludf.DUMMYFUNCTION("GOOGLETRANSLATE(A2717, ""zh-CN"", ""ko"")"),"설명")</f>
        <v>설명</v>
      </c>
    </row>
    <row r="2718" ht="15.75" customHeight="1">
      <c r="A2718" s="1" t="s">
        <v>8018</v>
      </c>
      <c r="B2718" s="1">
        <v>6.0</v>
      </c>
      <c r="C2718" s="1" t="s">
        <v>8019</v>
      </c>
      <c r="D2718" s="1" t="s">
        <v>16</v>
      </c>
      <c r="E2718" s="1" t="s">
        <v>4526</v>
      </c>
      <c r="F2718" s="1" t="str">
        <f>IFERROR(__xludf.DUMMYFUNCTION("GOOGLETRANSLATE(A2718, ""zh-CN"", ""ko"")"),"산업")</f>
        <v>산업</v>
      </c>
    </row>
    <row r="2719" ht="15.75" customHeight="1">
      <c r="A2719" s="1" t="s">
        <v>8020</v>
      </c>
      <c r="B2719" s="1">
        <v>6.0</v>
      </c>
      <c r="C2719" s="1" t="s">
        <v>8021</v>
      </c>
      <c r="D2719" s="1" t="s">
        <v>8</v>
      </c>
      <c r="E2719" s="1" t="s">
        <v>8022</v>
      </c>
      <c r="F2719" s="1" t="str">
        <f>IFERROR(__xludf.DUMMYFUNCTION("GOOGLETRANSLATE(A2719, ""zh-CN"", ""ko"")"),"떨림")</f>
        <v>떨림</v>
      </c>
    </row>
    <row r="2720" ht="15.75" customHeight="1">
      <c r="A2720" s="1" t="s">
        <v>8023</v>
      </c>
      <c r="B2720" s="1">
        <v>6.0</v>
      </c>
      <c r="C2720" s="1" t="s">
        <v>8024</v>
      </c>
      <c r="D2720" s="1" t="s">
        <v>52</v>
      </c>
      <c r="E2720" s="1" t="s">
        <v>8025</v>
      </c>
      <c r="F2720" s="1" t="str">
        <f>IFERROR(__xludf.DUMMYFUNCTION("GOOGLETRANSLATE(A2720, ""zh-CN"", ""ko"")"),"번영")</f>
        <v>번영</v>
      </c>
    </row>
    <row r="2721" ht="15.75" customHeight="1">
      <c r="A2721" s="1" t="s">
        <v>8026</v>
      </c>
      <c r="B2721" s="1">
        <v>6.0</v>
      </c>
      <c r="C2721" s="1" t="s">
        <v>8027</v>
      </c>
      <c r="D2721" s="1" t="s">
        <v>8</v>
      </c>
      <c r="E2721" s="1" t="s">
        <v>7535</v>
      </c>
      <c r="F2721" s="1" t="str">
        <f>IFERROR(__xludf.DUMMYFUNCTION("GOOGLETRANSLATE(A2721, ""zh-CN"", ""ko"")"),"갚다")</f>
        <v>갚다</v>
      </c>
    </row>
    <row r="2722" ht="15.75" customHeight="1">
      <c r="A2722" s="1" t="s">
        <v>8028</v>
      </c>
      <c r="B2722" s="1">
        <v>6.0</v>
      </c>
      <c r="C2722" s="1" t="s">
        <v>8029</v>
      </c>
      <c r="D2722" s="1" t="s">
        <v>8</v>
      </c>
      <c r="E2722" s="1" t="s">
        <v>8030</v>
      </c>
      <c r="F2722" s="1" t="str">
        <f>IFERROR(__xludf.DUMMYFUNCTION("GOOGLETRANSLATE(A2722, ""zh-CN"", ""ko"")"),"노력하다")</f>
        <v>노력하다</v>
      </c>
    </row>
    <row r="2723" ht="15.75" customHeight="1">
      <c r="A2723" s="1" t="s">
        <v>8031</v>
      </c>
      <c r="B2723" s="1">
        <v>6.0</v>
      </c>
      <c r="C2723" s="1" t="s">
        <v>8032</v>
      </c>
      <c r="D2723" s="1" t="s">
        <v>16</v>
      </c>
      <c r="E2723" s="1" t="s">
        <v>8033</v>
      </c>
      <c r="F2723" s="1" t="str">
        <f>IFERROR(__xludf.DUMMYFUNCTION("GOOGLETRANSLATE(A2723, ""zh-CN"", ""ko"")"),"기회")</f>
        <v>기회</v>
      </c>
    </row>
    <row r="2724" ht="15.75" customHeight="1">
      <c r="A2724" s="1" t="s">
        <v>8034</v>
      </c>
      <c r="B2724" s="1">
        <v>6.0</v>
      </c>
      <c r="C2724" s="1" t="s">
        <v>8035</v>
      </c>
      <c r="D2724" s="1" t="s">
        <v>8</v>
      </c>
      <c r="E2724" s="1" t="s">
        <v>8036</v>
      </c>
      <c r="F2724" s="1" t="str">
        <f>IFERROR(__xludf.DUMMYFUNCTION("GOOGLETRANSLATE(A2724, ""zh-CN"", ""ko"")"),"열려 있는")</f>
        <v>열려 있는</v>
      </c>
    </row>
    <row r="2725" ht="15.75" customHeight="1">
      <c r="A2725" s="1" t="s">
        <v>8037</v>
      </c>
      <c r="B2725" s="1">
        <v>6.0</v>
      </c>
      <c r="C2725" s="1" t="s">
        <v>8038</v>
      </c>
      <c r="D2725" s="1" t="s">
        <v>16</v>
      </c>
      <c r="E2725" s="1" t="s">
        <v>8039</v>
      </c>
      <c r="F2725" s="1" t="str">
        <f>IFERROR(__xludf.DUMMYFUNCTION("GOOGLETRANSLATE(A2725, ""zh-CN"", ""ko"")"),"장면")</f>
        <v>장면</v>
      </c>
    </row>
    <row r="2726" ht="15.75" customHeight="1">
      <c r="A2726" s="1" t="s">
        <v>8040</v>
      </c>
      <c r="B2726" s="1">
        <v>6.0</v>
      </c>
      <c r="C2726" s="1" t="s">
        <v>8041</v>
      </c>
      <c r="D2726" s="1" t="s">
        <v>16</v>
      </c>
      <c r="E2726" s="1" t="s">
        <v>8042</v>
      </c>
      <c r="F2726" s="1" t="str">
        <f>IFERROR(__xludf.DUMMYFUNCTION("GOOGLETRANSLATE(A2726, ""zh-CN"", ""ko"")"),"장소")</f>
        <v>장소</v>
      </c>
    </row>
    <row r="2727" ht="15.75" customHeight="1">
      <c r="A2727" s="1" t="s">
        <v>8043</v>
      </c>
      <c r="B2727" s="1">
        <v>6.0</v>
      </c>
      <c r="C2727" s="1" t="s">
        <v>8044</v>
      </c>
      <c r="D2727" s="1" t="s">
        <v>8</v>
      </c>
      <c r="E2727" s="1" t="s">
        <v>8045</v>
      </c>
      <c r="F2727" s="1" t="str">
        <f>IFERROR(__xludf.DUMMYFUNCTION("GOOGLETRANSLATE(A2727, ""zh-CN"", ""ko"")"),"지지하다")</f>
        <v>지지하다</v>
      </c>
    </row>
    <row r="2728" ht="15.75" customHeight="1">
      <c r="A2728" s="1" t="s">
        <v>8046</v>
      </c>
      <c r="B2728" s="1">
        <v>6.0</v>
      </c>
      <c r="C2728" s="1" t="s">
        <v>8047</v>
      </c>
      <c r="D2728" s="1" t="s">
        <v>52</v>
      </c>
      <c r="E2728" s="1" t="s">
        <v>8048</v>
      </c>
      <c r="F2728" s="1" t="str">
        <f>IFERROR(__xludf.DUMMYFUNCTION("GOOGLETRANSLATE(A2728, ""zh-CN"", ""ko"")"),"매끄러운")</f>
        <v>매끄러운</v>
      </c>
    </row>
    <row r="2729" ht="15.75" customHeight="1">
      <c r="A2729" s="1" t="s">
        <v>8049</v>
      </c>
      <c r="B2729" s="1">
        <v>6.0</v>
      </c>
      <c r="C2729" s="1" t="s">
        <v>8050</v>
      </c>
      <c r="D2729" s="1" t="s">
        <v>8</v>
      </c>
      <c r="E2729" s="1" t="s">
        <v>8051</v>
      </c>
      <c r="F2729" s="1" t="str">
        <f>IFERROR(__xludf.DUMMYFUNCTION("GOOGLETRANSLATE(A2729, ""zh-CN"", ""ko"")"),"베스트셀러")</f>
        <v>베스트셀러</v>
      </c>
    </row>
    <row r="2730" ht="15.75" customHeight="1">
      <c r="A2730" s="1" t="s">
        <v>8052</v>
      </c>
      <c r="B2730" s="1">
        <v>6.0</v>
      </c>
      <c r="C2730" s="1" t="s">
        <v>8053</v>
      </c>
      <c r="D2730" s="1" t="s">
        <v>8</v>
      </c>
      <c r="E2730" s="1" t="s">
        <v>8054</v>
      </c>
      <c r="F2730" s="1" t="str">
        <f>IFERROR(__xludf.DUMMYFUNCTION("GOOGLETRANSLATE(A2730, ""zh-CN"", ""ko"")"),"계획")</f>
        <v>계획</v>
      </c>
    </row>
    <row r="2731" ht="15.75" customHeight="1">
      <c r="A2731" s="1" t="s">
        <v>8055</v>
      </c>
      <c r="B2731" s="1">
        <v>6.0</v>
      </c>
      <c r="C2731" s="1" t="s">
        <v>8056</v>
      </c>
      <c r="D2731" s="1" t="s">
        <v>16</v>
      </c>
      <c r="E2731" s="1" t="s">
        <v>8057</v>
      </c>
      <c r="F2731" s="1" t="str">
        <f>IFERROR(__xludf.DUMMYFUNCTION("GOOGLETRANSLATE(A2731, ""zh-CN"", ""ko"")"),"지폐")</f>
        <v>지폐</v>
      </c>
    </row>
    <row r="2732" ht="15.75" customHeight="1">
      <c r="A2732" s="1" t="s">
        <v>8058</v>
      </c>
      <c r="B2732" s="1">
        <v>6.0</v>
      </c>
      <c r="C2732" s="1" t="s">
        <v>8059</v>
      </c>
      <c r="D2732" s="1" t="s">
        <v>8</v>
      </c>
      <c r="E2732" s="1" t="s">
        <v>8060</v>
      </c>
      <c r="F2732" s="1" t="str">
        <f>IFERROR(__xludf.DUMMYFUNCTION("GOOGLETRANSLATE(A2732, ""zh-CN"", ""ko"")"),"그 너머에")</f>
        <v>그 너머에</v>
      </c>
    </row>
    <row r="2733" ht="15.75" customHeight="1">
      <c r="A2733" s="1" t="s">
        <v>8061</v>
      </c>
      <c r="B2733" s="1">
        <v>6.0</v>
      </c>
      <c r="C2733" s="1" t="s">
        <v>8062</v>
      </c>
      <c r="D2733" s="1" t="s">
        <v>16</v>
      </c>
      <c r="E2733" s="1" t="s">
        <v>8063</v>
      </c>
      <c r="F2733" s="1" t="str">
        <f>IFERROR(__xludf.DUMMYFUNCTION("GOOGLETRANSLATE(A2733, ""zh-CN"", ""ko"")"),"왕조")</f>
        <v>왕조</v>
      </c>
    </row>
    <row r="2734" ht="15.75" customHeight="1">
      <c r="A2734" s="1" t="s">
        <v>8064</v>
      </c>
      <c r="B2734" s="1">
        <v>6.0</v>
      </c>
      <c r="C2734" s="1" t="s">
        <v>8065</v>
      </c>
      <c r="D2734" s="1" t="s">
        <v>16</v>
      </c>
      <c r="E2734" s="1" t="s">
        <v>8066</v>
      </c>
      <c r="F2734" s="1" t="str">
        <f>IFERROR(__xludf.DUMMYFUNCTION("GOOGLETRANSLATE(A2734, ""zh-CN"", ""ko"")"),"둥지")</f>
        <v>둥지</v>
      </c>
    </row>
    <row r="2735" ht="15.75" customHeight="1">
      <c r="A2735" s="1" t="s">
        <v>8067</v>
      </c>
      <c r="B2735" s="1">
        <v>6.0</v>
      </c>
      <c r="C2735" s="1" t="s">
        <v>8068</v>
      </c>
      <c r="D2735" s="1" t="s">
        <v>16</v>
      </c>
      <c r="E2735" s="1" t="s">
        <v>8069</v>
      </c>
      <c r="F2735" s="1" t="str">
        <f>IFERROR(__xludf.DUMMYFUNCTION("GOOGLETRANSLATE(A2735, ""zh-CN"", ""ko"")"),"경향")</f>
        <v>경향</v>
      </c>
    </row>
    <row r="2736" ht="15.75" customHeight="1">
      <c r="A2736" s="1" t="s">
        <v>8070</v>
      </c>
      <c r="B2736" s="1">
        <v>6.0</v>
      </c>
      <c r="C2736" s="1" t="s">
        <v>8071</v>
      </c>
      <c r="D2736" s="1" t="s">
        <v>8</v>
      </c>
      <c r="E2736" s="1" t="s">
        <v>8072</v>
      </c>
      <c r="F2736" s="1" t="str">
        <f>IFERROR(__xludf.DUMMYFUNCTION("GOOGLETRANSLATE(A2736, ""zh-CN"", ""ko"")"),"웃다")</f>
        <v>웃다</v>
      </c>
    </row>
    <row r="2737" ht="15.75" customHeight="1">
      <c r="A2737" s="1" t="s">
        <v>8073</v>
      </c>
      <c r="B2737" s="1">
        <v>6.0</v>
      </c>
      <c r="C2737" s="1" t="s">
        <v>8074</v>
      </c>
      <c r="D2737" s="1" t="s">
        <v>8</v>
      </c>
      <c r="E2737" s="1" t="s">
        <v>8075</v>
      </c>
      <c r="F2737" s="1" t="str">
        <f>IFERROR(__xludf.DUMMYFUNCTION("GOOGLETRANSLATE(A2737, ""zh-CN"", ""ko"")"),"후퇴")</f>
        <v>후퇴</v>
      </c>
    </row>
    <row r="2738" ht="15.75" customHeight="1">
      <c r="A2738" s="1" t="s">
        <v>8076</v>
      </c>
      <c r="B2738" s="1">
        <v>6.0</v>
      </c>
      <c r="C2738" s="1" t="s">
        <v>8077</v>
      </c>
      <c r="D2738" s="1" t="s">
        <v>8</v>
      </c>
      <c r="E2738" s="1" t="s">
        <v>8078</v>
      </c>
      <c r="F2738" s="1" t="str">
        <f>IFERROR(__xludf.DUMMYFUNCTION("GOOGLETRANSLATE(A2738, ""zh-CN"", ""ko"")"),"취소")</f>
        <v>취소</v>
      </c>
    </row>
    <row r="2739" ht="15.75" customHeight="1">
      <c r="A2739" s="1" t="s">
        <v>8079</v>
      </c>
      <c r="B2739" s="1">
        <v>6.0</v>
      </c>
      <c r="C2739" s="1" t="s">
        <v>8080</v>
      </c>
      <c r="D2739" s="1" t="s">
        <v>8</v>
      </c>
      <c r="E2739" s="1" t="s">
        <v>8081</v>
      </c>
      <c r="F2739" s="1" t="str">
        <f>IFERROR(__xludf.DUMMYFUNCTION("GOOGLETRANSLATE(A2739, ""zh-CN"", ""ko"")"),"강수량")</f>
        <v>강수량</v>
      </c>
    </row>
    <row r="2740" ht="15.75" customHeight="1">
      <c r="A2740" s="1" t="s">
        <v>8082</v>
      </c>
      <c r="B2740" s="1">
        <v>6.0</v>
      </c>
      <c r="C2740" s="1" t="s">
        <v>8083</v>
      </c>
      <c r="D2740" s="1" t="s">
        <v>52</v>
      </c>
      <c r="E2740" s="1" t="s">
        <v>8084</v>
      </c>
      <c r="F2740" s="1" t="str">
        <f>IFERROR(__xludf.DUMMYFUNCTION("GOOGLETRANSLATE(A2740, ""zh-CN"", ""ko"")"),"구식의")</f>
        <v>구식의</v>
      </c>
    </row>
    <row r="2741" ht="15.75" customHeight="1">
      <c r="A2741" s="1" t="s">
        <v>8085</v>
      </c>
      <c r="B2741" s="1">
        <v>6.0</v>
      </c>
      <c r="C2741" s="1" t="s">
        <v>8086</v>
      </c>
      <c r="D2741" s="1" t="s">
        <v>8</v>
      </c>
      <c r="E2741" s="1" t="s">
        <v>8087</v>
      </c>
      <c r="F2741" s="1" t="str">
        <f>IFERROR(__xludf.DUMMYFUNCTION("GOOGLETRANSLATE(A2741, ""zh-CN"", ""ko"")"),"표시하다")</f>
        <v>표시하다</v>
      </c>
    </row>
    <row r="2742" ht="15.75" customHeight="1">
      <c r="A2742" s="1" t="s">
        <v>8088</v>
      </c>
      <c r="B2742" s="1">
        <v>6.0</v>
      </c>
      <c r="C2742" s="1" t="s">
        <v>8089</v>
      </c>
      <c r="D2742" s="1" t="s">
        <v>52</v>
      </c>
      <c r="E2742" s="1" t="s">
        <v>8090</v>
      </c>
      <c r="F2742" s="1" t="str">
        <f>IFERROR(__xludf.DUMMYFUNCTION("GOOGLETRANSLATE(A2742, ""zh-CN"", ""ko"")"),"따분한")</f>
        <v>따분한</v>
      </c>
    </row>
    <row r="2743" ht="15.75" customHeight="1">
      <c r="A2743" s="1" t="s">
        <v>8091</v>
      </c>
      <c r="B2743" s="1">
        <v>6.0</v>
      </c>
      <c r="C2743" s="1" t="s">
        <v>8092</v>
      </c>
      <c r="D2743" s="1" t="s">
        <v>8</v>
      </c>
      <c r="E2743" s="1" t="s">
        <v>8093</v>
      </c>
      <c r="F2743" s="1" t="str">
        <f>IFERROR(__xludf.DUMMYFUNCTION("GOOGLETRANSLATE(A2743, ""zh-CN"", ""ko"")"),"성명")</f>
        <v>성명</v>
      </c>
    </row>
    <row r="2744" ht="15.75" customHeight="1">
      <c r="A2744" s="1" t="s">
        <v>8094</v>
      </c>
      <c r="B2744" s="1">
        <v>6.0</v>
      </c>
      <c r="C2744" s="1" t="s">
        <v>8095</v>
      </c>
      <c r="D2744" s="1" t="s">
        <v>8</v>
      </c>
      <c r="E2744" s="1" t="s">
        <v>8096</v>
      </c>
      <c r="F2744" s="1" t="str">
        <f>IFERROR(__xludf.DUMMYFUNCTION("GOOGLETRANSLATE(A2744, ""zh-CN"", ""ko"")"),"심사 숙고")</f>
        <v>심사 숙고</v>
      </c>
    </row>
    <row r="2745" ht="15.75" customHeight="1">
      <c r="A2745" s="1" t="s">
        <v>8097</v>
      </c>
      <c r="B2745" s="1">
        <v>6.0</v>
      </c>
      <c r="C2745" s="1" t="s">
        <v>8098</v>
      </c>
      <c r="D2745" s="1" t="s">
        <v>52</v>
      </c>
      <c r="E2745" s="1" t="s">
        <v>8099</v>
      </c>
      <c r="F2745" s="1" t="str">
        <f>IFERROR(__xludf.DUMMYFUNCTION("GOOGLETRANSLATE(A2745, ""zh-CN"", ""ko"")"),"무거운")</f>
        <v>무거운</v>
      </c>
    </row>
    <row r="2746" ht="15.75" customHeight="1">
      <c r="A2746" s="1" t="s">
        <v>8100</v>
      </c>
      <c r="B2746" s="1">
        <v>6.0</v>
      </c>
      <c r="C2746" s="1" t="s">
        <v>8101</v>
      </c>
      <c r="D2746" s="1" t="s">
        <v>52</v>
      </c>
      <c r="E2746" s="1" t="s">
        <v>8102</v>
      </c>
      <c r="F2746" s="1" t="str">
        <f>IFERROR(__xludf.DUMMYFUNCTION("GOOGLETRANSLATE(A2746, ""zh-CN"", ""ko"")"),"침착한")</f>
        <v>침착한</v>
      </c>
    </row>
    <row r="2747" ht="15.75" customHeight="1">
      <c r="A2747" s="1" t="s">
        <v>8103</v>
      </c>
      <c r="B2747" s="1">
        <v>6.0</v>
      </c>
      <c r="C2747" s="1" t="s">
        <v>8104</v>
      </c>
      <c r="D2747" s="1" t="s">
        <v>8</v>
      </c>
      <c r="E2747" s="1" t="s">
        <v>8105</v>
      </c>
      <c r="F2747" s="1" t="str">
        <f>IFERROR(__xludf.DUMMYFUNCTION("GOOGLETRANSLATE(A2747, ""zh-CN"", ""ko"")"),"출발하다")</f>
        <v>출발하다</v>
      </c>
    </row>
    <row r="2748" ht="15.75" customHeight="1">
      <c r="A2748" s="1" t="s">
        <v>8106</v>
      </c>
      <c r="B2748" s="1">
        <v>6.0</v>
      </c>
      <c r="C2748" s="1" t="s">
        <v>8107</v>
      </c>
      <c r="E2748" s="1" t="s">
        <v>8108</v>
      </c>
      <c r="F2748" s="1" t="str">
        <f>IFERROR(__xludf.DUMMYFUNCTION("GOOGLETRANSLATE(A2748, ""zh-CN"", ""ko"")"),"만족스러운")</f>
        <v>만족스러운</v>
      </c>
    </row>
    <row r="2749" ht="15.75" customHeight="1">
      <c r="A2749" s="1" t="s">
        <v>8109</v>
      </c>
      <c r="B2749" s="1">
        <v>6.0</v>
      </c>
      <c r="C2749" s="1" t="s">
        <v>8110</v>
      </c>
      <c r="D2749" s="1" t="s">
        <v>16</v>
      </c>
      <c r="E2749" s="1" t="s">
        <v>8111</v>
      </c>
      <c r="F2749" s="1" t="str">
        <f>IFERROR(__xludf.DUMMYFUNCTION("GOOGLETRANSLATE(A2749, ""zh-CN"", ""ko"")"),"제목")</f>
        <v>제목</v>
      </c>
    </row>
    <row r="2750" ht="15.75" customHeight="1">
      <c r="A2750" s="1" t="s">
        <v>8112</v>
      </c>
      <c r="B2750" s="1">
        <v>6.0</v>
      </c>
      <c r="C2750" s="1" t="s">
        <v>8113</v>
      </c>
      <c r="D2750" s="1" t="s">
        <v>16</v>
      </c>
      <c r="E2750" s="1" t="s">
        <v>8114</v>
      </c>
      <c r="F2750" s="1" t="str">
        <f>IFERROR(__xludf.DUMMYFUNCTION("GOOGLETRANSLATE(A2750, ""zh-CN"", ""ko"")"),"주황색")</f>
        <v>주황색</v>
      </c>
    </row>
    <row r="2751" ht="15.75" customHeight="1">
      <c r="A2751" s="1" t="s">
        <v>8115</v>
      </c>
      <c r="B2751" s="1">
        <v>6.0</v>
      </c>
      <c r="C2751" s="1" t="s">
        <v>8113</v>
      </c>
      <c r="D2751" s="1" t="s">
        <v>8</v>
      </c>
      <c r="E2751" s="1" t="s">
        <v>8116</v>
      </c>
      <c r="F2751" s="1" t="str">
        <f>IFERROR(__xludf.DUMMYFUNCTION("GOOGLETRANSLATE(A2751, ""zh-CN"", ""ko"")"),"생")</f>
        <v>생</v>
      </c>
    </row>
    <row r="2752" ht="15.75" customHeight="1">
      <c r="A2752" s="1" t="s">
        <v>8117</v>
      </c>
      <c r="B2752" s="1">
        <v>6.0</v>
      </c>
      <c r="C2752" s="1" t="s">
        <v>8113</v>
      </c>
      <c r="D2752" s="1" t="s">
        <v>8</v>
      </c>
      <c r="E2752" s="1" t="s">
        <v>8118</v>
      </c>
      <c r="F2752" s="1" t="str">
        <f>IFERROR(__xludf.DUMMYFUNCTION("GOOGLETRANSLATE(A2752, ""zh-CN"", ""ko"")"),"가져가다")</f>
        <v>가져가다</v>
      </c>
    </row>
    <row r="2753" ht="15.75" customHeight="1">
      <c r="A2753" s="1" t="s">
        <v>8119</v>
      </c>
      <c r="B2753" s="1">
        <v>6.0</v>
      </c>
      <c r="C2753" s="1" t="s">
        <v>8120</v>
      </c>
      <c r="D2753" s="1" t="s">
        <v>8</v>
      </c>
      <c r="E2753" s="1" t="s">
        <v>8121</v>
      </c>
      <c r="F2753" s="1" t="str">
        <f>IFERROR(__xludf.DUMMYFUNCTION("GOOGLETRANSLATE(A2753, ""zh-CN"", ""ko"")"),"맡다")</f>
        <v>맡다</v>
      </c>
    </row>
    <row r="2754" ht="15.75" customHeight="1">
      <c r="A2754" s="1" t="s">
        <v>8122</v>
      </c>
      <c r="B2754" s="1">
        <v>6.0</v>
      </c>
      <c r="C2754" s="1" t="s">
        <v>8123</v>
      </c>
      <c r="D2754" s="1" t="s">
        <v>8</v>
      </c>
      <c r="E2754" s="1" t="s">
        <v>8124</v>
      </c>
      <c r="F2754" s="1" t="str">
        <f>IFERROR(__xludf.DUMMYFUNCTION("GOOGLETRANSLATE(A2754, ""zh-CN"", ""ko"")"),"계약")</f>
        <v>계약</v>
      </c>
    </row>
    <row r="2755" ht="15.75" customHeight="1">
      <c r="A2755" s="1" t="s">
        <v>8125</v>
      </c>
      <c r="B2755" s="1">
        <v>6.0</v>
      </c>
      <c r="C2755" s="1" t="s">
        <v>8126</v>
      </c>
      <c r="D2755" s="1" t="s">
        <v>16</v>
      </c>
      <c r="E2755" s="1" t="s">
        <v>8127</v>
      </c>
      <c r="F2755" s="1" t="str">
        <f>IFERROR(__xludf.DUMMYFUNCTION("GOOGLETRANSLATE(A2755, ""zh-CN"", ""ko"")"),"성")</f>
        <v>성</v>
      </c>
    </row>
    <row r="2756" ht="15.75" customHeight="1">
      <c r="A2756" s="1" t="s">
        <v>8128</v>
      </c>
      <c r="B2756" s="1">
        <v>6.0</v>
      </c>
      <c r="C2756" s="1" t="s">
        <v>8129</v>
      </c>
      <c r="D2756" s="1" t="s">
        <v>16</v>
      </c>
      <c r="E2756" s="1" t="s">
        <v>8130</v>
      </c>
      <c r="F2756" s="1" t="str">
        <f>IFERROR(__xludf.DUMMYFUNCTION("GOOGLETRANSLATE(A2756, ""zh-CN"", ""ko"")"),"비용")</f>
        <v>비용</v>
      </c>
    </row>
    <row r="2757" ht="15.75" customHeight="1">
      <c r="A2757" s="1" t="s">
        <v>8131</v>
      </c>
      <c r="B2757" s="1">
        <v>6.0</v>
      </c>
      <c r="C2757" s="1" t="s">
        <v>8132</v>
      </c>
      <c r="D2757" s="1" t="s">
        <v>8</v>
      </c>
      <c r="E2757" s="1" t="s">
        <v>8133</v>
      </c>
      <c r="F2757" s="1" t="str">
        <f>IFERROR(__xludf.DUMMYFUNCTION("GOOGLETRANSLATE(A2757, ""zh-CN"", ""ko"")"),"벌하다")</f>
        <v>벌하다</v>
      </c>
    </row>
    <row r="2758" ht="15.75" customHeight="1">
      <c r="A2758" s="1" t="s">
        <v>8134</v>
      </c>
      <c r="B2758" s="1">
        <v>6.0</v>
      </c>
      <c r="C2758" s="1" t="s">
        <v>8135</v>
      </c>
      <c r="D2758" s="1" t="s">
        <v>8</v>
      </c>
      <c r="E2758" s="1" t="s">
        <v>8136</v>
      </c>
      <c r="F2758" s="1" t="str">
        <f>IFERROR(__xludf.DUMMYFUNCTION("GOOGLETRANSLATE(A2758, ""zh-CN"", ""ko"")"),"거래를 하다")</f>
        <v>거래를 하다</v>
      </c>
    </row>
    <row r="2759" ht="15.75" customHeight="1">
      <c r="A2759" s="1" t="s">
        <v>8137</v>
      </c>
      <c r="B2759" s="1">
        <v>6.0</v>
      </c>
      <c r="C2759" s="1" t="s">
        <v>8138</v>
      </c>
      <c r="D2759" s="1" t="s">
        <v>8</v>
      </c>
      <c r="E2759" s="1" t="s">
        <v>8139</v>
      </c>
      <c r="F2759" s="1" t="str">
        <f>IFERROR(__xludf.DUMMYFUNCTION("GOOGLETRANSLATE(A2759, ""zh-CN"", ""ko"")"),"약속하다")</f>
        <v>약속하다</v>
      </c>
    </row>
    <row r="2760" ht="15.75" customHeight="1">
      <c r="A2760" s="1" t="s">
        <v>8140</v>
      </c>
      <c r="B2760" s="1">
        <v>6.0</v>
      </c>
      <c r="C2760" s="1" t="s">
        <v>8141</v>
      </c>
      <c r="D2760" s="1" t="s">
        <v>8</v>
      </c>
      <c r="E2760" s="1" t="s">
        <v>8142</v>
      </c>
      <c r="F2760" s="1" t="str">
        <f>IFERROR(__xludf.DUMMYFUNCTION("GOOGLETRANSLATE(A2760, ""zh-CN"", ""ko"")"),"밝히다")</f>
        <v>밝히다</v>
      </c>
    </row>
    <row r="2761" ht="15.75" customHeight="1">
      <c r="A2761" s="1" t="s">
        <v>8143</v>
      </c>
      <c r="B2761" s="1">
        <v>6.0</v>
      </c>
      <c r="C2761" s="1" t="s">
        <v>8144</v>
      </c>
      <c r="D2761" s="1" t="s">
        <v>33</v>
      </c>
      <c r="E2761" s="1" t="s">
        <v>8145</v>
      </c>
      <c r="F2761" s="1" t="str">
        <f>IFERROR(__xludf.DUMMYFUNCTION("GOOGLETRANSLATE(A2761, ""zh-CN"", ""ko"")"),"하루 종일")</f>
        <v>하루 종일</v>
      </c>
    </row>
    <row r="2762" ht="15.75" customHeight="1">
      <c r="A2762" s="1" t="s">
        <v>8146</v>
      </c>
      <c r="B2762" s="1">
        <v>6.0</v>
      </c>
      <c r="C2762" s="1" t="s">
        <v>8147</v>
      </c>
      <c r="D2762" s="1" t="s">
        <v>8</v>
      </c>
      <c r="E2762" s="1" t="s">
        <v>8148</v>
      </c>
      <c r="F2762" s="1" t="str">
        <f>IFERROR(__xludf.DUMMYFUNCTION("GOOGLETRANSLATE(A2762, ""zh-CN"", ""ko"")"),"프레젠테이션")</f>
        <v>프레젠테이션</v>
      </c>
    </row>
    <row r="2763" ht="15.75" customHeight="1">
      <c r="A2763" s="1" t="s">
        <v>8149</v>
      </c>
      <c r="B2763" s="1">
        <v>6.0</v>
      </c>
      <c r="C2763" s="1" t="s">
        <v>8150</v>
      </c>
      <c r="D2763" s="1" t="s">
        <v>16</v>
      </c>
      <c r="E2763" s="1" t="s">
        <v>8151</v>
      </c>
      <c r="F2763" s="1" t="str">
        <f>IFERROR(__xludf.DUMMYFUNCTION("GOOGLETRANSLATE(A2763, ""zh-CN"", ""ko"")"),"결과")</f>
        <v>결과</v>
      </c>
    </row>
    <row r="2764" ht="15.75" customHeight="1">
      <c r="A2764" s="1" t="s">
        <v>8152</v>
      </c>
      <c r="B2764" s="1">
        <v>6.0</v>
      </c>
      <c r="C2764" s="1" t="s">
        <v>8153</v>
      </c>
      <c r="D2764" s="1" t="s">
        <v>33</v>
      </c>
      <c r="E2764" s="1" t="s">
        <v>8154</v>
      </c>
      <c r="F2764" s="1" t="str">
        <f>IFERROR(__xludf.DUMMYFUNCTION("GOOGLETRANSLATE(A2764, ""zh-CN"", ""ko"")"),"고의로")</f>
        <v>고의로</v>
      </c>
    </row>
    <row r="2765" ht="15.75" customHeight="1">
      <c r="A2765" s="1" t="s">
        <v>8155</v>
      </c>
      <c r="B2765" s="1">
        <v>6.0</v>
      </c>
      <c r="C2765" s="1" t="s">
        <v>8156</v>
      </c>
      <c r="D2765" s="1" t="s">
        <v>16</v>
      </c>
      <c r="E2765" s="1" t="s">
        <v>8157</v>
      </c>
      <c r="F2765" s="1" t="str">
        <f>IFERROR(__xludf.DUMMYFUNCTION("GOOGLETRANSLATE(A2765, ""zh-CN"", ""ko"")"),"회원")</f>
        <v>회원</v>
      </c>
    </row>
    <row r="2766" ht="15.75" customHeight="1">
      <c r="A2766" s="1" t="s">
        <v>8158</v>
      </c>
      <c r="B2766" s="1">
        <v>6.0</v>
      </c>
      <c r="C2766" s="1" t="s">
        <v>8159</v>
      </c>
      <c r="D2766" s="1" t="s">
        <v>52</v>
      </c>
      <c r="E2766" s="1" t="s">
        <v>8160</v>
      </c>
      <c r="F2766" s="1" t="str">
        <f>IFERROR(__xludf.DUMMYFUNCTION("GOOGLETRANSLATE(A2766, ""zh-CN"", ""ko"")"),"진실된")</f>
        <v>진실된</v>
      </c>
    </row>
    <row r="2767" ht="15.75" customHeight="1">
      <c r="A2767" s="1" t="s">
        <v>8161</v>
      </c>
      <c r="B2767" s="1">
        <v>6.0</v>
      </c>
      <c r="C2767" s="1" t="s">
        <v>8162</v>
      </c>
      <c r="D2767" s="1" t="s">
        <v>16</v>
      </c>
      <c r="E2767" s="1" t="s">
        <v>8163</v>
      </c>
      <c r="F2767" s="1" t="str">
        <f>IFERROR(__xludf.DUMMYFUNCTION("GOOGLETRANSLATE(A2767, ""zh-CN"", ""ko"")"),"저울")</f>
        <v>저울</v>
      </c>
    </row>
    <row r="2768" ht="15.75" customHeight="1">
      <c r="A2768" s="1" t="s">
        <v>8164</v>
      </c>
      <c r="B2768" s="1">
        <v>6.0</v>
      </c>
      <c r="C2768" s="1" t="s">
        <v>8165</v>
      </c>
      <c r="D2768" s="1" t="s">
        <v>8</v>
      </c>
      <c r="E2768" s="1" t="s">
        <v>8166</v>
      </c>
      <c r="F2768" s="1" t="str">
        <f>IFERROR(__xludf.DUMMYFUNCTION("GOOGLETRANSLATE(A2768, ""zh-CN"", ""ko"")"),"고난을 견뎌내세요")</f>
        <v>고난을 견뎌내세요</v>
      </c>
    </row>
    <row r="2769" ht="15.75" customHeight="1">
      <c r="A2769" s="1" t="s">
        <v>8167</v>
      </c>
      <c r="B2769" s="1">
        <v>6.0</v>
      </c>
      <c r="C2769" s="1" t="s">
        <v>8168</v>
      </c>
      <c r="D2769" s="1" t="s">
        <v>52</v>
      </c>
      <c r="E2769" s="1" t="s">
        <v>8169</v>
      </c>
      <c r="F2769" s="1" t="str">
        <f>IFERROR(__xludf.DUMMYFUNCTION("GOOGLETRANSLATE(A2769, ""zh-CN"", ""ko"")"),"힘든")</f>
        <v>힘든</v>
      </c>
    </row>
    <row r="2770" ht="15.75" customHeight="1">
      <c r="A2770" s="1" t="s">
        <v>8170</v>
      </c>
      <c r="B2770" s="1">
        <v>6.0</v>
      </c>
      <c r="C2770" s="1" t="s">
        <v>8171</v>
      </c>
      <c r="D2770" s="1" t="s">
        <v>52</v>
      </c>
      <c r="E2770" s="1" t="s">
        <v>8172</v>
      </c>
      <c r="F2770" s="1" t="str">
        <f>IFERROR(__xludf.DUMMYFUNCTION("GOOGLETRANSLATE(A2770, ""zh-CN"", ""ko"")"),"느린")</f>
        <v>느린</v>
      </c>
    </row>
    <row r="2771" ht="15.75" customHeight="1">
      <c r="A2771" s="1" t="s">
        <v>8173</v>
      </c>
      <c r="B2771" s="1">
        <v>6.0</v>
      </c>
      <c r="C2771" s="1" t="s">
        <v>8174</v>
      </c>
      <c r="D2771" s="1" t="s">
        <v>52</v>
      </c>
      <c r="E2771" s="1" t="s">
        <v>8175</v>
      </c>
      <c r="F2771" s="1" t="str">
        <f>IFERROR(__xludf.DUMMYFUNCTION("GOOGLETRANSLATE(A2771, ""zh-CN"", ""ko"")"),"느린")</f>
        <v>느린</v>
      </c>
    </row>
    <row r="2772" ht="15.75" customHeight="1">
      <c r="A2772" s="1" t="s">
        <v>8176</v>
      </c>
      <c r="B2772" s="1">
        <v>6.0</v>
      </c>
      <c r="C2772" s="1" t="s">
        <v>8177</v>
      </c>
      <c r="D2772" s="1" t="s">
        <v>52</v>
      </c>
      <c r="E2772" s="1" t="s">
        <v>8178</v>
      </c>
      <c r="F2772" s="1" t="str">
        <f>IFERROR(__xludf.DUMMYFUNCTION("GOOGLETRANSLATE(A2772, ""zh-CN"", ""ko"")"),"일종의 튼튼한 나사")</f>
        <v>일종의 튼튼한 나사</v>
      </c>
    </row>
    <row r="2773" ht="15.75" customHeight="1">
      <c r="A2773" s="1" t="s">
        <v>8179</v>
      </c>
      <c r="B2773" s="1">
        <v>6.0</v>
      </c>
      <c r="C2773" s="1" t="s">
        <v>8180</v>
      </c>
      <c r="D2773" s="1" t="s">
        <v>52</v>
      </c>
      <c r="E2773" s="1" t="s">
        <v>8181</v>
      </c>
      <c r="F2773" s="1" t="str">
        <f>IFERROR(__xludf.DUMMYFUNCTION("GOOGLETRANSLATE(A2773, ""zh-CN"", ""ko"")"),"망설이다")</f>
        <v>망설이다</v>
      </c>
    </row>
    <row r="2774" ht="15.75" customHeight="1">
      <c r="A2774" s="1" t="s">
        <v>8182</v>
      </c>
      <c r="B2774" s="1">
        <v>6.0</v>
      </c>
      <c r="C2774" s="1" t="s">
        <v>8183</v>
      </c>
      <c r="D2774" s="1" t="s">
        <v>16</v>
      </c>
      <c r="E2774" s="1" t="s">
        <v>8184</v>
      </c>
      <c r="F2774" s="1" t="str">
        <f>IFERROR(__xludf.DUMMYFUNCTION("GOOGLETRANSLATE(A2774, ""zh-CN"", ""ko"")"),"매우 무더운")</f>
        <v>매우 무더운</v>
      </c>
    </row>
    <row r="2775" ht="15.75" customHeight="1">
      <c r="A2775" s="1" t="s">
        <v>8185</v>
      </c>
      <c r="B2775" s="1">
        <v>6.0</v>
      </c>
      <c r="C2775" s="1" t="s">
        <v>8186</v>
      </c>
      <c r="D2775" s="1" t="s">
        <v>16</v>
      </c>
      <c r="E2775" s="1" t="s">
        <v>8187</v>
      </c>
      <c r="F2775" s="1" t="str">
        <f>IFERROR(__xludf.DUMMYFUNCTION("GOOGLETRANSLATE(A2775, ""zh-CN"", ""ko"")"),"부족")</f>
        <v>부족</v>
      </c>
    </row>
    <row r="2776" ht="15.75" customHeight="1">
      <c r="A2776" s="1" t="s">
        <v>8188</v>
      </c>
      <c r="B2776" s="1">
        <v>6.0</v>
      </c>
      <c r="C2776" s="1" t="s">
        <v>8189</v>
      </c>
      <c r="D2776" s="1" t="s">
        <v>8</v>
      </c>
      <c r="E2776" s="1" t="s">
        <v>8190</v>
      </c>
      <c r="F2776" s="1" t="str">
        <f>IFERROR(__xludf.DUMMYFUNCTION("GOOGLETRANSLATE(A2776, ""zh-CN"", ""ko"")"),"~로 행동하다")</f>
        <v>~로 행동하다</v>
      </c>
    </row>
    <row r="2777" ht="15.75" customHeight="1">
      <c r="A2777" s="1" t="s">
        <v>8191</v>
      </c>
      <c r="B2777" s="1">
        <v>6.0</v>
      </c>
      <c r="C2777" s="1" t="s">
        <v>8192</v>
      </c>
      <c r="D2777" s="1" t="s">
        <v>52</v>
      </c>
      <c r="E2777" s="1" t="s">
        <v>8193</v>
      </c>
      <c r="F2777" s="1" t="str">
        <f>IFERROR(__xludf.DUMMYFUNCTION("GOOGLETRANSLATE(A2777, ""zh-CN"", ""ko"")"),"충동")</f>
        <v>충동</v>
      </c>
    </row>
    <row r="2778" ht="15.75" customHeight="1">
      <c r="A2778" s="1" t="s">
        <v>8194</v>
      </c>
      <c r="B2778" s="1">
        <v>6.0</v>
      </c>
      <c r="C2778" s="1" t="s">
        <v>8195</v>
      </c>
      <c r="D2778" s="1" t="s">
        <v>8</v>
      </c>
      <c r="E2778" s="1" t="s">
        <v>8196</v>
      </c>
      <c r="F2778" s="1" t="str">
        <f>IFERROR(__xludf.DUMMYFUNCTION("GOOGLETRANSLATE(A2778, ""zh-CN"", ""ko"")"),"영향")</f>
        <v>영향</v>
      </c>
    </row>
    <row r="2779" ht="15.75" customHeight="1">
      <c r="A2779" s="1" t="s">
        <v>8197</v>
      </c>
      <c r="B2779" s="1">
        <v>6.0</v>
      </c>
      <c r="C2779" s="1" t="s">
        <v>8198</v>
      </c>
      <c r="D2779" s="1" t="s">
        <v>52</v>
      </c>
      <c r="E2779" s="1" t="s">
        <v>8199</v>
      </c>
      <c r="F2779" s="1" t="str">
        <f>IFERROR(__xludf.DUMMYFUNCTION("GOOGLETRANSLATE(A2779, ""zh-CN"", ""ko"")"),"풍족한")</f>
        <v>풍족한</v>
      </c>
    </row>
    <row r="2780" ht="15.75" customHeight="1">
      <c r="A2780" s="1" t="s">
        <v>8200</v>
      </c>
      <c r="B2780" s="1">
        <v>6.0</v>
      </c>
      <c r="C2780" s="1" t="s">
        <v>8201</v>
      </c>
      <c r="D2780" s="1" t="s">
        <v>52</v>
      </c>
      <c r="E2780" s="1" t="s">
        <v>8202</v>
      </c>
      <c r="F2780" s="1" t="str">
        <f>IFERROR(__xludf.DUMMYFUNCTION("GOOGLETRANSLATE(A2780, ""zh-CN"", ""ko"")"),"높이다")</f>
        <v>높이다</v>
      </c>
    </row>
    <row r="2781" ht="15.75" customHeight="1">
      <c r="A2781" s="1" t="s">
        <v>8203</v>
      </c>
      <c r="B2781" s="1">
        <v>6.0</v>
      </c>
      <c r="C2781" s="1" t="s">
        <v>8204</v>
      </c>
      <c r="D2781" s="1" t="s">
        <v>8</v>
      </c>
      <c r="E2781" s="1" t="s">
        <v>8205</v>
      </c>
      <c r="F2781" s="1" t="str">
        <f>IFERROR(__xludf.DUMMYFUNCTION("GOOGLETRANSLATE(A2781, ""zh-CN"", ""ko"")"),"갈등")</f>
        <v>갈등</v>
      </c>
    </row>
    <row r="2782" ht="15.75" customHeight="1">
      <c r="A2782" s="1" t="s">
        <v>8206</v>
      </c>
      <c r="B2782" s="1">
        <v>6.0</v>
      </c>
      <c r="C2782" s="1" t="s">
        <v>8207</v>
      </c>
      <c r="D2782" s="1" t="s">
        <v>52</v>
      </c>
      <c r="E2782" s="1" t="s">
        <v>8208</v>
      </c>
      <c r="F2782" s="1" t="str">
        <f>IFERROR(__xludf.DUMMYFUNCTION("GOOGLETRANSLATE(A2782, ""zh-CN"", ""ko"")"),"적절한")</f>
        <v>적절한</v>
      </c>
    </row>
    <row r="2783" ht="15.75" customHeight="1">
      <c r="A2783" s="1" t="s">
        <v>8209</v>
      </c>
      <c r="B2783" s="1">
        <v>6.0</v>
      </c>
      <c r="C2783" s="1" t="s">
        <v>8210</v>
      </c>
      <c r="D2783" s="1" t="s">
        <v>8</v>
      </c>
      <c r="E2783" s="1" t="s">
        <v>8211</v>
      </c>
      <c r="F2783" s="1" t="str">
        <f>IFERROR(__xludf.DUMMYFUNCTION("GOOGLETRANSLATE(A2783, ""zh-CN"", ""ko"")"),"예배")</f>
        <v>예배</v>
      </c>
    </row>
    <row r="2784" ht="15.75" customHeight="1">
      <c r="A2784" s="1" t="s">
        <v>8212</v>
      </c>
      <c r="B2784" s="1">
        <v>6.0</v>
      </c>
      <c r="C2784" s="1" t="s">
        <v>8213</v>
      </c>
      <c r="D2784" s="1" t="s">
        <v>8</v>
      </c>
      <c r="E2784" s="1" t="s">
        <v>8214</v>
      </c>
      <c r="F2784" s="1" t="str">
        <f>IFERROR(__xludf.DUMMYFUNCTION("GOOGLETRANSLATE(A2784, ""zh-CN"", ""ko"")"),"겹치는")</f>
        <v>겹치는</v>
      </c>
    </row>
    <row r="2785" ht="15.75" customHeight="1">
      <c r="A2785" s="1" t="s">
        <v>8215</v>
      </c>
      <c r="B2785" s="1">
        <v>6.0</v>
      </c>
      <c r="C2785" s="1" t="s">
        <v>8216</v>
      </c>
      <c r="D2785" s="1" t="s">
        <v>52</v>
      </c>
      <c r="E2785" s="1" t="s">
        <v>8217</v>
      </c>
      <c r="F2785" s="1" t="str">
        <f>IFERROR(__xludf.DUMMYFUNCTION("GOOGLETRANSLATE(A2785, ""zh-CN"", ""ko"")"),"숭고한")</f>
        <v>숭고한</v>
      </c>
    </row>
    <row r="2786" ht="15.75" customHeight="1">
      <c r="A2786" s="1" t="s">
        <v>8218</v>
      </c>
      <c r="B2786" s="1">
        <v>6.0</v>
      </c>
      <c r="C2786" s="1" t="s">
        <v>8219</v>
      </c>
      <c r="D2786" s="1" t="s">
        <v>8</v>
      </c>
      <c r="E2786" s="1" t="s">
        <v>8220</v>
      </c>
      <c r="F2786" s="1" t="str">
        <f>IFERROR(__xludf.DUMMYFUNCTION("GOOGLETRANSLATE(A2786, ""zh-CN"", ""ko"")"),"존경")</f>
        <v>존경</v>
      </c>
    </row>
    <row r="2787" ht="15.75" customHeight="1">
      <c r="A2787" s="1" t="s">
        <v>8221</v>
      </c>
      <c r="B2787" s="1">
        <v>6.0</v>
      </c>
      <c r="C2787" s="1" t="s">
        <v>8222</v>
      </c>
      <c r="D2787" s="1" t="s">
        <v>8</v>
      </c>
      <c r="E2787" s="1" t="s">
        <v>8223</v>
      </c>
      <c r="F2787" s="1" t="str">
        <f>IFERROR(__xludf.DUMMYFUNCTION("GOOGLETRANSLATE(A2787, ""zh-CN"", ""ko"")"),"준비")</f>
        <v>준비</v>
      </c>
    </row>
    <row r="2788" ht="15.75" customHeight="1">
      <c r="A2788" s="1" t="s">
        <v>8224</v>
      </c>
      <c r="B2788" s="1">
        <v>6.0</v>
      </c>
      <c r="C2788" s="1" t="s">
        <v>8225</v>
      </c>
      <c r="D2788" s="1" t="s">
        <v>52</v>
      </c>
      <c r="E2788" s="1" t="s">
        <v>8226</v>
      </c>
      <c r="F2788" s="1" t="str">
        <f>IFERROR(__xludf.DUMMYFUNCTION("GOOGLETRANSLATE(A2788, ""zh-CN"", ""ko"")"),"밀집한")</f>
        <v>밀집한</v>
      </c>
    </row>
    <row r="2789" ht="15.75" customHeight="1">
      <c r="A2789" s="1" t="s">
        <v>8227</v>
      </c>
      <c r="B2789" s="1">
        <v>6.0</v>
      </c>
      <c r="C2789" s="1" t="s">
        <v>8228</v>
      </c>
      <c r="D2789" s="1" t="s">
        <v>52</v>
      </c>
      <c r="E2789" s="1" t="s">
        <v>8229</v>
      </c>
      <c r="F2789" s="1" t="str">
        <f>IFERROR(__xludf.DUMMYFUNCTION("GOOGLETRANSLATE(A2789, ""zh-CN"", ""ko"")"),"못생긴")</f>
        <v>못생긴</v>
      </c>
    </row>
    <row r="2790" ht="15.75" customHeight="1">
      <c r="A2790" s="1" t="s">
        <v>8230</v>
      </c>
      <c r="B2790" s="1">
        <v>6.0</v>
      </c>
      <c r="C2790" s="1" t="s">
        <v>8231</v>
      </c>
      <c r="D2790" s="1" t="s">
        <v>52</v>
      </c>
      <c r="E2790" s="1" t="s">
        <v>8232</v>
      </c>
      <c r="F2790" s="1" t="str">
        <f>IFERROR(__xludf.DUMMYFUNCTION("GOOGLETRANSLATE(A2790, ""zh-CN"", ""ko"")"),"예비의")</f>
        <v>예비의</v>
      </c>
    </row>
    <row r="2791" ht="15.75" customHeight="1">
      <c r="A2791" s="1" t="s">
        <v>8233</v>
      </c>
      <c r="B2791" s="1">
        <v>6.0</v>
      </c>
      <c r="C2791" s="1" t="s">
        <v>8234</v>
      </c>
      <c r="D2791" s="1" t="s">
        <v>16</v>
      </c>
      <c r="E2791" s="1" t="s">
        <v>8235</v>
      </c>
      <c r="F2791" s="1" t="str">
        <f>IFERROR(__xludf.DUMMYFUNCTION("GOOGLETRANSLATE(A2791, ""zh-CN"", ""ko"")"),"출구")</f>
        <v>출구</v>
      </c>
    </row>
    <row r="2792" ht="15.75" customHeight="1">
      <c r="A2792" s="1" t="s">
        <v>8236</v>
      </c>
      <c r="B2792" s="1">
        <v>6.0</v>
      </c>
      <c r="C2792" s="1" t="s">
        <v>8237</v>
      </c>
      <c r="D2792" s="1" t="s">
        <v>8</v>
      </c>
      <c r="E2792" s="1" t="s">
        <v>8238</v>
      </c>
      <c r="F2792" s="1" t="str">
        <f>IFERROR(__xludf.DUMMYFUNCTION("GOOGLETRANSLATE(A2792, ""zh-CN"", ""ko"")"),"팔다")</f>
        <v>팔다</v>
      </c>
    </row>
    <row r="2793" ht="15.75" customHeight="1">
      <c r="A2793" s="1" t="s">
        <v>8239</v>
      </c>
      <c r="B2793" s="1">
        <v>6.0</v>
      </c>
      <c r="C2793" s="1" t="s">
        <v>8240</v>
      </c>
      <c r="D2793" s="1" t="s">
        <v>8</v>
      </c>
      <c r="E2793" s="1" t="s">
        <v>8241</v>
      </c>
      <c r="F2793" s="1" t="str">
        <f>IFERROR(__xludf.DUMMYFUNCTION("GOOGLETRANSLATE(A2793, ""zh-CN"", ""ko"")"),"기원")</f>
        <v>기원</v>
      </c>
    </row>
    <row r="2794" ht="15.75" customHeight="1">
      <c r="A2794" s="1" t="s">
        <v>8242</v>
      </c>
      <c r="B2794" s="1">
        <v>6.0</v>
      </c>
      <c r="C2794" s="1" t="s">
        <v>8243</v>
      </c>
      <c r="D2794" s="1" t="s">
        <v>8</v>
      </c>
      <c r="E2794" s="1" t="s">
        <v>8244</v>
      </c>
      <c r="F2794" s="1" t="str">
        <f>IFERROR(__xludf.DUMMYFUNCTION("GOOGLETRANSLATE(A2794, ""zh-CN"", ""ko"")"),"담금")</f>
        <v>담금</v>
      </c>
    </row>
    <row r="2795" ht="15.75" customHeight="1">
      <c r="A2795" s="1" t="s">
        <v>8245</v>
      </c>
      <c r="B2795" s="1">
        <v>6.0</v>
      </c>
      <c r="C2795" s="1" t="s">
        <v>8246</v>
      </c>
      <c r="D2795" s="1" t="s">
        <v>16</v>
      </c>
      <c r="E2795" s="1" t="s">
        <v>8247</v>
      </c>
      <c r="F2795" s="1" t="str">
        <f>IFERROR(__xludf.DUMMYFUNCTION("GOOGLETRANSLATE(A2795, ""zh-CN"", ""ko"")"),"약속")</f>
        <v>약속</v>
      </c>
    </row>
    <row r="2796" ht="15.75" customHeight="1">
      <c r="A2796" s="1" t="s">
        <v>8248</v>
      </c>
      <c r="B2796" s="1">
        <v>6.0</v>
      </c>
      <c r="C2796" s="1" t="s">
        <v>8249</v>
      </c>
      <c r="D2796" s="1" t="s">
        <v>8</v>
      </c>
      <c r="E2796" s="1" t="s">
        <v>8250</v>
      </c>
      <c r="F2796" s="1" t="str">
        <f>IFERROR(__xludf.DUMMYFUNCTION("GOOGLETRANSLATE(A2796, ""zh-CN"", ""ko"")"),"제거하다")</f>
        <v>제거하다</v>
      </c>
    </row>
    <row r="2797" ht="15.75" customHeight="1">
      <c r="A2797" s="1" t="s">
        <v>8251</v>
      </c>
      <c r="B2797" s="1">
        <v>6.0</v>
      </c>
      <c r="C2797" s="1" t="s">
        <v>8252</v>
      </c>
      <c r="D2797" s="1" t="s">
        <v>8</v>
      </c>
      <c r="E2797" s="1" t="s">
        <v>8253</v>
      </c>
      <c r="F2797" s="1" t="str">
        <f>IFERROR(__xludf.DUMMYFUNCTION("GOOGLETRANSLATE(A2797, ""zh-CN"", ""ko"")"),"예약하다")</f>
        <v>예약하다</v>
      </c>
    </row>
    <row r="2798" ht="15.75" customHeight="1">
      <c r="A2798" s="1" t="s">
        <v>8254</v>
      </c>
      <c r="B2798" s="1">
        <v>6.0</v>
      </c>
      <c r="C2798" s="1" t="s">
        <v>8255</v>
      </c>
      <c r="D2798" s="1" t="s">
        <v>8</v>
      </c>
      <c r="E2798" s="1" t="s">
        <v>8256</v>
      </c>
      <c r="F2798" s="1" t="str">
        <f>IFERROR(__xludf.DUMMYFUNCTION("GOOGLETRANSLATE(A2798, ""zh-CN"", ""ko"")"),"가게")</f>
        <v>가게</v>
      </c>
    </row>
    <row r="2799" ht="15.75" customHeight="1">
      <c r="A2799" s="1" t="s">
        <v>8257</v>
      </c>
      <c r="B2799" s="1">
        <v>6.0</v>
      </c>
      <c r="C2799" s="1" t="s">
        <v>8258</v>
      </c>
      <c r="D2799" s="1" t="s">
        <v>8</v>
      </c>
      <c r="E2799" s="1" t="s">
        <v>8259</v>
      </c>
      <c r="F2799" s="1" t="str">
        <f>IFERROR(__xludf.DUMMYFUNCTION("GOOGLETRANSLATE(A2799, ""zh-CN"", ""ko"")"),"징계 조치")</f>
        <v>징계 조치</v>
      </c>
    </row>
    <row r="2800" ht="15.75" customHeight="1">
      <c r="A2800" s="1" t="s">
        <v>8260</v>
      </c>
      <c r="B2800" s="1">
        <v>6.0</v>
      </c>
      <c r="C2800" s="1" t="s">
        <v>8261</v>
      </c>
      <c r="D2800" s="1" t="s">
        <v>16</v>
      </c>
      <c r="E2800" s="1" t="s">
        <v>8262</v>
      </c>
      <c r="F2800" s="1" t="str">
        <f>IFERROR(__xludf.DUMMYFUNCTION("GOOGLETRANSLATE(A2800, ""zh-CN"", ""ko"")"),"상황")</f>
        <v>상황</v>
      </c>
    </row>
    <row r="2801" ht="15.75" customHeight="1">
      <c r="A2801" s="1" t="s">
        <v>8263</v>
      </c>
      <c r="B2801" s="1">
        <v>6.0</v>
      </c>
      <c r="C2801" s="1" t="s">
        <v>8264</v>
      </c>
      <c r="D2801" s="1" t="s">
        <v>8</v>
      </c>
      <c r="E2801" s="1" t="s">
        <v>8265</v>
      </c>
      <c r="F2801" s="1" t="str">
        <f>IFERROR(__xludf.DUMMYFUNCTION("GOOGLETRANSLATE(A2801, ""zh-CN"", ""ko"")"),"저금")</f>
        <v>저금</v>
      </c>
    </row>
    <row r="2802" ht="15.75" customHeight="1">
      <c r="A2802" s="1" t="s">
        <v>8266</v>
      </c>
      <c r="B2802" s="1">
        <v>6.0</v>
      </c>
      <c r="C2802" s="1" t="s">
        <v>8267</v>
      </c>
      <c r="D2802" s="1" t="s">
        <v>8</v>
      </c>
      <c r="E2802" s="1" t="s">
        <v>3973</v>
      </c>
      <c r="F2802" s="1" t="str">
        <f>IFERROR(__xludf.DUMMYFUNCTION("GOOGLETRANSLATE(A2802, ""zh-CN"", ""ko"")"),"처분")</f>
        <v>처분</v>
      </c>
    </row>
    <row r="2803" ht="15.75" customHeight="1">
      <c r="A2803" s="1" t="s">
        <v>8268</v>
      </c>
      <c r="B2803" s="1">
        <v>6.0</v>
      </c>
      <c r="C2803" s="1" t="s">
        <v>8269</v>
      </c>
      <c r="D2803" s="1" t="s">
        <v>8</v>
      </c>
      <c r="E2803" s="1" t="s">
        <v>8270</v>
      </c>
      <c r="F2803" s="1" t="str">
        <f>IFERROR(__xludf.DUMMYFUNCTION("GOOGLETRANSLATE(A2803, ""zh-CN"", ""ko"")"),"위반")</f>
        <v>위반</v>
      </c>
    </row>
    <row r="2804" ht="15.75" customHeight="1">
      <c r="A2804" s="1" t="s">
        <v>8271</v>
      </c>
      <c r="B2804" s="1">
        <v>6.0</v>
      </c>
      <c r="C2804" s="1" t="s">
        <v>8272</v>
      </c>
      <c r="E2804" s="1" t="s">
        <v>8273</v>
      </c>
      <c r="F2804" s="1" t="str">
        <f>IFERROR(__xludf.DUMMYFUNCTION("GOOGLETRANSLATE(A2804, ""zh-CN"", ""ko"")"),"지속적으로 흐르는")</f>
        <v>지속적으로 흐르는</v>
      </c>
    </row>
    <row r="2805" ht="15.75" customHeight="1">
      <c r="A2805" s="1" t="s">
        <v>8274</v>
      </c>
      <c r="B2805" s="1">
        <v>6.0</v>
      </c>
      <c r="C2805" s="1" t="s">
        <v>8275</v>
      </c>
      <c r="D2805" s="1" t="s">
        <v>8</v>
      </c>
      <c r="E2805" s="1" t="s">
        <v>8276</v>
      </c>
      <c r="F2805" s="1" t="str">
        <f>IFERROR(__xludf.DUMMYFUNCTION("GOOGLETRANSLATE(A2805, ""zh-CN"", ""ko"")"),"시간 여행")</f>
        <v>시간 여행</v>
      </c>
    </row>
    <row r="2806" ht="15.75" customHeight="1">
      <c r="A2806" s="1" t="s">
        <v>8277</v>
      </c>
      <c r="B2806" s="1">
        <v>6.0</v>
      </c>
      <c r="C2806" s="1" t="s">
        <v>8278</v>
      </c>
      <c r="D2806" s="1" t="s">
        <v>16</v>
      </c>
      <c r="E2806" s="1" t="s">
        <v>8279</v>
      </c>
      <c r="F2806" s="1" t="str">
        <f>IFERROR(__xludf.DUMMYFUNCTION("GOOGLETRANSLATE(A2806, ""zh-CN"", ""ko"")"),"배")</f>
        <v>배</v>
      </c>
    </row>
    <row r="2807" ht="15.75" customHeight="1">
      <c r="A2807" s="1" t="s">
        <v>8280</v>
      </c>
      <c r="B2807" s="1">
        <v>6.0</v>
      </c>
      <c r="C2807" s="1" t="s">
        <v>8281</v>
      </c>
      <c r="D2807" s="1" t="s">
        <v>8</v>
      </c>
      <c r="E2807" s="1" t="s">
        <v>8282</v>
      </c>
      <c r="F2807" s="1" t="str">
        <f>IFERROR(__xludf.DUMMYFUNCTION("GOOGLETRANSLATE(A2807, ""zh-CN"", ""ko"")"),"전달하다")</f>
        <v>전달하다</v>
      </c>
    </row>
    <row r="2808" ht="15.75" customHeight="1">
      <c r="A2808" s="1" t="s">
        <v>8283</v>
      </c>
      <c r="B2808" s="1">
        <v>6.0</v>
      </c>
      <c r="C2808" s="1" t="s">
        <v>8284</v>
      </c>
      <c r="D2808" s="1" t="s">
        <v>16</v>
      </c>
      <c r="E2808" s="1" t="s">
        <v>8285</v>
      </c>
      <c r="F2808" s="1" t="str">
        <f>IFERROR(__xludf.DUMMYFUNCTION("GOOGLETRANSLATE(A2808, ""zh-CN"", ""ko"")"),"전단지")</f>
        <v>전단지</v>
      </c>
    </row>
    <row r="2809" ht="15.75" customHeight="1">
      <c r="A2809" s="1" t="s">
        <v>8286</v>
      </c>
      <c r="B2809" s="1">
        <v>6.0</v>
      </c>
      <c r="C2809" s="1" t="s">
        <v>8287</v>
      </c>
      <c r="D2809" s="1" t="s">
        <v>8</v>
      </c>
      <c r="E2809" s="1" t="s">
        <v>8288</v>
      </c>
      <c r="F2809" s="1" t="str">
        <f>IFERROR(__xludf.DUMMYFUNCTION("GOOGLETRANSLATE(A2809, ""zh-CN"", ""ko"")"),"가르치다")</f>
        <v>가르치다</v>
      </c>
    </row>
    <row r="2810" ht="15.75" customHeight="1">
      <c r="A2810" s="1" t="s">
        <v>8289</v>
      </c>
      <c r="B2810" s="1">
        <v>6.0</v>
      </c>
      <c r="C2810" s="1" t="s">
        <v>8290</v>
      </c>
      <c r="D2810" s="1" t="s">
        <v>8</v>
      </c>
      <c r="E2810" s="1" t="s">
        <v>8291</v>
      </c>
      <c r="F2810" s="1" t="str">
        <f>IFERROR(__xludf.DUMMYFUNCTION("GOOGLETRANSLATE(A2810, ""zh-CN"", ""ko"")"),"바지")</f>
        <v>바지</v>
      </c>
    </row>
    <row r="2811" ht="15.75" customHeight="1">
      <c r="A2811" s="1" t="s">
        <v>8292</v>
      </c>
      <c r="B2811" s="1">
        <v>6.0</v>
      </c>
      <c r="C2811" s="1" t="s">
        <v>8293</v>
      </c>
      <c r="D2811" s="1" t="s">
        <v>26</v>
      </c>
      <c r="E2811" s="1" t="s">
        <v>8294</v>
      </c>
      <c r="F2811" s="1" t="str">
        <f>IFERROR(__xludf.DUMMYFUNCTION("GOOGLETRANSLATE(A2811, ""zh-CN"", ""ko"")"),"끈")</f>
        <v>끈</v>
      </c>
    </row>
    <row r="2812" ht="15.75" customHeight="1">
      <c r="A2812" s="1" t="s">
        <v>8295</v>
      </c>
      <c r="B2812" s="1">
        <v>6.0</v>
      </c>
      <c r="C2812" s="1" t="s">
        <v>8296</v>
      </c>
      <c r="D2812" s="1" t="s">
        <v>16</v>
      </c>
      <c r="E2812" s="1" t="s">
        <v>8297</v>
      </c>
      <c r="F2812" s="1" t="str">
        <f>IFERROR(__xludf.DUMMYFUNCTION("GOOGLETRANSLATE(A2812, ""zh-CN"", ""ko"")"),"시트")</f>
        <v>시트</v>
      </c>
    </row>
    <row r="2813" ht="15.75" customHeight="1">
      <c r="A2813" s="1" t="s">
        <v>8298</v>
      </c>
      <c r="B2813" s="1">
        <v>6.0</v>
      </c>
      <c r="C2813" s="1" t="s">
        <v>8299</v>
      </c>
      <c r="D2813" s="1" t="s">
        <v>8</v>
      </c>
      <c r="E2813" s="1" t="s">
        <v>8300</v>
      </c>
      <c r="F2813" s="1" t="str">
        <f>IFERROR(__xludf.DUMMYFUNCTION("GOOGLETRANSLATE(A2813, ""zh-CN"", ""ko"")"),"설립")</f>
        <v>설립</v>
      </c>
    </row>
    <row r="2814" ht="15.75" customHeight="1">
      <c r="A2814" s="1" t="s">
        <v>8301</v>
      </c>
      <c r="B2814" s="1">
        <v>6.0</v>
      </c>
      <c r="C2814" s="1" t="s">
        <v>8302</v>
      </c>
      <c r="D2814" s="1" t="s">
        <v>8</v>
      </c>
      <c r="E2814" s="1" t="s">
        <v>8303</v>
      </c>
      <c r="F2814" s="1" t="str">
        <f>IFERROR(__xludf.DUMMYFUNCTION("GOOGLETRANSLATE(A2814, ""zh-CN"", ""ko"")"),"혁신")</f>
        <v>혁신</v>
      </c>
    </row>
    <row r="2815" ht="15.75" customHeight="1">
      <c r="A2815" s="1" t="s">
        <v>8304</v>
      </c>
      <c r="B2815" s="1">
        <v>6.0</v>
      </c>
      <c r="C2815" s="1" t="s">
        <v>8305</v>
      </c>
      <c r="D2815" s="1" t="s">
        <v>8</v>
      </c>
      <c r="E2815" s="1" t="s">
        <v>8306</v>
      </c>
      <c r="F2815" s="1" t="str">
        <f>IFERROR(__xludf.DUMMYFUNCTION("GOOGLETRANSLATE(A2815, ""zh-CN"", ""ko"")"),"창업")</f>
        <v>창업</v>
      </c>
    </row>
    <row r="2816" ht="15.75" customHeight="1">
      <c r="A2816" s="1" t="s">
        <v>8307</v>
      </c>
      <c r="B2816" s="1">
        <v>6.0</v>
      </c>
      <c r="C2816" s="1" t="s">
        <v>8308</v>
      </c>
      <c r="D2816" s="1" t="s">
        <v>8</v>
      </c>
      <c r="E2816" s="1" t="s">
        <v>8309</v>
      </c>
      <c r="F2816" s="1" t="str">
        <f>IFERROR(__xludf.DUMMYFUNCTION("GOOGLETRANSLATE(A2816, ""zh-CN"", ""ko"")"),"창조")</f>
        <v>창조</v>
      </c>
    </row>
    <row r="2817" ht="15.75" customHeight="1">
      <c r="A2817" s="1" t="s">
        <v>8310</v>
      </c>
      <c r="B2817" s="1">
        <v>6.0</v>
      </c>
      <c r="C2817" s="1" t="s">
        <v>8311</v>
      </c>
      <c r="D2817" s="1" t="s">
        <v>8</v>
      </c>
      <c r="E2817" s="1" t="s">
        <v>8312</v>
      </c>
      <c r="F2817" s="1" t="str">
        <f>IFERROR(__xludf.DUMMYFUNCTION("GOOGLETRANSLATE(A2817, ""zh-CN"", ""ko"")"),"자랑")</f>
        <v>자랑</v>
      </c>
    </row>
    <row r="2818" ht="15.75" customHeight="1">
      <c r="A2818" s="1" t="s">
        <v>8313</v>
      </c>
      <c r="B2818" s="1">
        <v>6.0</v>
      </c>
      <c r="C2818" s="1" t="s">
        <v>8314</v>
      </c>
      <c r="D2818" s="1" t="s">
        <v>8</v>
      </c>
      <c r="E2818" s="1" t="s">
        <v>8315</v>
      </c>
      <c r="F2818" s="1" t="str">
        <f>IFERROR(__xludf.DUMMYFUNCTION("GOOGLETRANSLATE(A2818, ""zh-CN"", ""ko"")"),"칭찬")</f>
        <v>칭찬</v>
      </c>
    </row>
    <row r="2819" ht="15.75" customHeight="1">
      <c r="A2819" s="1" t="s">
        <v>8316</v>
      </c>
      <c r="B2819" s="1">
        <v>6.0</v>
      </c>
      <c r="C2819" s="1" t="s">
        <v>8317</v>
      </c>
      <c r="D2819" s="1" t="s">
        <v>16</v>
      </c>
      <c r="E2819" s="1" t="s">
        <v>8318</v>
      </c>
      <c r="F2819" s="1" t="str">
        <f>IFERROR(__xludf.DUMMYFUNCTION("GOOGLETRANSLATE(A2819, ""zh-CN"", ""ko"")"),"요리용 연기")</f>
        <v>요리용 연기</v>
      </c>
    </row>
    <row r="2820" ht="15.75" customHeight="1">
      <c r="A2820" s="1" t="s">
        <v>8319</v>
      </c>
      <c r="B2820" s="1">
        <v>6.0</v>
      </c>
      <c r="C2820" s="1" t="s">
        <v>8320</v>
      </c>
      <c r="D2820" s="1" t="s">
        <v>8</v>
      </c>
      <c r="E2820" s="1" t="s">
        <v>8321</v>
      </c>
      <c r="F2820" s="1" t="str">
        <f>IFERROR(__xludf.DUMMYFUNCTION("GOOGLETRANSLATE(A2820, ""zh-CN"", ""ko"")"),"망치")</f>
        <v>망치</v>
      </c>
    </row>
    <row r="2821" ht="15.75" customHeight="1">
      <c r="A2821" s="1" t="s">
        <v>8322</v>
      </c>
      <c r="B2821" s="1">
        <v>6.0</v>
      </c>
      <c r="C2821" s="1" t="s">
        <v>8323</v>
      </c>
      <c r="D2821" s="1" t="s">
        <v>8</v>
      </c>
      <c r="E2821" s="1" t="s">
        <v>8324</v>
      </c>
      <c r="F2821" s="1" t="str">
        <f>IFERROR(__xludf.DUMMYFUNCTION("GOOGLETRANSLATE(A2821, ""zh-CN"", ""ko"")"),"수직의")</f>
        <v>수직의</v>
      </c>
    </row>
    <row r="2822" ht="15.75" customHeight="1">
      <c r="A2822" s="1" t="s">
        <v>8325</v>
      </c>
      <c r="B2822" s="1">
        <v>6.0</v>
      </c>
      <c r="C2822" s="1" t="s">
        <v>8326</v>
      </c>
      <c r="D2822" s="1" t="s">
        <v>33</v>
      </c>
      <c r="E2822" s="1" t="s">
        <v>8327</v>
      </c>
      <c r="F2822" s="1" t="str">
        <f>IFERROR(__xludf.DUMMYFUNCTION("GOOGLETRANSLATE(A2822, ""zh-CN"", ""ko"")"),"전혀")</f>
        <v>전혀</v>
      </c>
    </row>
    <row r="2823" ht="15.75" customHeight="1">
      <c r="A2823" s="1" t="s">
        <v>8328</v>
      </c>
      <c r="B2823" s="1">
        <v>6.0</v>
      </c>
      <c r="C2823" s="1" t="s">
        <v>8329</v>
      </c>
      <c r="D2823" s="1" t="s">
        <v>52</v>
      </c>
      <c r="E2823" s="1" t="s">
        <v>8330</v>
      </c>
      <c r="F2823" s="1" t="str">
        <f>IFERROR(__xludf.DUMMYFUNCTION("GOOGLETRANSLATE(A2823, ""zh-CN"", ""ko"")"),"순수한")</f>
        <v>순수한</v>
      </c>
    </row>
    <row r="2824" ht="15.75" customHeight="1">
      <c r="A2824" s="1" t="s">
        <v>8331</v>
      </c>
      <c r="B2824" s="1">
        <v>6.0</v>
      </c>
      <c r="C2824" s="1" t="s">
        <v>8332</v>
      </c>
      <c r="D2824" s="1" t="s">
        <v>16</v>
      </c>
      <c r="E2824" s="1" t="s">
        <v>8333</v>
      </c>
      <c r="F2824" s="1" t="str">
        <f>IFERROR(__xludf.DUMMYFUNCTION("GOOGLETRANSLATE(A2824, ""zh-CN"", ""ko"")"),"자석 테이프")</f>
        <v>자석 테이프</v>
      </c>
    </row>
    <row r="2825" ht="15.75" customHeight="1">
      <c r="A2825" s="1" t="s">
        <v>8334</v>
      </c>
      <c r="B2825" s="1">
        <v>6.0</v>
      </c>
      <c r="C2825" s="1" t="s">
        <v>8335</v>
      </c>
      <c r="D2825" s="1" t="s">
        <v>16</v>
      </c>
      <c r="E2825" s="1" t="s">
        <v>8336</v>
      </c>
      <c r="F2825" s="1" t="str">
        <f>IFERROR(__xludf.DUMMYFUNCTION("GOOGLETRANSLATE(A2825, ""zh-CN"", ""ko"")"),"자비로운")</f>
        <v>자비로운</v>
      </c>
    </row>
    <row r="2826" ht="15.75" customHeight="1">
      <c r="A2826" s="1" t="s">
        <v>8337</v>
      </c>
      <c r="B2826" s="1">
        <v>6.0</v>
      </c>
      <c r="C2826" s="1" t="s">
        <v>8338</v>
      </c>
      <c r="D2826" s="1" t="s">
        <v>52</v>
      </c>
      <c r="E2826" s="1" t="s">
        <v>8339</v>
      </c>
      <c r="F2826" s="1" t="str">
        <f>IFERROR(__xludf.DUMMYFUNCTION("GOOGLETRANSLATE(A2826, ""zh-CN"", ""ko"")"),"친절한")</f>
        <v>친절한</v>
      </c>
    </row>
    <row r="2827" ht="15.75" customHeight="1">
      <c r="A2827" s="1" t="s">
        <v>8340</v>
      </c>
      <c r="B2827" s="1">
        <v>6.0</v>
      </c>
      <c r="C2827" s="1" t="s">
        <v>8341</v>
      </c>
      <c r="D2827" s="1" t="s">
        <v>16</v>
      </c>
      <c r="E2827" s="1" t="s">
        <v>8342</v>
      </c>
      <c r="F2827" s="1" t="str">
        <f>IFERROR(__xludf.DUMMYFUNCTION("GOOGLETRANSLATE(A2827, ""zh-CN"", ""ko"")"),"남성과 여성")</f>
        <v>남성과 여성</v>
      </c>
    </row>
    <row r="2828" ht="15.75" customHeight="1">
      <c r="A2828" s="1" t="s">
        <v>8343</v>
      </c>
      <c r="B2828" s="1">
        <v>6.0</v>
      </c>
      <c r="C2828" s="1" t="s">
        <v>507</v>
      </c>
      <c r="D2828" s="1" t="s">
        <v>8</v>
      </c>
      <c r="E2828" s="1" t="s">
        <v>8344</v>
      </c>
      <c r="F2828" s="1" t="str">
        <f>IFERROR(__xludf.DUMMYFUNCTION("GOOGLETRANSLATE(A2828, ""zh-CN"", ""ko"")"),"찌르기")</f>
        <v>찌르기</v>
      </c>
    </row>
    <row r="2829" ht="15.75" customHeight="1">
      <c r="A2829" s="1" t="s">
        <v>8345</v>
      </c>
      <c r="B2829" s="1">
        <v>6.0</v>
      </c>
      <c r="C2829" s="1" t="s">
        <v>8346</v>
      </c>
      <c r="D2829" s="1" t="s">
        <v>8</v>
      </c>
      <c r="E2829" s="1" t="s">
        <v>8347</v>
      </c>
      <c r="F2829" s="1" t="str">
        <f>IFERROR(__xludf.DUMMYFUNCTION("GOOGLETRANSLATE(A2829, ""zh-CN"", ""ko"")"),"제공하다")</f>
        <v>제공하다</v>
      </c>
    </row>
    <row r="2830" ht="15.75" customHeight="1">
      <c r="A2830" s="1" t="s">
        <v>8348</v>
      </c>
      <c r="B2830" s="1">
        <v>6.0</v>
      </c>
      <c r="C2830" s="1" t="s">
        <v>8349</v>
      </c>
      <c r="D2830" s="1" t="s">
        <v>16</v>
      </c>
      <c r="E2830" s="1" t="s">
        <v>8350</v>
      </c>
      <c r="F2830" s="1" t="str">
        <f>IFERROR(__xludf.DUMMYFUNCTION("GOOGLETRANSLATE(A2830, ""zh-CN"", ""ko"")"),"불량품")</f>
        <v>불량품</v>
      </c>
    </row>
    <row r="2831" ht="15.75" customHeight="1">
      <c r="A2831" s="1" t="s">
        <v>8351</v>
      </c>
      <c r="B2831" s="1">
        <v>6.0</v>
      </c>
      <c r="C2831" s="1" t="s">
        <v>8352</v>
      </c>
      <c r="D2831" s="1" t="s">
        <v>16</v>
      </c>
      <c r="E2831" s="1" t="s">
        <v>8353</v>
      </c>
      <c r="F2831" s="1" t="str">
        <f>IFERROR(__xludf.DUMMYFUNCTION("GOOGLETRANSLATE(A2831, ""zh-CN"", ""ko"")"),"주문하다")</f>
        <v>주문하다</v>
      </c>
    </row>
    <row r="2832" ht="15.75" customHeight="1">
      <c r="A2832" s="1" t="s">
        <v>8354</v>
      </c>
      <c r="B2832" s="1">
        <v>6.0</v>
      </c>
      <c r="C2832" s="1" t="s">
        <v>510</v>
      </c>
      <c r="D2832" s="1" t="s">
        <v>26</v>
      </c>
      <c r="E2832" s="1" t="s">
        <v>8355</v>
      </c>
      <c r="F2832" s="1" t="str">
        <f>IFERROR(__xludf.DUMMYFUNCTION("GOOGLETRANSLATE(A2832, ""zh-CN"", ""ko"")"),"콩")</f>
        <v>콩</v>
      </c>
    </row>
    <row r="2833" ht="15.75" customHeight="1">
      <c r="A2833" s="1" t="s">
        <v>8356</v>
      </c>
      <c r="B2833" s="1">
        <v>6.0</v>
      </c>
      <c r="C2833" s="1" t="s">
        <v>8357</v>
      </c>
      <c r="D2833" s="1" t="s">
        <v>52</v>
      </c>
      <c r="E2833" s="1" t="s">
        <v>8358</v>
      </c>
      <c r="F2833" s="1" t="str">
        <f>IFERROR(__xludf.DUMMYFUNCTION("GOOGLETRANSLATE(A2833, ""zh-CN"", ""ko"")"),"침착한")</f>
        <v>침착한</v>
      </c>
    </row>
    <row r="2834" ht="15.75" customHeight="1">
      <c r="A2834" s="1" t="s">
        <v>8359</v>
      </c>
      <c r="B2834" s="1">
        <v>6.0</v>
      </c>
      <c r="C2834" s="1" t="s">
        <v>8360</v>
      </c>
      <c r="D2834" s="1" t="s">
        <v>8</v>
      </c>
      <c r="E2834" s="1" t="s">
        <v>8361</v>
      </c>
      <c r="F2834" s="1" t="str">
        <f>IFERROR(__xludf.DUMMYFUNCTION("GOOGLETRANSLATE(A2834, ""zh-CN"", ""ko"")"),"즉흥적으로 하다")</f>
        <v>즉흥적으로 하다</v>
      </c>
    </row>
    <row r="2835" ht="15.75" customHeight="1">
      <c r="A2835" s="1" t="s">
        <v>8362</v>
      </c>
      <c r="B2835" s="1">
        <v>6.0</v>
      </c>
      <c r="C2835" s="1" t="s">
        <v>8363</v>
      </c>
      <c r="D2835" s="1" t="s">
        <v>52</v>
      </c>
      <c r="E2835" s="1" t="s">
        <v>8364</v>
      </c>
      <c r="F2835" s="1" t="str">
        <f>IFERROR(__xludf.DUMMYFUNCTION("GOOGLETRANSLATE(A2835, ""zh-CN"", ""ko"")"),"무례한")</f>
        <v>무례한</v>
      </c>
    </row>
    <row r="2836" ht="15.75" customHeight="1">
      <c r="A2836" s="1" t="s">
        <v>8365</v>
      </c>
      <c r="B2836" s="1">
        <v>6.0</v>
      </c>
      <c r="C2836" s="1" t="s">
        <v>8366</v>
      </c>
      <c r="D2836" s="1" t="s">
        <v>8</v>
      </c>
      <c r="E2836" s="1" t="s">
        <v>8367</v>
      </c>
      <c r="F2836" s="1" t="str">
        <f>IFERROR(__xludf.DUMMYFUNCTION("GOOGLETRANSLATE(A2836, ""zh-CN"", ""ko"")"),"다팅")</f>
        <v>다팅</v>
      </c>
    </row>
    <row r="2837" ht="15.75" customHeight="1">
      <c r="A2837" s="1" t="s">
        <v>8368</v>
      </c>
      <c r="B2837" s="1">
        <v>6.0</v>
      </c>
      <c r="C2837" s="1" t="s">
        <v>8369</v>
      </c>
      <c r="D2837" s="1" t="s">
        <v>8</v>
      </c>
      <c r="E2837" s="1" t="s">
        <v>8370</v>
      </c>
      <c r="F2837" s="1" t="str">
        <f>IFERROR(__xludf.DUMMYFUNCTION("GOOGLETRANSLATE(A2837, ""zh-CN"", ""ko"")"),"파괴")</f>
        <v>파괴</v>
      </c>
    </row>
    <row r="2838" ht="15.75" customHeight="1">
      <c r="A2838" s="1" t="s">
        <v>8371</v>
      </c>
      <c r="B2838" s="1">
        <v>6.0</v>
      </c>
      <c r="C2838" s="1" t="s">
        <v>8372</v>
      </c>
      <c r="D2838" s="1" t="s">
        <v>52</v>
      </c>
      <c r="E2838" s="1" t="s">
        <v>8373</v>
      </c>
      <c r="F2838" s="1" t="str">
        <f>IFERROR(__xludf.DUMMYFUNCTION("GOOGLETRANSLATE(A2838, ""zh-CN"", ""ko"")"),"부서지기 쉬운")</f>
        <v>부서지기 쉬운</v>
      </c>
    </row>
    <row r="2839" ht="15.75" customHeight="1">
      <c r="A2839" s="1" t="s">
        <v>8374</v>
      </c>
      <c r="B2839" s="1">
        <v>6.0</v>
      </c>
      <c r="C2839" s="1" t="s">
        <v>8375</v>
      </c>
      <c r="D2839" s="1" t="s">
        <v>8</v>
      </c>
      <c r="E2839" s="1" t="s">
        <v>8376</v>
      </c>
      <c r="F2839" s="1" t="str">
        <f>IFERROR(__xludf.DUMMYFUNCTION("GOOGLETRANSLATE(A2839, ""zh-CN"", ""ko"")"),"트위스트")</f>
        <v>트위스트</v>
      </c>
    </row>
    <row r="2840" ht="15.75" customHeight="1">
      <c r="A2840" s="1" t="s">
        <v>8377</v>
      </c>
      <c r="B2840" s="1">
        <v>6.0</v>
      </c>
      <c r="C2840" s="1" t="s">
        <v>8378</v>
      </c>
      <c r="D2840" s="1" t="s">
        <v>8</v>
      </c>
      <c r="E2840" s="1" t="s">
        <v>8379</v>
      </c>
      <c r="F2840" s="1" t="str">
        <f>IFERROR(__xludf.DUMMYFUNCTION("GOOGLETRANSLATE(A2840, ""zh-CN"", ""ko"")"),"상의")</f>
        <v>상의</v>
      </c>
    </row>
    <row r="2841" ht="15.75" customHeight="1">
      <c r="A2841" s="1" t="s">
        <v>8380</v>
      </c>
      <c r="B2841" s="1">
        <v>6.0</v>
      </c>
      <c r="C2841" s="1" t="s">
        <v>8381</v>
      </c>
      <c r="D2841" s="1" t="s">
        <v>16</v>
      </c>
      <c r="E2841" s="1" t="s">
        <v>8382</v>
      </c>
      <c r="F2841" s="1" t="str">
        <f>IFERROR(__xludf.DUMMYFUNCTION("GOOGLETRANSLATE(A2841, ""zh-CN"", ""ko"")"),"좌절")</f>
        <v>좌절</v>
      </c>
    </row>
    <row r="2842" ht="15.75" customHeight="1">
      <c r="A2842" s="1" t="s">
        <v>8383</v>
      </c>
      <c r="B2842" s="1">
        <v>6.0</v>
      </c>
      <c r="C2842" s="1" t="s">
        <v>8384</v>
      </c>
      <c r="D2842" s="1" t="s">
        <v>8</v>
      </c>
      <c r="E2842" s="1" t="s">
        <v>8385</v>
      </c>
      <c r="F2842" s="1" t="str">
        <f>IFERROR(__xludf.DUMMYFUNCTION("GOOGLETRANSLATE(A2842, ""zh-CN"", ""ko"")"),"가져가다")</f>
        <v>가져가다</v>
      </c>
    </row>
    <row r="2843" ht="15.75" customHeight="1">
      <c r="A2843" s="1" t="s">
        <v>8386</v>
      </c>
      <c r="B2843" s="1">
        <v>6.0</v>
      </c>
      <c r="C2843" s="1" t="s">
        <v>8387</v>
      </c>
      <c r="D2843" s="1" t="s">
        <v>16</v>
      </c>
      <c r="E2843" s="1" t="s">
        <v>8388</v>
      </c>
      <c r="F2843" s="1" t="str">
        <f>IFERROR(__xludf.DUMMYFUNCTION("GOOGLETRANSLATE(A2843, ""zh-CN"", ""ko"")"),"파트너")</f>
        <v>파트너</v>
      </c>
    </row>
    <row r="2844" ht="15.75" customHeight="1">
      <c r="A2844" s="1" t="s">
        <v>8389</v>
      </c>
      <c r="B2844" s="1">
        <v>6.0</v>
      </c>
      <c r="C2844" s="1" t="s">
        <v>8390</v>
      </c>
      <c r="D2844" s="1" t="s">
        <v>8</v>
      </c>
      <c r="E2844" s="1" t="s">
        <v>8391</v>
      </c>
      <c r="F2844" s="1" t="str">
        <f>IFERROR(__xludf.DUMMYFUNCTION("GOOGLETRANSLATE(A2844, ""zh-CN"", ""ko"")"),"어울리는")</f>
        <v>어울리는</v>
      </c>
    </row>
    <row r="2845" ht="15.75" customHeight="1">
      <c r="A2845" s="1" t="s">
        <v>8392</v>
      </c>
      <c r="B2845" s="1">
        <v>6.0</v>
      </c>
      <c r="C2845" s="1" t="s">
        <v>8393</v>
      </c>
      <c r="D2845" s="1" t="s">
        <v>8</v>
      </c>
      <c r="E2845" s="1" t="s">
        <v>8394</v>
      </c>
      <c r="F2845" s="1" t="str">
        <f>IFERROR(__xludf.DUMMYFUNCTION("GOOGLETRANSLATE(A2845, ""zh-CN"", ""ko"")"),"회신하다")</f>
        <v>회신하다</v>
      </c>
    </row>
    <row r="2846" ht="15.75" customHeight="1">
      <c r="A2846" s="1" t="s">
        <v>8395</v>
      </c>
      <c r="B2846" s="1">
        <v>6.0</v>
      </c>
      <c r="C2846" s="1" t="s">
        <v>8396</v>
      </c>
      <c r="D2846" s="1" t="s">
        <v>8</v>
      </c>
      <c r="E2846" s="1" t="s">
        <v>8397</v>
      </c>
      <c r="F2846" s="1" t="str">
        <f>IFERROR(__xludf.DUMMYFUNCTION("GOOGLETRANSLATE(A2846, ""zh-CN"", ""ko"")"),"성취하다")</f>
        <v>성취하다</v>
      </c>
    </row>
    <row r="2847" ht="15.75" customHeight="1">
      <c r="A2847" s="1" t="s">
        <v>8398</v>
      </c>
      <c r="B2847" s="1">
        <v>6.0</v>
      </c>
      <c r="C2847" s="1" t="s">
        <v>8399</v>
      </c>
      <c r="D2847" s="1" t="s">
        <v>8</v>
      </c>
      <c r="E2847" s="1" t="s">
        <v>8400</v>
      </c>
      <c r="F2847" s="1" t="str">
        <f>IFERROR(__xludf.DUMMYFUNCTION("GOOGLETRANSLATE(A2847, ""zh-CN"", ""ko"")"),"회신하다")</f>
        <v>회신하다</v>
      </c>
    </row>
    <row r="2848" ht="15.75" customHeight="1">
      <c r="A2848" s="1" t="s">
        <v>8401</v>
      </c>
      <c r="B2848" s="1">
        <v>6.0</v>
      </c>
      <c r="C2848" s="1" t="s">
        <v>8402</v>
      </c>
      <c r="D2848" s="1" t="s">
        <v>8</v>
      </c>
      <c r="E2848" s="1" t="s">
        <v>8403</v>
      </c>
      <c r="F2848" s="1" t="str">
        <f>IFERROR(__xludf.DUMMYFUNCTION("GOOGLETRANSLATE(A2848, ""zh-CN"", ""ko"")"),"팩")</f>
        <v>팩</v>
      </c>
    </row>
    <row r="2849" ht="15.75" customHeight="1">
      <c r="A2849" s="1" t="s">
        <v>8404</v>
      </c>
      <c r="B2849" s="1">
        <v>6.0</v>
      </c>
      <c r="C2849" s="1" t="s">
        <v>8405</v>
      </c>
      <c r="E2849" s="1" t="s">
        <v>8406</v>
      </c>
      <c r="F2849" s="1" t="str">
        <f>IFERROR(__xludf.DUMMYFUNCTION("GOOGLETRANSLATE(A2849, ""zh-CN"", ""ko"")"),"소송")</f>
        <v>소송</v>
      </c>
    </row>
    <row r="2850" ht="15.75" customHeight="1">
      <c r="A2850" s="1" t="s">
        <v>8407</v>
      </c>
      <c r="B2850" s="1">
        <v>6.0</v>
      </c>
      <c r="C2850" s="1" t="s">
        <v>8408</v>
      </c>
      <c r="D2850" s="1" t="s">
        <v>8</v>
      </c>
      <c r="E2850" s="1" t="s">
        <v>8409</v>
      </c>
      <c r="F2850" s="1" t="str">
        <f>IFERROR(__xludf.DUMMYFUNCTION("GOOGLETRANSLATE(A2850, ""zh-CN"", ""ko"")"),"스트라이크")</f>
        <v>스트라이크</v>
      </c>
    </row>
    <row r="2851" ht="15.75" customHeight="1">
      <c r="A2851" s="1" t="s">
        <v>8410</v>
      </c>
      <c r="B2851" s="1">
        <v>6.0</v>
      </c>
      <c r="C2851" s="1" t="s">
        <v>8411</v>
      </c>
      <c r="D2851" s="1" t="s">
        <v>8</v>
      </c>
      <c r="E2851" s="1" t="s">
        <v>8412</v>
      </c>
      <c r="F2851" s="1" t="str">
        <f>IFERROR(__xludf.DUMMYFUNCTION("GOOGLETRANSLATE(A2851, ""zh-CN"", ""ko"")"),"싸움")</f>
        <v>싸움</v>
      </c>
    </row>
    <row r="2852" ht="15.75" customHeight="1">
      <c r="A2852" s="1" t="s">
        <v>8413</v>
      </c>
      <c r="B2852" s="1">
        <v>6.0</v>
      </c>
      <c r="C2852" s="1" t="s">
        <v>8414</v>
      </c>
      <c r="D2852" s="1" t="s">
        <v>8</v>
      </c>
      <c r="E2852" s="1" t="s">
        <v>8415</v>
      </c>
      <c r="F2852" s="1" t="str">
        <f>IFERROR(__xludf.DUMMYFUNCTION("GOOGLETRANSLATE(A2852, ""zh-CN"", ""ko"")"),"크기를 가늠하다")</f>
        <v>크기를 가늠하다</v>
      </c>
    </row>
    <row r="2853" ht="15.75" customHeight="1">
      <c r="A2853" s="1" t="s">
        <v>8416</v>
      </c>
      <c r="B2853" s="1">
        <v>6.0</v>
      </c>
      <c r="C2853" s="1" t="s">
        <v>8417</v>
      </c>
      <c r="D2853" s="1" t="s">
        <v>8</v>
      </c>
      <c r="E2853" s="1" t="s">
        <v>8418</v>
      </c>
      <c r="F2853" s="1" t="str">
        <f>IFERROR(__xludf.DUMMYFUNCTION("GOOGLETRANSLATE(A2853, ""zh-CN"", ""ko"")"),"사냥")</f>
        <v>사냥</v>
      </c>
    </row>
    <row r="2854" ht="15.75" customHeight="1">
      <c r="A2854" s="1" t="s">
        <v>8419</v>
      </c>
      <c r="B2854" s="1">
        <v>6.0</v>
      </c>
      <c r="C2854" s="1" t="s">
        <v>8420</v>
      </c>
      <c r="D2854" s="1" t="s">
        <v>8</v>
      </c>
      <c r="E2854" s="1" t="s">
        <v>8421</v>
      </c>
      <c r="F2854" s="1" t="str">
        <f>IFERROR(__xludf.DUMMYFUNCTION("GOOGLETRANSLATE(A2854, ""zh-CN"", ""ko"")"),"싸움")</f>
        <v>싸움</v>
      </c>
    </row>
    <row r="2855" ht="15.75" customHeight="1">
      <c r="A2855" s="1" t="s">
        <v>8422</v>
      </c>
      <c r="B2855" s="1">
        <v>6.0</v>
      </c>
      <c r="C2855" s="1" t="s">
        <v>8423</v>
      </c>
      <c r="D2855" s="1" t="s">
        <v>33</v>
      </c>
      <c r="E2855" s="1" t="s">
        <v>8424</v>
      </c>
      <c r="F2855" s="1" t="str">
        <f>IFERROR(__xludf.DUMMYFUNCTION("GOOGLETRANSLATE(A2855, ""zh-CN"", ""ko"")"),"아무리 나빠도")</f>
        <v>아무리 나빠도</v>
      </c>
    </row>
    <row r="2856" ht="15.75" customHeight="1">
      <c r="A2856" s="1" t="s">
        <v>8425</v>
      </c>
      <c r="B2856" s="1">
        <v>6.0</v>
      </c>
      <c r="C2856" s="1" t="s">
        <v>8426</v>
      </c>
      <c r="D2856" s="1" t="s">
        <v>16</v>
      </c>
      <c r="E2856" s="1" t="s">
        <v>8427</v>
      </c>
      <c r="F2856" s="1" t="str">
        <f>IFERROR(__xludf.DUMMYFUNCTION("GOOGLETRANSLATE(A2856, ""zh-CN"", ""ko"")"),"장관")</f>
        <v>장관</v>
      </c>
    </row>
    <row r="2857" ht="15.75" customHeight="1">
      <c r="A2857" s="1" t="s">
        <v>8428</v>
      </c>
      <c r="B2857" s="1">
        <v>6.0</v>
      </c>
      <c r="C2857" s="1" t="s">
        <v>8429</v>
      </c>
      <c r="D2857" s="1" t="s">
        <v>16</v>
      </c>
      <c r="E2857" s="1" t="s">
        <v>8430</v>
      </c>
      <c r="F2857" s="1" t="str">
        <f>IFERROR(__xludf.DUMMYFUNCTION("GOOGLETRANSLATE(A2857, ""zh-CN"", ""ko"")"),"모든 사람")</f>
        <v>모든 사람</v>
      </c>
    </row>
    <row r="2858" ht="15.75" customHeight="1">
      <c r="A2858" s="1" t="s">
        <v>8431</v>
      </c>
      <c r="B2858" s="1">
        <v>6.0</v>
      </c>
      <c r="C2858" s="1" t="s">
        <v>8432</v>
      </c>
      <c r="D2858" s="1" t="s">
        <v>33</v>
      </c>
      <c r="E2858" s="1" t="s">
        <v>8433</v>
      </c>
      <c r="F2858" s="1" t="str">
        <f>IFERROR(__xludf.DUMMYFUNCTION("GOOGLETRANSLATE(A2858, ""zh-CN"", ""ko"")"),"맹렬한")</f>
        <v>맹렬한</v>
      </c>
    </row>
    <row r="2859" ht="15.75" customHeight="1">
      <c r="A2859" s="1" t="s">
        <v>8434</v>
      </c>
      <c r="B2859" s="1">
        <v>6.0</v>
      </c>
      <c r="C2859" s="1" t="s">
        <v>8435</v>
      </c>
      <c r="D2859" s="1" t="s">
        <v>33</v>
      </c>
      <c r="E2859" s="1" t="s">
        <v>8436</v>
      </c>
      <c r="F2859" s="1" t="str">
        <f>IFERROR(__xludf.DUMMYFUNCTION("GOOGLETRANSLATE(A2859, ""zh-CN"", ""ko"")"),"일반적으로")</f>
        <v>일반적으로</v>
      </c>
    </row>
    <row r="2860" ht="15.75" customHeight="1">
      <c r="A2860" s="1" t="s">
        <v>8437</v>
      </c>
      <c r="B2860" s="1">
        <v>6.0</v>
      </c>
      <c r="C2860" s="1" t="s">
        <v>8438</v>
      </c>
      <c r="D2860" s="1" t="s">
        <v>52</v>
      </c>
      <c r="E2860" s="1" t="s">
        <v>8439</v>
      </c>
      <c r="F2860" s="1" t="str">
        <f>IFERROR(__xludf.DUMMYFUNCTION("GOOGLETRANSLATE(A2860, ""zh-CN"", ""ko"")"),"핵심 아이디어")</f>
        <v>핵심 아이디어</v>
      </c>
    </row>
    <row r="2861" ht="15.75" customHeight="1">
      <c r="A2861" s="1" t="s">
        <v>8440</v>
      </c>
      <c r="B2861" s="1">
        <v>6.0</v>
      </c>
      <c r="C2861" s="1" t="s">
        <v>8441</v>
      </c>
      <c r="D2861" s="1" t="s">
        <v>1994</v>
      </c>
      <c r="E2861" s="1" t="s">
        <v>8442</v>
      </c>
      <c r="F2861" s="1" t="str">
        <f>IFERROR(__xludf.DUMMYFUNCTION("GOOGLETRANSLATE(A2861, ""zh-CN"", ""ko"")"),"약")</f>
        <v>약</v>
      </c>
    </row>
    <row r="2862" ht="15.75" customHeight="1">
      <c r="A2862" s="1" t="s">
        <v>8443</v>
      </c>
      <c r="B2862" s="1">
        <v>6.0</v>
      </c>
      <c r="C2862" s="1" t="s">
        <v>8444</v>
      </c>
      <c r="D2862" s="1" t="s">
        <v>16</v>
      </c>
      <c r="E2862" s="1" t="s">
        <v>8445</v>
      </c>
      <c r="F2862" s="1" t="str">
        <f>IFERROR(__xludf.DUMMYFUNCTION("GOOGLETRANSLATE(A2862, ""zh-CN"", ""ko"")"),"폭력배들")</f>
        <v>폭력배들</v>
      </c>
    </row>
    <row r="2863" ht="15.75" customHeight="1">
      <c r="A2863" s="1" t="s">
        <v>8446</v>
      </c>
      <c r="B2863" s="1">
        <v>6.0</v>
      </c>
      <c r="C2863" s="1" t="s">
        <v>8447</v>
      </c>
      <c r="D2863" s="1" t="s">
        <v>8</v>
      </c>
      <c r="E2863" s="1" t="s">
        <v>8448</v>
      </c>
      <c r="F2863" s="1" t="str">
        <f>IFERROR(__xludf.DUMMYFUNCTION("GOOGLETRANSLATE(A2863, ""zh-CN"", ""ko"")"),"체포")</f>
        <v>체포</v>
      </c>
    </row>
    <row r="2864" ht="15.75" customHeight="1">
      <c r="A2864" s="1" t="s">
        <v>8449</v>
      </c>
      <c r="B2864" s="1">
        <v>6.0</v>
      </c>
      <c r="C2864" s="1" t="s">
        <v>8450</v>
      </c>
      <c r="D2864" s="1" t="s">
        <v>16</v>
      </c>
      <c r="E2864" s="1" t="s">
        <v>8451</v>
      </c>
      <c r="F2864" s="1" t="str">
        <f>IFERROR(__xludf.DUMMYFUNCTION("GOOGLETRANSLATE(A2864, ""zh-CN"", ""ko"")"),"비용")</f>
        <v>비용</v>
      </c>
    </row>
    <row r="2865" ht="15.75" customHeight="1">
      <c r="A2865" s="1" t="s">
        <v>8452</v>
      </c>
      <c r="B2865" s="1">
        <v>6.0</v>
      </c>
      <c r="C2865" s="1" t="s">
        <v>8453</v>
      </c>
      <c r="D2865" s="1" t="s">
        <v>8</v>
      </c>
      <c r="E2865" s="1" t="s">
        <v>8454</v>
      </c>
      <c r="F2865" s="1" t="str">
        <f>IFERROR(__xludf.DUMMYFUNCTION("GOOGLETRANSLATE(A2865, ""zh-CN"", ""ko"")"),"연기")</f>
        <v>연기</v>
      </c>
    </row>
    <row r="2866" ht="15.75" customHeight="1">
      <c r="A2866" s="1" t="s">
        <v>8455</v>
      </c>
      <c r="B2866" s="1">
        <v>6.0</v>
      </c>
      <c r="C2866" s="1" t="s">
        <v>8456</v>
      </c>
      <c r="D2866" s="1" t="s">
        <v>8</v>
      </c>
      <c r="E2866" s="1" t="s">
        <v>8457</v>
      </c>
      <c r="F2866" s="1" t="str">
        <f>IFERROR(__xludf.DUMMYFUNCTION("GOOGLETRANSLATE(A2866, ""zh-CN"", ""ko"")"),"선두")</f>
        <v>선두</v>
      </c>
    </row>
    <row r="2867" ht="15.75" customHeight="1">
      <c r="A2867" s="1" t="s">
        <v>8458</v>
      </c>
      <c r="B2867" s="1">
        <v>6.0</v>
      </c>
      <c r="C2867" s="1" t="s">
        <v>8459</v>
      </c>
      <c r="D2867" s="1" t="s">
        <v>8</v>
      </c>
      <c r="E2867" s="1" t="s">
        <v>8460</v>
      </c>
      <c r="F2867" s="1" t="str">
        <f>IFERROR(__xludf.DUMMYFUNCTION("GOOGLETRANSLATE(A2867, ""zh-CN"", ""ko"")"),"소홀히 하다")</f>
        <v>소홀히 하다</v>
      </c>
    </row>
    <row r="2868" ht="15.75" customHeight="1">
      <c r="A2868" s="1" t="s">
        <v>8461</v>
      </c>
      <c r="B2868" s="1">
        <v>6.0</v>
      </c>
      <c r="C2868" s="1" t="s">
        <v>8462</v>
      </c>
      <c r="D2868" s="1" t="s">
        <v>8</v>
      </c>
      <c r="E2868" s="1" t="s">
        <v>8463</v>
      </c>
      <c r="F2868" s="1" t="str">
        <f>IFERROR(__xludf.DUMMYFUNCTION("GOOGLETRANSLATE(A2868, ""zh-CN"", ""ko"")"),"보장하다")</f>
        <v>보장하다</v>
      </c>
    </row>
    <row r="2869" ht="15.75" customHeight="1">
      <c r="A2869" s="1" t="s">
        <v>8464</v>
      </c>
      <c r="B2869" s="1">
        <v>6.0</v>
      </c>
      <c r="C2869" s="1" t="s">
        <v>8465</v>
      </c>
      <c r="D2869" s="1" t="s">
        <v>52</v>
      </c>
      <c r="E2869" s="1" t="s">
        <v>8466</v>
      </c>
      <c r="F2869" s="1" t="str">
        <f>IFERROR(__xludf.DUMMYFUNCTION("GOOGLETRANSLATE(A2869, ""zh-CN"", ""ko"")"),"소심한")</f>
        <v>소심한</v>
      </c>
    </row>
    <row r="2870" ht="15.75" customHeight="1">
      <c r="A2870" s="1" t="s">
        <v>8467</v>
      </c>
      <c r="B2870" s="1">
        <v>6.0</v>
      </c>
      <c r="C2870" s="1" t="s">
        <v>8468</v>
      </c>
      <c r="D2870" s="1" t="s">
        <v>16</v>
      </c>
      <c r="E2870" s="1" t="s">
        <v>8469</v>
      </c>
      <c r="F2870" s="1" t="str">
        <f>IFERROR(__xludf.DUMMYFUNCTION("GOOGLETRANSLATE(A2870, ""zh-CN"", ""ko"")"),"단백질")</f>
        <v>단백질</v>
      </c>
    </row>
    <row r="2871" ht="15.75" customHeight="1">
      <c r="A2871" s="1" t="s">
        <v>8470</v>
      </c>
      <c r="B2871" s="1">
        <v>6.0</v>
      </c>
      <c r="C2871" s="1" t="s">
        <v>8471</v>
      </c>
      <c r="D2871" s="1" t="s">
        <v>16</v>
      </c>
      <c r="E2871" s="1" t="s">
        <v>744</v>
      </c>
      <c r="F2871" s="1" t="str">
        <f>IFERROR(__xludf.DUMMYFUNCTION("GOOGLETRANSLATE(A2871, ""zh-CN"", ""ko"")"),"생일")</f>
        <v>생일</v>
      </c>
    </row>
    <row r="2872" ht="15.75" customHeight="1">
      <c r="A2872" s="1" t="s">
        <v>8472</v>
      </c>
      <c r="B2872" s="1">
        <v>6.0</v>
      </c>
      <c r="C2872" s="1" t="s">
        <v>8473</v>
      </c>
      <c r="D2872" s="1" t="s">
        <v>16</v>
      </c>
      <c r="E2872" s="1" t="s">
        <v>8474</v>
      </c>
      <c r="F2872" s="1" t="str">
        <f>IFERROR(__xludf.DUMMYFUNCTION("GOOGLETRANSLATE(A2872, ""zh-CN"", ""ko"")"),"비시즌")</f>
        <v>비시즌</v>
      </c>
    </row>
    <row r="2873" ht="15.75" customHeight="1">
      <c r="A2873" s="1" t="s">
        <v>8475</v>
      </c>
      <c r="B2873" s="1">
        <v>6.0</v>
      </c>
      <c r="C2873" s="1" t="s">
        <v>8476</v>
      </c>
      <c r="D2873" s="1" t="s">
        <v>8</v>
      </c>
      <c r="E2873" s="1" t="s">
        <v>8477</v>
      </c>
      <c r="F2873" s="1" t="str">
        <f>IFERROR(__xludf.DUMMYFUNCTION("GOOGLETRANSLATE(A2873, ""zh-CN"", ""ko"")"),"출생")</f>
        <v>출생</v>
      </c>
    </row>
    <row r="2874" ht="15.75" customHeight="1">
      <c r="A2874" s="1" t="s">
        <v>8478</v>
      </c>
      <c r="B2874" s="1">
        <v>6.0</v>
      </c>
      <c r="C2874" s="1" t="s">
        <v>8479</v>
      </c>
      <c r="D2874" s="1" t="s">
        <v>16</v>
      </c>
      <c r="E2874" s="1" t="s">
        <v>8480</v>
      </c>
      <c r="F2874" s="1" t="str">
        <f>IFERROR(__xludf.DUMMYFUNCTION("GOOGLETRANSLATE(A2874, ""zh-CN"", ""ko"")"),"담수")</f>
        <v>담수</v>
      </c>
    </row>
    <row r="2875" ht="15.75" customHeight="1">
      <c r="A2875" s="1" t="s">
        <v>8481</v>
      </c>
      <c r="B2875" s="1">
        <v>6.0</v>
      </c>
      <c r="C2875" s="1" t="s">
        <v>8482</v>
      </c>
      <c r="D2875" s="1" t="s">
        <v>33</v>
      </c>
      <c r="E2875" s="1" t="s">
        <v>8483</v>
      </c>
      <c r="F2875" s="1" t="str">
        <f>IFERROR(__xludf.DUMMYFUNCTION("GOOGLETRANSLATE(A2875, ""zh-CN"", ""ko"")"),"현장에서")</f>
        <v>현장에서</v>
      </c>
    </row>
    <row r="2876" ht="15.75" customHeight="1">
      <c r="A2876" s="1" t="s">
        <v>8484</v>
      </c>
      <c r="B2876" s="1">
        <v>6.0</v>
      </c>
      <c r="C2876" s="1" t="s">
        <v>8485</v>
      </c>
      <c r="D2876" s="1" t="s">
        <v>16</v>
      </c>
      <c r="E2876" s="1" t="s">
        <v>8486</v>
      </c>
      <c r="F2876" s="1" t="str">
        <f>IFERROR(__xludf.DUMMYFUNCTION("GOOGLETRANSLATE(A2876, ""zh-CN"", ""ko"")"),"처음에는")</f>
        <v>처음에는</v>
      </c>
    </row>
    <row r="2877" ht="15.75" customHeight="1">
      <c r="A2877" s="1" t="s">
        <v>8487</v>
      </c>
      <c r="B2877" s="1">
        <v>6.0</v>
      </c>
      <c r="C2877" s="1" t="s">
        <v>8488</v>
      </c>
      <c r="D2877" s="1" t="s">
        <v>16</v>
      </c>
      <c r="E2877" s="1" t="s">
        <v>8489</v>
      </c>
      <c r="F2877" s="1" t="str">
        <f>IFERROR(__xludf.DUMMYFUNCTION("GOOGLETRANSLATE(A2877, ""zh-CN"", ""ko"")"),"현대의")</f>
        <v>현대의</v>
      </c>
    </row>
    <row r="2878" ht="15.75" customHeight="1">
      <c r="A2878" s="1" t="s">
        <v>8490</v>
      </c>
      <c r="B2878" s="1">
        <v>6.0</v>
      </c>
      <c r="C2878" s="1" t="s">
        <v>8491</v>
      </c>
      <c r="D2878" s="1" t="s">
        <v>33</v>
      </c>
      <c r="E2878" s="1" t="s">
        <v>8492</v>
      </c>
      <c r="F2878" s="1" t="str">
        <f>IFERROR(__xludf.DUMMYFUNCTION("GOOGLETRANSLATE(A2878, ""zh-CN"", ""ko"")"),"직접")</f>
        <v>직접</v>
      </c>
    </row>
    <row r="2879" ht="15.75" customHeight="1">
      <c r="A2879" s="1" t="s">
        <v>8493</v>
      </c>
      <c r="B2879" s="1">
        <v>6.0</v>
      </c>
      <c r="C2879" s="1" t="s">
        <v>8494</v>
      </c>
      <c r="D2879" s="1" t="s">
        <v>16</v>
      </c>
      <c r="E2879" s="1" t="s">
        <v>8495</v>
      </c>
      <c r="F2879" s="1" t="str">
        <f>IFERROR(__xludf.DUMMYFUNCTION("GOOGLETRANSLATE(A2879, ""zh-CN"", ""ko"")"),"현재의")</f>
        <v>현재의</v>
      </c>
    </row>
    <row r="2880" ht="15.75" customHeight="1">
      <c r="A2880" s="1" t="s">
        <v>8496</v>
      </c>
      <c r="B2880" s="1">
        <v>6.0</v>
      </c>
      <c r="C2880" s="1" t="s">
        <v>8497</v>
      </c>
      <c r="D2880" s="1" t="s">
        <v>16</v>
      </c>
      <c r="E2880" s="1" t="s">
        <v>8498</v>
      </c>
      <c r="F2880" s="1" t="str">
        <f>IFERROR(__xludf.DUMMYFUNCTION("GOOGLETRANSLATE(A2880, ""zh-CN"", ""ko"")"),"파티")</f>
        <v>파티</v>
      </c>
    </row>
    <row r="2881" ht="15.75" customHeight="1">
      <c r="A2881" s="1" t="s">
        <v>8499</v>
      </c>
      <c r="B2881" s="1">
        <v>6.0</v>
      </c>
      <c r="C2881" s="1" t="s">
        <v>8500</v>
      </c>
      <c r="E2881" s="1" t="s">
        <v>8501</v>
      </c>
      <c r="F2881" s="1" t="str">
        <f>IFERROR(__xludf.DUMMYFUNCTION("GOOGLETRANSLATE(A2881, ""zh-CN"", ""ko"")"),"가장 시급한 과제")</f>
        <v>가장 시급한 과제</v>
      </c>
    </row>
    <row r="2882" ht="15.75" customHeight="1">
      <c r="A2882" s="1" t="s">
        <v>8502</v>
      </c>
      <c r="B2882" s="1">
        <v>6.0</v>
      </c>
      <c r="C2882" s="1" t="s">
        <v>8503</v>
      </c>
      <c r="D2882" s="1" t="s">
        <v>8</v>
      </c>
      <c r="E2882" s="1" t="s">
        <v>8504</v>
      </c>
      <c r="F2882" s="1" t="str">
        <f>IFERROR(__xludf.DUMMYFUNCTION("GOOGLETRANSLATE(A2882, ""zh-CN"", ""ko"")"),"선출된")</f>
        <v>선출된</v>
      </c>
    </row>
    <row r="2883" ht="15.75" customHeight="1">
      <c r="A2883" s="1" t="s">
        <v>8505</v>
      </c>
      <c r="B2883" s="1">
        <v>6.0</v>
      </c>
      <c r="C2883" s="1" t="s">
        <v>4128</v>
      </c>
      <c r="D2883" s="1" t="s">
        <v>16</v>
      </c>
      <c r="E2883" s="1" t="s">
        <v>8506</v>
      </c>
      <c r="F2883" s="1" t="str">
        <f>IFERROR(__xludf.DUMMYFUNCTION("GOOGLETRANSLATE(A2883, ""zh-CN"", ""ko"")"),"파티")</f>
        <v>파티</v>
      </c>
    </row>
    <row r="2884" ht="15.75" customHeight="1">
      <c r="A2884" s="1" t="s">
        <v>8507</v>
      </c>
      <c r="B2884" s="1">
        <v>6.0</v>
      </c>
      <c r="C2884" s="1" t="s">
        <v>8508</v>
      </c>
      <c r="D2884" s="1" t="s">
        <v>16</v>
      </c>
      <c r="E2884" s="1" t="s">
        <v>8509</v>
      </c>
      <c r="F2884" s="1" t="str">
        <f>IFERROR(__xludf.DUMMYFUNCTION("GOOGLETRANSLATE(A2884, ""zh-CN"", ""ko"")"),"파일")</f>
        <v>파일</v>
      </c>
    </row>
    <row r="2885" ht="15.75" customHeight="1">
      <c r="A2885" s="1" t="s">
        <v>8510</v>
      </c>
      <c r="B2885" s="1">
        <v>6.0</v>
      </c>
      <c r="C2885" s="1" t="s">
        <v>8511</v>
      </c>
      <c r="D2885" s="1" t="s">
        <v>16</v>
      </c>
      <c r="E2885" s="1" t="s">
        <v>8512</v>
      </c>
      <c r="F2885" s="1" t="str">
        <f>IFERROR(__xludf.DUMMYFUNCTION("GOOGLETRANSLATE(A2885, ""zh-CN"", ""ko"")"),"수업")</f>
        <v>수업</v>
      </c>
    </row>
    <row r="2886" ht="15.75" customHeight="1">
      <c r="A2886" s="1" t="s">
        <v>8513</v>
      </c>
      <c r="B2886" s="1">
        <v>6.0</v>
      </c>
      <c r="C2886" s="1" t="s">
        <v>8514</v>
      </c>
      <c r="D2886" s="1" t="s">
        <v>8</v>
      </c>
      <c r="E2886" s="1" t="s">
        <v>8515</v>
      </c>
      <c r="F2886" s="1" t="str">
        <f>IFERROR(__xludf.DUMMYFUNCTION("GOOGLETRANSLATE(A2886, ""zh-CN"", ""ko"")"),"무너지다")</f>
        <v>무너지다</v>
      </c>
    </row>
    <row r="2887" ht="15.75" customHeight="1">
      <c r="A2887" s="1" t="s">
        <v>8516</v>
      </c>
      <c r="B2887" s="1">
        <v>6.0</v>
      </c>
      <c r="C2887" s="1" t="s">
        <v>8517</v>
      </c>
      <c r="D2887" s="1" t="s">
        <v>16</v>
      </c>
      <c r="E2887" s="1" t="s">
        <v>8518</v>
      </c>
      <c r="F2887" s="1" t="str">
        <f>IFERROR(__xludf.DUMMYFUNCTION("GOOGLETRANSLATE(A2887, ""zh-CN"", ""ko"")"),"미사일")</f>
        <v>미사일</v>
      </c>
    </row>
    <row r="2888" ht="15.75" customHeight="1">
      <c r="A2888" s="1" t="s">
        <v>8519</v>
      </c>
      <c r="B2888" s="1">
        <v>6.0</v>
      </c>
      <c r="C2888" s="1" t="s">
        <v>8520</v>
      </c>
      <c r="D2888" s="1" t="s">
        <v>8</v>
      </c>
      <c r="E2888" s="1" t="s">
        <v>8521</v>
      </c>
      <c r="F2888" s="1" t="str">
        <f>IFERROR(__xludf.DUMMYFUNCTION("GOOGLETRANSLATE(A2888, ""zh-CN"", ""ko"")"),"항해")</f>
        <v>항해</v>
      </c>
    </row>
    <row r="2889" ht="15.75" customHeight="1">
      <c r="A2889" s="1" t="s">
        <v>8522</v>
      </c>
      <c r="B2889" s="1">
        <v>6.0</v>
      </c>
      <c r="C2889" s="1" t="s">
        <v>8523</v>
      </c>
      <c r="D2889" s="1" t="s">
        <v>8</v>
      </c>
      <c r="E2889" s="1" t="s">
        <v>8524</v>
      </c>
      <c r="F2889" s="1" t="str">
        <f>IFERROR(__xludf.DUMMYFUNCTION("GOOGLETRANSLATE(A2889, ""zh-CN"", ""ko"")"),"문제를 일으키다")</f>
        <v>문제를 일으키다</v>
      </c>
    </row>
    <row r="2890" ht="15.75" customHeight="1">
      <c r="A2890" s="1" t="s">
        <v>8525</v>
      </c>
      <c r="B2890" s="1">
        <v>6.0</v>
      </c>
      <c r="C2890" s="1" t="s">
        <v>8526</v>
      </c>
      <c r="D2890" s="1" t="s">
        <v>16</v>
      </c>
      <c r="E2890" s="1" t="s">
        <v>8527</v>
      </c>
      <c r="F2890" s="1" t="str">
        <f>IFERROR(__xludf.DUMMYFUNCTION("GOOGLETRANSLATE(A2890, ""zh-CN"", ""ko"")"),"가이드")</f>
        <v>가이드</v>
      </c>
    </row>
    <row r="2891" ht="15.75" customHeight="1">
      <c r="A2891" s="1" t="s">
        <v>8528</v>
      </c>
      <c r="B2891" s="1">
        <v>6.0</v>
      </c>
      <c r="C2891" s="1" t="s">
        <v>8529</v>
      </c>
      <c r="D2891" s="1" t="s">
        <v>16</v>
      </c>
      <c r="E2891" s="1" t="s">
        <v>8530</v>
      </c>
      <c r="F2891" s="1" t="str">
        <f>IFERROR(__xludf.DUMMYFUNCTION("GOOGLETRANSLATE(A2891, ""zh-CN"", ""ko"")"),"아일랜드 사람")</f>
        <v>아일랜드 사람</v>
      </c>
    </row>
    <row r="2892" ht="15.75" customHeight="1">
      <c r="A2892" s="1" t="s">
        <v>8531</v>
      </c>
      <c r="B2892" s="1">
        <v>6.0</v>
      </c>
      <c r="C2892" s="1" t="s">
        <v>8532</v>
      </c>
      <c r="D2892" s="1" t="s">
        <v>8</v>
      </c>
      <c r="E2892" s="1" t="s">
        <v>8533</v>
      </c>
      <c r="F2892" s="1" t="str">
        <f>IFERROR(__xludf.DUMMYFUNCTION("GOOGLETRANSLATE(A2892, ""zh-CN"", ""ko"")"),"훔침")</f>
        <v>훔침</v>
      </c>
    </row>
    <row r="2893" ht="15.75" customHeight="1">
      <c r="A2893" s="1" t="s">
        <v>8534</v>
      </c>
      <c r="B2893" s="1">
        <v>6.0</v>
      </c>
      <c r="C2893" s="1" t="s">
        <v>8535</v>
      </c>
      <c r="E2893" s="1" t="s">
        <v>8536</v>
      </c>
      <c r="F2893" s="1" t="str">
        <f>IFERROR(__xludf.DUMMYFUNCTION("GOOGLETRANSLATE(A2893, ""zh-CN"", ""ko"")"),"그럴 가치가 없어요.")</f>
        <v>그럴 가치가 없어요.</v>
      </c>
    </row>
    <row r="2894" ht="15.75" customHeight="1">
      <c r="A2894" s="1" t="s">
        <v>8537</v>
      </c>
      <c r="B2894" s="1">
        <v>6.0</v>
      </c>
      <c r="C2894" s="1" t="s">
        <v>8538</v>
      </c>
      <c r="D2894" s="1" t="s">
        <v>52</v>
      </c>
      <c r="E2894" s="1" t="s">
        <v>8539</v>
      </c>
      <c r="F2894" s="1" t="str">
        <f>IFERROR(__xludf.DUMMYFUNCTION("GOOGLETRANSLATE(A2894, ""zh-CN"", ""ko"")"),"총알")</f>
        <v>총알</v>
      </c>
    </row>
    <row r="2895" ht="15.75" customHeight="1">
      <c r="A2895" s="1" t="s">
        <v>8540</v>
      </c>
      <c r="B2895" s="1">
        <v>6.0</v>
      </c>
      <c r="C2895" s="1" t="s">
        <v>8541</v>
      </c>
      <c r="E2895" s="1" t="s">
        <v>8542</v>
      </c>
      <c r="F2895" s="1" t="str">
        <f>IFERROR(__xludf.DUMMYFUNCTION("GOOGLETRANSLATE(A2895, ""zh-CN"", ""ko"")"),"하늘의 축복을 받다")</f>
        <v>하늘의 축복을 받다</v>
      </c>
    </row>
    <row r="2896" ht="15.75" customHeight="1">
      <c r="A2896" s="1" t="s">
        <v>8543</v>
      </c>
      <c r="B2896" s="1">
        <v>6.0</v>
      </c>
      <c r="C2896" s="1" t="s">
        <v>8544</v>
      </c>
      <c r="D2896" s="1" t="s">
        <v>8</v>
      </c>
      <c r="E2896" s="1" t="s">
        <v>8545</v>
      </c>
      <c r="F2896" s="1" t="str">
        <f>IFERROR(__xludf.DUMMYFUNCTION("GOOGLETRANSLATE(A2896, ""zh-CN"", ""ko"")"),"긁다")</f>
        <v>긁다</v>
      </c>
    </row>
    <row r="2897" ht="15.75" customHeight="1">
      <c r="A2897" s="1" t="s">
        <v>8546</v>
      </c>
      <c r="B2897" s="1">
        <v>6.0</v>
      </c>
      <c r="C2897" s="1" t="s">
        <v>1059</v>
      </c>
      <c r="D2897" s="1" t="s">
        <v>8</v>
      </c>
      <c r="E2897" s="1" t="s">
        <v>8547</v>
      </c>
      <c r="F2897" s="1" t="str">
        <f>IFERROR(__xludf.DUMMYFUNCTION("GOOGLETRANSLATE(A2897, ""zh-CN"", ""ko"")"),"차기")</f>
        <v>차기</v>
      </c>
    </row>
    <row r="2898" ht="15.75" customHeight="1">
      <c r="A2898" s="1" t="s">
        <v>8548</v>
      </c>
      <c r="B2898" s="1">
        <v>6.0</v>
      </c>
      <c r="C2898" s="1" t="s">
        <v>8549</v>
      </c>
      <c r="D2898" s="1" t="s">
        <v>16</v>
      </c>
      <c r="E2898" s="1" t="s">
        <v>8550</v>
      </c>
      <c r="F2898" s="1" t="str">
        <f>IFERROR(__xludf.DUMMYFUNCTION("GOOGLETRANSLATE(A2898, ""zh-CN"", ""ko"")"),"칸델라")</f>
        <v>칸델라</v>
      </c>
    </row>
    <row r="2899" ht="15.75" customHeight="1">
      <c r="A2899" s="1" t="s">
        <v>8551</v>
      </c>
      <c r="B2899" s="1">
        <v>6.0</v>
      </c>
      <c r="C2899" s="1" t="s">
        <v>8552</v>
      </c>
      <c r="D2899" s="1" t="s">
        <v>8</v>
      </c>
      <c r="E2899" s="1" t="s">
        <v>8553</v>
      </c>
      <c r="F2899" s="1" t="str">
        <f>IFERROR(__xludf.DUMMYFUNCTION("GOOGLETRANSLATE(A2899, ""zh-CN"", ""ko"")"),"로그인")</f>
        <v>로그인</v>
      </c>
    </row>
    <row r="2900" ht="15.75" customHeight="1">
      <c r="A2900" s="1" t="s">
        <v>8554</v>
      </c>
      <c r="B2900" s="1">
        <v>6.0</v>
      </c>
      <c r="C2900" s="1" t="s">
        <v>8552</v>
      </c>
      <c r="D2900" s="1" t="s">
        <v>8</v>
      </c>
      <c r="E2900" s="1" t="s">
        <v>8555</v>
      </c>
      <c r="F2900" s="1" t="str">
        <f>IFERROR(__xludf.DUMMYFUNCTION("GOOGLETRANSLATE(A2900, ""zh-CN"", ""ko"")"),"로그인")</f>
        <v>로그인</v>
      </c>
    </row>
    <row r="2901" ht="15.75" customHeight="1">
      <c r="A2901" s="1" t="s">
        <v>8556</v>
      </c>
      <c r="B2901" s="1">
        <v>6.0</v>
      </c>
      <c r="C2901" s="1" t="s">
        <v>8557</v>
      </c>
      <c r="D2901" s="1" t="s">
        <v>8</v>
      </c>
      <c r="E2901" s="1" t="s">
        <v>8558</v>
      </c>
      <c r="F2901" s="1" t="str">
        <f>IFERROR(__xludf.DUMMYFUNCTION("GOOGLETRANSLATE(A2901, ""zh-CN"", ""ko"")"),"대기 중")</f>
        <v>대기 중</v>
      </c>
    </row>
    <row r="2902" ht="15.75" customHeight="1">
      <c r="A2902" s="1" t="s">
        <v>8559</v>
      </c>
      <c r="B2902" s="1">
        <v>6.0</v>
      </c>
      <c r="C2902" s="1" t="s">
        <v>8560</v>
      </c>
      <c r="D2902" s="1" t="s">
        <v>16</v>
      </c>
      <c r="E2902" s="1" t="s">
        <v>8561</v>
      </c>
      <c r="F2902" s="1" t="str">
        <f>IFERROR(__xludf.DUMMYFUNCTION("GOOGLETRANSLATE(A2902, ""zh-CN"", ""ko"")"),"등급")</f>
        <v>등급</v>
      </c>
    </row>
    <row r="2903" ht="15.75" customHeight="1">
      <c r="A2903" s="1" t="s">
        <v>8562</v>
      </c>
      <c r="B2903" s="1">
        <v>6.0</v>
      </c>
      <c r="C2903" s="1" t="s">
        <v>8563</v>
      </c>
      <c r="D2903" s="1" t="s">
        <v>8</v>
      </c>
      <c r="E2903" s="1" t="s">
        <v>8564</v>
      </c>
      <c r="F2903" s="1" t="str">
        <f>IFERROR(__xludf.DUMMYFUNCTION("GOOGLETRANSLATE(A2903, ""zh-CN"", ""ko"")"),"응시")</f>
        <v>응시</v>
      </c>
    </row>
    <row r="2904" ht="15.75" customHeight="1">
      <c r="A2904" s="1" t="s">
        <v>8565</v>
      </c>
      <c r="B2904" s="1">
        <v>6.0</v>
      </c>
      <c r="C2904" s="1" t="s">
        <v>8566</v>
      </c>
      <c r="D2904" s="1" t="s">
        <v>16</v>
      </c>
      <c r="E2904" s="1" t="s">
        <v>8567</v>
      </c>
      <c r="F2904" s="1" t="str">
        <f>IFERROR(__xludf.DUMMYFUNCTION("GOOGLETRANSLATE(A2904, ""zh-CN"", ""ko"")"),"댐")</f>
        <v>댐</v>
      </c>
    </row>
    <row r="2905" ht="15.75" customHeight="1">
      <c r="A2905" s="1" t="s">
        <v>8568</v>
      </c>
      <c r="B2905" s="1">
        <v>6.0</v>
      </c>
      <c r="C2905" s="1" t="s">
        <v>8569</v>
      </c>
      <c r="D2905" s="1" t="s">
        <v>8</v>
      </c>
      <c r="E2905" s="1" t="s">
        <v>8570</v>
      </c>
      <c r="F2905" s="1" t="str">
        <f>IFERROR(__xludf.DUMMYFUNCTION("GOOGLETRANSLATE(A2905, ""zh-CN"", ""ko"")"),"적의")</f>
        <v>적의</v>
      </c>
    </row>
    <row r="2906" ht="15.75" customHeight="1">
      <c r="A2906" s="1" t="s">
        <v>8571</v>
      </c>
      <c r="B2906" s="1">
        <v>6.0</v>
      </c>
      <c r="C2906" s="1" t="s">
        <v>8572</v>
      </c>
      <c r="D2906" s="1" t="s">
        <v>8</v>
      </c>
      <c r="E2906" s="1" t="s">
        <v>8573</v>
      </c>
      <c r="F2906" s="1" t="str">
        <f>IFERROR(__xludf.DUMMYFUNCTION("GOOGLETRANSLATE(A2906, ""zh-CN"", ""ko"")"),"도착")</f>
        <v>도착</v>
      </c>
    </row>
    <row r="2907" ht="15.75" customHeight="1">
      <c r="A2907" s="1" t="s">
        <v>8574</v>
      </c>
      <c r="B2907" s="1">
        <v>6.0</v>
      </c>
      <c r="C2907" s="1" t="s">
        <v>8575</v>
      </c>
      <c r="D2907" s="1" t="s">
        <v>8</v>
      </c>
      <c r="E2907" s="1" t="s">
        <v>8576</v>
      </c>
      <c r="F2907" s="1" t="str">
        <f>IFERROR(__xludf.DUMMYFUNCTION("GOOGLETRANSLATE(A2907, ""zh-CN"", ""ko"")"),"저항")</f>
        <v>저항</v>
      </c>
    </row>
    <row r="2908" ht="15.75" customHeight="1">
      <c r="A2908" s="1" t="s">
        <v>8577</v>
      </c>
      <c r="B2908" s="1">
        <v>6.0</v>
      </c>
      <c r="C2908" s="1" t="s">
        <v>8578</v>
      </c>
      <c r="D2908" s="1" t="s">
        <v>8</v>
      </c>
      <c r="E2908" s="1" t="s">
        <v>8579</v>
      </c>
      <c r="F2908" s="1" t="str">
        <f>IFERROR(__xludf.DUMMYFUNCTION("GOOGLETRANSLATE(A2908, ""zh-CN"", ""ko"")"),"저항하다")</f>
        <v>저항하다</v>
      </c>
    </row>
    <row r="2909" ht="15.75" customHeight="1">
      <c r="A2909" s="1" t="s">
        <v>8580</v>
      </c>
      <c r="B2909" s="1">
        <v>6.0</v>
      </c>
      <c r="C2909" s="1" t="s">
        <v>8581</v>
      </c>
      <c r="D2909" s="1" t="s">
        <v>16</v>
      </c>
      <c r="E2909" s="1" t="s">
        <v>8582</v>
      </c>
      <c r="F2909" s="1" t="str">
        <f>IFERROR(__xludf.DUMMYFUNCTION("GOOGLETRANSLATE(A2909, ""zh-CN"", ""ko"")"),"수준")</f>
        <v>수준</v>
      </c>
    </row>
    <row r="2910" ht="15.75" customHeight="1">
      <c r="A2910" s="1" t="s">
        <v>8583</v>
      </c>
      <c r="B2910" s="1">
        <v>6.0</v>
      </c>
      <c r="C2910" s="1" t="s">
        <v>8584</v>
      </c>
      <c r="D2910" s="1" t="s">
        <v>16</v>
      </c>
      <c r="E2910" s="1" t="s">
        <v>8585</v>
      </c>
      <c r="F2910" s="1" t="str">
        <f>IFERROR(__xludf.DUMMYFUNCTION("GOOGLETRANSLATE(A2910, ""zh-CN"", ""ko"")"),"지역")</f>
        <v>지역</v>
      </c>
    </row>
    <row r="2911" ht="15.75" customHeight="1">
      <c r="A2911" s="1" t="s">
        <v>8586</v>
      </c>
      <c r="B2911" s="1">
        <v>6.0</v>
      </c>
      <c r="C2911" s="1" t="s">
        <v>8587</v>
      </c>
      <c r="D2911" s="1" t="s">
        <v>8</v>
      </c>
      <c r="E2911" s="1" t="s">
        <v>8588</v>
      </c>
      <c r="F2911" s="1" t="str">
        <f>IFERROR(__xludf.DUMMYFUNCTION("GOOGLETRANSLATE(A2911, ""zh-CN"", ""ko"")"),"증가하는")</f>
        <v>증가하는</v>
      </c>
    </row>
    <row r="2912" ht="15.75" customHeight="1">
      <c r="A2912" s="1" t="s">
        <v>8589</v>
      </c>
      <c r="B2912" s="1">
        <v>6.0</v>
      </c>
      <c r="C2912" s="1" t="s">
        <v>8590</v>
      </c>
      <c r="D2912" s="1" t="s">
        <v>16</v>
      </c>
      <c r="E2912" s="1" t="s">
        <v>8591</v>
      </c>
      <c r="F2912" s="1" t="str">
        <f>IFERROR(__xludf.DUMMYFUNCTION("GOOGLETRANSLATE(A2912, ""zh-CN"", ""ko"")"),"지질학")</f>
        <v>지질학</v>
      </c>
    </row>
    <row r="2913" ht="15.75" customHeight="1">
      <c r="A2913" s="1" t="s">
        <v>8592</v>
      </c>
      <c r="B2913" s="1">
        <v>6.0</v>
      </c>
      <c r="C2913" s="1" t="s">
        <v>8593</v>
      </c>
      <c r="D2913" s="1" t="s">
        <v>8</v>
      </c>
      <c r="E2913" s="1" t="s">
        <v>8594</v>
      </c>
      <c r="F2913" s="1" t="str">
        <f>IFERROR(__xludf.DUMMYFUNCTION("GOOGLETRANSLATE(A2913, ""zh-CN"", ""ko"")"),"피부 돌출")</f>
        <v>피부 돌출</v>
      </c>
    </row>
    <row r="2914" ht="15.75" customHeight="1">
      <c r="A2914" s="1" t="s">
        <v>8595</v>
      </c>
      <c r="B2914" s="1">
        <v>6.0</v>
      </c>
      <c r="C2914" s="1" t="s">
        <v>8596</v>
      </c>
      <c r="D2914" s="1" t="s">
        <v>8</v>
      </c>
      <c r="E2914" s="1" t="s">
        <v>8597</v>
      </c>
      <c r="F2914" s="1" t="str">
        <f>IFERROR(__xludf.DUMMYFUNCTION("GOOGLETRANSLATE(A2914, ""zh-CN"", ""ko"")"),"뒤집다")</f>
        <v>뒤집다</v>
      </c>
    </row>
    <row r="2915" ht="15.75" customHeight="1">
      <c r="A2915" s="1" t="s">
        <v>8598</v>
      </c>
      <c r="B2915" s="1">
        <v>6.0</v>
      </c>
      <c r="C2915" s="1" t="s">
        <v>8599</v>
      </c>
      <c r="D2915" s="1" t="s">
        <v>16</v>
      </c>
      <c r="E2915" s="1" t="s">
        <v>8600</v>
      </c>
      <c r="F2915" s="1" t="str">
        <f>IFERROR(__xludf.DUMMYFUNCTION("GOOGLETRANSLATE(A2915, ""zh-CN"", ""ko"")"),"의식")</f>
        <v>의식</v>
      </c>
    </row>
    <row r="2916" ht="15.75" customHeight="1">
      <c r="A2916" s="1" t="s">
        <v>8601</v>
      </c>
      <c r="B2916" s="1">
        <v>6.0</v>
      </c>
      <c r="C2916" s="1" t="s">
        <v>8602</v>
      </c>
      <c r="D2916" s="1" t="s">
        <v>16</v>
      </c>
      <c r="E2916" s="1" t="s">
        <v>8603</v>
      </c>
      <c r="F2916" s="1" t="str">
        <f>IFERROR(__xludf.DUMMYFUNCTION("GOOGLETRANSLATE(A2916, ""zh-CN"", ""ko"")"),"전형적인")</f>
        <v>전형적인</v>
      </c>
    </row>
    <row r="2917" ht="15.75" customHeight="1">
      <c r="A2917" s="1" t="s">
        <v>8604</v>
      </c>
      <c r="B2917" s="1">
        <v>6.0</v>
      </c>
      <c r="C2917" s="1" t="s">
        <v>8605</v>
      </c>
      <c r="D2917" s="1" t="s">
        <v>8</v>
      </c>
      <c r="E2917" s="1" t="s">
        <v>8606</v>
      </c>
      <c r="F2917" s="1" t="str">
        <f>IFERROR(__xludf.DUMMYFUNCTION("GOOGLETRANSLATE(A2917, ""zh-CN"", ""ko"")"),"꾸밈")</f>
        <v>꾸밈</v>
      </c>
    </row>
    <row r="2918" ht="15.75" customHeight="1">
      <c r="A2918" s="1" t="s">
        <v>8607</v>
      </c>
      <c r="B2918" s="1">
        <v>6.0</v>
      </c>
      <c r="C2918" s="1" t="s">
        <v>8608</v>
      </c>
      <c r="D2918" s="1" t="s">
        <v>8</v>
      </c>
      <c r="E2918" s="1" t="s">
        <v>8609</v>
      </c>
      <c r="F2918" s="1" t="str">
        <f>IFERROR(__xludf.DUMMYFUNCTION("GOOGLETRANSLATE(A2918, ""zh-CN"", ""ko"")"),"인주")</f>
        <v>인주</v>
      </c>
    </row>
    <row r="2919" ht="15.75" customHeight="1">
      <c r="A2919" s="1" t="s">
        <v>8610</v>
      </c>
      <c r="B2919" s="1">
        <v>6.0</v>
      </c>
      <c r="C2919" s="1" t="s">
        <v>8611</v>
      </c>
      <c r="D2919" s="1" t="s">
        <v>8</v>
      </c>
      <c r="E2919" s="1" t="s">
        <v>8612</v>
      </c>
      <c r="F2919" s="1" t="str">
        <f>IFERROR(__xludf.DUMMYFUNCTION("GOOGLETRANSLATE(A2919, ""zh-CN"", ""ko"")"),"기초를 다지다")</f>
        <v>기초를 다지다</v>
      </c>
    </row>
    <row r="2920" ht="15.75" customHeight="1">
      <c r="A2920" s="1" t="s">
        <v>8613</v>
      </c>
      <c r="B2920" s="1">
        <v>6.0</v>
      </c>
      <c r="C2920" s="1" t="s">
        <v>8614</v>
      </c>
      <c r="D2920" s="1" t="s">
        <v>8</v>
      </c>
      <c r="E2920" s="1" t="s">
        <v>8615</v>
      </c>
      <c r="F2920" s="1" t="str">
        <f>IFERROR(__xludf.DUMMYFUNCTION("GOOGLETRANSLATE(A2920, ""zh-CN"", ""ko"")"),"생각하며")</f>
        <v>생각하며</v>
      </c>
    </row>
    <row r="2921" ht="15.75" customHeight="1">
      <c r="A2921" s="1" t="s">
        <v>8616</v>
      </c>
      <c r="B2921" s="1">
        <v>6.0</v>
      </c>
      <c r="C2921" s="1" t="s">
        <v>8617</v>
      </c>
      <c r="D2921" s="1" t="s">
        <v>16</v>
      </c>
      <c r="E2921" s="1" t="s">
        <v>8618</v>
      </c>
      <c r="F2921" s="1" t="str">
        <f>IFERROR(__xludf.DUMMYFUNCTION("GOOGLETRANSLATE(A2921, ""zh-CN"", ""ko"")"),"전원 공급 장치")</f>
        <v>전원 공급 장치</v>
      </c>
    </row>
    <row r="2922" ht="15.75" customHeight="1">
      <c r="A2922" s="1" t="s">
        <v>8619</v>
      </c>
      <c r="B2922" s="1">
        <v>6.0</v>
      </c>
      <c r="C2922" s="1" t="s">
        <v>8620</v>
      </c>
      <c r="D2922" s="1" t="s">
        <v>8</v>
      </c>
      <c r="E2922" s="1" t="s">
        <v>8621</v>
      </c>
      <c r="F2922" s="1" t="str">
        <f>IFERROR(__xludf.DUMMYFUNCTION("GOOGLETRANSLATE(A2922, ""zh-CN"", ""ko"")"),"파기")</f>
        <v>파기</v>
      </c>
    </row>
    <row r="2923" ht="15.75" customHeight="1">
      <c r="A2923" s="1" t="s">
        <v>8622</v>
      </c>
      <c r="B2923" s="1">
        <v>6.0</v>
      </c>
      <c r="C2923" s="1" t="s">
        <v>8623</v>
      </c>
      <c r="D2923" s="1" t="s">
        <v>8</v>
      </c>
      <c r="E2923" s="1" t="s">
        <v>8624</v>
      </c>
      <c r="F2923" s="1" t="str">
        <f>IFERROR(__xludf.DUMMYFUNCTION("GOOGLETRANSLATE(A2923, ""zh-CN"", ""ko"")"),"조각")</f>
        <v>조각</v>
      </c>
    </row>
    <row r="2924" ht="15.75" customHeight="1">
      <c r="A2924" s="1" t="s">
        <v>8625</v>
      </c>
      <c r="B2924" s="1">
        <v>6.0</v>
      </c>
      <c r="C2924" s="1" t="s">
        <v>8626</v>
      </c>
      <c r="D2924" s="1" t="s">
        <v>16</v>
      </c>
      <c r="E2924" s="1" t="s">
        <v>8627</v>
      </c>
      <c r="F2924" s="1" t="str">
        <f>IFERROR(__xludf.DUMMYFUNCTION("GOOGLETRANSLATE(A2924, ""zh-CN"", ""ko"")"),"조각품")</f>
        <v>조각품</v>
      </c>
    </row>
    <row r="2925" ht="15.75" customHeight="1">
      <c r="A2925" s="1" t="s">
        <v>8628</v>
      </c>
      <c r="B2925" s="1">
        <v>6.0</v>
      </c>
      <c r="C2925" s="1" t="s">
        <v>2045</v>
      </c>
      <c r="D2925" s="1" t="s">
        <v>8</v>
      </c>
      <c r="E2925" s="1" t="s">
        <v>8629</v>
      </c>
      <c r="F2925" s="1" t="str">
        <f>IFERROR(__xludf.DUMMYFUNCTION("GOOGLETRANSLATE(A2925, ""zh-CN"", ""ko"")"),"교수형")</f>
        <v>교수형</v>
      </c>
    </row>
    <row r="2926" ht="15.75" customHeight="1">
      <c r="A2926" s="1" t="s">
        <v>8630</v>
      </c>
      <c r="B2926" s="1">
        <v>6.0</v>
      </c>
      <c r="C2926" s="1" t="s">
        <v>8631</v>
      </c>
      <c r="D2926" s="1" t="s">
        <v>8</v>
      </c>
      <c r="E2926" s="1" t="s">
        <v>8632</v>
      </c>
      <c r="F2926" s="1" t="str">
        <f>IFERROR(__xludf.DUMMYFUNCTION("GOOGLETRANSLATE(A2926, ""zh-CN"", ""ko"")"),"동원")</f>
        <v>동원</v>
      </c>
    </row>
    <row r="2927" ht="15.75" customHeight="1">
      <c r="A2927" s="1" t="s">
        <v>8633</v>
      </c>
      <c r="B2927" s="1">
        <v>6.0</v>
      </c>
      <c r="C2927" s="1" t="s">
        <v>8634</v>
      </c>
      <c r="D2927" s="1" t="s">
        <v>8</v>
      </c>
      <c r="E2927" s="1" t="s">
        <v>8635</v>
      </c>
      <c r="F2927" s="1" t="str">
        <f>IFERROR(__xludf.DUMMYFUNCTION("GOOGLETRANSLATE(A2927, ""zh-CN"", ""ko"")"),"떨어지다")</f>
        <v>떨어지다</v>
      </c>
    </row>
    <row r="2928" ht="15.75" customHeight="1">
      <c r="A2928" s="1" t="s">
        <v>8636</v>
      </c>
      <c r="B2928" s="1">
        <v>6.0</v>
      </c>
      <c r="C2928" s="1" t="s">
        <v>8637</v>
      </c>
      <c r="D2928" s="1" t="s">
        <v>8</v>
      </c>
      <c r="E2928" s="1" t="s">
        <v>8638</v>
      </c>
      <c r="F2928" s="1" t="str">
        <f>IFERROR(__xludf.DUMMYFUNCTION("GOOGLETRANSLATE(A2928, ""zh-CN"", ""ko"")"),"응시")</f>
        <v>응시</v>
      </c>
    </row>
    <row r="2929" ht="15.75" customHeight="1">
      <c r="A2929" s="1" t="s">
        <v>8639</v>
      </c>
      <c r="B2929" s="1">
        <v>6.0</v>
      </c>
      <c r="C2929" s="1" t="s">
        <v>8637</v>
      </c>
      <c r="D2929" s="1" t="s">
        <v>16</v>
      </c>
      <c r="E2929" s="1" t="s">
        <v>8640</v>
      </c>
      <c r="F2929" s="1" t="str">
        <f>IFERROR(__xludf.DUMMYFUNCTION("GOOGLETRANSLATE(A2929, ""zh-CN"", ""ko"")"),"남성")</f>
        <v>남성</v>
      </c>
    </row>
    <row r="2930" ht="15.75" customHeight="1">
      <c r="A2930" s="1" t="s">
        <v>8641</v>
      </c>
      <c r="B2930" s="1">
        <v>6.0</v>
      </c>
      <c r="C2930" s="1" t="s">
        <v>8642</v>
      </c>
      <c r="D2930" s="1" t="s">
        <v>8</v>
      </c>
      <c r="E2930" s="1" t="s">
        <v>8643</v>
      </c>
      <c r="F2930" s="1" t="str">
        <f>IFERROR(__xludf.DUMMYFUNCTION("GOOGLETRANSLATE(A2930, ""zh-CN"", ""ko"")"),"지침")</f>
        <v>지침</v>
      </c>
    </row>
    <row r="2931" ht="15.75" customHeight="1">
      <c r="A2931" s="1" t="s">
        <v>8644</v>
      </c>
      <c r="B2931" s="1">
        <v>6.0</v>
      </c>
      <c r="C2931" s="1" t="s">
        <v>8645</v>
      </c>
      <c r="D2931" s="1" t="s">
        <v>52</v>
      </c>
      <c r="E2931" s="1" t="s">
        <v>8646</v>
      </c>
      <c r="F2931" s="1" t="str">
        <f>IFERROR(__xludf.DUMMYFUNCTION("GOOGLETRANSLATE(A2931, ""zh-CN"", ""ko"")"),"정기적인")</f>
        <v>정기적인</v>
      </c>
    </row>
    <row r="2932" ht="15.75" customHeight="1">
      <c r="A2932" s="1" t="s">
        <v>8647</v>
      </c>
      <c r="B2932" s="1">
        <v>6.0</v>
      </c>
      <c r="C2932" s="1" t="s">
        <v>8648</v>
      </c>
      <c r="D2932" s="1" t="s">
        <v>16</v>
      </c>
      <c r="E2932" s="1" t="s">
        <v>8649</v>
      </c>
      <c r="F2932" s="1" t="str">
        <f>IFERROR(__xludf.DUMMYFUNCTION("GOOGLETRANSLATE(A2932, ""zh-CN"", ""ko"")"),"정의")</f>
        <v>정의</v>
      </c>
    </row>
    <row r="2933" ht="15.75" customHeight="1">
      <c r="A2933" s="1" t="s">
        <v>8650</v>
      </c>
      <c r="B2933" s="1">
        <v>6.0</v>
      </c>
      <c r="C2933" s="1" t="s">
        <v>8651</v>
      </c>
      <c r="D2933" s="1" t="s">
        <v>8</v>
      </c>
      <c r="E2933" s="1" t="s">
        <v>8652</v>
      </c>
      <c r="F2933" s="1" t="str">
        <f>IFERROR(__xludf.DUMMYFUNCTION("GOOGLETRANSLATE(A2933, ""zh-CN"", ""ko"")"),"부끄러운")</f>
        <v>부끄러운</v>
      </c>
    </row>
    <row r="2934" ht="15.75" customHeight="1">
      <c r="A2934" s="1" t="s">
        <v>8653</v>
      </c>
      <c r="B2934" s="1">
        <v>6.0</v>
      </c>
      <c r="C2934" s="1" t="s">
        <v>8654</v>
      </c>
      <c r="E2934" s="1" t="s">
        <v>8655</v>
      </c>
      <c r="F2934" s="1" t="str">
        <f>IFERROR(__xludf.DUMMYFUNCTION("GOOGLETRANSLATE(A2934, ""zh-CN"", ""ko"")"),"잊기 쉬운")</f>
        <v>잊기 쉬운</v>
      </c>
    </row>
    <row r="2935" ht="15.75" customHeight="1">
      <c r="A2935" s="1" t="s">
        <v>8656</v>
      </c>
      <c r="B2935" s="1">
        <v>6.0</v>
      </c>
      <c r="C2935" s="1" t="s">
        <v>8657</v>
      </c>
      <c r="D2935" s="1" t="s">
        <v>16</v>
      </c>
      <c r="E2935" s="1" t="s">
        <v>8658</v>
      </c>
      <c r="F2935" s="1" t="str">
        <f>IFERROR(__xludf.DUMMYFUNCTION("GOOGLETRANSLATE(A2935, ""zh-CN"", ""ko"")"),"주인")</f>
        <v>주인</v>
      </c>
    </row>
    <row r="2936" ht="15.75" customHeight="1">
      <c r="A2936" s="1" t="s">
        <v>8659</v>
      </c>
      <c r="B2936" s="1">
        <v>6.0</v>
      </c>
      <c r="C2936" s="1" t="s">
        <v>8660</v>
      </c>
      <c r="E2936" s="1" t="s">
        <v>8661</v>
      </c>
      <c r="F2936" s="1" t="str">
        <f>IFERROR(__xludf.DUMMYFUNCTION("GOOGLETRANSLATE(A2936, ""zh-CN"", ""ko"")"),"주변을 둘러보며")</f>
        <v>주변을 둘러보며</v>
      </c>
    </row>
    <row r="2937" ht="15.75" customHeight="1">
      <c r="A2937" s="1" t="s">
        <v>8662</v>
      </c>
      <c r="B2937" s="1">
        <v>6.0</v>
      </c>
      <c r="C2937" s="1" t="s">
        <v>8663</v>
      </c>
      <c r="D2937" s="1" t="s">
        <v>16</v>
      </c>
      <c r="E2937" s="1" t="s">
        <v>8664</v>
      </c>
      <c r="F2937" s="1" t="str">
        <f>IFERROR(__xludf.DUMMYFUNCTION("GOOGLETRANSLATE(A2937, ""zh-CN"", ""ko"")"),"의장")</f>
        <v>의장</v>
      </c>
    </row>
    <row r="2938" ht="15.75" customHeight="1">
      <c r="A2938" s="1" t="s">
        <v>8665</v>
      </c>
      <c r="B2938" s="1">
        <v>6.0</v>
      </c>
      <c r="C2938" s="1" t="s">
        <v>4205</v>
      </c>
      <c r="D2938" s="1" t="s">
        <v>26</v>
      </c>
      <c r="E2938" s="1" t="s">
        <v>8666</v>
      </c>
      <c r="F2938" s="1" t="str">
        <f>IFERROR(__xludf.DUMMYFUNCTION("GOOGLETRANSLATE(A2938, ""zh-CN"", ""ko"")"),"건물")</f>
        <v>건물</v>
      </c>
    </row>
    <row r="2939" ht="15.75" customHeight="1">
      <c r="A2939" s="1" t="s">
        <v>8667</v>
      </c>
      <c r="B2939" s="1">
        <v>6.0</v>
      </c>
      <c r="C2939" s="1" t="s">
        <v>8668</v>
      </c>
      <c r="D2939" s="1" t="s">
        <v>52</v>
      </c>
      <c r="E2939" s="1" t="s">
        <v>8669</v>
      </c>
      <c r="F2939" s="1" t="str">
        <f>IFERROR(__xludf.DUMMYFUNCTION("GOOGLETRANSLATE(A2939, ""zh-CN"", ""ko"")"),"소란")</f>
        <v>소란</v>
      </c>
    </row>
    <row r="2940" ht="15.75" customHeight="1">
      <c r="A2940" s="1" t="s">
        <v>8670</v>
      </c>
      <c r="B2940" s="1">
        <v>6.0</v>
      </c>
      <c r="C2940" s="1" t="s">
        <v>8671</v>
      </c>
      <c r="D2940" s="1" t="s">
        <v>16</v>
      </c>
      <c r="E2940" s="1" t="s">
        <v>8672</v>
      </c>
      <c r="F2940" s="1" t="str">
        <f>IFERROR(__xludf.DUMMYFUNCTION("GOOGLETRANSLATE(A2940, ""zh-CN"", ""ko"")"),"동기 부여")</f>
        <v>동기 부여</v>
      </c>
    </row>
    <row r="2941" ht="15.75" customHeight="1">
      <c r="A2941" s="1" t="s">
        <v>8673</v>
      </c>
      <c r="B2941" s="1">
        <v>6.0</v>
      </c>
      <c r="C2941" s="1" t="s">
        <v>8674</v>
      </c>
      <c r="D2941" s="1" t="s">
        <v>8</v>
      </c>
      <c r="E2941" s="1" t="s">
        <v>8675</v>
      </c>
      <c r="F2941" s="1" t="str">
        <f>IFERROR(__xludf.DUMMYFUNCTION("GOOGLETRANSLATE(A2941, ""zh-CN"", ""ko"")"),"꼭 매달리게 하다")</f>
        <v>꼭 매달리게 하다</v>
      </c>
    </row>
    <row r="2942" ht="15.75" customHeight="1">
      <c r="A2942" s="1" t="s">
        <v>8676</v>
      </c>
      <c r="B2942" s="1">
        <v>6.0</v>
      </c>
      <c r="C2942" s="1" t="s">
        <v>8677</v>
      </c>
      <c r="D2942" s="1" t="s">
        <v>16</v>
      </c>
      <c r="E2942" s="1" t="s">
        <v>8678</v>
      </c>
      <c r="F2942" s="1" t="str">
        <f>IFERROR(__xludf.DUMMYFUNCTION("GOOGLETRANSLATE(A2942, ""zh-CN"", ""ko"")"),"움직임")</f>
        <v>움직임</v>
      </c>
    </row>
    <row r="2943" ht="15.75" customHeight="1">
      <c r="A2943" s="1" t="s">
        <v>8679</v>
      </c>
      <c r="B2943" s="1">
        <v>6.0</v>
      </c>
      <c r="C2943" s="1" t="s">
        <v>8680</v>
      </c>
      <c r="D2943" s="1" t="s">
        <v>16</v>
      </c>
      <c r="E2943" s="1" t="s">
        <v>8681</v>
      </c>
      <c r="F2943" s="1" t="str">
        <f>IFERROR(__xludf.DUMMYFUNCTION("GOOGLETRANSLATE(A2943, ""zh-CN"", ""ko"")"),"힘")</f>
        <v>힘</v>
      </c>
    </row>
    <row r="2944" ht="15.75" customHeight="1">
      <c r="A2944" s="1" t="s">
        <v>8682</v>
      </c>
      <c r="B2944" s="1">
        <v>6.0</v>
      </c>
      <c r="C2944" s="1" t="s">
        <v>8683</v>
      </c>
      <c r="D2944" s="1" t="s">
        <v>16</v>
      </c>
      <c r="E2944" s="1" t="s">
        <v>8684</v>
      </c>
      <c r="F2944" s="1" t="str">
        <f>IFERROR(__xludf.DUMMYFUNCTION("GOOGLETRANSLATE(A2944, ""zh-CN"", ""ko"")"),"동맥")</f>
        <v>동맥</v>
      </c>
    </row>
    <row r="2945" ht="15.75" customHeight="1">
      <c r="A2945" s="1" t="s">
        <v>8685</v>
      </c>
      <c r="B2945" s="1">
        <v>6.0</v>
      </c>
      <c r="C2945" s="1" t="s">
        <v>8686</v>
      </c>
      <c r="D2945" s="1" t="s">
        <v>8</v>
      </c>
      <c r="E2945" s="1" t="s">
        <v>8687</v>
      </c>
      <c r="F2945" s="1" t="str">
        <f>IFERROR(__xludf.DUMMYFUNCTION("GOOGLETRANSLATE(A2945, ""zh-CN"", ""ko"")"),"떠나다")</f>
        <v>떠나다</v>
      </c>
    </row>
    <row r="2946" ht="15.75" customHeight="1">
      <c r="A2946" s="1" t="s">
        <v>8688</v>
      </c>
      <c r="B2946" s="1">
        <v>6.0</v>
      </c>
      <c r="C2946" s="1" t="s">
        <v>8689</v>
      </c>
      <c r="D2946" s="1" t="s">
        <v>8</v>
      </c>
      <c r="E2946" s="1" t="s">
        <v>735</v>
      </c>
      <c r="F2946" s="1" t="str">
        <f>IFERROR(__xludf.DUMMYFUNCTION("GOOGLETRANSLATE(A2946, ""zh-CN"", ""ko"")"),"행동에 나서세요")</f>
        <v>행동에 나서세요</v>
      </c>
    </row>
    <row r="2947" ht="15.75" customHeight="1">
      <c r="A2947" s="1" t="s">
        <v>8690</v>
      </c>
      <c r="B2947" s="1">
        <v>6.0</v>
      </c>
      <c r="C2947" s="1" t="s">
        <v>8691</v>
      </c>
      <c r="D2947" s="1" t="s">
        <v>16</v>
      </c>
      <c r="E2947" s="1" t="s">
        <v>8692</v>
      </c>
      <c r="F2947" s="1" t="str">
        <f>IFERROR(__xludf.DUMMYFUNCTION("GOOGLETRANSLATE(A2947, ""zh-CN"", ""ko"")"),"동적")</f>
        <v>동적</v>
      </c>
    </row>
    <row r="2948" ht="15.75" customHeight="1">
      <c r="A2948" s="1" t="s">
        <v>8693</v>
      </c>
      <c r="B2948" s="1">
        <v>6.0</v>
      </c>
      <c r="C2948" s="1" t="s">
        <v>8694</v>
      </c>
      <c r="D2948" s="1" t="s">
        <v>8</v>
      </c>
      <c r="E2948" s="1" t="s">
        <v>8695</v>
      </c>
      <c r="F2948" s="1" t="str">
        <f>IFERROR(__xludf.DUMMYFUNCTION("GOOGLETRANSLATE(A2948, ""zh-CN"", ""ko"")"),"동원")</f>
        <v>동원</v>
      </c>
    </row>
    <row r="2949" ht="15.75" customHeight="1">
      <c r="A2949" s="1" t="s">
        <v>8696</v>
      </c>
      <c r="B2949" s="1">
        <v>6.0</v>
      </c>
      <c r="C2949" s="1" t="s">
        <v>74</v>
      </c>
      <c r="D2949" s="1" t="s">
        <v>113</v>
      </c>
      <c r="E2949" s="1" t="s">
        <v>8697</v>
      </c>
      <c r="F2949" s="1" t="str">
        <f>IFERROR(__xludf.DUMMYFUNCTION("GOOGLETRANSLATE(A2949, ""zh-CN"", ""ko"")"),"포켓")</f>
        <v>포켓</v>
      </c>
    </row>
    <row r="2950" ht="15.75" customHeight="1">
      <c r="A2950" s="1" t="s">
        <v>8698</v>
      </c>
      <c r="B2950" s="1">
        <v>6.0</v>
      </c>
      <c r="C2950" s="1" t="s">
        <v>8699</v>
      </c>
      <c r="D2950" s="1" t="s">
        <v>52</v>
      </c>
      <c r="E2950" s="1" t="s">
        <v>8700</v>
      </c>
      <c r="F2950" s="1" t="str">
        <f>IFERROR(__xludf.DUMMYFUNCTION("GOOGLETRANSLATE(A2950, ""zh-CN"", ""ko"")"),"험한")</f>
        <v>험한</v>
      </c>
    </row>
    <row r="2951" ht="15.75" customHeight="1">
      <c r="A2951" s="1" t="s">
        <v>8701</v>
      </c>
      <c r="B2951" s="1">
        <v>6.0</v>
      </c>
      <c r="C2951" s="1" t="s">
        <v>8702</v>
      </c>
      <c r="D2951" s="1" t="s">
        <v>8</v>
      </c>
      <c r="E2951" s="1" t="s">
        <v>8703</v>
      </c>
      <c r="F2951" s="1" t="str">
        <f>IFERROR(__xludf.DUMMYFUNCTION("GOOGLETRANSLATE(A2951, ""zh-CN"", ""ko"")"),"고심하다")</f>
        <v>고심하다</v>
      </c>
    </row>
    <row r="2952" ht="15.75" customHeight="1">
      <c r="A2952" s="1" t="s">
        <v>8704</v>
      </c>
      <c r="B2952" s="1">
        <v>6.0</v>
      </c>
      <c r="C2952" s="1" t="s">
        <v>8705</v>
      </c>
      <c r="D2952" s="1" t="s">
        <v>8</v>
      </c>
      <c r="E2952" s="1" t="s">
        <v>8706</v>
      </c>
      <c r="F2952" s="1" t="str">
        <f>IFERROR(__xludf.DUMMYFUNCTION("GOOGLETRANSLATE(A2952, ""zh-CN"", ""ko"")"),"충고하다")</f>
        <v>충고하다</v>
      </c>
    </row>
    <row r="2953" ht="15.75" customHeight="1">
      <c r="A2953" s="1" t="s">
        <v>8707</v>
      </c>
      <c r="B2953" s="1">
        <v>6.0</v>
      </c>
      <c r="C2953" s="1" t="s">
        <v>8708</v>
      </c>
      <c r="D2953" s="1" t="s">
        <v>8</v>
      </c>
      <c r="E2953" s="1" t="s">
        <v>8709</v>
      </c>
      <c r="F2953" s="1" t="str">
        <f>IFERROR(__xludf.DUMMYFUNCTION("GOOGLETRANSLATE(A2953, ""zh-CN"", ""ko"")"),"절대권")</f>
        <v>절대권</v>
      </c>
    </row>
    <row r="2954" ht="15.75" customHeight="1">
      <c r="A2954" s="1" t="s">
        <v>8710</v>
      </c>
      <c r="B2954" s="1">
        <v>6.0</v>
      </c>
      <c r="C2954" s="1" t="s">
        <v>8711</v>
      </c>
      <c r="D2954" s="1" t="s">
        <v>16</v>
      </c>
      <c r="E2954" s="1" t="s">
        <v>8712</v>
      </c>
      <c r="F2954" s="1" t="str">
        <f>IFERROR(__xludf.DUMMYFUNCTION("GOOGLETRANSLATE(A2954, ""zh-CN"", ""ko"")"),"독")</f>
        <v>독</v>
      </c>
    </row>
    <row r="2955" ht="15.75" customHeight="1">
      <c r="A2955" s="1" t="s">
        <v>8713</v>
      </c>
      <c r="B2955" s="1">
        <v>6.0</v>
      </c>
      <c r="C2955" s="1" t="s">
        <v>8714</v>
      </c>
      <c r="D2955" s="1" t="s">
        <v>8</v>
      </c>
      <c r="E2955" s="1" t="s">
        <v>8715</v>
      </c>
      <c r="F2955" s="1" t="str">
        <f>IFERROR(__xludf.DUMMYFUNCTION("GOOGLETRANSLATE(A2955, ""zh-CN"", ""ko"")"),"도박")</f>
        <v>도박</v>
      </c>
    </row>
    <row r="2956" ht="15.75" customHeight="1">
      <c r="A2956" s="1" t="s">
        <v>8716</v>
      </c>
      <c r="B2956" s="1">
        <v>6.0</v>
      </c>
      <c r="C2956" s="1" t="s">
        <v>8717</v>
      </c>
      <c r="D2956" s="1" t="s">
        <v>8</v>
      </c>
      <c r="E2956" s="1" t="s">
        <v>8718</v>
      </c>
      <c r="F2956" s="1" t="str">
        <f>IFERROR(__xludf.DUMMYFUNCTION("GOOGLETRANSLATE(A2956, ""zh-CN"", ""ko"")"),"막힘")</f>
        <v>막힘</v>
      </c>
    </row>
    <row r="2957" ht="15.75" customHeight="1">
      <c r="A2957" s="1" t="s">
        <v>8719</v>
      </c>
      <c r="B2957" s="1">
        <v>6.0</v>
      </c>
      <c r="C2957" s="1" t="s">
        <v>8720</v>
      </c>
      <c r="D2957" s="1" t="s">
        <v>8</v>
      </c>
      <c r="E2957" s="1" t="s">
        <v>8721</v>
      </c>
      <c r="F2957" s="1" t="str">
        <f>IFERROR(__xludf.DUMMYFUNCTION("GOOGLETRANSLATE(A2957, ""zh-CN"", ""ko"")"),"끝내다")</f>
        <v>끝내다</v>
      </c>
    </row>
    <row r="2958" ht="15.75" customHeight="1">
      <c r="A2958" s="1" t="s">
        <v>8722</v>
      </c>
      <c r="B2958" s="1">
        <v>6.0</v>
      </c>
      <c r="C2958" s="1" t="s">
        <v>8723</v>
      </c>
      <c r="D2958" s="1" t="s">
        <v>8</v>
      </c>
      <c r="E2958" s="1" t="s">
        <v>8724</v>
      </c>
      <c r="F2958" s="1" t="str">
        <f>IFERROR(__xludf.DUMMYFUNCTION("GOOGLETRANSLATE(A2958, ""zh-CN"", ""ko"")"),"끝")</f>
        <v>끝</v>
      </c>
    </row>
    <row r="2959" ht="15.75" customHeight="1">
      <c r="A2959" s="1" t="s">
        <v>8725</v>
      </c>
      <c r="B2959" s="1">
        <v>6.0</v>
      </c>
      <c r="C2959" s="1" t="s">
        <v>8726</v>
      </c>
      <c r="D2959" s="1" t="s">
        <v>16</v>
      </c>
      <c r="E2959" s="1" t="s">
        <v>8727</v>
      </c>
      <c r="F2959" s="1" t="str">
        <f>IFERROR(__xludf.DUMMYFUNCTION("GOOGLETRANSLATE(A2959, ""zh-CN"", ""ko"")"),"단오절")</f>
        <v>단오절</v>
      </c>
    </row>
    <row r="2960" ht="15.75" customHeight="1">
      <c r="A2960" s="1" t="s">
        <v>8728</v>
      </c>
      <c r="B2960" s="1">
        <v>6.0</v>
      </c>
      <c r="C2960" s="1" t="s">
        <v>8729</v>
      </c>
      <c r="D2960" s="1" t="s">
        <v>52</v>
      </c>
      <c r="E2960" s="1" t="s">
        <v>8730</v>
      </c>
      <c r="F2960" s="1" t="str">
        <f>IFERROR(__xludf.DUMMYFUNCTION("GOOGLETRANSLATE(A2960, ""zh-CN"", ""ko"")"),"옳은")</f>
        <v>옳은</v>
      </c>
    </row>
    <row r="2961" ht="15.75" customHeight="1">
      <c r="A2961" s="1" t="s">
        <v>8731</v>
      </c>
      <c r="B2961" s="1">
        <v>6.0</v>
      </c>
      <c r="C2961" s="1" t="s">
        <v>8732</v>
      </c>
      <c r="D2961" s="1" t="s">
        <v>52</v>
      </c>
      <c r="E2961" s="1" t="s">
        <v>8733</v>
      </c>
      <c r="F2961" s="1" t="str">
        <f>IFERROR(__xludf.DUMMYFUNCTION("GOOGLETRANSLATE(A2961, ""zh-CN"", ""ko"")"),"짧은")</f>
        <v>짧은</v>
      </c>
    </row>
    <row r="2962" ht="15.75" customHeight="1">
      <c r="A2962" s="1" t="s">
        <v>8734</v>
      </c>
      <c r="B2962" s="1">
        <v>6.0</v>
      </c>
      <c r="C2962" s="1" t="s">
        <v>8735</v>
      </c>
      <c r="D2962" s="1" t="s">
        <v>8</v>
      </c>
      <c r="E2962" s="1" t="s">
        <v>8736</v>
      </c>
      <c r="F2962" s="1" t="str">
        <f>IFERROR(__xludf.DUMMYFUNCTION("GOOGLETRANSLATE(A2962, ""zh-CN"", ""ko"")"),"결정하다")</f>
        <v>결정하다</v>
      </c>
    </row>
    <row r="2963" ht="15.75" customHeight="1">
      <c r="A2963" s="1" t="s">
        <v>8737</v>
      </c>
      <c r="B2963" s="1">
        <v>6.0</v>
      </c>
      <c r="C2963" s="1" t="s">
        <v>8738</v>
      </c>
      <c r="D2963" s="1" t="s">
        <v>8</v>
      </c>
      <c r="E2963" s="1" t="s">
        <v>8739</v>
      </c>
      <c r="F2963" s="1" t="str">
        <f>IFERROR(__xludf.DUMMYFUNCTION("GOOGLETRANSLATE(A2963, ""zh-CN"", ""ko"")"),"차단하다")</f>
        <v>차단하다</v>
      </c>
    </row>
    <row r="2964" ht="15.75" customHeight="1">
      <c r="A2964" s="1" t="s">
        <v>8740</v>
      </c>
      <c r="B2964" s="1">
        <v>6.0</v>
      </c>
      <c r="C2964" s="1" t="s">
        <v>8741</v>
      </c>
      <c r="D2964" s="1" t="s">
        <v>8</v>
      </c>
      <c r="E2964" s="1" t="s">
        <v>8742</v>
      </c>
      <c r="F2964" s="1" t="str">
        <f>IFERROR(__xludf.DUMMYFUNCTION("GOOGLETRANSLATE(A2964, ""zh-CN"", ""ko"")"),"축적")</f>
        <v>축적</v>
      </c>
    </row>
    <row r="2965" ht="15.75" customHeight="1">
      <c r="A2965" s="1" t="s">
        <v>8743</v>
      </c>
      <c r="B2965" s="1">
        <v>6.0</v>
      </c>
      <c r="C2965" s="1" t="s">
        <v>8744</v>
      </c>
      <c r="D2965" s="1" t="s">
        <v>16</v>
      </c>
      <c r="E2965" s="1" t="s">
        <v>8745</v>
      </c>
      <c r="F2965" s="1" t="str">
        <f>IFERROR(__xludf.DUMMYFUNCTION("GOOGLETRANSLATE(A2965, ""zh-CN"", ""ko"")"),"대응책")</f>
        <v>대응책</v>
      </c>
    </row>
    <row r="2966" ht="15.75" customHeight="1">
      <c r="A2966" s="1" t="s">
        <v>8746</v>
      </c>
      <c r="B2966" s="1">
        <v>6.0</v>
      </c>
      <c r="C2966" s="1" t="s">
        <v>8747</v>
      </c>
      <c r="D2966" s="1" t="s">
        <v>52</v>
      </c>
      <c r="E2966" s="1" t="s">
        <v>8748</v>
      </c>
      <c r="F2966" s="1" t="str">
        <f>IFERROR(__xludf.DUMMYFUNCTION("GOOGLETRANSLATE(A2966, ""zh-CN"", ""ko"")"),"대칭")</f>
        <v>대칭</v>
      </c>
    </row>
    <row r="2967" ht="15.75" customHeight="1">
      <c r="A2967" s="1" t="s">
        <v>8749</v>
      </c>
      <c r="B2967" s="1">
        <v>6.0</v>
      </c>
      <c r="C2967" s="1" t="s">
        <v>8750</v>
      </c>
      <c r="D2967" s="1" t="s">
        <v>8</v>
      </c>
      <c r="E2967" s="1" t="s">
        <v>8751</v>
      </c>
      <c r="F2967" s="1" t="str">
        <f>IFERROR(__xludf.DUMMYFUNCTION("GOOGLETRANSLATE(A2967, ""zh-CN"", ""ko"")"),"처리하다")</f>
        <v>처리하다</v>
      </c>
    </row>
    <row r="2968" ht="15.75" customHeight="1">
      <c r="A2968" s="1" t="s">
        <v>8752</v>
      </c>
      <c r="B2968" s="1">
        <v>6.0</v>
      </c>
      <c r="C2968" s="1" t="s">
        <v>8753</v>
      </c>
      <c r="D2968" s="1" t="s">
        <v>8</v>
      </c>
      <c r="E2968" s="1" t="s">
        <v>8754</v>
      </c>
      <c r="F2968" s="1" t="str">
        <f>IFERROR(__xludf.DUMMYFUNCTION("GOOGLETRANSLATE(A2968, ""zh-CN"", ""ko"")"),"직면")</f>
        <v>직면</v>
      </c>
    </row>
    <row r="2969" ht="15.75" customHeight="1">
      <c r="A2969" s="1" t="s">
        <v>8755</v>
      </c>
      <c r="B2969" s="1">
        <v>6.0</v>
      </c>
      <c r="C2969" s="1" t="s">
        <v>8756</v>
      </c>
      <c r="D2969" s="1" t="s">
        <v>8</v>
      </c>
      <c r="E2969" s="1" t="s">
        <v>8757</v>
      </c>
      <c r="F2969" s="1" t="str">
        <f>IFERROR(__xludf.DUMMYFUNCTION("GOOGLETRANSLATE(A2969, ""zh-CN"", ""ko"")"),"반대")</f>
        <v>반대</v>
      </c>
    </row>
    <row r="2970" ht="15.75" customHeight="1">
      <c r="A2970" s="1" t="s">
        <v>8758</v>
      </c>
      <c r="B2970" s="1">
        <v>6.0</v>
      </c>
      <c r="C2970" s="1" t="s">
        <v>8759</v>
      </c>
      <c r="D2970" s="1" t="s">
        <v>16</v>
      </c>
      <c r="E2970" s="1" t="s">
        <v>8760</v>
      </c>
      <c r="F2970" s="1" t="str">
        <f>IFERROR(__xludf.DUMMYFUNCTION("GOOGLETRANSLATE(A2970, ""zh-CN"", ""ko"")"),"이행 연구")</f>
        <v>이행 연구</v>
      </c>
    </row>
    <row r="2971" ht="15.75" customHeight="1">
      <c r="A2971" s="1" t="s">
        <v>8761</v>
      </c>
      <c r="B2971" s="1">
        <v>6.0</v>
      </c>
      <c r="C2971" s="1" t="s">
        <v>8762</v>
      </c>
      <c r="D2971" s="1" t="s">
        <v>16</v>
      </c>
      <c r="E2971" s="1" t="s">
        <v>8763</v>
      </c>
      <c r="F2971" s="1" t="str">
        <f>IFERROR(__xludf.DUMMYFUNCTION("GOOGLETRANSLATE(A2971, ""zh-CN"", ""ko"")"),"팀")</f>
        <v>팀</v>
      </c>
    </row>
    <row r="2972" ht="15.75" customHeight="1">
      <c r="A2972" s="1" t="s">
        <v>8764</v>
      </c>
      <c r="B2972" s="1">
        <v>6.0</v>
      </c>
      <c r="C2972" s="1" t="s">
        <v>8765</v>
      </c>
      <c r="D2972" s="1" t="s">
        <v>8</v>
      </c>
      <c r="E2972" s="1" t="s">
        <v>8766</v>
      </c>
      <c r="F2972" s="1" t="str">
        <f>IFERROR(__xludf.DUMMYFUNCTION("GOOGLETRANSLATE(A2972, ""zh-CN"", ""ko"")"),"현금")</f>
        <v>현금</v>
      </c>
    </row>
    <row r="2973" ht="15.75" customHeight="1">
      <c r="A2973" s="1" t="s">
        <v>8767</v>
      </c>
      <c r="B2973" s="1">
        <v>6.0</v>
      </c>
      <c r="C2973" s="1" t="s">
        <v>8768</v>
      </c>
      <c r="D2973" s="1" t="s">
        <v>8</v>
      </c>
      <c r="E2973" s="1" t="s">
        <v>8769</v>
      </c>
      <c r="F2973" s="1" t="str">
        <f>IFERROR(__xludf.DUMMYFUNCTION("GOOGLETRANSLATE(A2973, ""zh-CN"", ""ko"")"),"대응하다")</f>
        <v>대응하다</v>
      </c>
    </row>
    <row r="2974" ht="15.75" customHeight="1">
      <c r="A2974" s="1" t="s">
        <v>8770</v>
      </c>
      <c r="B2974" s="1">
        <v>6.0</v>
      </c>
      <c r="C2974" s="1" t="s">
        <v>8771</v>
      </c>
      <c r="D2974" s="1" t="s">
        <v>8</v>
      </c>
      <c r="E2974" s="1" t="s">
        <v>8772</v>
      </c>
      <c r="F2974" s="1" t="str">
        <f>IFERROR(__xludf.DUMMYFUNCTION("GOOGLETRANSLATE(A2974, ""zh-CN"", ""ko"")"),"비교")</f>
        <v>비교</v>
      </c>
    </row>
    <row r="2975" ht="15.75" customHeight="1">
      <c r="A2975" s="1" t="s">
        <v>8773</v>
      </c>
      <c r="B2975" s="1">
        <v>6.0</v>
      </c>
      <c r="C2975" s="1" t="s">
        <v>8774</v>
      </c>
      <c r="D2975" s="1" t="s">
        <v>33</v>
      </c>
      <c r="E2975" s="1" t="s">
        <v>8775</v>
      </c>
      <c r="F2975" s="1" t="str">
        <f>IFERROR(__xludf.DUMMYFUNCTION("GOOGLETRANSLATE(A2975, ""zh-CN"", ""ko"")"),"즉시")</f>
        <v>즉시</v>
      </c>
    </row>
    <row r="2976" ht="15.75" customHeight="1">
      <c r="A2976" s="1" t="s">
        <v>8776</v>
      </c>
      <c r="B2976" s="1">
        <v>6.0</v>
      </c>
      <c r="C2976" s="1" t="s">
        <v>8777</v>
      </c>
      <c r="D2976" s="1" t="s">
        <v>8</v>
      </c>
      <c r="E2976" s="1" t="s">
        <v>8778</v>
      </c>
      <c r="F2976" s="1" t="str">
        <f>IFERROR(__xludf.DUMMYFUNCTION("GOOGLETRANSLATE(A2976, ""zh-CN"", ""ko"")"),"떨림")</f>
        <v>떨림</v>
      </c>
    </row>
    <row r="2977" ht="15.75" customHeight="1">
      <c r="A2977" s="1" t="s">
        <v>8779</v>
      </c>
      <c r="B2977" s="1">
        <v>6.0</v>
      </c>
      <c r="C2977" s="1" t="s">
        <v>8780</v>
      </c>
      <c r="D2977" s="1" t="s">
        <v>52</v>
      </c>
      <c r="E2977" s="1" t="s">
        <v>8781</v>
      </c>
      <c r="F2977" s="1" t="str">
        <f>IFERROR(__xludf.DUMMYFUNCTION("GOOGLETRANSLATE(A2977, ""zh-CN"", ""ko"")"),"다각화")</f>
        <v>다각화</v>
      </c>
    </row>
    <row r="2978" ht="15.75" customHeight="1">
      <c r="A2978" s="1" t="s">
        <v>8782</v>
      </c>
      <c r="B2978" s="1">
        <v>6.0</v>
      </c>
      <c r="C2978" s="1" t="s">
        <v>8783</v>
      </c>
      <c r="D2978" s="1" t="s">
        <v>8</v>
      </c>
      <c r="E2978" s="1" t="s">
        <v>8784</v>
      </c>
      <c r="F2978" s="1" t="str">
        <f>IFERROR(__xludf.DUMMYFUNCTION("GOOGLETRANSLATE(A2978, ""zh-CN"", ""ko"")"),"타락")</f>
        <v>타락</v>
      </c>
    </row>
    <row r="2979" ht="15.75" customHeight="1">
      <c r="A2979" s="1" t="s">
        <v>8785</v>
      </c>
      <c r="B2979" s="1">
        <v>6.0</v>
      </c>
      <c r="C2979" s="1" t="s">
        <v>8786</v>
      </c>
      <c r="D2979" s="1" t="s">
        <v>52</v>
      </c>
      <c r="E2979" s="1" t="s">
        <v>8787</v>
      </c>
      <c r="F2979" s="1" t="str">
        <f>IFERROR(__xludf.DUMMYFUNCTION("GOOGLETRANSLATE(A2979, ""zh-CN"", ""ko"")"),"추가의")</f>
        <v>추가의</v>
      </c>
    </row>
    <row r="2980" ht="15.75" customHeight="1">
      <c r="A2980" s="1" t="s">
        <v>8788</v>
      </c>
      <c r="B2980" s="1">
        <v>6.0</v>
      </c>
      <c r="C2980" s="1" t="s">
        <v>8789</v>
      </c>
      <c r="D2980" s="1" t="s">
        <v>52</v>
      </c>
      <c r="E2980" s="1" t="s">
        <v>8790</v>
      </c>
      <c r="F2980" s="1" t="str">
        <f>IFERROR(__xludf.DUMMYFUNCTION("GOOGLETRANSLATE(A2980, ""zh-CN"", ""ko"")"),"메스꺼움")</f>
        <v>메스꺼움</v>
      </c>
    </row>
    <row r="2981" ht="15.75" customHeight="1">
      <c r="A2981" s="1" t="s">
        <v>8791</v>
      </c>
      <c r="B2981" s="1">
        <v>6.0</v>
      </c>
      <c r="C2981" s="1" t="s">
        <v>8792</v>
      </c>
      <c r="D2981" s="1" t="s">
        <v>8</v>
      </c>
      <c r="E2981" s="1" t="s">
        <v>8793</v>
      </c>
      <c r="F2981" s="1" t="str">
        <f>IFERROR(__xludf.DUMMYFUNCTION("GOOGLETRANSLATE(A2981, ""zh-CN"", ""ko"")"),"악화")</f>
        <v>악화</v>
      </c>
    </row>
    <row r="2982" ht="15.75" customHeight="1">
      <c r="A2982" s="1" t="s">
        <v>8794</v>
      </c>
      <c r="B2982" s="1">
        <v>6.0</v>
      </c>
      <c r="C2982" s="1" t="s">
        <v>8795</v>
      </c>
      <c r="D2982" s="1" t="s">
        <v>8</v>
      </c>
      <c r="E2982" s="1" t="s">
        <v>8796</v>
      </c>
      <c r="F2982" s="1" t="str">
        <f>IFERROR(__xludf.DUMMYFUNCTION("GOOGLETRANSLATE(A2982, ""zh-CN"", ""ko"")"),"포함하다")</f>
        <v>포함하다</v>
      </c>
    </row>
    <row r="2983" ht="15.75" customHeight="1">
      <c r="A2983" s="1" t="s">
        <v>8797</v>
      </c>
      <c r="B2983" s="1">
        <v>6.0</v>
      </c>
      <c r="C2983" s="1" t="s">
        <v>8798</v>
      </c>
      <c r="D2983" s="1" t="s">
        <v>16</v>
      </c>
      <c r="E2983" s="1" t="s">
        <v>8799</v>
      </c>
      <c r="F2983" s="1" t="str">
        <f>IFERROR(__xludf.DUMMYFUNCTION("GOOGLETRANSLATE(A2983, ""zh-CN"", ""ko"")"),"원한")</f>
        <v>원한</v>
      </c>
    </row>
    <row r="2984" ht="15.75" customHeight="1">
      <c r="A2984" s="1" t="s">
        <v>8800</v>
      </c>
      <c r="B2984" s="1">
        <v>6.0</v>
      </c>
      <c r="C2984" s="1" t="s">
        <v>8801</v>
      </c>
      <c r="D2984" s="1" t="s">
        <v>56</v>
      </c>
      <c r="E2984" s="1" t="s">
        <v>8802</v>
      </c>
      <c r="F2984" s="1" t="str">
        <f>IFERROR(__xludf.DUMMYFUNCTION("GOOGLETRANSLATE(A2984, ""zh-CN"", ""ko"")"),"그게 다예요")</f>
        <v>그게 다예요</v>
      </c>
    </row>
    <row r="2985" ht="15.75" customHeight="1">
      <c r="A2985" s="1" t="s">
        <v>8803</v>
      </c>
      <c r="B2985" s="1">
        <v>6.0</v>
      </c>
      <c r="C2985" s="1" t="s">
        <v>8804</v>
      </c>
      <c r="D2985" s="1" t="s">
        <v>16</v>
      </c>
      <c r="E2985" s="1" t="s">
        <v>8805</v>
      </c>
      <c r="F2985" s="1" t="str">
        <f>IFERROR(__xludf.DUMMYFUNCTION("GOOGLETRANSLATE(A2985, ""zh-CN"", ""ko"")"),"이산화탄소")</f>
        <v>이산화탄소</v>
      </c>
    </row>
    <row r="2986" ht="15.75" customHeight="1">
      <c r="A2986" s="1" t="s">
        <v>8806</v>
      </c>
      <c r="B2986" s="1">
        <v>6.0</v>
      </c>
      <c r="C2986" s="1" t="s">
        <v>8807</v>
      </c>
      <c r="D2986" s="1" t="s">
        <v>8</v>
      </c>
      <c r="E2986" s="1" t="s">
        <v>8808</v>
      </c>
      <c r="F2986" s="1" t="str">
        <f>IFERROR(__xludf.DUMMYFUNCTION("GOOGLETRANSLATE(A2986, ""zh-CN"", ""ko"")"),"풀어 주다")</f>
        <v>풀어 주다</v>
      </c>
    </row>
    <row r="2987" ht="15.75" customHeight="1">
      <c r="A2987" s="1" t="s">
        <v>8809</v>
      </c>
      <c r="B2987" s="1">
        <v>6.0</v>
      </c>
      <c r="C2987" s="1" t="s">
        <v>8810</v>
      </c>
      <c r="D2987" s="1" t="s">
        <v>8</v>
      </c>
      <c r="E2987" s="1" t="s">
        <v>8811</v>
      </c>
      <c r="F2987" s="1" t="str">
        <f>IFERROR(__xludf.DUMMYFUNCTION("GOOGLETRANSLATE(A2987, ""zh-CN"", ""ko"")"),"부자가 되세요")</f>
        <v>부자가 되세요</v>
      </c>
    </row>
    <row r="2988" ht="15.75" customHeight="1">
      <c r="A2988" s="1" t="s">
        <v>8812</v>
      </c>
      <c r="B2988" s="1">
        <v>6.0</v>
      </c>
      <c r="C2988" s="1" t="s">
        <v>8813</v>
      </c>
      <c r="D2988" s="1" t="s">
        <v>8</v>
      </c>
      <c r="E2988" s="1" t="s">
        <v>8814</v>
      </c>
      <c r="F2988" s="1" t="str">
        <f>IFERROR(__xludf.DUMMYFUNCTION("GOOGLETRANSLATE(A2988, ""zh-CN"", ""ko"")"),"현혹")</f>
        <v>현혹</v>
      </c>
    </row>
    <row r="2989" ht="15.75" customHeight="1">
      <c r="A2989" s="1" t="s">
        <v>8815</v>
      </c>
      <c r="B2989" s="1">
        <v>6.0</v>
      </c>
      <c r="C2989" s="1" t="s">
        <v>8816</v>
      </c>
      <c r="D2989" s="1" t="s">
        <v>8</v>
      </c>
      <c r="E2989" s="1" t="s">
        <v>8817</v>
      </c>
      <c r="F2989" s="1" t="str">
        <f>IFERROR(__xludf.DUMMYFUNCTION("GOOGLETRANSLATE(A2989, ""zh-CN"", ""ko"")"),"시작하다")</f>
        <v>시작하다</v>
      </c>
    </row>
    <row r="2990" ht="15.75" customHeight="1">
      <c r="A2990" s="1" t="s">
        <v>8818</v>
      </c>
      <c r="B2990" s="1">
        <v>6.0</v>
      </c>
      <c r="C2990" s="1" t="s">
        <v>8819</v>
      </c>
      <c r="D2990" s="1" t="s">
        <v>8</v>
      </c>
      <c r="E2990" s="1" t="s">
        <v>8820</v>
      </c>
      <c r="F2990" s="1" t="str">
        <f>IFERROR(__xludf.DUMMYFUNCTION("GOOGLETRANSLATE(A2990, ""zh-CN"", ""ko"")"),"찾다")</f>
        <v>찾다</v>
      </c>
    </row>
    <row r="2991" ht="15.75" customHeight="1">
      <c r="A2991" s="1" t="s">
        <v>8821</v>
      </c>
      <c r="B2991" s="1">
        <v>6.0</v>
      </c>
      <c r="C2991" s="1" t="s">
        <v>8822</v>
      </c>
      <c r="D2991" s="1" t="s">
        <v>8</v>
      </c>
      <c r="E2991" s="1" t="s">
        <v>8823</v>
      </c>
      <c r="F2991" s="1" t="str">
        <f>IFERROR(__xludf.DUMMYFUNCTION("GOOGLETRANSLATE(A2991, ""zh-CN"", ""ko"")"),"방사")</f>
        <v>방사</v>
      </c>
    </row>
    <row r="2992" ht="15.75" customHeight="1">
      <c r="A2992" s="1" t="s">
        <v>8824</v>
      </c>
      <c r="B2992" s="1">
        <v>6.0</v>
      </c>
      <c r="C2992" s="1" t="s">
        <v>8825</v>
      </c>
      <c r="D2992" s="1" t="s">
        <v>8</v>
      </c>
      <c r="E2992" s="1" t="s">
        <v>8826</v>
      </c>
      <c r="F2992" s="1" t="str">
        <f>IFERROR(__xludf.DUMMYFUNCTION("GOOGLETRANSLATE(A2992, ""zh-CN"", ""ko"")"),"욕을 하다")</f>
        <v>욕을 하다</v>
      </c>
    </row>
    <row r="2993" ht="15.75" customHeight="1">
      <c r="A2993" s="1" t="s">
        <v>8827</v>
      </c>
      <c r="B2993" s="1">
        <v>6.0</v>
      </c>
      <c r="C2993" s="1" t="s">
        <v>8828</v>
      </c>
      <c r="D2993" s="1" t="s">
        <v>8</v>
      </c>
      <c r="E2993" s="1" t="s">
        <v>8829</v>
      </c>
      <c r="F2993" s="1" t="str">
        <f>IFERROR(__xludf.DUMMYFUNCTION("GOOGLETRANSLATE(A2993, ""zh-CN"", ""ko"")"),"발행됨")</f>
        <v>발행됨</v>
      </c>
    </row>
    <row r="2994" ht="15.75" customHeight="1">
      <c r="A2994" s="1" t="s">
        <v>8830</v>
      </c>
      <c r="B2994" s="1">
        <v>6.0</v>
      </c>
      <c r="C2994" s="1" t="s">
        <v>4299</v>
      </c>
      <c r="D2994" s="1" t="s">
        <v>8</v>
      </c>
      <c r="E2994" s="1" t="s">
        <v>8831</v>
      </c>
      <c r="F2994" s="1" t="str">
        <f>IFERROR(__xludf.DUMMYFUNCTION("GOOGLETRANSLATE(A2994, ""zh-CN"", ""ko"")"),"염증이 생긴")</f>
        <v>염증이 생긴</v>
      </c>
    </row>
    <row r="2995" ht="15.75" customHeight="1">
      <c r="A2995" s="1" t="s">
        <v>8832</v>
      </c>
      <c r="B2995" s="1">
        <v>6.0</v>
      </c>
      <c r="C2995" s="1" t="s">
        <v>8833</v>
      </c>
      <c r="D2995" s="1" t="s">
        <v>8</v>
      </c>
      <c r="E2995" s="1" t="s">
        <v>8834</v>
      </c>
      <c r="F2995" s="1" t="str">
        <f>IFERROR(__xludf.DUMMYFUNCTION("GOOGLETRANSLATE(A2995, ""zh-CN"", ""ko"")"),"이월하기")</f>
        <v>이월하기</v>
      </c>
    </row>
    <row r="2996" ht="15.75" customHeight="1">
      <c r="A2996" s="1" t="s">
        <v>8835</v>
      </c>
      <c r="B2996" s="1">
        <v>6.0</v>
      </c>
      <c r="C2996" s="1" t="s">
        <v>8836</v>
      </c>
      <c r="D2996" s="1" t="s">
        <v>8</v>
      </c>
      <c r="E2996" s="1" t="s">
        <v>8837</v>
      </c>
      <c r="F2996" s="1" t="str">
        <f>IFERROR(__xludf.DUMMYFUNCTION("GOOGLETRANSLATE(A2996, ""zh-CN"", ""ko"")"),"개발")</f>
        <v>개발</v>
      </c>
    </row>
    <row r="2997" ht="15.75" customHeight="1">
      <c r="A2997" s="1" t="s">
        <v>8838</v>
      </c>
      <c r="B2997" s="1">
        <v>6.0</v>
      </c>
      <c r="C2997" s="1" t="s">
        <v>8839</v>
      </c>
      <c r="D2997" s="1" t="s">
        <v>16</v>
      </c>
      <c r="E2997" s="1" t="s">
        <v>8840</v>
      </c>
      <c r="F2997" s="1" t="str">
        <f>IFERROR(__xludf.DUMMYFUNCTION("GOOGLETRANSLATE(A2997, ""zh-CN"", ""ko"")"),"법인")</f>
        <v>법인</v>
      </c>
    </row>
    <row r="2998" ht="15.75" customHeight="1">
      <c r="A2998" s="1" t="s">
        <v>8841</v>
      </c>
      <c r="B2998" s="1">
        <v>6.0</v>
      </c>
      <c r="C2998" s="1" t="s">
        <v>4308</v>
      </c>
      <c r="D2998" s="1" t="s">
        <v>26</v>
      </c>
      <c r="E2998" s="1" t="s">
        <v>8842</v>
      </c>
      <c r="F2998" s="1" t="str">
        <f>IFERROR(__xludf.DUMMYFUNCTION("GOOGLETRANSLATE(A2998, ""zh-CN"", ""ko"")"),"팬")</f>
        <v>팬</v>
      </c>
    </row>
    <row r="2999" ht="15.75" customHeight="1">
      <c r="A2999" s="1" t="s">
        <v>8843</v>
      </c>
      <c r="B2999" s="1">
        <v>6.0</v>
      </c>
      <c r="C2999" s="1" t="s">
        <v>8844</v>
      </c>
      <c r="D2999" s="1" t="s">
        <v>52</v>
      </c>
      <c r="E2999" s="1" t="s">
        <v>8845</v>
      </c>
      <c r="F2999" s="1" t="str">
        <f>IFERROR(__xludf.DUMMYFUNCTION("GOOGLETRANSLATE(A2999, ""zh-CN"", ""ko"")"),"북적이는")</f>
        <v>북적이는</v>
      </c>
    </row>
    <row r="3000" ht="15.75" customHeight="1">
      <c r="A3000" s="1" t="s">
        <v>8846</v>
      </c>
      <c r="B3000" s="1">
        <v>6.0</v>
      </c>
      <c r="C3000" s="1" t="s">
        <v>8847</v>
      </c>
      <c r="D3000" s="1" t="s">
        <v>52</v>
      </c>
      <c r="E3000" s="1" t="s">
        <v>671</v>
      </c>
      <c r="F3000" s="1" t="str">
        <f>IFERROR(__xludf.DUMMYFUNCTION("GOOGLETRANSLATE(A3000, ""zh-CN"", ""ko"")"),"바쁘다")</f>
        <v>바쁘다</v>
      </c>
    </row>
    <row r="3001" ht="15.75" customHeight="1">
      <c r="A3001" s="1" t="s">
        <v>8848</v>
      </c>
      <c r="B3001" s="1">
        <v>6.0</v>
      </c>
      <c r="C3001" s="1" t="s">
        <v>8849</v>
      </c>
      <c r="D3001" s="1" t="s">
        <v>1473</v>
      </c>
      <c r="E3001" s="1" t="s">
        <v>8850</v>
      </c>
      <c r="F3001" s="1" t="str">
        <f>IFERROR(__xludf.DUMMYFUNCTION("GOOGLETRANSLATE(A3001, ""zh-CN"", ""ko"")"),"모두")</f>
        <v>모두</v>
      </c>
    </row>
    <row r="3002" ht="15.75" customHeight="1">
      <c r="A3002" s="1" t="s">
        <v>8851</v>
      </c>
      <c r="B3002" s="1">
        <v>6.0</v>
      </c>
      <c r="C3002" s="1" t="s">
        <v>8852</v>
      </c>
      <c r="D3002" s="1" t="s">
        <v>16</v>
      </c>
      <c r="E3002" s="1" t="s">
        <v>8853</v>
      </c>
      <c r="F3002" s="1" t="str">
        <f>IFERROR(__xludf.DUMMYFUNCTION("GOOGLETRANSLATE(A3002, ""zh-CN"", ""ko"")"),"전통 한자")</f>
        <v>전통 한자</v>
      </c>
    </row>
    <row r="3003" ht="15.75" customHeight="1">
      <c r="A3003" s="1" t="s">
        <v>8854</v>
      </c>
      <c r="B3003" s="1">
        <v>6.0</v>
      </c>
      <c r="C3003" s="1" t="s">
        <v>8855</v>
      </c>
      <c r="D3003" s="1" t="s">
        <v>8</v>
      </c>
      <c r="E3003" s="1" t="s">
        <v>8856</v>
      </c>
      <c r="F3003" s="1" t="str">
        <f>IFERROR(__xludf.DUMMYFUNCTION("GOOGLETRANSLATE(A3003, ""zh-CN"", ""ko"")"),"생식")</f>
        <v>생식</v>
      </c>
    </row>
    <row r="3004" ht="15.75" customHeight="1">
      <c r="A3004" s="1" t="s">
        <v>8857</v>
      </c>
      <c r="B3004" s="1">
        <v>6.0</v>
      </c>
      <c r="C3004" s="1" t="s">
        <v>8858</v>
      </c>
      <c r="D3004" s="1" t="s">
        <v>8</v>
      </c>
      <c r="E3004" s="1" t="s">
        <v>8859</v>
      </c>
      <c r="F3004" s="1" t="str">
        <f>IFERROR(__xludf.DUMMYFUNCTION("GOOGLETRANSLATE(A3004, ""zh-CN"", ""ko"")"),"반박하다")</f>
        <v>반박하다</v>
      </c>
    </row>
    <row r="3005" ht="15.75" customHeight="1">
      <c r="A3005" s="1" t="s">
        <v>8860</v>
      </c>
      <c r="B3005" s="1">
        <v>6.0</v>
      </c>
      <c r="C3005" s="1" t="s">
        <v>8861</v>
      </c>
      <c r="D3005" s="1" t="s">
        <v>52</v>
      </c>
      <c r="E3005" s="1" t="s">
        <v>8862</v>
      </c>
      <c r="F3005" s="1" t="str">
        <f>IFERROR(__xludf.DUMMYFUNCTION("GOOGLETRANSLATE(A3005, ""zh-CN"", ""ko"")"),"이상")</f>
        <v>이상</v>
      </c>
    </row>
    <row r="3006" ht="15.75" customHeight="1">
      <c r="A3006" s="1" t="s">
        <v>8863</v>
      </c>
      <c r="B3006" s="1">
        <v>6.0</v>
      </c>
      <c r="C3006" s="1" t="s">
        <v>8864</v>
      </c>
      <c r="D3006" s="1" t="s">
        <v>1842</v>
      </c>
      <c r="E3006" s="1" t="s">
        <v>8865</v>
      </c>
      <c r="F3006" s="1" t="str">
        <f>IFERROR(__xludf.DUMMYFUNCTION("GOOGLETRANSLATE(A3006, ""zh-CN"", ""ko"")"),"싫어함")</f>
        <v>싫어함</v>
      </c>
    </row>
    <row r="3007" ht="15.75" customHeight="1">
      <c r="A3007" s="1" t="s">
        <v>8866</v>
      </c>
      <c r="B3007" s="1">
        <v>6.0</v>
      </c>
      <c r="C3007" s="1" t="s">
        <v>8867</v>
      </c>
      <c r="D3007" s="1" t="s">
        <v>8</v>
      </c>
      <c r="E3007" s="1" t="s">
        <v>8868</v>
      </c>
      <c r="F3007" s="1" t="str">
        <f>IFERROR(__xludf.DUMMYFUNCTION("GOOGLETRANSLATE(A3007, ""zh-CN"", ""ko"")"),"저항")</f>
        <v>저항</v>
      </c>
    </row>
    <row r="3008" ht="15.75" customHeight="1">
      <c r="A3008" s="1" t="s">
        <v>8869</v>
      </c>
      <c r="B3008" s="1">
        <v>6.0</v>
      </c>
      <c r="C3008" s="1" t="s">
        <v>8870</v>
      </c>
      <c r="D3008" s="1" t="s">
        <v>8</v>
      </c>
      <c r="E3008" s="1" t="s">
        <v>8871</v>
      </c>
      <c r="F3008" s="1" t="str">
        <f>IFERROR(__xludf.DUMMYFUNCTION("GOOGLETRANSLATE(A3008, ""zh-CN"", ""ko"")"),"피드백")</f>
        <v>피드백</v>
      </c>
    </row>
    <row r="3009" ht="15.75" customHeight="1">
      <c r="A3009" s="1" t="s">
        <v>8872</v>
      </c>
      <c r="B3009" s="1">
        <v>6.0</v>
      </c>
      <c r="C3009" s="1" t="s">
        <v>8873</v>
      </c>
      <c r="D3009" s="1" t="s">
        <v>1842</v>
      </c>
      <c r="E3009" s="1" t="s">
        <v>8874</v>
      </c>
      <c r="F3009" s="1" t="str">
        <f>IFERROR(__xludf.DUMMYFUNCTION("GOOGLETRANSLATE(A3009, ""zh-CN"", ""ko"")"),"뒷면")</f>
        <v>뒷면</v>
      </c>
    </row>
    <row r="3010" ht="15.75" customHeight="1">
      <c r="A3010" s="1" t="s">
        <v>8875</v>
      </c>
      <c r="B3010" s="1">
        <v>6.0</v>
      </c>
      <c r="C3010" s="1" t="s">
        <v>8876</v>
      </c>
      <c r="D3010" s="1" t="s">
        <v>8</v>
      </c>
      <c r="E3010" s="1" t="s">
        <v>8877</v>
      </c>
      <c r="F3010" s="1" t="str">
        <f>IFERROR(__xludf.DUMMYFUNCTION("GOOGLETRANSLATE(A3010, ""zh-CN"", ""ko"")"),"반사")</f>
        <v>반사</v>
      </c>
    </row>
    <row r="3011" ht="15.75" customHeight="1">
      <c r="A3011" s="1" t="s">
        <v>8878</v>
      </c>
      <c r="B3011" s="1">
        <v>6.0</v>
      </c>
      <c r="C3011" s="1" t="s">
        <v>8879</v>
      </c>
      <c r="D3011" s="1" t="s">
        <v>8</v>
      </c>
      <c r="E3011" s="1" t="s">
        <v>8880</v>
      </c>
      <c r="F3011" s="1" t="str">
        <f>IFERROR(__xludf.DUMMYFUNCTION("GOOGLETRANSLATE(A3011, ""zh-CN"", ""ko"")"),"반사")</f>
        <v>반사</v>
      </c>
    </row>
    <row r="3012" ht="15.75" customHeight="1">
      <c r="A3012" s="1" t="s">
        <v>8881</v>
      </c>
      <c r="B3012" s="1">
        <v>6.0</v>
      </c>
      <c r="C3012" s="1" t="s">
        <v>8882</v>
      </c>
      <c r="D3012" s="1" t="s">
        <v>8</v>
      </c>
      <c r="E3012" s="1" t="s">
        <v>8883</v>
      </c>
      <c r="F3012" s="1" t="str">
        <f>IFERROR(__xludf.DUMMYFUNCTION("GOOGLETRANSLATE(A3012, ""zh-CN"", ""ko"")"),"수사적 질문")</f>
        <v>수사적 질문</v>
      </c>
    </row>
    <row r="3013" ht="15.75" customHeight="1">
      <c r="A3013" s="1" t="s">
        <v>8884</v>
      </c>
      <c r="B3013" s="1">
        <v>6.0</v>
      </c>
      <c r="C3013" s="1" t="s">
        <v>8885</v>
      </c>
      <c r="D3013" s="1" t="s">
        <v>1473</v>
      </c>
      <c r="E3013" s="1" t="s">
        <v>8886</v>
      </c>
      <c r="F3013" s="1" t="str">
        <f>IFERROR(__xludf.DUMMYFUNCTION("GOOGLETRANSLATE(A3013, ""zh-CN"", ""ko"")"),"반대로")</f>
        <v>반대로</v>
      </c>
    </row>
    <row r="3014" ht="15.75" customHeight="1">
      <c r="A3014" s="1" t="s">
        <v>8887</v>
      </c>
      <c r="B3014" s="1">
        <v>6.0</v>
      </c>
      <c r="C3014" s="1" t="s">
        <v>8888</v>
      </c>
      <c r="D3014" s="1" t="s">
        <v>16</v>
      </c>
      <c r="E3014" s="1" t="s">
        <v>8889</v>
      </c>
      <c r="F3014" s="1" t="str">
        <f>IFERROR(__xludf.DUMMYFUNCTION("GOOGLETRANSLATE(A3014, ""zh-CN"", ""ko"")"),"범주")</f>
        <v>범주</v>
      </c>
    </row>
    <row r="3015" ht="15.75" customHeight="1">
      <c r="A3015" s="1" t="s">
        <v>8890</v>
      </c>
      <c r="B3015" s="1">
        <v>6.0</v>
      </c>
      <c r="C3015" s="1" t="s">
        <v>8891</v>
      </c>
      <c r="D3015" s="1" t="s">
        <v>8</v>
      </c>
      <c r="E3015" s="1" t="s">
        <v>8892</v>
      </c>
      <c r="F3015" s="1" t="str">
        <f>IFERROR(__xludf.DUMMYFUNCTION("GOOGLETRANSLATE(A3015, ""zh-CN"", ""ko"")"),"홍수")</f>
        <v>홍수</v>
      </c>
    </row>
    <row r="3016" ht="15.75" customHeight="1">
      <c r="A3016" s="1" t="s">
        <v>8893</v>
      </c>
      <c r="B3016" s="1">
        <v>6.0</v>
      </c>
      <c r="C3016" s="1" t="s">
        <v>8894</v>
      </c>
      <c r="D3016" s="1" t="s">
        <v>8</v>
      </c>
      <c r="E3016" s="1" t="s">
        <v>8895</v>
      </c>
      <c r="F3016" s="1" t="str">
        <f>IFERROR(__xludf.DUMMYFUNCTION("GOOGLETRANSLATE(A3016, ""zh-CN"", ""ko"")"),"판매")</f>
        <v>판매</v>
      </c>
    </row>
    <row r="3017" ht="15.75" customHeight="1">
      <c r="A3017" s="1" t="s">
        <v>8896</v>
      </c>
      <c r="B3017" s="1">
        <v>6.0</v>
      </c>
      <c r="C3017" s="1" t="s">
        <v>8897</v>
      </c>
      <c r="D3017" s="1" t="s">
        <v>16</v>
      </c>
      <c r="E3017" s="1" t="s">
        <v>8898</v>
      </c>
      <c r="F3017" s="1" t="str">
        <f>IFERROR(__xludf.DUMMYFUNCTION("GOOGLETRANSLATE(A3017, ""zh-CN"", ""ko"")"),"위치")</f>
        <v>위치</v>
      </c>
    </row>
    <row r="3018" ht="15.75" customHeight="1">
      <c r="A3018" s="1" t="s">
        <v>8899</v>
      </c>
      <c r="B3018" s="1">
        <v>6.0</v>
      </c>
      <c r="C3018" s="1" t="s">
        <v>8900</v>
      </c>
      <c r="D3018" s="1" t="s">
        <v>16</v>
      </c>
      <c r="E3018" s="1" t="s">
        <v>8901</v>
      </c>
      <c r="F3018" s="1" t="str">
        <f>IFERROR(__xludf.DUMMYFUNCTION("GOOGLETRANSLATE(A3018, ""zh-CN"", ""ko"")"),"방언")</f>
        <v>방언</v>
      </c>
    </row>
    <row r="3019" ht="15.75" customHeight="1">
      <c r="A3019" s="1" t="s">
        <v>8902</v>
      </c>
      <c r="B3019" s="1">
        <v>6.0</v>
      </c>
      <c r="C3019" s="1" t="s">
        <v>8903</v>
      </c>
      <c r="D3019" s="1" t="s">
        <v>52</v>
      </c>
      <c r="E3019" s="1" t="s">
        <v>3474</v>
      </c>
      <c r="F3019" s="1" t="str">
        <f>IFERROR(__xludf.DUMMYFUNCTION("GOOGLETRANSLATE(A3019, ""zh-CN"", ""ko"")"),"팡위안")</f>
        <v>팡위안</v>
      </c>
    </row>
    <row r="3020" ht="15.75" customHeight="1">
      <c r="A3020" s="1" t="s">
        <v>8904</v>
      </c>
      <c r="B3020" s="1">
        <v>6.0</v>
      </c>
      <c r="C3020" s="1" t="s">
        <v>8905</v>
      </c>
      <c r="D3020" s="1" t="s">
        <v>16</v>
      </c>
      <c r="E3020" s="1" t="s">
        <v>8906</v>
      </c>
      <c r="F3020" s="1" t="str">
        <f>IFERROR(__xludf.DUMMYFUNCTION("GOOGLETRANSLATE(A3020, ""zh-CN"", ""ko"")"),"정책")</f>
        <v>정책</v>
      </c>
    </row>
    <row r="3021" ht="15.75" customHeight="1">
      <c r="A3021" s="1" t="s">
        <v>8907</v>
      </c>
      <c r="B3021" s="1">
        <v>6.0</v>
      </c>
      <c r="C3021" s="1" t="s">
        <v>8908</v>
      </c>
      <c r="D3021" s="1" t="s">
        <v>8</v>
      </c>
      <c r="E3021" s="1" t="s">
        <v>8909</v>
      </c>
      <c r="F3021" s="1" t="str">
        <f>IFERROR(__xludf.DUMMYFUNCTION("GOOGLETRANSLATE(A3021, ""zh-CN"", ""ko"")"),"방어")</f>
        <v>방어</v>
      </c>
    </row>
    <row r="3022" ht="15.75" customHeight="1">
      <c r="A3022" s="1" t="s">
        <v>8910</v>
      </c>
      <c r="B3022" s="1">
        <v>6.0</v>
      </c>
      <c r="C3022" s="1" t="s">
        <v>8911</v>
      </c>
      <c r="D3022" s="1" t="s">
        <v>8</v>
      </c>
      <c r="E3022" s="1" t="s">
        <v>8912</v>
      </c>
      <c r="F3022" s="1" t="str">
        <f>IFERROR(__xludf.DUMMYFUNCTION("GOOGLETRANSLATE(A3022, ""zh-CN"", ""ko"")"),"방어")</f>
        <v>방어</v>
      </c>
    </row>
    <row r="3023" ht="15.75" customHeight="1">
      <c r="A3023" s="1" t="s">
        <v>8913</v>
      </c>
      <c r="B3023" s="1">
        <v>6.0</v>
      </c>
      <c r="C3023" s="1" t="s">
        <v>8914</v>
      </c>
      <c r="D3023" s="1" t="s">
        <v>8</v>
      </c>
      <c r="E3023" s="1" t="s">
        <v>8915</v>
      </c>
      <c r="F3023" s="1" t="str">
        <f>IFERROR(__xludf.DUMMYFUNCTION("GOOGLETRANSLATE(A3023, ""zh-CN"", ""ko"")"),"예방하다")</f>
        <v>예방하다</v>
      </c>
    </row>
    <row r="3024" ht="15.75" customHeight="1">
      <c r="A3024" s="1" t="s">
        <v>8916</v>
      </c>
      <c r="B3024" s="1">
        <v>6.0</v>
      </c>
      <c r="C3024" s="1" t="s">
        <v>8917</v>
      </c>
      <c r="D3024" s="1" t="s">
        <v>8</v>
      </c>
      <c r="E3024" s="1" t="s">
        <v>8918</v>
      </c>
      <c r="F3024" s="1" t="str">
        <f>IFERROR(__xludf.DUMMYFUNCTION("GOOGLETRANSLATE(A3024, ""zh-CN"", ""ko"")"),"예방 및 통제")</f>
        <v>예방 및 통제</v>
      </c>
    </row>
    <row r="3025" ht="15.75" customHeight="1">
      <c r="A3025" s="1" t="s">
        <v>8919</v>
      </c>
      <c r="B3025" s="1">
        <v>6.0</v>
      </c>
      <c r="C3025" s="1" t="s">
        <v>8920</v>
      </c>
      <c r="D3025" s="1" t="s">
        <v>8</v>
      </c>
      <c r="E3025" s="1" t="s">
        <v>8921</v>
      </c>
      <c r="F3025" s="1" t="str">
        <f>IFERROR(__xludf.DUMMYFUNCTION("GOOGLETRANSLATE(A3025, ""zh-CN"", ""ko"")"),"입장")</f>
        <v>입장</v>
      </c>
    </row>
    <row r="3026" ht="15.75" customHeight="1">
      <c r="A3026" s="1" t="s">
        <v>8922</v>
      </c>
      <c r="B3026" s="1">
        <v>6.0</v>
      </c>
      <c r="C3026" s="1" t="s">
        <v>8923</v>
      </c>
      <c r="D3026" s="1" t="s">
        <v>8</v>
      </c>
      <c r="E3026" s="1" t="s">
        <v>8924</v>
      </c>
      <c r="F3026" s="1" t="str">
        <f>IFERROR(__xludf.DUMMYFUNCTION("GOOGLETRANSLATE(A3026, ""zh-CN"", ""ko"")"),"섬유")</f>
        <v>섬유</v>
      </c>
    </row>
    <row r="3027" ht="15.75" customHeight="1">
      <c r="A3027" s="1" t="s">
        <v>8925</v>
      </c>
      <c r="B3027" s="1">
        <v>6.0</v>
      </c>
      <c r="C3027" s="1" t="s">
        <v>8926</v>
      </c>
      <c r="D3027" s="1" t="s">
        <v>8</v>
      </c>
      <c r="E3027" s="1" t="s">
        <v>8927</v>
      </c>
      <c r="F3027" s="1" t="str">
        <f>IFERROR(__xludf.DUMMYFUNCTION("GOOGLETRANSLATE(A3027, ""zh-CN"", ""ko"")"),"크게 하다")</f>
        <v>크게 하다</v>
      </c>
    </row>
    <row r="3028" ht="15.75" customHeight="1">
      <c r="A3028" s="1" t="s">
        <v>8928</v>
      </c>
      <c r="B3028" s="1">
        <v>6.0</v>
      </c>
      <c r="C3028" s="1" t="s">
        <v>8929</v>
      </c>
      <c r="D3028" s="1" t="s">
        <v>8</v>
      </c>
      <c r="E3028" s="1" t="s">
        <v>8930</v>
      </c>
      <c r="F3028" s="1" t="str">
        <f>IFERROR(__xludf.DUMMYFUNCTION("GOOGLETRANSLATE(A3028, ""zh-CN"", ""ko"")"),"방사")</f>
        <v>방사</v>
      </c>
    </row>
    <row r="3029" ht="15.75" customHeight="1">
      <c r="A3029" s="1" t="s">
        <v>8931</v>
      </c>
      <c r="B3029" s="1">
        <v>6.0</v>
      </c>
      <c r="C3029" s="1" t="s">
        <v>8932</v>
      </c>
      <c r="D3029" s="1" t="s">
        <v>52</v>
      </c>
      <c r="E3029" s="1" t="s">
        <v>8933</v>
      </c>
      <c r="F3029" s="1" t="str">
        <f>IFERROR(__xludf.DUMMYFUNCTION("GOOGLETRANSLATE(A3029, ""zh-CN"", ""ko"")"),"불법적인")</f>
        <v>불법적인</v>
      </c>
    </row>
    <row r="3030" ht="15.75" customHeight="1">
      <c r="A3030" s="1" t="s">
        <v>8934</v>
      </c>
      <c r="B3030" s="1">
        <v>6.0</v>
      </c>
      <c r="C3030" s="1" t="s">
        <v>8935</v>
      </c>
      <c r="E3030" s="1" t="s">
        <v>8936</v>
      </c>
      <c r="F3030" s="1" t="str">
        <f>IFERROR(__xludf.DUMMYFUNCTION("GOOGLETRANSLATE(A3030, ""zh-CN"", ""ko"")"),"조수")</f>
        <v>조수</v>
      </c>
    </row>
    <row r="3031" ht="15.75" customHeight="1">
      <c r="A3031" s="1" t="s">
        <v>8937</v>
      </c>
      <c r="B3031" s="1">
        <v>6.0</v>
      </c>
      <c r="C3031" s="1" t="s">
        <v>8938</v>
      </c>
      <c r="D3031" s="1" t="s">
        <v>8</v>
      </c>
      <c r="E3031" s="1" t="s">
        <v>8939</v>
      </c>
      <c r="F3031" s="1" t="str">
        <f>IFERROR(__xludf.DUMMYFUNCTION("GOOGLETRANSLATE(A3031, ""zh-CN"", ""ko"")"),"파리")</f>
        <v>파리</v>
      </c>
    </row>
    <row r="3032" ht="15.75" customHeight="1">
      <c r="A3032" s="1" t="s">
        <v>8940</v>
      </c>
      <c r="B3032" s="1">
        <v>6.0</v>
      </c>
      <c r="C3032" s="1" t="s">
        <v>8941</v>
      </c>
      <c r="D3032" s="1" t="s">
        <v>8</v>
      </c>
      <c r="E3032" s="1" t="s">
        <v>8942</v>
      </c>
      <c r="F3032" s="1" t="str">
        <f>IFERROR(__xludf.DUMMYFUNCTION("GOOGLETRANSLATE(A3032, ""zh-CN"", ""ko"")"),"뛰다")</f>
        <v>뛰다</v>
      </c>
    </row>
    <row r="3033" ht="15.75" customHeight="1">
      <c r="A3033" s="1" t="s">
        <v>8943</v>
      </c>
      <c r="B3033" s="1">
        <v>6.0</v>
      </c>
      <c r="C3033" s="1" t="s">
        <v>8944</v>
      </c>
      <c r="D3033" s="1" t="s">
        <v>52</v>
      </c>
      <c r="E3033" s="1" t="s">
        <v>8945</v>
      </c>
      <c r="F3033" s="1" t="str">
        <f>IFERROR(__xludf.DUMMYFUNCTION("GOOGLETRANSLATE(A3033, ""zh-CN"", ""ko"")"),"비옥한")</f>
        <v>비옥한</v>
      </c>
    </row>
    <row r="3034" ht="15.75" customHeight="1">
      <c r="A3034" s="1" t="s">
        <v>8946</v>
      </c>
      <c r="B3034" s="1">
        <v>6.0</v>
      </c>
      <c r="C3034" s="1" t="s">
        <v>8947</v>
      </c>
      <c r="D3034" s="1" t="s">
        <v>8</v>
      </c>
      <c r="E3034" s="1" t="s">
        <v>8948</v>
      </c>
      <c r="F3034" s="1" t="str">
        <f>IFERROR(__xludf.DUMMYFUNCTION("GOOGLETRANSLATE(A3034, ""zh-CN"", ""ko"")"),"중상")</f>
        <v>중상</v>
      </c>
    </row>
    <row r="3035" ht="15.75" customHeight="1">
      <c r="A3035" s="1" t="s">
        <v>8949</v>
      </c>
      <c r="B3035" s="1">
        <v>6.0</v>
      </c>
      <c r="C3035" s="1" t="s">
        <v>8950</v>
      </c>
      <c r="D3035" s="1" t="s">
        <v>16</v>
      </c>
      <c r="E3035" s="1" t="s">
        <v>8951</v>
      </c>
      <c r="F3035" s="1" t="str">
        <f>IFERROR(__xludf.DUMMYFUNCTION("GOOGLETRANSLATE(A3035, ""zh-CN"", ""ko"")"),"폐")</f>
        <v>폐</v>
      </c>
    </row>
    <row r="3036" ht="15.75" customHeight="1">
      <c r="A3036" s="1" t="s">
        <v>8952</v>
      </c>
      <c r="B3036" s="1">
        <v>6.0</v>
      </c>
      <c r="C3036" s="1" t="s">
        <v>8953</v>
      </c>
      <c r="D3036" s="1" t="s">
        <v>8</v>
      </c>
      <c r="E3036" s="1" t="s">
        <v>8954</v>
      </c>
      <c r="F3036" s="1" t="str">
        <f>IFERROR(__xludf.DUMMYFUNCTION("GOOGLETRANSLATE(A3036, ""zh-CN"", ""ko"")"),"폐지")</f>
        <v>폐지</v>
      </c>
    </row>
    <row r="3037" ht="15.75" customHeight="1">
      <c r="A3037" s="1" t="s">
        <v>8955</v>
      </c>
      <c r="B3037" s="1">
        <v>6.0</v>
      </c>
      <c r="C3037" s="1" t="s">
        <v>8956</v>
      </c>
      <c r="E3037" s="1" t="s">
        <v>8957</v>
      </c>
      <c r="F3037" s="1" t="str">
        <f>IFERROR(__xludf.DUMMYFUNCTION("GOOGLETRANSLATE(A3037, ""zh-CN"", ""ko"")"),"먹는 것도, 자는 것도 잊어버리세요")</f>
        <v>먹는 것도, 자는 것도 잊어버리세요</v>
      </c>
    </row>
    <row r="3038" ht="15.75" customHeight="1">
      <c r="A3038" s="1" t="s">
        <v>8958</v>
      </c>
      <c r="B3038" s="1">
        <v>6.0</v>
      </c>
      <c r="C3038" s="1" t="s">
        <v>8959</v>
      </c>
      <c r="D3038" s="1" t="s">
        <v>8</v>
      </c>
      <c r="E3038" s="1" t="s">
        <v>8960</v>
      </c>
      <c r="F3038" s="1" t="str">
        <f>IFERROR(__xludf.DUMMYFUNCTION("GOOGLETRANSLATE(A3038, ""zh-CN"", ""ko"")"),"비등")</f>
        <v>비등</v>
      </c>
    </row>
    <row r="3039" ht="15.75" customHeight="1">
      <c r="A3039" s="1" t="s">
        <v>8961</v>
      </c>
      <c r="B3039" s="1">
        <v>6.0</v>
      </c>
      <c r="C3039" s="1" t="s">
        <v>8962</v>
      </c>
      <c r="D3039" s="1" t="s">
        <v>16</v>
      </c>
      <c r="E3039" s="1" t="s">
        <v>8963</v>
      </c>
      <c r="F3039" s="1" t="str">
        <f>IFERROR(__xludf.DUMMYFUNCTION("GOOGLETRANSLATE(A3039, ""zh-CN"", ""ko"")"),"유적")</f>
        <v>유적</v>
      </c>
    </row>
    <row r="3040" ht="15.75" customHeight="1">
      <c r="A3040" s="1" t="s">
        <v>8964</v>
      </c>
      <c r="B3040" s="1">
        <v>6.0</v>
      </c>
      <c r="C3040" s="1" t="s">
        <v>8965</v>
      </c>
      <c r="D3040" s="1" t="s">
        <v>8</v>
      </c>
      <c r="E3040" s="1" t="s">
        <v>8966</v>
      </c>
      <c r="F3040" s="1" t="str">
        <f>IFERROR(__xludf.DUMMYFUNCTION("GOOGLETRANSLATE(A3040, ""zh-CN"", ""ko"")"),"구별하다")</f>
        <v>구별하다</v>
      </c>
    </row>
    <row r="3041" ht="15.75" customHeight="1">
      <c r="A3041" s="1" t="s">
        <v>8967</v>
      </c>
      <c r="B3041" s="1">
        <v>6.0</v>
      </c>
      <c r="C3041" s="1" t="s">
        <v>8968</v>
      </c>
      <c r="D3041" s="1" t="s">
        <v>16</v>
      </c>
      <c r="E3041" s="1" t="s">
        <v>8969</v>
      </c>
      <c r="F3041" s="1" t="str">
        <f>IFERROR(__xludf.DUMMYFUNCTION("GOOGLETRANSLATE(A3041, ""zh-CN"", ""ko"")"),"측정하다")</f>
        <v>측정하다</v>
      </c>
    </row>
    <row r="3042" ht="15.75" customHeight="1">
      <c r="A3042" s="1" t="s">
        <v>8970</v>
      </c>
      <c r="B3042" s="1">
        <v>6.0</v>
      </c>
      <c r="C3042" s="1" t="s">
        <v>8971</v>
      </c>
      <c r="D3042" s="1" t="s">
        <v>8</v>
      </c>
      <c r="E3042" s="1" t="s">
        <v>8972</v>
      </c>
      <c r="F3042" s="1" t="str">
        <f>IFERROR(__xludf.DUMMYFUNCTION("GOOGLETRANSLATE(A3042, ""zh-CN"", ""ko"")"),"지침")</f>
        <v>지침</v>
      </c>
    </row>
    <row r="3043" ht="15.75" customHeight="1">
      <c r="A3043" s="1" t="s">
        <v>8973</v>
      </c>
      <c r="B3043" s="1">
        <v>6.0</v>
      </c>
      <c r="C3043" s="1" t="s">
        <v>8974</v>
      </c>
      <c r="D3043" s="1" t="s">
        <v>8</v>
      </c>
      <c r="E3043" s="1" t="s">
        <v>8975</v>
      </c>
      <c r="F3043" s="1" t="str">
        <f>IFERROR(__xludf.DUMMYFUNCTION("GOOGLETRANSLATE(A3043, ""zh-CN"", ""ko"")"),"배당금")</f>
        <v>배당금</v>
      </c>
    </row>
    <row r="3044" ht="15.75" customHeight="1">
      <c r="A3044" s="1" t="s">
        <v>8976</v>
      </c>
      <c r="B3044" s="1">
        <v>6.0</v>
      </c>
      <c r="C3044" s="1" t="s">
        <v>8977</v>
      </c>
      <c r="D3044" s="1" t="s">
        <v>8</v>
      </c>
      <c r="E3044" s="1" t="s">
        <v>8978</v>
      </c>
      <c r="F3044" s="1" t="str">
        <f>IFERROR(__xludf.DUMMYFUNCTION("GOOGLETRANSLATE(A3044, ""zh-CN"", ""ko"")"),"분해하다")</f>
        <v>분해하다</v>
      </c>
    </row>
    <row r="3045" ht="15.75" customHeight="1">
      <c r="A3045" s="1" t="s">
        <v>8979</v>
      </c>
      <c r="B3045" s="1">
        <v>6.0</v>
      </c>
      <c r="C3045" s="1" t="s">
        <v>8980</v>
      </c>
      <c r="D3045" s="1" t="s">
        <v>8</v>
      </c>
      <c r="E3045" s="1" t="s">
        <v>8981</v>
      </c>
      <c r="F3045" s="1" t="str">
        <f>IFERROR(__xludf.DUMMYFUNCTION("GOOGLETRANSLATE(A3045, ""zh-CN"", ""ko"")"),"나뉘다")</f>
        <v>나뉘다</v>
      </c>
    </row>
    <row r="3046" ht="15.75" customHeight="1">
      <c r="A3046" s="1" t="s">
        <v>8982</v>
      </c>
      <c r="B3046" s="1">
        <v>6.0</v>
      </c>
      <c r="C3046" s="1" t="s">
        <v>8983</v>
      </c>
      <c r="D3046" s="1" t="s">
        <v>8</v>
      </c>
      <c r="E3046" s="1" t="s">
        <v>8984</v>
      </c>
      <c r="F3046" s="1" t="str">
        <f>IFERROR(__xludf.DUMMYFUNCTION("GOOGLETRANSLATE(A3046, ""zh-CN"", ""ko"")"),"분비")</f>
        <v>분비</v>
      </c>
    </row>
    <row r="3047" ht="15.75" customHeight="1">
      <c r="A3047" s="1" t="s">
        <v>8985</v>
      </c>
      <c r="B3047" s="1">
        <v>6.0</v>
      </c>
      <c r="C3047" s="1" t="s">
        <v>8986</v>
      </c>
      <c r="D3047" s="1" t="s">
        <v>1538</v>
      </c>
      <c r="E3047" s="1" t="s">
        <v>8987</v>
      </c>
      <c r="F3047" s="1" t="str">
        <f>IFERROR(__xludf.DUMMYFUNCTION("GOOGLETRANSLATE(A3047, ""zh-CN"", ""ko"")"),"별개의")</f>
        <v>별개의</v>
      </c>
    </row>
    <row r="3048" ht="15.75" customHeight="1">
      <c r="A3048" s="1" t="s">
        <v>8988</v>
      </c>
      <c r="B3048" s="1">
        <v>6.0</v>
      </c>
      <c r="C3048" s="1" t="s">
        <v>8989</v>
      </c>
      <c r="D3048" s="1" t="s">
        <v>16</v>
      </c>
      <c r="E3048" s="1" t="s">
        <v>8990</v>
      </c>
      <c r="F3048" s="1" t="str">
        <f>IFERROR(__xludf.DUMMYFUNCTION("GOOGLETRANSLATE(A3048, ""zh-CN"", ""ko"")"),"불쾌한 일")</f>
        <v>불쾌한 일</v>
      </c>
    </row>
    <row r="3049" ht="15.75" customHeight="1">
      <c r="A3049" s="1" t="s">
        <v>8991</v>
      </c>
      <c r="B3049" s="1">
        <v>6.0</v>
      </c>
      <c r="C3049" s="1" t="s">
        <v>8992</v>
      </c>
      <c r="D3049" s="1" t="s">
        <v>8</v>
      </c>
      <c r="E3049" s="1" t="s">
        <v>8993</v>
      </c>
      <c r="F3049" s="1" t="str">
        <f>IFERROR(__xludf.DUMMYFUNCTION("GOOGLETRANSLATE(A3049, ""zh-CN"", ""ko"")"),"분산")</f>
        <v>분산</v>
      </c>
    </row>
    <row r="3050" ht="15.75" customHeight="1">
      <c r="A3050" s="1" t="s">
        <v>8994</v>
      </c>
      <c r="B3050" s="1">
        <v>6.0</v>
      </c>
      <c r="C3050" s="1" t="s">
        <v>8995</v>
      </c>
      <c r="D3050" s="1" t="s">
        <v>16</v>
      </c>
      <c r="E3050" s="1" t="s">
        <v>8996</v>
      </c>
      <c r="F3050" s="1" t="str">
        <f>IFERROR(__xludf.DUMMYFUNCTION("GOOGLETRANSLATE(A3050, ""zh-CN"", ""ko"")"),"무덤")</f>
        <v>무덤</v>
      </c>
    </row>
    <row r="3051" ht="15.75" customHeight="1">
      <c r="A3051" s="1" t="s">
        <v>8997</v>
      </c>
      <c r="B3051" s="1">
        <v>6.0</v>
      </c>
      <c r="C3051" s="1" t="s">
        <v>8998</v>
      </c>
      <c r="D3051" s="1" t="s">
        <v>16</v>
      </c>
      <c r="E3051" s="1" t="s">
        <v>8999</v>
      </c>
      <c r="F3051" s="1" t="str">
        <f>IFERROR(__xludf.DUMMYFUNCTION("GOOGLETRANSLATE(A3051, ""zh-CN"", ""ko"")"),"가루")</f>
        <v>가루</v>
      </c>
    </row>
    <row r="3052" ht="15.75" customHeight="1">
      <c r="A3052" s="1" t="s">
        <v>9000</v>
      </c>
      <c r="B3052" s="1">
        <v>6.0</v>
      </c>
      <c r="C3052" s="1" t="s">
        <v>9001</v>
      </c>
      <c r="D3052" s="1" t="s">
        <v>16</v>
      </c>
      <c r="E3052" s="1" t="s">
        <v>9002</v>
      </c>
      <c r="F3052" s="1" t="str">
        <f>IFERROR(__xludf.DUMMYFUNCTION("GOOGLETRANSLATE(A3052, ""zh-CN"", ""ko"")"),"분홍색")</f>
        <v>분홍색</v>
      </c>
    </row>
    <row r="3053" ht="15.75" customHeight="1">
      <c r="A3053" s="1" t="s">
        <v>9003</v>
      </c>
      <c r="B3053" s="1">
        <v>6.0</v>
      </c>
      <c r="C3053" s="1" t="s">
        <v>9004</v>
      </c>
      <c r="D3053" s="1" t="s">
        <v>8</v>
      </c>
      <c r="E3053" s="1" t="s">
        <v>9005</v>
      </c>
      <c r="F3053" s="1" t="str">
        <f>IFERROR(__xludf.DUMMYFUNCTION("GOOGLETRANSLATE(A3053, ""zh-CN"", ""ko"")"),"밀어 넣는")</f>
        <v>밀어 넣는</v>
      </c>
    </row>
    <row r="3054" ht="15.75" customHeight="1">
      <c r="A3054" s="1" t="s">
        <v>9006</v>
      </c>
      <c r="B3054" s="1">
        <v>6.0</v>
      </c>
      <c r="C3054" s="1" t="s">
        <v>9007</v>
      </c>
      <c r="D3054" s="1" t="s">
        <v>16</v>
      </c>
      <c r="E3054" s="1" t="s">
        <v>9008</v>
      </c>
      <c r="F3054" s="1" t="str">
        <f>IFERROR(__xludf.DUMMYFUNCTION("GOOGLETRANSLATE(A3054, ""zh-CN"", ""ko"")"),"수량")</f>
        <v>수량</v>
      </c>
    </row>
    <row r="3055" ht="15.75" customHeight="1">
      <c r="A3055" s="1" t="s">
        <v>9009</v>
      </c>
      <c r="B3055" s="1">
        <v>6.0</v>
      </c>
      <c r="C3055" s="1" t="s">
        <v>9010</v>
      </c>
      <c r="D3055" s="1" t="s">
        <v>52</v>
      </c>
      <c r="E3055" s="1" t="s">
        <v>9011</v>
      </c>
      <c r="F3055" s="1" t="str">
        <f>IFERROR(__xludf.DUMMYFUNCTION("GOOGLETRANSLATE(A3055, ""zh-CN"", ""ko"")"),"화")</f>
        <v>화</v>
      </c>
    </row>
    <row r="3056" ht="15.75" customHeight="1">
      <c r="A3056" s="1" t="s">
        <v>9012</v>
      </c>
      <c r="B3056" s="1">
        <v>6.0</v>
      </c>
      <c r="C3056" s="1" t="s">
        <v>9013</v>
      </c>
      <c r="D3056" s="1" t="s">
        <v>16</v>
      </c>
      <c r="E3056" s="1" t="s">
        <v>9014</v>
      </c>
      <c r="F3056" s="1" t="str">
        <f>IFERROR(__xludf.DUMMYFUNCTION("GOOGLETRANSLATE(A3056, ""zh-CN"", ""ko"")"),"폭풍")</f>
        <v>폭풍</v>
      </c>
    </row>
    <row r="3057" ht="15.75" customHeight="1">
      <c r="A3057" s="1" t="s">
        <v>9015</v>
      </c>
      <c r="B3057" s="1">
        <v>6.0</v>
      </c>
      <c r="C3057" s="1" t="s">
        <v>9016</v>
      </c>
      <c r="D3057" s="1" t="s">
        <v>8</v>
      </c>
      <c r="E3057" s="1" t="s">
        <v>9017</v>
      </c>
      <c r="F3057" s="1" t="str">
        <f>IFERROR(__xludf.DUMMYFUNCTION("GOOGLETRANSLATE(A3057, ""zh-CN"", ""ko"")"),"닫은")</f>
        <v>닫은</v>
      </c>
    </row>
    <row r="3058" ht="15.75" customHeight="1">
      <c r="A3058" s="1" t="s">
        <v>9018</v>
      </c>
      <c r="B3058" s="1">
        <v>6.0</v>
      </c>
      <c r="C3058" s="1" t="s">
        <v>9019</v>
      </c>
      <c r="D3058" s="1" t="s">
        <v>16</v>
      </c>
      <c r="E3058" s="1" t="s">
        <v>9020</v>
      </c>
      <c r="F3058" s="1" t="str">
        <f>IFERROR(__xludf.DUMMYFUNCTION("GOOGLETRANSLATE(A3058, ""zh-CN"", ""ko"")"),"행실")</f>
        <v>행실</v>
      </c>
    </row>
    <row r="3059" ht="15.75" customHeight="1">
      <c r="A3059" s="1" t="s">
        <v>9021</v>
      </c>
      <c r="B3059" s="1">
        <v>6.0</v>
      </c>
      <c r="C3059" s="1" t="s">
        <v>9022</v>
      </c>
      <c r="D3059" s="1" t="s">
        <v>16</v>
      </c>
      <c r="E3059" s="1" t="s">
        <v>9023</v>
      </c>
      <c r="F3059" s="1" t="str">
        <f>IFERROR(__xludf.DUMMYFUNCTION("GOOGLETRANSLATE(A3059, ""zh-CN"", ""ko"")"),"경치")</f>
        <v>경치</v>
      </c>
    </row>
    <row r="3060" ht="15.75" customHeight="1">
      <c r="A3060" s="1" t="s">
        <v>9024</v>
      </c>
      <c r="B3060" s="1">
        <v>6.0</v>
      </c>
      <c r="C3060" s="1" t="s">
        <v>9025</v>
      </c>
      <c r="D3060" s="1" t="s">
        <v>52</v>
      </c>
      <c r="E3060" s="1" t="s">
        <v>9026</v>
      </c>
      <c r="F3060" s="1" t="str">
        <f>IFERROR(__xludf.DUMMYFUNCTION("GOOGLETRANSLATE(A3060, ""zh-CN"", ""ko"")"),"봉건적인")</f>
        <v>봉건적인</v>
      </c>
    </row>
    <row r="3061" ht="15.75" customHeight="1">
      <c r="A3061" s="1" t="s">
        <v>9027</v>
      </c>
      <c r="B3061" s="1">
        <v>6.0</v>
      </c>
      <c r="C3061" s="1" t="s">
        <v>9028</v>
      </c>
      <c r="D3061" s="1" t="s">
        <v>52</v>
      </c>
      <c r="E3061" s="1" t="s">
        <v>9029</v>
      </c>
      <c r="F3061" s="1" t="str">
        <f>IFERROR(__xludf.DUMMYFUNCTION("GOOGLETRANSLATE(A3061, ""zh-CN"", ""ko"")"),"날카로운")</f>
        <v>날카로운</v>
      </c>
    </row>
    <row r="3062" ht="15.75" customHeight="1">
      <c r="A3062" s="1" t="s">
        <v>9030</v>
      </c>
      <c r="B3062" s="1">
        <v>6.0</v>
      </c>
      <c r="C3062" s="1" t="s">
        <v>9031</v>
      </c>
      <c r="D3062" s="1" t="s">
        <v>52</v>
      </c>
      <c r="E3062" s="1" t="s">
        <v>9032</v>
      </c>
      <c r="F3062" s="1" t="str">
        <f>IFERROR(__xludf.DUMMYFUNCTION("GOOGLETRANSLATE(A3062, ""zh-CN"", ""ko"")"),"가득한")</f>
        <v>가득한</v>
      </c>
    </row>
    <row r="3063" ht="15.75" customHeight="1">
      <c r="A3063" s="1" t="s">
        <v>9033</v>
      </c>
      <c r="B3063" s="1">
        <v>6.0</v>
      </c>
      <c r="C3063" s="1" t="s">
        <v>9034</v>
      </c>
      <c r="D3063" s="1" t="s">
        <v>16</v>
      </c>
      <c r="E3063" s="1" t="s">
        <v>9035</v>
      </c>
      <c r="F3063" s="1" t="str">
        <f>IFERROR(__xludf.DUMMYFUNCTION("GOOGLETRANSLATE(A3063, ""zh-CN"", ""ko"")"),"대기")</f>
        <v>대기</v>
      </c>
    </row>
    <row r="3064" ht="15.75" customHeight="1">
      <c r="A3064" s="1" t="s">
        <v>9036</v>
      </c>
      <c r="B3064" s="1">
        <v>6.0</v>
      </c>
      <c r="C3064" s="1" t="s">
        <v>9037</v>
      </c>
      <c r="D3064" s="1" t="s">
        <v>52</v>
      </c>
      <c r="E3064" s="1" t="s">
        <v>9038</v>
      </c>
      <c r="F3064" s="1" t="str">
        <f>IFERROR(__xludf.DUMMYFUNCTION("GOOGLETRANSLATE(A3064, ""zh-CN"", ""ko"")"),"유머러스한")</f>
        <v>유머러스한</v>
      </c>
    </row>
    <row r="3065" ht="15.75" customHeight="1">
      <c r="A3065" s="1" t="s">
        <v>9039</v>
      </c>
      <c r="B3065" s="1">
        <v>6.0</v>
      </c>
      <c r="C3065" s="1" t="s">
        <v>9040</v>
      </c>
      <c r="D3065" s="1" t="s">
        <v>52</v>
      </c>
      <c r="E3065" s="1" t="s">
        <v>9041</v>
      </c>
      <c r="F3065" s="1" t="str">
        <f>IFERROR(__xludf.DUMMYFUNCTION("GOOGLETRANSLATE(A3065, ""zh-CN"", ""ko"")"),"부자")</f>
        <v>부자</v>
      </c>
    </row>
    <row r="3066" ht="15.75" customHeight="1">
      <c r="A3066" s="1" t="s">
        <v>9042</v>
      </c>
      <c r="B3066" s="1">
        <v>6.0</v>
      </c>
      <c r="C3066" s="1" t="s">
        <v>9043</v>
      </c>
      <c r="D3066" s="1" t="s">
        <v>8</v>
      </c>
      <c r="E3066" s="1" t="s">
        <v>9044</v>
      </c>
      <c r="F3066" s="1" t="str">
        <f>IFERROR(__xludf.DUMMYFUNCTION("GOOGLETRANSLATE(A3066, ""zh-CN"", ""ko"")"),"수확하다")</f>
        <v>수확하다</v>
      </c>
    </row>
    <row r="3067" ht="15.75" customHeight="1">
      <c r="A3067" s="1" t="s">
        <v>9045</v>
      </c>
      <c r="B3067" s="1">
        <v>6.0</v>
      </c>
      <c r="C3067" s="1" t="s">
        <v>9046</v>
      </c>
      <c r="D3067" s="1" t="s">
        <v>8</v>
      </c>
      <c r="E3067" s="1" t="s">
        <v>9047</v>
      </c>
      <c r="F3067" s="1" t="str">
        <f>IFERROR(__xludf.DUMMYFUNCTION("GOOGLETRANSLATE(A3067, ""zh-CN"", ""ko"")"),"봉쇄")</f>
        <v>봉쇄</v>
      </c>
    </row>
    <row r="3068" ht="15.75" customHeight="1">
      <c r="A3068" s="1" t="s">
        <v>9048</v>
      </c>
      <c r="B3068" s="1">
        <v>6.0</v>
      </c>
      <c r="C3068" s="1" t="s">
        <v>9049</v>
      </c>
      <c r="E3068" s="1" t="s">
        <v>9050</v>
      </c>
      <c r="F3068" s="1" t="str">
        <f>IFERROR(__xludf.DUMMYFUNCTION("GOOGLETRANSLATE(A3068, ""zh-CN"", ""ko"")"),"지역 관습")</f>
        <v>지역 관습</v>
      </c>
    </row>
    <row r="3069" ht="15.75" customHeight="1">
      <c r="A3069" s="1" t="s">
        <v>9051</v>
      </c>
      <c r="B3069" s="1">
        <v>6.0</v>
      </c>
      <c r="C3069" s="1" t="s">
        <v>9052</v>
      </c>
      <c r="D3069" s="1" t="s">
        <v>16</v>
      </c>
      <c r="E3069" s="1" t="s">
        <v>9053</v>
      </c>
      <c r="F3069" s="1" t="str">
        <f>IFERROR(__xludf.DUMMYFUNCTION("GOOGLETRANSLATE(A3069, ""zh-CN"", ""ko"")"),"맛")</f>
        <v>맛</v>
      </c>
    </row>
    <row r="3070" ht="15.75" customHeight="1">
      <c r="A3070" s="1" t="s">
        <v>9054</v>
      </c>
      <c r="B3070" s="1">
        <v>6.0</v>
      </c>
      <c r="C3070" s="1" t="s">
        <v>9055</v>
      </c>
      <c r="D3070" s="1" t="s">
        <v>8</v>
      </c>
      <c r="E3070" s="1" t="s">
        <v>9056</v>
      </c>
      <c r="F3070" s="1" t="str">
        <f>IFERROR(__xludf.DUMMYFUNCTION("GOOGLETRANSLATE(A3070, ""zh-CN"", ""ko"")"),"회의")</f>
        <v>회의</v>
      </c>
    </row>
    <row r="3071" ht="15.75" customHeight="1">
      <c r="A3071" s="1" t="s">
        <v>9057</v>
      </c>
      <c r="B3071" s="1">
        <v>6.0</v>
      </c>
      <c r="C3071" s="1" t="s">
        <v>9058</v>
      </c>
      <c r="D3071" s="1" t="s">
        <v>8</v>
      </c>
      <c r="E3071" s="1" t="s">
        <v>9059</v>
      </c>
      <c r="F3071" s="1" t="str">
        <f>IFERROR(__xludf.DUMMYFUNCTION("GOOGLETRANSLATE(A3071, ""zh-CN"", ""ko"")"),"봉납")</f>
        <v>봉납</v>
      </c>
    </row>
    <row r="3072" ht="15.75" customHeight="1">
      <c r="A3072" s="1" t="s">
        <v>9060</v>
      </c>
      <c r="B3072" s="1">
        <v>6.0</v>
      </c>
      <c r="C3072" s="1" t="s">
        <v>9061</v>
      </c>
      <c r="D3072" s="1" t="s">
        <v>8</v>
      </c>
      <c r="E3072" s="1" t="s">
        <v>9062</v>
      </c>
      <c r="F3072" s="1" t="str">
        <f>IFERROR(__xludf.DUMMYFUNCTION("GOOGLETRANSLATE(A3072, ""zh-CN"", ""ko"")"),"거부권")</f>
        <v>거부권</v>
      </c>
    </row>
    <row r="3073" ht="15.75" customHeight="1">
      <c r="A3073" s="1" t="s">
        <v>9063</v>
      </c>
      <c r="B3073" s="1">
        <v>6.0</v>
      </c>
      <c r="C3073" s="1" t="s">
        <v>9064</v>
      </c>
      <c r="D3073" s="1" t="s">
        <v>16</v>
      </c>
      <c r="E3073" s="1" t="s">
        <v>9065</v>
      </c>
      <c r="F3073" s="1" t="str">
        <f>IFERROR(__xludf.DUMMYFUNCTION("GOOGLETRANSLATE(A3073, ""zh-CN"", ""ko"")"),"커플")</f>
        <v>커플</v>
      </c>
    </row>
    <row r="3074" ht="15.75" customHeight="1">
      <c r="A3074" s="1" t="s">
        <v>9066</v>
      </c>
      <c r="B3074" s="1">
        <v>6.0</v>
      </c>
      <c r="C3074" s="1" t="s">
        <v>9067</v>
      </c>
      <c r="D3074" s="1" t="s">
        <v>16</v>
      </c>
      <c r="E3074" s="1" t="s">
        <v>9068</v>
      </c>
      <c r="F3074" s="1" t="str">
        <f>IFERROR(__xludf.DUMMYFUNCTION("GOOGLETRANSLATE(A3074, ""zh-CN"", ""ko"")"),"숙녀")</f>
        <v>숙녀</v>
      </c>
    </row>
    <row r="3075" ht="15.75" customHeight="1">
      <c r="A3075" s="1" t="s">
        <v>9069</v>
      </c>
      <c r="B3075" s="1">
        <v>6.0</v>
      </c>
      <c r="C3075" s="1" t="s">
        <v>9070</v>
      </c>
      <c r="D3075" s="1" t="s">
        <v>8</v>
      </c>
      <c r="E3075" s="1" t="s">
        <v>9071</v>
      </c>
      <c r="F3075" s="1" t="str">
        <f>IFERROR(__xludf.DUMMYFUNCTION("GOOGLETRANSLATE(A3075, ""zh-CN"", ""ko"")"),"형식적인")</f>
        <v>형식적인</v>
      </c>
    </row>
    <row r="3076" ht="15.75" customHeight="1">
      <c r="A3076" s="1" t="s">
        <v>9072</v>
      </c>
      <c r="B3076" s="1">
        <v>6.0</v>
      </c>
      <c r="C3076" s="1" t="s">
        <v>9073</v>
      </c>
      <c r="D3076" s="1" t="s">
        <v>8</v>
      </c>
      <c r="E3076" s="1" t="s">
        <v>9074</v>
      </c>
      <c r="F3076" s="1" t="str">
        <f>IFERROR(__xludf.DUMMYFUNCTION("GOOGLETRANSLATE(A3076, ""zh-CN"", ""ko"")"),"순종하다")</f>
        <v>순종하다</v>
      </c>
    </row>
    <row r="3077" ht="15.75" customHeight="1">
      <c r="A3077" s="1" t="s">
        <v>9075</v>
      </c>
      <c r="B3077" s="1">
        <v>6.0</v>
      </c>
      <c r="C3077" s="1" t="s">
        <v>9076</v>
      </c>
      <c r="D3077" s="1" t="s">
        <v>16</v>
      </c>
      <c r="E3077" s="1" t="s">
        <v>9077</v>
      </c>
      <c r="F3077" s="1" t="str">
        <f>IFERROR(__xludf.DUMMYFUNCTION("GOOGLETRANSLATE(A3077, ""zh-CN"", ""ko"")"),"진폭")</f>
        <v>진폭</v>
      </c>
    </row>
    <row r="3078" ht="15.75" customHeight="1">
      <c r="A3078" s="1" t="s">
        <v>9078</v>
      </c>
      <c r="B3078" s="1">
        <v>6.0</v>
      </c>
      <c r="C3078" s="1" t="s">
        <v>9079</v>
      </c>
      <c r="D3078" s="1" t="s">
        <v>16</v>
      </c>
      <c r="E3078" s="1" t="s">
        <v>9080</v>
      </c>
      <c r="F3078" s="1" t="str">
        <f>IFERROR(__xludf.DUMMYFUNCTION("GOOGLETRANSLATE(A3078, ""zh-CN"", ""ko"")"),"상징")</f>
        <v>상징</v>
      </c>
    </row>
    <row r="3079" ht="15.75" customHeight="1">
      <c r="A3079" s="1" t="s">
        <v>9081</v>
      </c>
      <c r="B3079" s="1">
        <v>6.0</v>
      </c>
      <c r="C3079" s="1" t="s">
        <v>9082</v>
      </c>
      <c r="D3079" s="1" t="s">
        <v>16</v>
      </c>
      <c r="E3079" s="1" t="s">
        <v>9083</v>
      </c>
      <c r="F3079" s="1" t="str">
        <f>IFERROR(__xludf.DUMMYFUNCTION("GOOGLETRANSLATE(A3079, ""zh-CN"", ""ko"")"),"복지")</f>
        <v>복지</v>
      </c>
    </row>
    <row r="3080" ht="15.75" customHeight="1">
      <c r="A3080" s="1" t="s">
        <v>9084</v>
      </c>
      <c r="B3080" s="1">
        <v>6.0</v>
      </c>
      <c r="C3080" s="1" t="s">
        <v>9085</v>
      </c>
      <c r="D3080" s="1" t="s">
        <v>875</v>
      </c>
      <c r="E3080" s="1" t="s">
        <v>9086</v>
      </c>
      <c r="F3080" s="1" t="str">
        <f>IFERROR(__xludf.DUMMYFUNCTION("GOOGLETRANSLATE(A3080, ""zh-CN"", ""ko"")"),"포로")</f>
        <v>포로</v>
      </c>
    </row>
    <row r="3081" ht="15.75" customHeight="1">
      <c r="A3081" s="1" t="s">
        <v>9087</v>
      </c>
      <c r="B3081" s="1">
        <v>6.0</v>
      </c>
      <c r="C3081" s="1" t="s">
        <v>9088</v>
      </c>
      <c r="D3081" s="1" t="s">
        <v>8</v>
      </c>
      <c r="E3081" s="1" t="s">
        <v>9089</v>
      </c>
      <c r="F3081" s="1" t="str">
        <f>IFERROR(__xludf.DUMMYFUNCTION("GOOGLETRANSLATE(A3081, ""zh-CN"", ""ko"")"),"수락합니다")</f>
        <v>수락합니다</v>
      </c>
    </row>
    <row r="3082" ht="15.75" customHeight="1">
      <c r="A3082" s="1" t="s">
        <v>9090</v>
      </c>
      <c r="B3082" s="1">
        <v>6.0</v>
      </c>
      <c r="C3082" s="1" t="s">
        <v>9091</v>
      </c>
      <c r="D3082" s="1" t="s">
        <v>16</v>
      </c>
      <c r="E3082" s="1" t="s">
        <v>9092</v>
      </c>
      <c r="F3082" s="1" t="str">
        <f>IFERROR(__xludf.DUMMYFUNCTION("GOOGLETRANSLATE(A3082, ""zh-CN"", ""ko"")"),"행운")</f>
        <v>행운</v>
      </c>
    </row>
    <row r="3083" ht="15.75" customHeight="1">
      <c r="A3083" s="1" t="s">
        <v>9093</v>
      </c>
      <c r="B3083" s="1">
        <v>6.0</v>
      </c>
      <c r="C3083" s="1" t="s">
        <v>9094</v>
      </c>
      <c r="D3083" s="1" t="s">
        <v>8</v>
      </c>
      <c r="E3083" s="1" t="s">
        <v>9095</v>
      </c>
      <c r="F3083" s="1" t="str">
        <f>IFERROR(__xludf.DUMMYFUNCTION("GOOGLETRANSLATE(A3083, ""zh-CN"", ""ko"")"),"방사")</f>
        <v>방사</v>
      </c>
    </row>
    <row r="3084" ht="15.75" customHeight="1">
      <c r="A3084" s="1" t="s">
        <v>9096</v>
      </c>
      <c r="B3084" s="1">
        <v>6.0</v>
      </c>
      <c r="C3084" s="1" t="s">
        <v>9097</v>
      </c>
      <c r="D3084" s="1" t="s">
        <v>52</v>
      </c>
      <c r="E3084" s="1" t="s">
        <v>9098</v>
      </c>
      <c r="F3084" s="1" t="str">
        <f>IFERROR(__xludf.DUMMYFUNCTION("GOOGLETRANSLATE(A3084, ""zh-CN"", ""ko"")"),"부패")</f>
        <v>부패</v>
      </c>
    </row>
    <row r="3085" ht="15.75" customHeight="1">
      <c r="A3085" s="1" t="s">
        <v>9099</v>
      </c>
      <c r="B3085" s="1">
        <v>6.0</v>
      </c>
      <c r="C3085" s="1" t="s">
        <v>9100</v>
      </c>
      <c r="D3085" s="1" t="s">
        <v>8</v>
      </c>
      <c r="E3085" s="1" t="s">
        <v>9101</v>
      </c>
      <c r="F3085" s="1" t="str">
        <f>IFERROR(__xludf.DUMMYFUNCTION("GOOGLETRANSLATE(A3085, ""zh-CN"", ""ko"")"),"썩음")</f>
        <v>썩음</v>
      </c>
    </row>
    <row r="3086" ht="15.75" customHeight="1">
      <c r="A3086" s="1" t="s">
        <v>9102</v>
      </c>
      <c r="B3086" s="1">
        <v>6.0</v>
      </c>
      <c r="C3086" s="1" t="s">
        <v>9103</v>
      </c>
      <c r="D3086" s="1" t="s">
        <v>8</v>
      </c>
      <c r="E3086" s="1" t="s">
        <v>9104</v>
      </c>
      <c r="F3086" s="1" t="str">
        <f>IFERROR(__xludf.DUMMYFUNCTION("GOOGLETRANSLATE(A3086, ""zh-CN"", ""ko"")"),"애무")</f>
        <v>애무</v>
      </c>
    </row>
    <row r="3087" ht="15.75" customHeight="1">
      <c r="A3087" s="1" t="s">
        <v>9105</v>
      </c>
      <c r="B3087" s="1">
        <v>6.0</v>
      </c>
      <c r="C3087" s="1" t="s">
        <v>9106</v>
      </c>
      <c r="D3087" s="1" t="s">
        <v>8</v>
      </c>
      <c r="E3087" s="1" t="s">
        <v>9107</v>
      </c>
      <c r="F3087" s="1" t="str">
        <f>IFERROR(__xludf.DUMMYFUNCTION("GOOGLETRANSLATE(A3087, ""zh-CN"", ""ko"")"),"부식")</f>
        <v>부식</v>
      </c>
    </row>
    <row r="3088" ht="15.75" customHeight="1">
      <c r="A3088" s="1" t="s">
        <v>9108</v>
      </c>
      <c r="B3088" s="1">
        <v>6.0</v>
      </c>
      <c r="C3088" s="1" t="s">
        <v>9109</v>
      </c>
      <c r="D3088" s="1" t="s">
        <v>8</v>
      </c>
      <c r="E3088" s="1" t="s">
        <v>9110</v>
      </c>
      <c r="F3088" s="1" t="str">
        <f>IFERROR(__xludf.DUMMYFUNCTION("GOOGLETRANSLATE(A3088, ""zh-CN"", ""ko"")"),"아래를 내려다보며")</f>
        <v>아래를 내려다보며</v>
      </c>
    </row>
    <row r="3089" ht="15.75" customHeight="1">
      <c r="A3089" s="1" t="s">
        <v>9111</v>
      </c>
      <c r="B3089" s="1">
        <v>6.0</v>
      </c>
      <c r="C3089" s="1" t="s">
        <v>9112</v>
      </c>
      <c r="D3089" s="1" t="s">
        <v>52</v>
      </c>
      <c r="E3089" s="1" t="s">
        <v>9113</v>
      </c>
      <c r="F3089" s="1" t="str">
        <f>IFERROR(__xludf.DUMMYFUNCTION("GOOGLETRANSLATE(A3089, ""zh-CN"", ""ko"")"),"부식")</f>
        <v>부식</v>
      </c>
    </row>
    <row r="3090" ht="15.75" customHeight="1">
      <c r="A3090" s="1" t="s">
        <v>9114</v>
      </c>
      <c r="B3090" s="1">
        <v>6.0</v>
      </c>
      <c r="C3090" s="1" t="s">
        <v>9115</v>
      </c>
      <c r="D3090" s="1" t="s">
        <v>8</v>
      </c>
      <c r="E3090" s="1" t="s">
        <v>9116</v>
      </c>
      <c r="F3090" s="1" t="str">
        <f>IFERROR(__xludf.DUMMYFUNCTION("GOOGLETRANSLATE(A3090, ""zh-CN"", ""ko"")"),"인상")</f>
        <v>인상</v>
      </c>
    </row>
    <row r="3091" ht="15.75" customHeight="1">
      <c r="A3091" s="1" t="s">
        <v>9117</v>
      </c>
      <c r="B3091" s="1">
        <v>6.0</v>
      </c>
      <c r="C3091" s="1" t="s">
        <v>9118</v>
      </c>
      <c r="D3091" s="1" t="s">
        <v>8</v>
      </c>
      <c r="E3091" s="1" t="s">
        <v>9119</v>
      </c>
      <c r="F3091" s="1" t="str">
        <f>IFERROR(__xludf.DUMMYFUNCTION("GOOGLETRANSLATE(A3091, ""zh-CN"", ""ko"")"),"지원하다")</f>
        <v>지원하다</v>
      </c>
    </row>
    <row r="3092" ht="15.75" customHeight="1">
      <c r="A3092" s="1" t="s">
        <v>33</v>
      </c>
      <c r="B3092" s="1">
        <v>6.0</v>
      </c>
      <c r="C3092" s="1" t="s">
        <v>2134</v>
      </c>
      <c r="D3092" s="1" t="s">
        <v>26</v>
      </c>
      <c r="E3092" s="1" t="s">
        <v>9120</v>
      </c>
      <c r="F3092" s="1" t="str">
        <f>IFERROR(__xludf.DUMMYFUNCTION("GOOGLETRANSLATE(A3092, ""zh-CN"", ""ko"")"),"바이스")</f>
        <v>바이스</v>
      </c>
    </row>
    <row r="3093" ht="15.75" customHeight="1">
      <c r="A3093" s="1" t="s">
        <v>9121</v>
      </c>
      <c r="B3093" s="1">
        <v>6.0</v>
      </c>
      <c r="C3093" s="1" t="s">
        <v>9122</v>
      </c>
      <c r="D3093" s="1" t="s">
        <v>875</v>
      </c>
      <c r="E3093" s="1" t="s">
        <v>9123</v>
      </c>
      <c r="F3093" s="1" t="str">
        <f>IFERROR(__xludf.DUMMYFUNCTION("GOOGLETRANSLATE(A3093, ""zh-CN"", ""ko"")"),"부담")</f>
        <v>부담</v>
      </c>
    </row>
    <row r="3094" ht="15.75" customHeight="1">
      <c r="A3094" s="1" t="s">
        <v>9124</v>
      </c>
      <c r="B3094" s="1">
        <v>6.0</v>
      </c>
      <c r="C3094" s="1" t="s">
        <v>9125</v>
      </c>
      <c r="D3094" s="1" t="s">
        <v>8</v>
      </c>
      <c r="E3094" s="1" t="s">
        <v>9126</v>
      </c>
      <c r="F3094" s="1" t="str">
        <f>IFERROR(__xludf.DUMMYFUNCTION("GOOGLETRANSLATE(A3094, ""zh-CN"", ""ko"")"),"씌우다")</f>
        <v>씌우다</v>
      </c>
    </row>
    <row r="3095" ht="15.75" customHeight="1">
      <c r="A3095" s="1" t="s">
        <v>9127</v>
      </c>
      <c r="B3095" s="1">
        <v>6.0</v>
      </c>
      <c r="C3095" s="1" t="s">
        <v>9128</v>
      </c>
      <c r="D3095" s="1" t="s">
        <v>8</v>
      </c>
      <c r="E3095" s="1" t="s">
        <v>9129</v>
      </c>
      <c r="F3095" s="1" t="str">
        <f>IFERROR(__xludf.DUMMYFUNCTION("GOOGLETRANSLATE(A3095, ""zh-CN"", ""ko"")"),"함께 가다")</f>
        <v>함께 가다</v>
      </c>
    </row>
    <row r="3096" ht="15.75" customHeight="1">
      <c r="A3096" s="1" t="s">
        <v>9130</v>
      </c>
      <c r="B3096" s="1">
        <v>6.0</v>
      </c>
      <c r="C3096" s="1" t="s">
        <v>9131</v>
      </c>
      <c r="D3096" s="1" t="s">
        <v>8</v>
      </c>
      <c r="E3096" s="1" t="s">
        <v>9132</v>
      </c>
      <c r="F3096" s="1" t="str">
        <f>IFERROR(__xludf.DUMMYFUNCTION("GOOGLETRANSLATE(A3096, ""zh-CN"", ""ko"")"),"부활")</f>
        <v>부활</v>
      </c>
    </row>
    <row r="3097" ht="15.75" customHeight="1">
      <c r="A3097" s="1" t="s">
        <v>9133</v>
      </c>
      <c r="B3097" s="1">
        <v>6.0</v>
      </c>
      <c r="C3097" s="1" t="s">
        <v>9134</v>
      </c>
      <c r="D3097" s="1" t="s">
        <v>16</v>
      </c>
      <c r="E3097" s="1" t="s">
        <v>9135</v>
      </c>
      <c r="F3097" s="1" t="str">
        <f>IFERROR(__xludf.DUMMYFUNCTION("GOOGLETRANSLATE(A3097, ""zh-CN"", ""ko"")"),"충수")</f>
        <v>충수</v>
      </c>
    </row>
    <row r="3098" ht="15.75" customHeight="1">
      <c r="A3098" s="1" t="s">
        <v>9136</v>
      </c>
      <c r="B3098" s="1">
        <v>6.0</v>
      </c>
      <c r="C3098" s="1" t="s">
        <v>9137</v>
      </c>
      <c r="D3098" s="1" t="s">
        <v>52</v>
      </c>
      <c r="E3098" s="1" t="s">
        <v>9138</v>
      </c>
      <c r="F3098" s="1" t="str">
        <f>IFERROR(__xludf.DUMMYFUNCTION("GOOGLETRANSLATE(A3098, ""zh-CN"", ""ko"")"),"자회사")</f>
        <v>자회사</v>
      </c>
    </row>
    <row r="3099" ht="15.75" customHeight="1">
      <c r="A3099" s="1" t="s">
        <v>9139</v>
      </c>
      <c r="B3099" s="1">
        <v>6.0</v>
      </c>
      <c r="C3099" s="1" t="s">
        <v>9140</v>
      </c>
      <c r="D3099" s="1" t="s">
        <v>8</v>
      </c>
      <c r="E3099" s="1" t="s">
        <v>9141</v>
      </c>
      <c r="F3099" s="1" t="str">
        <f>IFERROR(__xludf.DUMMYFUNCTION("GOOGLETRANSLATE(A3099, ""zh-CN"", ""ko"")"),"설사")</f>
        <v>설사</v>
      </c>
    </row>
    <row r="3100" ht="15.75" customHeight="1">
      <c r="A3100" s="1" t="s">
        <v>9142</v>
      </c>
      <c r="B3100" s="1">
        <v>6.0</v>
      </c>
      <c r="C3100" s="1" t="s">
        <v>9143</v>
      </c>
      <c r="D3100" s="1" t="s">
        <v>8</v>
      </c>
      <c r="E3100" s="1" t="s">
        <v>9144</v>
      </c>
      <c r="F3100" s="1" t="str">
        <f>IFERROR(__xludf.DUMMYFUNCTION("GOOGLETRANSLATE(A3100, ""zh-CN"", ""ko"")"),"회복")</f>
        <v>회복</v>
      </c>
    </row>
    <row r="3101" ht="15.75" customHeight="1">
      <c r="A3101" s="1" t="s">
        <v>9145</v>
      </c>
      <c r="B3101" s="1">
        <v>6.0</v>
      </c>
      <c r="C3101" s="1" t="s">
        <v>9146</v>
      </c>
      <c r="D3101" s="1" t="s">
        <v>8</v>
      </c>
      <c r="E3101" s="1" t="s">
        <v>9147</v>
      </c>
      <c r="F3101" s="1" t="str">
        <f>IFERROR(__xludf.DUMMYFUNCTION("GOOGLETRANSLATE(A3101, ""zh-CN"", ""ko"")"),"주다")</f>
        <v>주다</v>
      </c>
    </row>
    <row r="3102" ht="15.75" customHeight="1">
      <c r="A3102" s="1" t="s">
        <v>9148</v>
      </c>
      <c r="B3102" s="1">
        <v>6.0</v>
      </c>
      <c r="C3102" s="1" t="s">
        <v>9149</v>
      </c>
      <c r="D3102" s="1" t="s">
        <v>52</v>
      </c>
      <c r="E3102" s="1" t="s">
        <v>9150</v>
      </c>
      <c r="F3102" s="1" t="str">
        <f>IFERROR(__xludf.DUMMYFUNCTION("GOOGLETRANSLATE(A3102, ""zh-CN"", ""ko"")"),"부자")</f>
        <v>부자</v>
      </c>
    </row>
    <row r="3103" ht="15.75" customHeight="1">
      <c r="A3103" s="1" t="s">
        <v>9151</v>
      </c>
      <c r="B3103" s="1">
        <v>6.0</v>
      </c>
      <c r="C3103" s="1" t="s">
        <v>9152</v>
      </c>
      <c r="D3103" s="1" t="s">
        <v>8</v>
      </c>
      <c r="E3103" s="1" t="s">
        <v>9153</v>
      </c>
      <c r="F3103" s="1" t="str">
        <f>IFERROR(__xludf.DUMMYFUNCTION("GOOGLETRANSLATE(A3103, ""zh-CN"", ""ko"")"),"개선하다")</f>
        <v>개선하다</v>
      </c>
    </row>
    <row r="3104" ht="15.75" customHeight="1">
      <c r="A3104" s="1" t="s">
        <v>9154</v>
      </c>
      <c r="B3104" s="1">
        <v>6.0</v>
      </c>
      <c r="C3104" s="1" t="s">
        <v>4427</v>
      </c>
      <c r="D3104" s="1" t="s">
        <v>16</v>
      </c>
      <c r="E3104" s="1" t="s">
        <v>9155</v>
      </c>
      <c r="F3104" s="1" t="str">
        <f>IFERROR(__xludf.DUMMYFUNCTION("GOOGLETRANSLATE(A3104, ""zh-CN"", ""ko"")"),"칼슘")</f>
        <v>칼슘</v>
      </c>
    </row>
    <row r="3105" ht="15.75" customHeight="1">
      <c r="A3105" s="1" t="s">
        <v>9156</v>
      </c>
      <c r="B3105" s="1">
        <v>6.0</v>
      </c>
      <c r="C3105" s="1" t="s">
        <v>9157</v>
      </c>
      <c r="D3105" s="1" t="s">
        <v>8</v>
      </c>
      <c r="E3105" s="1" t="s">
        <v>9158</v>
      </c>
      <c r="F3105" s="1" t="str">
        <f>IFERROR(__xludf.DUMMYFUNCTION("GOOGLETRANSLATE(A3105, ""zh-CN"", ""ko"")"),"우표")</f>
        <v>우표</v>
      </c>
    </row>
    <row r="3106" ht="15.75" customHeight="1">
      <c r="A3106" s="1" t="s">
        <v>9159</v>
      </c>
      <c r="B3106" s="1">
        <v>6.0</v>
      </c>
      <c r="C3106" s="1" t="s">
        <v>9160</v>
      </c>
      <c r="D3106" s="1" t="s">
        <v>52</v>
      </c>
      <c r="E3106" s="1" t="s">
        <v>9161</v>
      </c>
      <c r="F3106" s="1" t="str">
        <f>IFERROR(__xludf.DUMMYFUNCTION("GOOGLETRANSLATE(A3106, ""zh-CN"", ""ko"")"),"어색한")</f>
        <v>어색한</v>
      </c>
    </row>
    <row r="3107" ht="15.75" customHeight="1">
      <c r="A3107" s="1" t="s">
        <v>9162</v>
      </c>
      <c r="B3107" s="1">
        <v>6.0</v>
      </c>
      <c r="C3107" s="1" t="s">
        <v>9163</v>
      </c>
      <c r="D3107" s="1" t="s">
        <v>52</v>
      </c>
      <c r="E3107" s="1" t="s">
        <v>9164</v>
      </c>
      <c r="F3107" s="1" t="str">
        <f>IFERROR(__xludf.DUMMYFUNCTION("GOOGLETRANSLATE(A3107, ""zh-CN"", ""ko"")"),"가뭄")</f>
        <v>가뭄</v>
      </c>
    </row>
    <row r="3108" ht="15.75" customHeight="1">
      <c r="A3108" s="1" t="s">
        <v>9165</v>
      </c>
      <c r="B3108" s="1">
        <v>6.0</v>
      </c>
      <c r="C3108" s="1" t="s">
        <v>9166</v>
      </c>
      <c r="D3108" s="1" t="s">
        <v>8</v>
      </c>
      <c r="E3108" s="1" t="s">
        <v>9167</v>
      </c>
      <c r="F3108" s="1" t="str">
        <f>IFERROR(__xludf.DUMMYFUNCTION("GOOGLETRANSLATE(A3108, ""zh-CN"", ""ko"")"),"간섭")</f>
        <v>간섭</v>
      </c>
    </row>
    <row r="3109" ht="15.75" customHeight="1">
      <c r="A3109" s="1" t="s">
        <v>9168</v>
      </c>
      <c r="B3109" s="1">
        <v>6.0</v>
      </c>
      <c r="C3109" s="1" t="s">
        <v>9169</v>
      </c>
      <c r="D3109" s="1" t="s">
        <v>8</v>
      </c>
      <c r="E3109" s="1" t="s">
        <v>9170</v>
      </c>
      <c r="F3109" s="1" t="str">
        <f>IFERROR(__xludf.DUMMYFUNCTION("GOOGLETRANSLATE(A3109, ""zh-CN"", ""ko"")"),"노를 저어라")</f>
        <v>노를 저어라</v>
      </c>
    </row>
    <row r="3110" ht="15.75" customHeight="1">
      <c r="A3110" s="1" t="s">
        <v>9171</v>
      </c>
      <c r="B3110" s="1">
        <v>6.0</v>
      </c>
      <c r="C3110" s="1" t="s">
        <v>9172</v>
      </c>
      <c r="D3110" s="1" t="s">
        <v>8</v>
      </c>
      <c r="E3110" s="1" t="s">
        <v>9173</v>
      </c>
      <c r="F3110" s="1" t="str">
        <f>IFERROR(__xludf.DUMMYFUNCTION("GOOGLETRANSLATE(A3110, ""zh-CN"", ""ko"")"),"간섭")</f>
        <v>간섭</v>
      </c>
    </row>
    <row r="3111" ht="15.75" customHeight="1">
      <c r="A3111" s="1" t="s">
        <v>9174</v>
      </c>
      <c r="B3111" s="1">
        <v>6.0</v>
      </c>
      <c r="C3111" s="1" t="s">
        <v>9175</v>
      </c>
      <c r="D3111" s="1" t="s">
        <v>8</v>
      </c>
      <c r="E3111" s="1" t="s">
        <v>9176</v>
      </c>
      <c r="F3111" s="1" t="str">
        <f>IFERROR(__xludf.DUMMYFUNCTION("GOOGLETRANSLATE(A3111, ""zh-CN"", ""ko"")"),"감정")</f>
        <v>감정</v>
      </c>
    </row>
    <row r="3112" ht="15.75" customHeight="1">
      <c r="A3112" s="1" t="s">
        <v>9177</v>
      </c>
      <c r="B3112" s="1">
        <v>6.0</v>
      </c>
      <c r="C3112" s="1" t="s">
        <v>9178</v>
      </c>
      <c r="D3112" s="1" t="s">
        <v>8</v>
      </c>
      <c r="E3112" s="1" t="s">
        <v>9179</v>
      </c>
      <c r="F3112" s="1" t="str">
        <f>IFERROR(__xludf.DUMMYFUNCTION("GOOGLETRANSLATE(A3112, ""zh-CN"", ""ko"")"),"감염시키다")</f>
        <v>감염시키다</v>
      </c>
    </row>
    <row r="3113" ht="15.75" customHeight="1">
      <c r="A3113" s="1" t="s">
        <v>9180</v>
      </c>
      <c r="B3113" s="1">
        <v>6.0</v>
      </c>
      <c r="C3113" s="1" t="s">
        <v>9181</v>
      </c>
      <c r="D3113" s="1" t="s">
        <v>16</v>
      </c>
      <c r="E3113" s="1" t="s">
        <v>9182</v>
      </c>
      <c r="F3113" s="1" t="str">
        <f>IFERROR(__xludf.DUMMYFUNCTION("GOOGLETRANSLATE(A3113, ""zh-CN"", ""ko"")"),"동기 부여")</f>
        <v>동기 부여</v>
      </c>
    </row>
    <row r="3114" ht="15.75" customHeight="1">
      <c r="A3114" s="1" t="s">
        <v>9183</v>
      </c>
      <c r="B3114" s="1">
        <v>6.0</v>
      </c>
      <c r="C3114" s="1" t="s">
        <v>9184</v>
      </c>
      <c r="D3114" s="1" t="s">
        <v>16</v>
      </c>
      <c r="E3114" s="1" t="s">
        <v>9185</v>
      </c>
      <c r="F3114" s="1" t="str">
        <f>IFERROR(__xludf.DUMMYFUNCTION("GOOGLETRANSLATE(A3114, ""zh-CN"", ""ko"")"),"프로그램")</f>
        <v>프로그램</v>
      </c>
    </row>
    <row r="3115" ht="15.75" customHeight="1">
      <c r="A3115" s="1" t="s">
        <v>9186</v>
      </c>
      <c r="B3115" s="1">
        <v>6.0</v>
      </c>
      <c r="C3115" s="1" t="s">
        <v>9187</v>
      </c>
      <c r="D3115" s="1" t="s">
        <v>16</v>
      </c>
      <c r="E3115" s="1" t="s">
        <v>9188</v>
      </c>
      <c r="F3115" s="1" t="str">
        <f>IFERROR(__xludf.DUMMYFUNCTION("GOOGLETRANSLATE(A3115, ""zh-CN"", ""ko"")"),"포트")</f>
        <v>포트</v>
      </c>
    </row>
    <row r="3116" ht="15.75" customHeight="1">
      <c r="A3116" s="1" t="s">
        <v>9189</v>
      </c>
      <c r="B3116" s="1">
        <v>6.0</v>
      </c>
      <c r="C3116" s="1" t="s">
        <v>9190</v>
      </c>
      <c r="D3116" s="1" t="s">
        <v>16</v>
      </c>
      <c r="E3116" s="1" t="s">
        <v>9191</v>
      </c>
      <c r="F3116" s="1" t="str">
        <f>IFERROR(__xludf.DUMMYFUNCTION("GOOGLETRANSLATE(A3116, ""zh-CN"", ""ko"")"),"항구")</f>
        <v>항구</v>
      </c>
    </row>
    <row r="3117" ht="15.75" customHeight="1">
      <c r="A3117" s="1" t="s">
        <v>9192</v>
      </c>
      <c r="B3117" s="1">
        <v>6.0</v>
      </c>
      <c r="C3117" s="1" t="s">
        <v>9193</v>
      </c>
      <c r="D3117" s="1" t="s">
        <v>16</v>
      </c>
      <c r="E3117" s="1" t="s">
        <v>9194</v>
      </c>
      <c r="F3117" s="1" t="str">
        <f>IFERROR(__xludf.DUMMYFUNCTION("GOOGLETRANSLATE(A3117, ""zh-CN"", ""ko"")"),"우편")</f>
        <v>우편</v>
      </c>
    </row>
    <row r="3118" ht="15.75" customHeight="1">
      <c r="A3118" s="1" t="s">
        <v>9195</v>
      </c>
      <c r="B3118" s="1">
        <v>6.0</v>
      </c>
      <c r="C3118" s="1" t="s">
        <v>9196</v>
      </c>
      <c r="D3118" s="1" t="s">
        <v>16</v>
      </c>
      <c r="E3118" s="1" t="s">
        <v>9197</v>
      </c>
      <c r="F3118" s="1" t="str">
        <f>IFERROR(__xludf.DUMMYFUNCTION("GOOGLETRANSLATE(A3118, ""zh-CN"", ""ko"")"),"지렛대")</f>
        <v>지렛대</v>
      </c>
    </row>
    <row r="3119" ht="15.75" customHeight="1">
      <c r="A3119" s="1" t="s">
        <v>9198</v>
      </c>
      <c r="B3119" s="1">
        <v>6.0</v>
      </c>
      <c r="C3119" s="1" t="s">
        <v>9199</v>
      </c>
      <c r="D3119" s="1" t="s">
        <v>52</v>
      </c>
      <c r="E3119" s="1" t="s">
        <v>9200</v>
      </c>
      <c r="F3119" s="1" t="str">
        <f>IFERROR(__xludf.DUMMYFUNCTION("GOOGLETRANSLATE(A3119, ""zh-CN"", ""ko"")"),"훌륭한")</f>
        <v>훌륭한</v>
      </c>
    </row>
    <row r="3120" ht="15.75" customHeight="1">
      <c r="A3120" s="1" t="s">
        <v>9201</v>
      </c>
      <c r="B3120" s="1">
        <v>6.0</v>
      </c>
      <c r="C3120" s="1" t="s">
        <v>9202</v>
      </c>
      <c r="D3120" s="1" t="s">
        <v>16</v>
      </c>
      <c r="E3120" s="1" t="s">
        <v>9203</v>
      </c>
      <c r="F3120" s="1" t="str">
        <f>IFERROR(__xludf.DUMMYFUNCTION("GOOGLETRANSLATE(A3120, ""zh-CN"", ""ko"")"),"클라이맥스")</f>
        <v>클라이맥스</v>
      </c>
    </row>
    <row r="3121" ht="15.75" customHeight="1">
      <c r="A3121" s="1" t="s">
        <v>9204</v>
      </c>
      <c r="B3121" s="1">
        <v>6.0</v>
      </c>
      <c r="C3121" s="1" t="s">
        <v>9205</v>
      </c>
      <c r="D3121" s="1" t="s">
        <v>16</v>
      </c>
      <c r="E3121" s="1" t="s">
        <v>9206</v>
      </c>
      <c r="F3121" s="1" t="str">
        <f>IFERROR(__xludf.DUMMYFUNCTION("GOOGLETRANSLATE(A3121, ""zh-CN"", ""ko"")"),"정점")</f>
        <v>정점</v>
      </c>
    </row>
    <row r="3122" ht="15.75" customHeight="1">
      <c r="A3122" s="1" t="s">
        <v>9207</v>
      </c>
      <c r="B3122" s="1">
        <v>6.0</v>
      </c>
      <c r="C3122" s="1" t="s">
        <v>9208</v>
      </c>
      <c r="D3122" s="1" t="s">
        <v>52</v>
      </c>
      <c r="E3122" s="1" t="s">
        <v>9209</v>
      </c>
      <c r="F3122" s="1" t="str">
        <f>IFERROR(__xludf.DUMMYFUNCTION("GOOGLETRANSLATE(A3122, ""zh-CN"", ""ko"")"),"영리한")</f>
        <v>영리한</v>
      </c>
    </row>
    <row r="3123" ht="15.75" customHeight="1">
      <c r="A3123" s="1" t="s">
        <v>9210</v>
      </c>
      <c r="B3123" s="1">
        <v>6.0</v>
      </c>
      <c r="C3123" s="1" t="s">
        <v>9211</v>
      </c>
      <c r="D3123" s="1" t="s">
        <v>52</v>
      </c>
      <c r="E3123" s="1" t="s">
        <v>9212</v>
      </c>
      <c r="F3123" s="1" t="str">
        <f>IFERROR(__xludf.DUMMYFUNCTION("GOOGLETRANSLATE(A3123, ""zh-CN"", ""ko"")"),"고귀한")</f>
        <v>고귀한</v>
      </c>
    </row>
    <row r="3124" ht="15.75" customHeight="1">
      <c r="A3124" s="1" t="s">
        <v>9213</v>
      </c>
      <c r="B3124" s="1">
        <v>6.0</v>
      </c>
      <c r="C3124" s="1" t="s">
        <v>9214</v>
      </c>
      <c r="D3124" s="1" t="s">
        <v>8</v>
      </c>
      <c r="E3124" s="1" t="s">
        <v>9215</v>
      </c>
      <c r="F3124" s="1" t="str">
        <f>IFERROR(__xludf.DUMMYFUNCTION("GOOGLETRANSLATE(A3124, ""zh-CN"", ""ko"")"),"급등하다")</f>
        <v>급등하다</v>
      </c>
    </row>
    <row r="3125" ht="15.75" customHeight="1">
      <c r="A3125" s="1" t="s">
        <v>9216</v>
      </c>
      <c r="B3125" s="1">
        <v>6.0</v>
      </c>
      <c r="C3125" s="1" t="s">
        <v>9217</v>
      </c>
      <c r="D3125" s="1" t="s">
        <v>16</v>
      </c>
      <c r="E3125" s="1" t="s">
        <v>9218</v>
      </c>
      <c r="F3125" s="1" t="str">
        <f>IFERROR(__xludf.DUMMYFUNCTION("GOOGLETRANSLATE(A3125, ""zh-CN"", ""ko"")"),"원고")</f>
        <v>원고</v>
      </c>
    </row>
    <row r="3126" ht="15.75" customHeight="1">
      <c r="A3126" s="1" t="s">
        <v>9219</v>
      </c>
      <c r="B3126" s="1">
        <v>6.0</v>
      </c>
      <c r="C3126" s="1" t="s">
        <v>9220</v>
      </c>
      <c r="D3126" s="1" t="s">
        <v>8</v>
      </c>
      <c r="E3126" s="1" t="s">
        <v>9221</v>
      </c>
      <c r="F3126" s="1" t="str">
        <f>IFERROR(__xludf.DUMMYFUNCTION("GOOGLETRANSLATE(A3126, ""zh-CN"", ""ko"")"),"안녕히 가세요")</f>
        <v>안녕히 가세요</v>
      </c>
    </row>
    <row r="3127" ht="15.75" customHeight="1">
      <c r="A3127" s="1" t="s">
        <v>9222</v>
      </c>
      <c r="B3127" s="1">
        <v>6.0</v>
      </c>
      <c r="C3127" s="1" t="s">
        <v>9223</v>
      </c>
      <c r="D3127" s="1" t="s">
        <v>8</v>
      </c>
      <c r="E3127" s="1" t="s">
        <v>9224</v>
      </c>
      <c r="F3127" s="1" t="str">
        <f>IFERROR(__xludf.DUMMYFUNCTION("GOOGLETRANSLATE(A3127, ""zh-CN"", ""ko"")"),"훈계")</f>
        <v>훈계</v>
      </c>
    </row>
    <row r="3128" ht="15.75" customHeight="1">
      <c r="A3128" s="1" t="s">
        <v>9225</v>
      </c>
      <c r="B3128" s="1">
        <v>6.0</v>
      </c>
      <c r="C3128" s="1" t="s">
        <v>9226</v>
      </c>
      <c r="D3128" s="1" t="s">
        <v>8</v>
      </c>
      <c r="E3128" s="1" t="s">
        <v>9227</v>
      </c>
      <c r="F3128" s="1" t="str">
        <f>IFERROR(__xludf.DUMMYFUNCTION("GOOGLETRANSLATE(A3128, ""zh-CN"", ""ko"")"),"놓다")</f>
        <v>놓다</v>
      </c>
    </row>
    <row r="3129" ht="15.75" customHeight="1">
      <c r="A3129" s="1" t="s">
        <v>9228</v>
      </c>
      <c r="B3129" s="1">
        <v>6.0</v>
      </c>
      <c r="C3129" s="1" t="s">
        <v>9226</v>
      </c>
      <c r="D3129" s="1" t="s">
        <v>8</v>
      </c>
      <c r="E3129" s="1" t="s">
        <v>9229</v>
      </c>
      <c r="F3129" s="1" t="str">
        <f>IFERROR(__xludf.DUMMYFUNCTION("GOOGLETRANSLATE(A3129, ""zh-CN"", ""ko"")"),"자르다")</f>
        <v>자르다</v>
      </c>
    </row>
    <row r="3130" ht="15.75" customHeight="1">
      <c r="A3130" s="1" t="s">
        <v>9230</v>
      </c>
      <c r="B3130" s="1">
        <v>6.0</v>
      </c>
      <c r="C3130" s="1" t="s">
        <v>9231</v>
      </c>
      <c r="D3130" s="1" t="s">
        <v>16</v>
      </c>
      <c r="E3130" s="1" t="s">
        <v>9232</v>
      </c>
      <c r="F3130" s="1" t="str">
        <f>IFERROR(__xludf.DUMMYFUNCTION("GOOGLETRANSLATE(A3130, ""zh-CN"", ""ko"")"),"여드름")</f>
        <v>여드름</v>
      </c>
    </row>
    <row r="3131" ht="15.75" customHeight="1">
      <c r="A3131" s="1" t="s">
        <v>9233</v>
      </c>
      <c r="B3131" s="1">
        <v>6.0</v>
      </c>
      <c r="C3131" s="1" t="s">
        <v>9234</v>
      </c>
      <c r="D3131" s="1" t="s">
        <v>8</v>
      </c>
      <c r="E3131" s="1" t="s">
        <v>9235</v>
      </c>
      <c r="F3131" s="1" t="str">
        <f>IFERROR(__xludf.DUMMYFUNCTION("GOOGLETRANSLATE(A3131, ""zh-CN"", ""ko"")"),"칭찬")</f>
        <v>칭찬</v>
      </c>
    </row>
    <row r="3132" ht="15.75" customHeight="1">
      <c r="A3132" s="1" t="s">
        <v>9236</v>
      </c>
      <c r="B3132" s="1">
        <v>6.0</v>
      </c>
      <c r="C3132" s="1" t="s">
        <v>9237</v>
      </c>
      <c r="D3132" s="1" t="s">
        <v>16</v>
      </c>
      <c r="E3132" s="1" t="s">
        <v>9238</v>
      </c>
      <c r="F3132" s="1" t="str">
        <f>IFERROR(__xludf.DUMMYFUNCTION("GOOGLETRANSLATE(A3132, ""zh-CN"", ""ko"")"),"비둘기")</f>
        <v>비둘기</v>
      </c>
    </row>
    <row r="3133" ht="15.75" customHeight="1">
      <c r="A3133" s="1" t="s">
        <v>9239</v>
      </c>
      <c r="B3133" s="1">
        <v>6.0</v>
      </c>
      <c r="C3133" s="1" t="s">
        <v>9240</v>
      </c>
      <c r="D3133" s="1" t="s">
        <v>16</v>
      </c>
      <c r="E3133" s="1" t="s">
        <v>9241</v>
      </c>
      <c r="F3133" s="1" t="str">
        <f>IFERROR(__xludf.DUMMYFUNCTION("GOOGLETRANSLATE(A3133, ""zh-CN"", ""ko"")"),"갭")</f>
        <v>갭</v>
      </c>
    </row>
    <row r="3134" ht="15.75" customHeight="1">
      <c r="A3134" s="1" t="s">
        <v>9242</v>
      </c>
      <c r="B3134" s="1">
        <v>6.0</v>
      </c>
      <c r="C3134" s="1" t="s">
        <v>9243</v>
      </c>
      <c r="D3134" s="1" t="s">
        <v>16</v>
      </c>
      <c r="E3134" s="1" t="s">
        <v>9244</v>
      </c>
      <c r="F3134" s="1" t="str">
        <f>IFERROR(__xludf.DUMMYFUNCTION("GOOGLETRANSLATE(A3134, ""zh-CN"", ""ko"")"),"무늬")</f>
        <v>무늬</v>
      </c>
    </row>
    <row r="3135" ht="15.75" customHeight="1">
      <c r="A3135" s="1" t="s">
        <v>9245</v>
      </c>
      <c r="B3135" s="1">
        <v>6.0</v>
      </c>
      <c r="C3135" s="1" t="s">
        <v>9246</v>
      </c>
      <c r="D3135" s="1" t="s">
        <v>8</v>
      </c>
      <c r="E3135" s="1" t="s">
        <v>9247</v>
      </c>
      <c r="F3135" s="1" t="str">
        <f>IFERROR(__xludf.DUMMYFUNCTION("GOOGLETRANSLATE(A3135, ""zh-CN"", ""ko"")"),"격리")</f>
        <v>격리</v>
      </c>
    </row>
    <row r="3136" ht="15.75" customHeight="1">
      <c r="A3136" s="1" t="s">
        <v>9248</v>
      </c>
      <c r="B3136" s="1">
        <v>6.0</v>
      </c>
      <c r="C3136" s="1" t="s">
        <v>9249</v>
      </c>
      <c r="D3136" s="1" t="s">
        <v>8</v>
      </c>
      <c r="E3136" s="1" t="s">
        <v>9250</v>
      </c>
      <c r="F3136" s="1" t="str">
        <f>IFERROR(__xludf.DUMMYFUNCTION("GOOGLETRANSLATE(A3136, ""zh-CN"", ""ko"")"),"혁명")</f>
        <v>혁명</v>
      </c>
    </row>
    <row r="3137" ht="15.75" customHeight="1">
      <c r="A3137" s="1" t="s">
        <v>9251</v>
      </c>
      <c r="B3137" s="1">
        <v>6.0</v>
      </c>
      <c r="C3137" s="1" t="s">
        <v>9252</v>
      </c>
      <c r="D3137" s="1" t="s">
        <v>16</v>
      </c>
      <c r="E3137" s="1" t="s">
        <v>9253</v>
      </c>
      <c r="F3137" s="1" t="str">
        <f>IFERROR(__xludf.DUMMYFUNCTION("GOOGLETRANSLATE(A3137, ""zh-CN"", ""ko"")"),"체재")</f>
        <v>체재</v>
      </c>
    </row>
    <row r="3138" ht="15.75" customHeight="1">
      <c r="A3138" s="1" t="s">
        <v>9254</v>
      </c>
      <c r="B3138" s="1">
        <v>6.0</v>
      </c>
      <c r="C3138" s="1" t="s">
        <v>9255</v>
      </c>
      <c r="E3138" s="1" t="s">
        <v>9256</v>
      </c>
      <c r="F3138" s="1" t="str">
        <f>IFERROR(__xludf.DUMMYFUNCTION("GOOGLETRANSLATE(A3138, ""zh-CN"", ""ko"")"),"모두가 자신의 의견을 표현합니다.")</f>
        <v>모두가 자신의 의견을 표현합니다.</v>
      </c>
    </row>
    <row r="3139" ht="15.75" customHeight="1">
      <c r="A3139" s="1" t="s">
        <v>9257</v>
      </c>
      <c r="B3139" s="1">
        <v>6.0</v>
      </c>
      <c r="C3139" s="1" t="s">
        <v>9258</v>
      </c>
      <c r="D3139" s="1" t="s">
        <v>16</v>
      </c>
      <c r="E3139" s="1" t="s">
        <v>9259</v>
      </c>
      <c r="F3139" s="1" t="str">
        <f>IFERROR(__xludf.DUMMYFUNCTION("GOOGLETRANSLATE(A3139, ""zh-CN"", ""ko"")"),"개인")</f>
        <v>개인</v>
      </c>
    </row>
    <row r="3140" ht="15.75" customHeight="1">
      <c r="A3140" s="1" t="s">
        <v>9260</v>
      </c>
      <c r="B3140" s="1">
        <v>6.0</v>
      </c>
      <c r="C3140" s="1" t="s">
        <v>9261</v>
      </c>
      <c r="D3140" s="1" t="s">
        <v>16</v>
      </c>
      <c r="E3140" s="1" t="s">
        <v>9262</v>
      </c>
      <c r="F3140" s="1" t="str">
        <f>IFERROR(__xludf.DUMMYFUNCTION("GOOGLETRANSLATE(A3140, ""zh-CN"", ""ko"")"),"앞에")</f>
        <v>앞에</v>
      </c>
    </row>
    <row r="3141" ht="15.75" customHeight="1">
      <c r="A3141" s="1" t="s">
        <v>9263</v>
      </c>
      <c r="B3141" s="1">
        <v>6.0</v>
      </c>
      <c r="C3141" s="1" t="s">
        <v>9264</v>
      </c>
      <c r="E3141" s="1" t="s">
        <v>9265</v>
      </c>
      <c r="F3141" s="1" t="str">
        <f>IFERROR(__xludf.DUMMYFUNCTION("GOOGLETRANSLATE(A3141, ""zh-CN"", ""ko"")"),"뿌리내린")</f>
        <v>뿌리내린</v>
      </c>
    </row>
    <row r="3142" ht="15.75" customHeight="1">
      <c r="A3142" s="1" t="s">
        <v>9266</v>
      </c>
      <c r="B3142" s="1">
        <v>6.0</v>
      </c>
      <c r="C3142" s="1" t="s">
        <v>9267</v>
      </c>
      <c r="D3142" s="1" t="s">
        <v>8</v>
      </c>
      <c r="E3142" s="1" t="s">
        <v>9268</v>
      </c>
      <c r="F3142" s="1" t="str">
        <f>IFERROR(__xludf.DUMMYFUNCTION("GOOGLETRANSLATE(A3142, ""zh-CN"", ""ko"")"),"따르다")</f>
        <v>따르다</v>
      </c>
    </row>
    <row r="3143" ht="15.75" customHeight="1">
      <c r="A3143" s="1" t="s">
        <v>9269</v>
      </c>
      <c r="B3143" s="1">
        <v>6.0</v>
      </c>
      <c r="C3143" s="1" t="s">
        <v>9270</v>
      </c>
      <c r="D3143" s="1" t="s">
        <v>16</v>
      </c>
      <c r="E3143" s="1" t="s">
        <v>9271</v>
      </c>
      <c r="F3143" s="1" t="str">
        <f>IFERROR(__xludf.DUMMYFUNCTION("GOOGLETRANSLATE(A3143, ""zh-CN"", ""ko"")"),"원천")</f>
        <v>원천</v>
      </c>
    </row>
    <row r="3144" ht="15.75" customHeight="1">
      <c r="A3144" s="1" t="s">
        <v>9272</v>
      </c>
      <c r="B3144" s="1">
        <v>6.0</v>
      </c>
      <c r="C3144" s="1" t="s">
        <v>9273</v>
      </c>
      <c r="D3144" s="1" t="s">
        <v>8</v>
      </c>
      <c r="E3144" s="1" t="s">
        <v>9274</v>
      </c>
      <c r="F3144" s="1" t="str">
        <f>IFERROR(__xludf.DUMMYFUNCTION("GOOGLETRANSLATE(A3144, ""zh-CN"", ""ko"")"),"길")</f>
        <v>길</v>
      </c>
    </row>
    <row r="3145" ht="15.75" customHeight="1">
      <c r="A3145" s="1" t="s">
        <v>9275</v>
      </c>
      <c r="B3145" s="1">
        <v>6.0</v>
      </c>
      <c r="C3145" s="1" t="s">
        <v>9276</v>
      </c>
      <c r="D3145" s="1" t="s">
        <v>8</v>
      </c>
      <c r="E3145" s="1" t="s">
        <v>9277</v>
      </c>
      <c r="F3145" s="1" t="str">
        <f>IFERROR(__xludf.DUMMYFUNCTION("GOOGLETRANSLATE(A3145, ""zh-CN"", ""ko"")"),"경지")</f>
        <v>경지</v>
      </c>
    </row>
    <row r="3146" ht="15.75" customHeight="1">
      <c r="A3146" s="1" t="s">
        <v>9278</v>
      </c>
      <c r="B3146" s="1">
        <v>6.0</v>
      </c>
      <c r="C3146" s="1" t="s">
        <v>9279</v>
      </c>
      <c r="D3146" s="1" t="s">
        <v>8</v>
      </c>
      <c r="E3146" s="1" t="s">
        <v>9280</v>
      </c>
      <c r="F3146" s="1" t="str">
        <f>IFERROR(__xludf.DUMMYFUNCTION("GOOGLETRANSLATE(A3146, ""zh-CN"", ""ko"")"),"고쳐 쓰다")</f>
        <v>고쳐 쓰다</v>
      </c>
    </row>
    <row r="3147" ht="15.75" customHeight="1">
      <c r="A3147" s="1" t="s">
        <v>9281</v>
      </c>
      <c r="B3147" s="1">
        <v>6.0</v>
      </c>
      <c r="C3147" s="1" t="s">
        <v>9282</v>
      </c>
      <c r="D3147" s="1" t="s">
        <v>8</v>
      </c>
      <c r="E3147" s="1" t="s">
        <v>9283</v>
      </c>
      <c r="F3147" s="1" t="str">
        <f>IFERROR(__xludf.DUMMYFUNCTION("GOOGLETRANSLATE(A3147, ""zh-CN"", ""ko"")"),"옳은")</f>
        <v>옳은</v>
      </c>
    </row>
    <row r="3148" ht="15.75" customHeight="1">
      <c r="A3148" s="1" t="s">
        <v>9284</v>
      </c>
      <c r="B3148" s="1">
        <v>6.0</v>
      </c>
      <c r="C3148" s="1" t="s">
        <v>9285</v>
      </c>
      <c r="D3148" s="1" t="s">
        <v>16</v>
      </c>
      <c r="E3148" s="1" t="s">
        <v>9286</v>
      </c>
      <c r="F3148" s="1" t="str">
        <f>IFERROR(__xludf.DUMMYFUNCTION("GOOGLETRANSLATE(A3148, ""zh-CN"", ""ko"")"),"공안국")</f>
        <v>공안국</v>
      </c>
    </row>
    <row r="3149" ht="15.75" customHeight="1">
      <c r="A3149" s="1" t="s">
        <v>9287</v>
      </c>
      <c r="B3149" s="1">
        <v>6.0</v>
      </c>
      <c r="C3149" s="1" t="s">
        <v>9288</v>
      </c>
      <c r="E3149" s="1" t="s">
        <v>9289</v>
      </c>
      <c r="F3149" s="1" t="str">
        <f>IFERROR(__xludf.DUMMYFUNCTION("GOOGLETRANSLATE(A3149, ""zh-CN"", ""ko"")"),"공급이 수요에 미치지 못한다")</f>
        <v>공급이 수요에 미치지 못한다</v>
      </c>
    </row>
    <row r="3150" ht="15.75" customHeight="1">
      <c r="A3150" s="1" t="s">
        <v>9290</v>
      </c>
      <c r="B3150" s="1">
        <v>6.0</v>
      </c>
      <c r="C3150" s="1" t="s">
        <v>9291</v>
      </c>
      <c r="D3150" s="1" t="s">
        <v>52</v>
      </c>
      <c r="E3150" s="1" t="s">
        <v>9292</v>
      </c>
      <c r="F3150" s="1" t="str">
        <f>IFERROR(__xludf.DUMMYFUNCTION("GOOGLETRANSLATE(A3150, ""zh-CN"", ""ko"")"),"정당성")</f>
        <v>정당성</v>
      </c>
    </row>
    <row r="3151" ht="15.75" customHeight="1">
      <c r="A3151" s="1" t="s">
        <v>9293</v>
      </c>
      <c r="B3151" s="1">
        <v>6.0</v>
      </c>
      <c r="C3151" s="1" t="s">
        <v>9294</v>
      </c>
      <c r="D3151" s="1" t="s">
        <v>16</v>
      </c>
      <c r="E3151" s="1" t="s">
        <v>9295</v>
      </c>
      <c r="F3151" s="1" t="str">
        <f>IFERROR(__xludf.DUMMYFUNCTION("GOOGLETRANSLATE(A3151, ""zh-CN"", ""ko"")"),"궁전")</f>
        <v>궁전</v>
      </c>
    </row>
    <row r="3152" ht="15.75" customHeight="1">
      <c r="A3152" s="1" t="s">
        <v>9296</v>
      </c>
      <c r="B3152" s="1">
        <v>6.0</v>
      </c>
      <c r="C3152" s="1" t="s">
        <v>9297</v>
      </c>
      <c r="D3152" s="1" t="s">
        <v>8</v>
      </c>
      <c r="E3152" s="1" t="s">
        <v>9298</v>
      </c>
      <c r="F3152" s="1" t="str">
        <f>IFERROR(__xludf.DUMMYFUNCTION("GOOGLETRANSLATE(A3152, ""zh-CN"", ""ko"")"),"발표")</f>
        <v>발표</v>
      </c>
    </row>
    <row r="3153" ht="15.75" customHeight="1">
      <c r="A3153" s="1" t="s">
        <v>9299</v>
      </c>
      <c r="B3153" s="1">
        <v>6.0</v>
      </c>
      <c r="C3153" s="1" t="s">
        <v>9300</v>
      </c>
      <c r="D3153" s="1" t="s">
        <v>16</v>
      </c>
      <c r="E3153" s="1" t="s">
        <v>9301</v>
      </c>
      <c r="F3153" s="1" t="str">
        <f>IFERROR(__xludf.DUMMYFUNCTION("GOOGLETRANSLATE(A3153, ""zh-CN"", ""ko"")"),"섭외")</f>
        <v>섭외</v>
      </c>
    </row>
    <row r="3154" ht="15.75" customHeight="1">
      <c r="A3154" s="1" t="s">
        <v>9302</v>
      </c>
      <c r="B3154" s="1">
        <v>6.0</v>
      </c>
      <c r="C3154" s="1" t="s">
        <v>9303</v>
      </c>
      <c r="D3154" s="1" t="s">
        <v>8</v>
      </c>
      <c r="E3154" s="1" t="s">
        <v>9304</v>
      </c>
      <c r="F3154" s="1" t="str">
        <f>IFERROR(__xludf.DUMMYFUNCTION("GOOGLETRANSLATE(A3154, ""zh-CN"", ""ko"")"),"공격")</f>
        <v>공격</v>
      </c>
    </row>
    <row r="3155" ht="15.75" customHeight="1">
      <c r="A3155" s="1" t="s">
        <v>9305</v>
      </c>
      <c r="B3155" s="1">
        <v>6.0</v>
      </c>
      <c r="C3155" s="1" t="s">
        <v>9306</v>
      </c>
      <c r="D3155" s="1" t="s">
        <v>8</v>
      </c>
      <c r="E3155" s="1" t="s">
        <v>9307</v>
      </c>
      <c r="F3155" s="1" t="str">
        <f>IFERROR(__xludf.DUMMYFUNCTION("GOOGLETRANSLATE(A3155, ""zh-CN"", ""ko"")"),"공급")</f>
        <v>공급</v>
      </c>
    </row>
    <row r="3156" ht="15.75" customHeight="1">
      <c r="A3156" s="1" t="s">
        <v>9308</v>
      </c>
      <c r="B3156" s="1">
        <v>6.0</v>
      </c>
      <c r="C3156" s="1" t="s">
        <v>9309</v>
      </c>
      <c r="D3156" s="1" t="s">
        <v>52</v>
      </c>
      <c r="E3156" s="1" t="s">
        <v>9310</v>
      </c>
      <c r="F3156" s="1" t="str">
        <f>IFERROR(__xludf.DUMMYFUNCTION("GOOGLETRANSLATE(A3156, ""zh-CN"", ""ko"")"),"존경")</f>
        <v>존경</v>
      </c>
    </row>
    <row r="3157" ht="15.75" customHeight="1">
      <c r="A3157" s="1" t="s">
        <v>9311</v>
      </c>
      <c r="B3157" s="1">
        <v>6.0</v>
      </c>
      <c r="C3157" s="1" t="s">
        <v>9312</v>
      </c>
      <c r="D3157" s="1" t="s">
        <v>8</v>
      </c>
      <c r="E3157" s="1" t="s">
        <v>9313</v>
      </c>
      <c r="F3157" s="1" t="str">
        <f>IFERROR(__xludf.DUMMYFUNCTION("GOOGLETRANSLATE(A3157, ""zh-CN"", ""ko"")"),"포착")</f>
        <v>포착</v>
      </c>
    </row>
    <row r="3158" ht="15.75" customHeight="1">
      <c r="A3158" s="1" t="s">
        <v>9314</v>
      </c>
      <c r="B3158" s="1">
        <v>6.0</v>
      </c>
      <c r="C3158" s="1" t="s">
        <v>9315</v>
      </c>
      <c r="D3158" s="1" t="s">
        <v>16</v>
      </c>
      <c r="E3158" s="1" t="s">
        <v>9316</v>
      </c>
      <c r="F3158" s="1" t="str">
        <f>IFERROR(__xludf.DUMMYFUNCTION("GOOGLETRANSLATE(A3158, ""zh-CN"", ""ko"")"),"장점")</f>
        <v>장점</v>
      </c>
    </row>
    <row r="3159" ht="15.75" customHeight="1">
      <c r="A3159" s="1" t="s">
        <v>9317</v>
      </c>
      <c r="B3159" s="1">
        <v>6.0</v>
      </c>
      <c r="C3159" s="1" t="s">
        <v>9318</v>
      </c>
      <c r="D3159" s="1" t="s">
        <v>16</v>
      </c>
      <c r="E3159" s="1" t="s">
        <v>9319</v>
      </c>
      <c r="F3159" s="1" t="str">
        <f>IFERROR(__xludf.DUMMYFUNCTION("GOOGLETRANSLATE(A3159, ""zh-CN"", ""ko"")"),"시민")</f>
        <v>시민</v>
      </c>
    </row>
    <row r="3160" ht="15.75" customHeight="1">
      <c r="A3160" s="1" t="s">
        <v>9320</v>
      </c>
      <c r="B3160" s="1">
        <v>6.0</v>
      </c>
      <c r="C3160" s="1" t="s">
        <v>9321</v>
      </c>
      <c r="D3160" s="1" t="s">
        <v>33</v>
      </c>
      <c r="E3160" s="1" t="s">
        <v>9322</v>
      </c>
      <c r="F3160" s="1" t="str">
        <f>IFERROR(__xludf.DUMMYFUNCTION("GOOGLETRANSLATE(A3160, ""zh-CN"", ""ko"")"),"공공연히")</f>
        <v>공공연히</v>
      </c>
    </row>
    <row r="3161" ht="15.75" customHeight="1">
      <c r="A3161" s="1" t="s">
        <v>9323</v>
      </c>
      <c r="B3161" s="1">
        <v>6.0</v>
      </c>
      <c r="C3161" s="1" t="s">
        <v>9324</v>
      </c>
      <c r="D3161" s="1" t="s">
        <v>8</v>
      </c>
      <c r="E3161" s="1" t="s">
        <v>9325</v>
      </c>
      <c r="F3161" s="1" t="str">
        <f>IFERROR(__xludf.DUMMYFUNCTION("GOOGLETRANSLATE(A3161, ""zh-CN"", ""ko"")"),"수락됨")</f>
        <v>수락됨</v>
      </c>
    </row>
    <row r="3162" ht="15.75" customHeight="1">
      <c r="A3162" s="1" t="s">
        <v>9326</v>
      </c>
      <c r="B3162" s="1">
        <v>6.0</v>
      </c>
      <c r="C3162" s="1" t="s">
        <v>9327</v>
      </c>
      <c r="D3162" s="1" t="s">
        <v>16</v>
      </c>
      <c r="E3162" s="1" t="s">
        <v>9328</v>
      </c>
      <c r="F3162" s="1" t="str">
        <f>IFERROR(__xludf.DUMMYFUNCTION("GOOGLETRANSLATE(A3162, ""zh-CN"", ""ko"")"),"공식")</f>
        <v>공식</v>
      </c>
    </row>
    <row r="3163" ht="15.75" customHeight="1">
      <c r="A3163" s="1" t="s">
        <v>9329</v>
      </c>
      <c r="B3163" s="1">
        <v>6.0</v>
      </c>
      <c r="C3163" s="1" t="s">
        <v>9330</v>
      </c>
      <c r="D3163" s="1" t="s">
        <v>16</v>
      </c>
      <c r="E3163" s="1" t="s">
        <v>9331</v>
      </c>
      <c r="F3163" s="1" t="str">
        <f>IFERROR(__xludf.DUMMYFUNCTION("GOOGLETRANSLATE(A3163, ""zh-CN"", ""ko"")"),"공무")</f>
        <v>공무</v>
      </c>
    </row>
    <row r="3164" ht="15.75" customHeight="1">
      <c r="A3164" s="1" t="s">
        <v>9332</v>
      </c>
      <c r="B3164" s="1">
        <v>6.0</v>
      </c>
      <c r="C3164" s="1" t="s">
        <v>9333</v>
      </c>
      <c r="D3164" s="1" t="s">
        <v>16</v>
      </c>
      <c r="E3164" s="1" t="s">
        <v>9334</v>
      </c>
      <c r="F3164" s="1" t="str">
        <f>IFERROR(__xludf.DUMMYFUNCTION("GOOGLETRANSLATE(A3164, ""zh-CN"", ""ko"")"),"효과")</f>
        <v>효과</v>
      </c>
    </row>
    <row r="3165" ht="15.75" customHeight="1">
      <c r="A3165" s="1" t="s">
        <v>9335</v>
      </c>
      <c r="B3165" s="1">
        <v>6.0</v>
      </c>
      <c r="C3165" s="1" t="s">
        <v>9336</v>
      </c>
      <c r="D3165" s="1" t="s">
        <v>16</v>
      </c>
      <c r="E3165" s="1" t="s">
        <v>9337</v>
      </c>
      <c r="F3165" s="1" t="str">
        <f>IFERROR(__xludf.DUMMYFUNCTION("GOOGLETRANSLATE(A3165, ""zh-CN"", ""ko"")"),"수공예품")</f>
        <v>수공예품</v>
      </c>
    </row>
    <row r="3166" ht="15.75" customHeight="1">
      <c r="A3166" s="1" t="s">
        <v>9338</v>
      </c>
      <c r="B3166" s="1">
        <v>6.0</v>
      </c>
      <c r="C3166" s="1" t="s">
        <v>9339</v>
      </c>
      <c r="D3166" s="1" t="s">
        <v>52</v>
      </c>
      <c r="E3166" s="1" t="s">
        <v>9340</v>
      </c>
      <c r="F3166" s="1" t="str">
        <f>IFERROR(__xludf.DUMMYFUNCTION("GOOGLETRANSLATE(A3166, ""zh-CN"", ""ko"")"),"단지")</f>
        <v>단지</v>
      </c>
    </row>
    <row r="3167" ht="15.75" customHeight="1">
      <c r="A3167" s="1" t="s">
        <v>9341</v>
      </c>
      <c r="B3167" s="1">
        <v>6.0</v>
      </c>
      <c r="C3167" s="1" t="s">
        <v>9339</v>
      </c>
      <c r="D3167" s="1" t="s">
        <v>8</v>
      </c>
      <c r="E3167" s="1" t="s">
        <v>9342</v>
      </c>
      <c r="F3167" s="1" t="str">
        <f>IFERROR(__xludf.DUMMYFUNCTION("GOOGLETRANSLATE(A3167, ""zh-CN"", ""ko"")"),"공증")</f>
        <v>공증</v>
      </c>
    </row>
    <row r="3168" ht="15.75" customHeight="1">
      <c r="A3168" s="1" t="s">
        <v>9343</v>
      </c>
      <c r="B3168" s="1">
        <v>6.0</v>
      </c>
      <c r="C3168" s="1" t="s">
        <v>9344</v>
      </c>
      <c r="D3168" s="1" t="s">
        <v>8</v>
      </c>
      <c r="E3168" s="1" t="s">
        <v>9345</v>
      </c>
      <c r="F3168" s="1" t="str">
        <f>IFERROR(__xludf.DUMMYFUNCTION("GOOGLETRANSLATE(A3168, ""zh-CN"", ""ko"")"),"통합하다")</f>
        <v>통합하다</v>
      </c>
    </row>
    <row r="3169" ht="15.75" customHeight="1">
      <c r="A3169" s="1" t="s">
        <v>9346</v>
      </c>
      <c r="B3169" s="1">
        <v>6.0</v>
      </c>
      <c r="C3169" s="1" t="s">
        <v>9347</v>
      </c>
      <c r="D3169" s="1" t="s">
        <v>16</v>
      </c>
      <c r="E3169" s="1" t="s">
        <v>9348</v>
      </c>
      <c r="F3169" s="1" t="str">
        <f>IFERROR(__xludf.DUMMYFUNCTION("GOOGLETRANSLATE(A3169, ""zh-CN"", ""ko"")"),"공화국")</f>
        <v>공화국</v>
      </c>
    </row>
    <row r="3170" ht="15.75" customHeight="1">
      <c r="A3170" s="1" t="s">
        <v>9349</v>
      </c>
      <c r="B3170" s="1">
        <v>6.0</v>
      </c>
      <c r="C3170" s="1" t="s">
        <v>9350</v>
      </c>
      <c r="D3170" s="1" t="s">
        <v>8</v>
      </c>
      <c r="E3170" s="1" t="s">
        <v>9351</v>
      </c>
      <c r="F3170" s="1" t="str">
        <f>IFERROR(__xludf.DUMMYFUNCTION("GOOGLETRANSLATE(A3170, ""zh-CN"", ""ko"")"),"총")</f>
        <v>총</v>
      </c>
    </row>
    <row r="3171" ht="15.75" customHeight="1">
      <c r="A3171" s="1" t="s">
        <v>9352</v>
      </c>
      <c r="B3171" s="1">
        <v>6.0</v>
      </c>
      <c r="C3171" s="1" t="s">
        <v>9353</v>
      </c>
      <c r="D3171" s="1" t="s">
        <v>8</v>
      </c>
      <c r="E3171" s="1" t="s">
        <v>9354</v>
      </c>
      <c r="F3171" s="1" t="str">
        <f>IFERROR(__xludf.DUMMYFUNCTION("GOOGLETRANSLATE(A3171, ""zh-CN"", ""ko"")"),"공명")</f>
        <v>공명</v>
      </c>
    </row>
    <row r="3172" ht="15.75" customHeight="1">
      <c r="A3172" s="1" t="s">
        <v>9355</v>
      </c>
      <c r="B3172" s="1">
        <v>6.0</v>
      </c>
      <c r="C3172" s="1" t="s">
        <v>9356</v>
      </c>
      <c r="D3172" s="1" t="s">
        <v>8</v>
      </c>
      <c r="E3172" s="1" t="s">
        <v>9357</v>
      </c>
      <c r="F3172" s="1" t="str">
        <f>IFERROR(__xludf.DUMMYFUNCTION("GOOGLETRANSLATE(A3172, ""zh-CN"", ""ko"")"),"공모")</f>
        <v>공모</v>
      </c>
    </row>
    <row r="3173" ht="15.75" customHeight="1">
      <c r="A3173" s="1" t="s">
        <v>9358</v>
      </c>
      <c r="B3173" s="1">
        <v>6.0</v>
      </c>
      <c r="C3173" s="1" t="s">
        <v>9359</v>
      </c>
      <c r="D3173" s="1" t="s">
        <v>16</v>
      </c>
      <c r="E3173" s="1" t="s">
        <v>9360</v>
      </c>
      <c r="F3173" s="1" t="str">
        <f>IFERROR(__xludf.DUMMYFUNCTION("GOOGLETRANSLATE(A3173, ""zh-CN"", ""ko"")"),"훅")</f>
        <v>훅</v>
      </c>
    </row>
    <row r="3174" ht="15.75" customHeight="1">
      <c r="A3174" s="1" t="s">
        <v>9361</v>
      </c>
      <c r="B3174" s="1">
        <v>6.0</v>
      </c>
      <c r="C3174" s="1" t="s">
        <v>9362</v>
      </c>
      <c r="D3174" s="1" t="s">
        <v>8</v>
      </c>
      <c r="E3174" s="1" t="s">
        <v>9363</v>
      </c>
      <c r="F3174" s="1" t="str">
        <f>IFERROR(__xludf.DUMMYFUNCTION("GOOGLETRANSLATE(A3174, ""zh-CN"", ""ko"")"),"개념")</f>
        <v>개념</v>
      </c>
    </row>
    <row r="3175" ht="15.75" customHeight="1">
      <c r="A3175" s="1" t="s">
        <v>9364</v>
      </c>
      <c r="B3175" s="1">
        <v>6.0</v>
      </c>
      <c r="C3175" s="1" t="s">
        <v>9365</v>
      </c>
      <c r="D3175" s="1" t="s">
        <v>52</v>
      </c>
      <c r="E3175" s="1" t="s">
        <v>4869</v>
      </c>
      <c r="F3175" s="1" t="str">
        <f>IFERROR(__xludf.DUMMYFUNCTION("GOOGLETRANSLATE(A3175, ""zh-CN"", ""ko"")"),"외로운")</f>
        <v>외로운</v>
      </c>
    </row>
    <row r="3176" ht="15.75" customHeight="1">
      <c r="A3176" s="1" t="s">
        <v>9366</v>
      </c>
      <c r="B3176" s="1">
        <v>6.0</v>
      </c>
      <c r="C3176" s="1" t="s">
        <v>9367</v>
      </c>
      <c r="D3176" s="1" t="s">
        <v>8</v>
      </c>
      <c r="E3176" s="1" t="s">
        <v>9368</v>
      </c>
      <c r="F3176" s="1" t="str">
        <f>IFERROR(__xludf.DUMMYFUNCTION("GOOGLETRANSLATE(A3176, ""zh-CN"", ""ko"")"),"실망시키다")</f>
        <v>실망시키다</v>
      </c>
    </row>
    <row r="3177" ht="15.75" customHeight="1">
      <c r="A3177" s="1" t="s">
        <v>9369</v>
      </c>
      <c r="B3177" s="1">
        <v>6.0</v>
      </c>
      <c r="C3177" s="1" t="s">
        <v>9370</v>
      </c>
      <c r="D3177" s="1" t="s">
        <v>52</v>
      </c>
      <c r="E3177" s="1" t="s">
        <v>9371</v>
      </c>
      <c r="F3177" s="1" t="str">
        <f>IFERROR(__xludf.DUMMYFUNCTION("GOOGLETRANSLATE(A3177, ""zh-CN"", ""ko"")"),"외딴")</f>
        <v>외딴</v>
      </c>
    </row>
    <row r="3178" ht="15.75" customHeight="1">
      <c r="A3178" s="1" t="s">
        <v>9372</v>
      </c>
      <c r="B3178" s="1">
        <v>6.0</v>
      </c>
      <c r="C3178" s="1" t="s">
        <v>9373</v>
      </c>
      <c r="D3178" s="1" t="s">
        <v>33</v>
      </c>
      <c r="E3178" s="1" t="s">
        <v>9374</v>
      </c>
      <c r="F3178" s="1" t="str">
        <f>IFERROR(__xludf.DUMMYFUNCTION("GOOGLETRANSLATE(A3178, ""zh-CN"", ""ko"")"),"잠정적으로")</f>
        <v>잠정적으로</v>
      </c>
    </row>
    <row r="3179" ht="15.75" customHeight="1">
      <c r="A3179" s="1" t="s">
        <v>9375</v>
      </c>
      <c r="B3179" s="1">
        <v>6.0</v>
      </c>
      <c r="C3179" s="1" t="s">
        <v>9376</v>
      </c>
      <c r="D3179" s="1" t="s">
        <v>16</v>
      </c>
      <c r="E3179" s="1" t="s">
        <v>9377</v>
      </c>
      <c r="F3179" s="1" t="str">
        <f>IFERROR(__xludf.DUMMYFUNCTION("GOOGLETRANSLATE(A3179, ""zh-CN"", ""ko"")"),"주주")</f>
        <v>주주</v>
      </c>
    </row>
    <row r="3180" ht="15.75" customHeight="1">
      <c r="A3180" s="1" t="s">
        <v>9378</v>
      </c>
      <c r="B3180" s="1">
        <v>6.0</v>
      </c>
      <c r="C3180" s="1" t="s">
        <v>9379</v>
      </c>
      <c r="D3180" s="1" t="s">
        <v>16</v>
      </c>
      <c r="E3180" s="1" t="s">
        <v>9380</v>
      </c>
      <c r="F3180" s="1" t="str">
        <f>IFERROR(__xludf.DUMMYFUNCTION("GOOGLETRANSLATE(A3180, ""zh-CN"", ""ko"")"),"고대 미술")</f>
        <v>고대 미술</v>
      </c>
    </row>
    <row r="3181" ht="15.75" customHeight="1">
      <c r="A3181" s="1" t="s">
        <v>9381</v>
      </c>
      <c r="B3181" s="1">
        <v>6.0</v>
      </c>
      <c r="C3181" s="1" t="s">
        <v>9382</v>
      </c>
      <c r="D3181" s="1" t="s">
        <v>8</v>
      </c>
      <c r="E3181" s="1" t="s">
        <v>9383</v>
      </c>
      <c r="F3181" s="1" t="str">
        <f>IFERROR(__xludf.DUMMYFUNCTION("GOOGLETRANSLATE(A3181, ""zh-CN"", ""ko"")"),"선동하다")</f>
        <v>선동하다</v>
      </c>
    </row>
    <row r="3182" ht="15.75" customHeight="1">
      <c r="A3182" s="1" t="s">
        <v>9384</v>
      </c>
      <c r="B3182" s="1">
        <v>6.0</v>
      </c>
      <c r="C3182" s="1" t="s">
        <v>9385</v>
      </c>
      <c r="D3182" s="1" t="s">
        <v>16</v>
      </c>
      <c r="E3182" s="1" t="s">
        <v>9386</v>
      </c>
      <c r="F3182" s="1" t="str">
        <f>IFERROR(__xludf.DUMMYFUNCTION("GOOGLETRANSLATE(A3182, ""zh-CN"", ""ko"")"),"주식")</f>
        <v>주식</v>
      </c>
    </row>
    <row r="3183" ht="15.75" customHeight="1">
      <c r="A3183" s="1" t="s">
        <v>9387</v>
      </c>
      <c r="B3183" s="1">
        <v>6.0</v>
      </c>
      <c r="C3183" s="1" t="s">
        <v>9388</v>
      </c>
      <c r="D3183" s="1" t="s">
        <v>16</v>
      </c>
      <c r="E3183" s="1" t="s">
        <v>9389</v>
      </c>
      <c r="F3183" s="1" t="str">
        <f>IFERROR(__xludf.DUMMYFUNCTION("GOOGLETRANSLATE(A3183, ""zh-CN"", ""ko"")"),"등뼈")</f>
        <v>등뼈</v>
      </c>
    </row>
    <row r="3184" ht="15.75" customHeight="1">
      <c r="A3184" s="1" t="s">
        <v>9390</v>
      </c>
      <c r="B3184" s="1">
        <v>6.0</v>
      </c>
      <c r="C3184" s="1" t="s">
        <v>9391</v>
      </c>
      <c r="D3184" s="1" t="s">
        <v>52</v>
      </c>
      <c r="E3184" s="1" t="s">
        <v>9392</v>
      </c>
      <c r="F3184" s="1" t="str">
        <f>IFERROR(__xludf.DUMMYFUNCTION("GOOGLETRANSLATE(A3184, ""zh-CN"", ""ko"")"),"별난")</f>
        <v>별난</v>
      </c>
    </row>
    <row r="3185" ht="15.75" customHeight="1">
      <c r="A3185" s="1" t="s">
        <v>9393</v>
      </c>
      <c r="B3185" s="1">
        <v>6.0</v>
      </c>
      <c r="C3185" s="1" t="s">
        <v>9394</v>
      </c>
      <c r="D3185" s="1" t="s">
        <v>16</v>
      </c>
      <c r="E3185" s="1" t="s">
        <v>9395</v>
      </c>
      <c r="F3185" s="1" t="str">
        <f>IFERROR(__xludf.DUMMYFUNCTION("GOOGLETRANSLATE(A3185, ""zh-CN"", ""ko"")"),"우려")</f>
        <v>우려</v>
      </c>
    </row>
    <row r="3186" ht="15.75" customHeight="1">
      <c r="A3186" s="1" t="s">
        <v>9396</v>
      </c>
      <c r="B3186" s="1">
        <v>6.0</v>
      </c>
      <c r="C3186" s="1" t="s">
        <v>9397</v>
      </c>
      <c r="D3186" s="1" t="s">
        <v>1473</v>
      </c>
      <c r="E3186" s="1" t="s">
        <v>9398</v>
      </c>
      <c r="F3186" s="1" t="str">
        <f>IFERROR(__xludf.DUMMYFUNCTION("GOOGLETRANSLATE(A3186, ""zh-CN"", ""ko"")"),"물론")</f>
        <v>물론</v>
      </c>
    </row>
    <row r="3187" ht="15.75" customHeight="1">
      <c r="A3187" s="1" t="s">
        <v>9399</v>
      </c>
      <c r="B3187" s="1">
        <v>6.0</v>
      </c>
      <c r="C3187" s="1" t="s">
        <v>9400</v>
      </c>
      <c r="D3187" s="1" t="s">
        <v>16</v>
      </c>
      <c r="E3187" s="1" t="s">
        <v>9401</v>
      </c>
      <c r="F3187" s="1" t="str">
        <f>IFERROR(__xludf.DUMMYFUNCTION("GOOGLETRANSLATE(A3187, ""zh-CN"", ""ko"")"),"단단한")</f>
        <v>단단한</v>
      </c>
    </row>
    <row r="3188" ht="15.75" customHeight="1">
      <c r="A3188" s="1" t="s">
        <v>9402</v>
      </c>
      <c r="B3188" s="1">
        <v>6.0</v>
      </c>
      <c r="C3188" s="1" t="s">
        <v>9403</v>
      </c>
      <c r="D3188" s="1" t="s">
        <v>16</v>
      </c>
      <c r="E3188" s="1" t="s">
        <v>9404</v>
      </c>
      <c r="F3188" s="1" t="str">
        <f>IFERROR(__xludf.DUMMYFUNCTION("GOOGLETRANSLATE(A3188, ""zh-CN"", ""ko"")"),"컨설턴트")</f>
        <v>컨설턴트</v>
      </c>
    </row>
    <row r="3189" ht="15.75" customHeight="1">
      <c r="A3189" s="1" t="s">
        <v>9405</v>
      </c>
      <c r="B3189" s="1">
        <v>6.0</v>
      </c>
      <c r="C3189" s="1" t="s">
        <v>9406</v>
      </c>
      <c r="D3189" s="1" t="s">
        <v>16</v>
      </c>
      <c r="E3189" s="1" t="s">
        <v>9407</v>
      </c>
      <c r="F3189" s="1" t="str">
        <f>IFERROR(__xludf.DUMMYFUNCTION("GOOGLETRANSLATE(A3189, ""zh-CN"", ""ko"")"),"집")</f>
        <v>집</v>
      </c>
    </row>
    <row r="3190" ht="15.75" customHeight="1">
      <c r="A3190" s="1" t="s">
        <v>9408</v>
      </c>
      <c r="B3190" s="1">
        <v>6.0</v>
      </c>
      <c r="C3190" s="1" t="s">
        <v>9409</v>
      </c>
      <c r="D3190" s="1" t="s">
        <v>8</v>
      </c>
      <c r="E3190" s="1" t="s">
        <v>9410</v>
      </c>
      <c r="F3190" s="1" t="str">
        <f>IFERROR(__xludf.DUMMYFUNCTION("GOOGLETRANSLATE(A3190, ""zh-CN"", ""ko"")"),"고용하다")</f>
        <v>고용하다</v>
      </c>
    </row>
    <row r="3191" ht="15.75" customHeight="1">
      <c r="A3191" s="1" t="s">
        <v>9411</v>
      </c>
      <c r="B3191" s="1">
        <v>6.0</v>
      </c>
      <c r="C3191" s="1" t="s">
        <v>9412</v>
      </c>
      <c r="D3191" s="1" t="s">
        <v>52</v>
      </c>
      <c r="E3191" s="1" t="s">
        <v>9413</v>
      </c>
      <c r="F3191" s="1" t="str">
        <f>IFERROR(__xludf.DUMMYFUNCTION("GOOGLETRANSLATE(A3191, ""zh-CN"", ""ko"")"),"내재된")</f>
        <v>내재된</v>
      </c>
    </row>
    <row r="3192" ht="15.75" customHeight="1">
      <c r="A3192" s="1" t="s">
        <v>9414</v>
      </c>
      <c r="B3192" s="1">
        <v>6.0</v>
      </c>
      <c r="C3192" s="1" t="s">
        <v>9415</v>
      </c>
      <c r="D3192" s="1" t="s">
        <v>16</v>
      </c>
      <c r="E3192" s="1" t="s">
        <v>9416</v>
      </c>
      <c r="F3192" s="1" t="str">
        <f>IFERROR(__xludf.DUMMYFUNCTION("GOOGLETRANSLATE(A3192, ""zh-CN"", ""ko"")"),"잘못")</f>
        <v>잘못</v>
      </c>
    </row>
    <row r="3193" ht="15.75" customHeight="1">
      <c r="A3193" s="1" t="s">
        <v>9417</v>
      </c>
      <c r="B3193" s="1">
        <v>6.0</v>
      </c>
      <c r="C3193" s="1" t="s">
        <v>9418</v>
      </c>
      <c r="D3193" s="1" t="s">
        <v>52</v>
      </c>
      <c r="E3193" s="1" t="s">
        <v>9419</v>
      </c>
      <c r="F3193" s="1" t="str">
        <f>IFERROR(__xludf.DUMMYFUNCTION("GOOGLETRANSLATE(A3193, ""zh-CN"", ""ko"")"),"고집스러운")</f>
        <v>고집스러운</v>
      </c>
    </row>
    <row r="3194" ht="15.75" customHeight="1">
      <c r="A3194" s="1" t="s">
        <v>9420</v>
      </c>
      <c r="B3194" s="1">
        <v>6.0</v>
      </c>
      <c r="C3194" s="1" t="s">
        <v>9421</v>
      </c>
      <c r="D3194" s="1" t="s">
        <v>16</v>
      </c>
      <c r="E3194" s="1" t="s">
        <v>9422</v>
      </c>
      <c r="F3194" s="1" t="str">
        <f>IFERROR(__xludf.DUMMYFUNCTION("GOOGLETRANSLATE(A3194, ""zh-CN"", ""ko"")"),"버팀목")</f>
        <v>버팀목</v>
      </c>
    </row>
    <row r="3195" ht="15.75" customHeight="1">
      <c r="A3195" s="1" t="s">
        <v>9423</v>
      </c>
      <c r="B3195" s="1">
        <v>6.0</v>
      </c>
      <c r="C3195" s="1" t="s">
        <v>9424</v>
      </c>
      <c r="D3195" s="1" t="s">
        <v>16</v>
      </c>
      <c r="E3195" s="1" t="s">
        <v>9425</v>
      </c>
      <c r="F3195" s="1" t="str">
        <f>IFERROR(__xludf.DUMMYFUNCTION("GOOGLETRANSLATE(A3195, ""zh-CN"", ""ko"")"),"공식적인")</f>
        <v>공식적인</v>
      </c>
    </row>
    <row r="3196" ht="15.75" customHeight="1">
      <c r="A3196" s="1" t="s">
        <v>9426</v>
      </c>
      <c r="B3196" s="1">
        <v>6.0</v>
      </c>
      <c r="C3196" s="1" t="s">
        <v>9427</v>
      </c>
      <c r="D3196" s="1" t="s">
        <v>8</v>
      </c>
      <c r="E3196" s="1" t="s">
        <v>9428</v>
      </c>
      <c r="F3196" s="1" t="str">
        <f>IFERROR(__xludf.DUMMYFUNCTION("GOOGLETRANSLATE(A3196, ""zh-CN"", ""ko"")"),"관광을 가다")</f>
        <v>관광을 가다</v>
      </c>
    </row>
    <row r="3197" ht="15.75" customHeight="1">
      <c r="A3197" s="1" t="s">
        <v>9429</v>
      </c>
      <c r="B3197" s="1">
        <v>6.0</v>
      </c>
      <c r="C3197" s="1" t="s">
        <v>9430</v>
      </c>
      <c r="D3197" s="1" t="s">
        <v>8</v>
      </c>
      <c r="E3197" s="1" t="s">
        <v>9431</v>
      </c>
      <c r="F3197" s="1" t="str">
        <f>IFERROR(__xludf.DUMMYFUNCTION("GOOGLETRANSLATE(A3197, ""zh-CN"", ""ko"")"),"케어")</f>
        <v>케어</v>
      </c>
    </row>
    <row r="3198" ht="15.75" customHeight="1">
      <c r="A3198" s="1" t="s">
        <v>9432</v>
      </c>
      <c r="B3198" s="1">
        <v>6.0</v>
      </c>
      <c r="C3198" s="1" t="s">
        <v>9433</v>
      </c>
      <c r="D3198" s="1" t="s">
        <v>8</v>
      </c>
      <c r="E3198" s="1" t="s">
        <v>9434</v>
      </c>
      <c r="F3198" s="1" t="str">
        <f>IFERROR(__xludf.DUMMYFUNCTION("GOOGLETRANSLATE(A3198, ""zh-CN"", ""ko"")"),"케어")</f>
        <v>케어</v>
      </c>
    </row>
    <row r="3199" ht="15.75" customHeight="1">
      <c r="A3199" s="1" t="s">
        <v>9435</v>
      </c>
      <c r="B3199" s="1">
        <v>6.0</v>
      </c>
      <c r="C3199" s="1" t="s">
        <v>9436</v>
      </c>
      <c r="D3199" s="1" t="s">
        <v>8</v>
      </c>
      <c r="E3199" s="1" t="s">
        <v>9437</v>
      </c>
      <c r="F3199" s="1" t="str">
        <f>IFERROR(__xludf.DUMMYFUNCTION("GOOGLETRANSLATE(A3199, ""zh-CN"", ""ko"")"),"관할권")</f>
        <v>관할권</v>
      </c>
    </row>
    <row r="3200" ht="15.75" customHeight="1">
      <c r="A3200" s="1" t="s">
        <v>9438</v>
      </c>
      <c r="B3200" s="1">
        <v>6.0</v>
      </c>
      <c r="C3200" s="1" t="s">
        <v>9439</v>
      </c>
      <c r="D3200" s="1" t="s">
        <v>16</v>
      </c>
      <c r="E3200" s="1" t="s">
        <v>9440</v>
      </c>
      <c r="F3200" s="1" t="str">
        <f>IFERROR(__xludf.DUMMYFUNCTION("GOOGLETRANSLATE(A3200, ""zh-CN"", ""ko"")"),"할 수 있다")</f>
        <v>할 수 있다</v>
      </c>
    </row>
    <row r="3201" ht="15.75" customHeight="1">
      <c r="A3201" s="1" t="s">
        <v>9441</v>
      </c>
      <c r="B3201" s="1">
        <v>6.0</v>
      </c>
      <c r="C3201" s="1" t="s">
        <v>9442</v>
      </c>
      <c r="D3201" s="1" t="s">
        <v>8</v>
      </c>
      <c r="E3201" s="1" t="s">
        <v>9443</v>
      </c>
      <c r="F3201" s="1" t="str">
        <f>IFERROR(__xludf.DUMMYFUNCTION("GOOGLETRANSLATE(A3201, ""zh-CN"", ""ko"")"),"구현하다")</f>
        <v>구현하다</v>
      </c>
    </row>
    <row r="3202" ht="15.75" customHeight="1">
      <c r="A3202" s="1" t="s">
        <v>9444</v>
      </c>
      <c r="B3202" s="1">
        <v>6.0</v>
      </c>
      <c r="C3202" s="1" t="s">
        <v>9445</v>
      </c>
      <c r="D3202" s="1" t="s">
        <v>8</v>
      </c>
      <c r="E3202" s="1" t="s">
        <v>9446</v>
      </c>
      <c r="F3202" s="1" t="str">
        <f>IFERROR(__xludf.DUMMYFUNCTION("GOOGLETRANSLATE(A3202, ""zh-CN"", ""ko"")"),"관개")</f>
        <v>관개</v>
      </c>
    </row>
    <row r="3203" ht="15.75" customHeight="1">
      <c r="A3203" s="1" t="s">
        <v>9447</v>
      </c>
      <c r="B3203" s="1">
        <v>6.0</v>
      </c>
      <c r="C3203" s="1" t="s">
        <v>9448</v>
      </c>
      <c r="D3203" s="1" t="s">
        <v>16</v>
      </c>
      <c r="E3203" s="1" t="s">
        <v>9449</v>
      </c>
      <c r="F3203" s="1" t="str">
        <f>IFERROR(__xludf.DUMMYFUNCTION("GOOGLETRANSLATE(A3203, ""zh-CN"", ""ko"")"),"협약")</f>
        <v>협약</v>
      </c>
    </row>
    <row r="3204" ht="15.75" customHeight="1">
      <c r="A3204" s="1" t="s">
        <v>9450</v>
      </c>
      <c r="B3204" s="1">
        <v>6.0</v>
      </c>
      <c r="C3204" s="1" t="s">
        <v>9451</v>
      </c>
      <c r="D3204" s="1" t="s">
        <v>1842</v>
      </c>
      <c r="E3204" s="1" t="s">
        <v>9452</v>
      </c>
      <c r="F3204" s="1" t="str">
        <f>IFERROR(__xludf.DUMMYFUNCTION("GOOGLETRANSLATE(A3204, ""zh-CN"", ""ko"")"),"광휘")</f>
        <v>광휘</v>
      </c>
    </row>
    <row r="3205" ht="15.75" customHeight="1">
      <c r="A3205" s="1" t="s">
        <v>9453</v>
      </c>
      <c r="B3205" s="1">
        <v>6.0</v>
      </c>
      <c r="C3205" s="1" t="s">
        <v>9454</v>
      </c>
      <c r="D3205" s="1" t="s">
        <v>52</v>
      </c>
      <c r="E3205" s="1" t="s">
        <v>9455</v>
      </c>
      <c r="F3205" s="1" t="str">
        <f>IFERROR(__xludf.DUMMYFUNCTION("GOOGLETRANSLATE(A3205, ""zh-CN"", ""ko"")"),"영광")</f>
        <v>영광</v>
      </c>
    </row>
    <row r="3206" ht="15.75" customHeight="1">
      <c r="A3206" s="1" t="s">
        <v>9456</v>
      </c>
      <c r="B3206" s="1">
        <v>6.0</v>
      </c>
      <c r="C3206" s="1" t="s">
        <v>9457</v>
      </c>
      <c r="D3206" s="1" t="s">
        <v>16</v>
      </c>
      <c r="E3206" s="1" t="s">
        <v>9458</v>
      </c>
      <c r="F3206" s="1" t="str">
        <f>IFERROR(__xludf.DUMMYFUNCTION("GOOGLETRANSLATE(A3206, ""zh-CN"", ""ko"")"),"발광")</f>
        <v>발광</v>
      </c>
    </row>
    <row r="3207" ht="15.75" customHeight="1">
      <c r="A3207" s="1" t="s">
        <v>9459</v>
      </c>
      <c r="B3207" s="1">
        <v>6.0</v>
      </c>
      <c r="C3207" s="1" t="s">
        <v>9460</v>
      </c>
      <c r="D3207" s="1" t="s">
        <v>52</v>
      </c>
      <c r="E3207" s="1" t="s">
        <v>9461</v>
      </c>
      <c r="F3207" s="1" t="str">
        <f>IFERROR(__xludf.DUMMYFUNCTION("GOOGLETRANSLATE(A3207, ""zh-CN"", ""ko"")"),"영광")</f>
        <v>영광</v>
      </c>
    </row>
    <row r="3208" ht="15.75" customHeight="1">
      <c r="A3208" s="1" t="s">
        <v>9462</v>
      </c>
      <c r="B3208" s="1">
        <v>6.0</v>
      </c>
      <c r="C3208" s="1" t="s">
        <v>9463</v>
      </c>
      <c r="D3208" s="1" t="s">
        <v>52</v>
      </c>
      <c r="E3208" s="1" t="s">
        <v>9464</v>
      </c>
      <c r="F3208" s="1" t="str">
        <f>IFERROR(__xludf.DUMMYFUNCTION("GOOGLETRANSLATE(A3208, ""zh-CN"", ""ko"")"),"넓은")</f>
        <v>넓은</v>
      </c>
    </row>
    <row r="3209" ht="15.75" customHeight="1">
      <c r="A3209" s="1" t="s">
        <v>9465</v>
      </c>
      <c r="B3209" s="1">
        <v>6.0</v>
      </c>
      <c r="C3209" s="1" t="s">
        <v>9466</v>
      </c>
      <c r="D3209" s="1" t="s">
        <v>52</v>
      </c>
      <c r="E3209" s="1" t="s">
        <v>9467</v>
      </c>
      <c r="F3209" s="1" t="str">
        <f>IFERROR(__xludf.DUMMYFUNCTION("GOOGLETRANSLATE(A3209, ""zh-CN"", ""ko"")"),"사양")</f>
        <v>사양</v>
      </c>
    </row>
    <row r="3210" ht="15.75" customHeight="1">
      <c r="A3210" s="1" t="s">
        <v>9468</v>
      </c>
      <c r="B3210" s="1">
        <v>6.0</v>
      </c>
      <c r="C3210" s="1" t="s">
        <v>9469</v>
      </c>
      <c r="D3210" s="1" t="s">
        <v>16</v>
      </c>
      <c r="E3210" s="1" t="s">
        <v>9470</v>
      </c>
      <c r="F3210" s="1" t="str">
        <f>IFERROR(__xludf.DUMMYFUNCTION("GOOGLETRANSLATE(A3210, ""zh-CN"", ""ko"")"),"사양")</f>
        <v>사양</v>
      </c>
    </row>
    <row r="3211" ht="15.75" customHeight="1">
      <c r="A3211" s="1" t="s">
        <v>9471</v>
      </c>
      <c r="B3211" s="1">
        <v>6.0</v>
      </c>
      <c r="C3211" s="1" t="s">
        <v>9472</v>
      </c>
      <c r="E3211" s="1" t="s">
        <v>9473</v>
      </c>
      <c r="F3211" s="1" t="str">
        <f>IFERROR(__xludf.DUMMYFUNCTION("GOOGLETRANSLATE(A3211, ""zh-CN"", ""ko"")"),"궁극적으로")</f>
        <v>궁극적으로</v>
      </c>
    </row>
    <row r="3212" ht="15.75" customHeight="1">
      <c r="A3212" s="1" t="s">
        <v>9474</v>
      </c>
      <c r="B3212" s="1">
        <v>6.0</v>
      </c>
      <c r="C3212" s="1" t="s">
        <v>9475</v>
      </c>
      <c r="D3212" s="1" t="s">
        <v>8</v>
      </c>
      <c r="E3212" s="1" t="s">
        <v>9476</v>
      </c>
      <c r="F3212" s="1" t="str">
        <f>IFERROR(__xludf.DUMMYFUNCTION("GOOGLETRANSLATE(A3212, ""zh-CN"", ""ko"")"),"계획")</f>
        <v>계획</v>
      </c>
    </row>
    <row r="3213" ht="15.75" customHeight="1">
      <c r="A3213" s="1" t="s">
        <v>9477</v>
      </c>
      <c r="B3213" s="1">
        <v>6.0</v>
      </c>
      <c r="C3213" s="1" t="s">
        <v>9478</v>
      </c>
      <c r="D3213" s="1" t="s">
        <v>8</v>
      </c>
      <c r="E3213" s="1" t="s">
        <v>9479</v>
      </c>
      <c r="F3213" s="1" t="str">
        <f>IFERROR(__xludf.DUMMYFUNCTION("GOOGLETRANSLATE(A3213, ""zh-CN"", ""ko"")"),"반품")</f>
        <v>반품</v>
      </c>
    </row>
    <row r="3214" ht="15.75" customHeight="1">
      <c r="A3214" s="1" t="s">
        <v>9480</v>
      </c>
      <c r="B3214" s="1">
        <v>6.0</v>
      </c>
      <c r="C3214" s="1" t="s">
        <v>9481</v>
      </c>
      <c r="D3214" s="1" t="s">
        <v>16</v>
      </c>
      <c r="E3214" s="1" t="s">
        <v>9482</v>
      </c>
      <c r="F3214" s="1" t="str">
        <f>IFERROR(__xludf.DUMMYFUNCTION("GOOGLETRANSLATE(A3214, ""zh-CN"", ""ko"")"),"규정")</f>
        <v>규정</v>
      </c>
    </row>
    <row r="3215" ht="15.75" customHeight="1">
      <c r="A3215" s="1" t="s">
        <v>9483</v>
      </c>
      <c r="B3215" s="1">
        <v>6.0</v>
      </c>
      <c r="C3215" s="1" t="s">
        <v>9484</v>
      </c>
      <c r="D3215" s="1" t="s">
        <v>16</v>
      </c>
      <c r="E3215" s="1" t="s">
        <v>9485</v>
      </c>
      <c r="F3215" s="1" t="str">
        <f>IFERROR(__xludf.DUMMYFUNCTION("GOOGLETRANSLATE(A3215, ""zh-CN"", ""ko"")"),"길")</f>
        <v>길</v>
      </c>
    </row>
    <row r="3216" ht="15.75" customHeight="1">
      <c r="A3216" s="1" t="s">
        <v>9486</v>
      </c>
      <c r="B3216" s="1">
        <v>6.0</v>
      </c>
      <c r="C3216" s="1" t="s">
        <v>571</v>
      </c>
      <c r="D3216" s="1" t="s">
        <v>8</v>
      </c>
      <c r="E3216" s="1" t="s">
        <v>9487</v>
      </c>
      <c r="F3216" s="1" t="str">
        <f>IFERROR(__xludf.DUMMYFUNCTION("GOOGLETRANSLATE(A3216, ""zh-CN"", ""ko"")"),"무릎 꿇다")</f>
        <v>무릎 꿇다</v>
      </c>
    </row>
    <row r="3217" ht="15.75" customHeight="1">
      <c r="A3217" s="1" t="s">
        <v>9488</v>
      </c>
      <c r="B3217" s="1">
        <v>6.0</v>
      </c>
      <c r="C3217" s="1" t="s">
        <v>9489</v>
      </c>
      <c r="D3217" s="1" t="s">
        <v>16</v>
      </c>
      <c r="E3217" s="1" t="s">
        <v>9490</v>
      </c>
      <c r="F3217" s="1" t="str">
        <f>IFERROR(__xludf.DUMMYFUNCTION("GOOGLETRANSLATE(A3217, ""zh-CN"", ""ko"")"),"고귀한")</f>
        <v>고귀한</v>
      </c>
    </row>
    <row r="3218" ht="15.75" customHeight="1">
      <c r="A3218" s="1" t="s">
        <v>9491</v>
      </c>
      <c r="B3218" s="1">
        <v>6.0</v>
      </c>
      <c r="C3218" s="1" t="s">
        <v>9492</v>
      </c>
      <c r="D3218" s="1" t="s">
        <v>16</v>
      </c>
      <c r="E3218" s="1" t="s">
        <v>9493</v>
      </c>
      <c r="F3218" s="1" t="str">
        <f>IFERROR(__xludf.DUMMYFUNCTION("GOOGLETRANSLATE(A3218, ""zh-CN"", ""ko"")"),"막대")</f>
        <v>막대</v>
      </c>
    </row>
    <row r="3219" ht="15.75" customHeight="1">
      <c r="A3219" s="1" t="s">
        <v>9494</v>
      </c>
      <c r="B3219" s="1">
        <v>6.0</v>
      </c>
      <c r="C3219" s="1" t="s">
        <v>9495</v>
      </c>
      <c r="D3219" s="1" t="s">
        <v>16</v>
      </c>
      <c r="E3219" s="1" t="s">
        <v>9496</v>
      </c>
      <c r="F3219" s="1" t="str">
        <f>IFERROR(__xludf.DUMMYFUNCTION("GOOGLETRANSLATE(A3219, ""zh-CN"", ""ko"")"),"국방")</f>
        <v>국방</v>
      </c>
    </row>
    <row r="3220" ht="15.75" customHeight="1">
      <c r="A3220" s="1" t="s">
        <v>9497</v>
      </c>
      <c r="B3220" s="1">
        <v>6.0</v>
      </c>
      <c r="C3220" s="1" t="s">
        <v>9498</v>
      </c>
      <c r="D3220" s="1" t="s">
        <v>16</v>
      </c>
      <c r="E3220" s="1" t="s">
        <v>9499</v>
      </c>
      <c r="F3220" s="1" t="str">
        <f>IFERROR(__xludf.DUMMYFUNCTION("GOOGLETRANSLATE(A3220, ""zh-CN"", ""ko"")"),"국무원")</f>
        <v>국무원</v>
      </c>
    </row>
    <row r="3221" ht="15.75" customHeight="1">
      <c r="A3221" s="1" t="s">
        <v>9500</v>
      </c>
      <c r="B3221" s="1">
        <v>6.0</v>
      </c>
      <c r="C3221" s="1" t="s">
        <v>9501</v>
      </c>
      <c r="D3221" s="1" t="s">
        <v>52</v>
      </c>
      <c r="E3221" s="1" t="s">
        <v>9502</v>
      </c>
      <c r="F3221" s="1" t="str">
        <f>IFERROR(__xludf.DUMMYFUNCTION("GOOGLETRANSLATE(A3221, ""zh-CN"", ""ko"")"),"결정적인")</f>
        <v>결정적인</v>
      </c>
    </row>
    <row r="3222" ht="15.75" customHeight="1">
      <c r="A3222" s="1" t="s">
        <v>9503</v>
      </c>
      <c r="B3222" s="1">
        <v>6.0</v>
      </c>
      <c r="C3222" s="1" t="s">
        <v>9504</v>
      </c>
      <c r="D3222" s="1" t="s">
        <v>8</v>
      </c>
      <c r="E3222" s="1" t="s">
        <v>9505</v>
      </c>
      <c r="F3222" s="1" t="str">
        <f>IFERROR(__xludf.DUMMYFUNCTION("GOOGLETRANSLATE(A3222, ""zh-CN"", ""ko"")"),"이행")</f>
        <v>이행</v>
      </c>
    </row>
    <row r="3223" ht="15.75" customHeight="1">
      <c r="A3223" s="1" t="s">
        <v>9506</v>
      </c>
      <c r="B3223" s="1">
        <v>6.0</v>
      </c>
      <c r="C3223" s="1" t="s">
        <v>9504</v>
      </c>
      <c r="D3223" s="1" t="s">
        <v>52</v>
      </c>
      <c r="E3223" s="1" t="s">
        <v>9507</v>
      </c>
      <c r="F3223" s="1" t="str">
        <f>IFERROR(__xludf.DUMMYFUNCTION("GOOGLETRANSLATE(A3223, ""zh-CN"", ""ko"")"),"~ 위에")</f>
        <v>~ 위에</v>
      </c>
    </row>
    <row r="3224" ht="15.75" customHeight="1">
      <c r="A3224" s="1" t="s">
        <v>9508</v>
      </c>
      <c r="B3224" s="1">
        <v>6.0</v>
      </c>
      <c r="C3224" s="1" t="s">
        <v>9509</v>
      </c>
      <c r="D3224" s="1" t="s">
        <v>8</v>
      </c>
      <c r="E3224" s="1" t="s">
        <v>9510</v>
      </c>
      <c r="F3224" s="1" t="str">
        <f>IFERROR(__xludf.DUMMYFUNCTION("GOOGLETRANSLATE(A3224, ""zh-CN"", ""ko"")"),"과찬이십니다.")</f>
        <v>과찬이십니다.</v>
      </c>
    </row>
    <row r="3225" ht="15.75" customHeight="1">
      <c r="A3225" s="1" t="s">
        <v>9511</v>
      </c>
      <c r="B3225" s="1">
        <v>6.0</v>
      </c>
      <c r="C3225" s="1" t="s">
        <v>9512</v>
      </c>
      <c r="D3225" s="1" t="s">
        <v>8</v>
      </c>
      <c r="E3225" s="1" t="s">
        <v>9513</v>
      </c>
      <c r="F3225" s="1" t="str">
        <f>IFERROR(__xludf.DUMMYFUNCTION("GOOGLETRANSLATE(A3225, ""zh-CN"", ""ko"")"),"필터")</f>
        <v>필터</v>
      </c>
    </row>
    <row r="3226" ht="15.75" customHeight="1">
      <c r="A3226" s="1" t="s">
        <v>9514</v>
      </c>
      <c r="B3226" s="1">
        <v>6.0</v>
      </c>
      <c r="C3226" s="1" t="s">
        <v>9515</v>
      </c>
      <c r="D3226" s="1" t="s">
        <v>16</v>
      </c>
      <c r="E3226" s="1" t="s">
        <v>9516</v>
      </c>
      <c r="F3226" s="1" t="str">
        <f>IFERROR(__xludf.DUMMYFUNCTION("GOOGLETRANSLATE(A3226, ""zh-CN"", ""ko"")"),"잘못")</f>
        <v>잘못</v>
      </c>
    </row>
    <row r="3227" ht="15.75" customHeight="1">
      <c r="A3227" s="1" t="s">
        <v>9517</v>
      </c>
      <c r="B3227" s="1">
        <v>6.0</v>
      </c>
      <c r="C3227" s="1" t="s">
        <v>9518</v>
      </c>
      <c r="D3227" s="1" t="s">
        <v>8</v>
      </c>
      <c r="E3227" s="1" t="s">
        <v>9519</v>
      </c>
      <c r="F3227" s="1" t="str">
        <f>IFERROR(__xludf.DUMMYFUNCTION("GOOGLETRANSLATE(A3227, ""zh-CN"", ""ko"")"),"개입하다")</f>
        <v>개입하다</v>
      </c>
    </row>
    <row r="3228" ht="15.75" customHeight="1">
      <c r="A3228" s="1" t="s">
        <v>9520</v>
      </c>
      <c r="B3228" s="1">
        <v>6.0</v>
      </c>
      <c r="C3228" s="1" t="s">
        <v>9521</v>
      </c>
      <c r="D3228" s="1" t="s">
        <v>8</v>
      </c>
      <c r="E3228" s="1" t="s">
        <v>9522</v>
      </c>
      <c r="F3228" s="1" t="str">
        <f>IFERROR(__xludf.DUMMYFUNCTION("GOOGLETRANSLATE(A3228, ""zh-CN"", ""ko"")"),"짜릿한")</f>
        <v>짜릿한</v>
      </c>
    </row>
    <row r="3229" ht="15.75" customHeight="1">
      <c r="A3229" s="1" t="s">
        <v>9523</v>
      </c>
      <c r="B3229" s="1">
        <v>6.0</v>
      </c>
      <c r="C3229" s="1" t="s">
        <v>9524</v>
      </c>
      <c r="D3229" s="1" t="s">
        <v>33</v>
      </c>
      <c r="E3229" s="1" t="s">
        <v>9525</v>
      </c>
      <c r="F3229" s="1" t="str">
        <f>IFERROR(__xludf.DUMMYFUNCTION("GOOGLETRANSLATE(A3229, ""zh-CN"", ""ko"")"),"~도")</f>
        <v>~도</v>
      </c>
    </row>
    <row r="3230" ht="15.75" customHeight="1">
      <c r="A3230" s="1" t="s">
        <v>9526</v>
      </c>
      <c r="B3230" s="1">
        <v>6.0</v>
      </c>
      <c r="C3230" s="1" t="s">
        <v>9527</v>
      </c>
      <c r="D3230" s="1" t="s">
        <v>3541</v>
      </c>
      <c r="E3230" s="1" t="s">
        <v>9528</v>
      </c>
      <c r="F3230" s="1" t="str">
        <f>IFERROR(__xludf.DUMMYFUNCTION("GOOGLETRANSLATE(A3230, ""zh-CN"", ""ko"")"),"안녕")</f>
        <v>안녕</v>
      </c>
    </row>
    <row r="3231" ht="15.75" customHeight="1">
      <c r="A3231" s="1" t="s">
        <v>9529</v>
      </c>
      <c r="B3231" s="1">
        <v>6.0</v>
      </c>
      <c r="C3231" s="1" t="s">
        <v>9530</v>
      </c>
      <c r="D3231" s="1" t="s">
        <v>16</v>
      </c>
      <c r="E3231" s="1" t="s">
        <v>9531</v>
      </c>
      <c r="F3231" s="1" t="str">
        <f>IFERROR(__xludf.DUMMYFUNCTION("GOOGLETRANSLATE(A3231, ""zh-CN"", ""ko"")"),"고도")</f>
        <v>고도</v>
      </c>
    </row>
    <row r="3232" ht="15.75" customHeight="1">
      <c r="A3232" s="1" t="s">
        <v>9532</v>
      </c>
      <c r="B3232" s="1">
        <v>6.0</v>
      </c>
      <c r="C3232" s="1" t="s">
        <v>9533</v>
      </c>
      <c r="D3232" s="1" t="s">
        <v>16</v>
      </c>
      <c r="E3232" s="1" t="s">
        <v>9534</v>
      </c>
      <c r="F3232" s="1" t="str">
        <f>IFERROR(__xludf.DUMMYFUNCTION("GOOGLETRANSLATE(A3232, ""zh-CN"", ""ko"")"),"해안")</f>
        <v>해안</v>
      </c>
    </row>
    <row r="3233" ht="15.75" customHeight="1">
      <c r="A3233" s="1" t="s">
        <v>9535</v>
      </c>
      <c r="B3233" s="1">
        <v>6.0</v>
      </c>
      <c r="C3233" s="1" t="s">
        <v>9536</v>
      </c>
      <c r="D3233" s="1" t="s">
        <v>52</v>
      </c>
      <c r="E3233" s="1" t="s">
        <v>9537</v>
      </c>
      <c r="F3233" s="1" t="str">
        <f>IFERROR(__xludf.DUMMYFUNCTION("GOOGLETRANSLATE(A3233, ""zh-CN"", ""ko"")"),"희미한")</f>
        <v>희미한</v>
      </c>
    </row>
    <row r="3234" ht="15.75" customHeight="1">
      <c r="A3234" s="1" t="s">
        <v>9538</v>
      </c>
      <c r="B3234" s="1">
        <v>6.0</v>
      </c>
      <c r="C3234" s="1" t="s">
        <v>9539</v>
      </c>
      <c r="D3234" s="1" t="s">
        <v>8</v>
      </c>
      <c r="E3234" s="1" t="s">
        <v>9540</v>
      </c>
      <c r="F3234" s="1" t="str">
        <f>IFERROR(__xludf.DUMMYFUNCTION("GOOGLETRANSLATE(A3234, ""zh-CN"", ""ko"")"),"인사말")</f>
        <v>인사말</v>
      </c>
    </row>
    <row r="3235" ht="15.75" customHeight="1">
      <c r="A3235" s="1" t="s">
        <v>9541</v>
      </c>
      <c r="B3235" s="1">
        <v>6.0</v>
      </c>
      <c r="C3235" s="1" t="s">
        <v>9542</v>
      </c>
      <c r="D3235" s="1" t="s">
        <v>16</v>
      </c>
      <c r="E3235" s="1" t="s">
        <v>9543</v>
      </c>
      <c r="F3235" s="1" t="str">
        <f>IFERROR(__xludf.DUMMYFUNCTION("GOOGLETRANSLATE(A3235, ""zh-CN"", ""ko"")"),"의미")</f>
        <v>의미</v>
      </c>
    </row>
    <row r="3236" ht="15.75" customHeight="1">
      <c r="A3236" s="1" t="s">
        <v>9544</v>
      </c>
      <c r="B3236" s="1">
        <v>6.0</v>
      </c>
      <c r="C3236" s="1" t="s">
        <v>9545</v>
      </c>
      <c r="D3236" s="1" t="s">
        <v>52</v>
      </c>
      <c r="E3236" s="1" t="s">
        <v>9546</v>
      </c>
      <c r="F3236" s="1" t="str">
        <f>IFERROR(__xludf.DUMMYFUNCTION("GOOGLETRANSLATE(A3236, ""zh-CN"", ""ko"")"),"희귀한")</f>
        <v>희귀한</v>
      </c>
    </row>
    <row r="3237" ht="15.75" customHeight="1">
      <c r="A3237" s="1" t="s">
        <v>9547</v>
      </c>
      <c r="B3237" s="1">
        <v>6.0</v>
      </c>
      <c r="C3237" s="1" t="s">
        <v>9548</v>
      </c>
      <c r="D3237" s="1" t="s">
        <v>8</v>
      </c>
      <c r="E3237" s="1" t="s">
        <v>9549</v>
      </c>
      <c r="F3237" s="1" t="str">
        <f>IFERROR(__xludf.DUMMYFUNCTION("GOOGLETRANSLATE(A3237, ""zh-CN"", ""ko"")"),"지키다")</f>
        <v>지키다</v>
      </c>
    </row>
    <row r="3238" ht="15.75" customHeight="1">
      <c r="A3238" s="1" t="s">
        <v>9550</v>
      </c>
      <c r="B3238" s="1">
        <v>6.0</v>
      </c>
      <c r="C3238" s="1" t="s">
        <v>9551</v>
      </c>
      <c r="D3238" s="1" t="s">
        <v>16</v>
      </c>
      <c r="E3238" s="1" t="s">
        <v>9552</v>
      </c>
      <c r="F3238" s="1" t="str">
        <f>IFERROR(__xludf.DUMMYFUNCTION("GOOGLETRANSLATE(A3238, ""zh-CN"", ""ko"")"),"비행")</f>
        <v>비행</v>
      </c>
    </row>
    <row r="3239" ht="15.75" customHeight="1">
      <c r="A3239" s="1" t="s">
        <v>9553</v>
      </c>
      <c r="B3239" s="1">
        <v>6.0</v>
      </c>
      <c r="C3239" s="1" t="s">
        <v>9554</v>
      </c>
      <c r="D3239" s="1" t="s">
        <v>16</v>
      </c>
      <c r="E3239" s="1" t="s">
        <v>9555</v>
      </c>
      <c r="F3239" s="1" t="str">
        <f>IFERROR(__xludf.DUMMYFUNCTION("GOOGLETRANSLATE(A3239, ""zh-CN"", ""ko"")"),"순위")</f>
        <v>순위</v>
      </c>
    </row>
    <row r="3240" ht="15.75" customHeight="1">
      <c r="A3240" s="1" t="s">
        <v>9556</v>
      </c>
      <c r="B3240" s="1">
        <v>6.0</v>
      </c>
      <c r="C3240" s="1" t="s">
        <v>9557</v>
      </c>
      <c r="D3240" s="1" t="s">
        <v>16</v>
      </c>
      <c r="E3240" s="1" t="s">
        <v>9558</v>
      </c>
      <c r="F3240" s="1" t="str">
        <f>IFERROR(__xludf.DUMMYFUNCTION("GOOGLETRANSLATE(A3240, ""zh-CN"", ""ko"")"),"항공우주")</f>
        <v>항공우주</v>
      </c>
    </row>
    <row r="3241" ht="15.75" customHeight="1">
      <c r="A3241" s="1" t="s">
        <v>9559</v>
      </c>
      <c r="B3241" s="1">
        <v>6.0</v>
      </c>
      <c r="C3241" s="1" t="s">
        <v>9560</v>
      </c>
      <c r="D3241" s="1" t="s">
        <v>8</v>
      </c>
      <c r="E3241" s="1" t="s">
        <v>9561</v>
      </c>
      <c r="F3241" s="1" t="str">
        <f>IFERROR(__xludf.DUMMYFUNCTION("GOOGLETRANSLATE(A3241, ""zh-CN"", ""ko"")"),"범주")</f>
        <v>범주</v>
      </c>
    </row>
    <row r="3242" ht="15.75" customHeight="1">
      <c r="A3242" s="1" t="s">
        <v>9562</v>
      </c>
      <c r="B3242" s="1">
        <v>6.0</v>
      </c>
      <c r="C3242" s="1" t="s">
        <v>9563</v>
      </c>
      <c r="D3242" s="1" t="s">
        <v>52</v>
      </c>
      <c r="E3242" s="1" t="s">
        <v>9564</v>
      </c>
      <c r="F3242" s="1" t="str">
        <f>IFERROR(__xludf.DUMMYFUNCTION("GOOGLETRANSLATE(A3242, ""zh-CN"", ""ko"")"),"대담하고 대담하게")</f>
        <v>대담하고 대담하게</v>
      </c>
    </row>
    <row r="3243" ht="15.75" customHeight="1">
      <c r="A3243" s="1" t="s">
        <v>9565</v>
      </c>
      <c r="B3243" s="1">
        <v>6.0</v>
      </c>
      <c r="C3243" s="1" t="s">
        <v>9566</v>
      </c>
      <c r="D3243" s="1" t="s">
        <v>26</v>
      </c>
      <c r="E3243" s="1" t="s">
        <v>9567</v>
      </c>
      <c r="F3243" s="1" t="str">
        <f>IFERROR(__xludf.DUMMYFUNCTION("GOOGLETRANSLATE(A3243, ""zh-CN"", ""ko"")"),"밀리미터")</f>
        <v>밀리미터</v>
      </c>
    </row>
    <row r="3244" ht="15.75" customHeight="1">
      <c r="A3244" s="1" t="s">
        <v>9568</v>
      </c>
      <c r="B3244" s="1">
        <v>6.0</v>
      </c>
      <c r="C3244" s="1" t="s">
        <v>9569</v>
      </c>
      <c r="E3244" s="1" t="s">
        <v>9570</v>
      </c>
      <c r="F3244" s="1" t="str">
        <f>IFERROR(__xludf.DUMMYFUNCTION("GOOGLETRANSLATE(A3244, ""zh-CN"", ""ko"")"),"아니요")</f>
        <v>아니요</v>
      </c>
    </row>
    <row r="3245" ht="15.75" customHeight="1">
      <c r="A3245" s="1" t="s">
        <v>9571</v>
      </c>
      <c r="B3245" s="1">
        <v>6.0</v>
      </c>
      <c r="C3245" s="1" t="s">
        <v>9572</v>
      </c>
      <c r="D3245" s="1" t="s">
        <v>8</v>
      </c>
      <c r="E3245" s="1" t="s">
        <v>9573</v>
      </c>
      <c r="F3245" s="1" t="str">
        <f>IFERROR(__xludf.DUMMYFUNCTION("GOOGLETRANSLATE(A3245, ""zh-CN"", ""ko"")"),"지출")</f>
        <v>지출</v>
      </c>
    </row>
    <row r="3246" ht="15.75" customHeight="1">
      <c r="A3246" s="1" t="s">
        <v>9574</v>
      </c>
      <c r="B3246" s="1">
        <v>6.0</v>
      </c>
      <c r="C3246" s="1" t="s">
        <v>9575</v>
      </c>
      <c r="D3246" s="1" t="s">
        <v>8</v>
      </c>
      <c r="E3246" s="1" t="s">
        <v>9576</v>
      </c>
      <c r="F3246" s="1" t="str">
        <f>IFERROR(__xludf.DUMMYFUNCTION("GOOGLETRANSLATE(A3246, ""zh-CN"", ""ko"")"),"행동 촉구")</f>
        <v>행동 촉구</v>
      </c>
    </row>
    <row r="3247" ht="15.75" customHeight="1">
      <c r="A3247" s="1" t="s">
        <v>9577</v>
      </c>
      <c r="B3247" s="1">
        <v>6.0</v>
      </c>
      <c r="C3247" s="1" t="s">
        <v>128</v>
      </c>
      <c r="D3247" s="1" t="s">
        <v>8</v>
      </c>
      <c r="E3247" s="1" t="s">
        <v>9578</v>
      </c>
      <c r="F3247" s="1" t="str">
        <f>IFERROR(__xludf.DUMMYFUNCTION("GOOGLETRANSLATE(A3247, ""zh-CN"", ""ko"")"),"오")</f>
        <v>오</v>
      </c>
    </row>
    <row r="3248" ht="15.75" customHeight="1">
      <c r="A3248" s="1" t="s">
        <v>9579</v>
      </c>
      <c r="B3248" s="1">
        <v>6.0</v>
      </c>
      <c r="C3248" s="1" t="s">
        <v>9580</v>
      </c>
      <c r="D3248" s="1" t="s">
        <v>52</v>
      </c>
      <c r="E3248" s="1" t="s">
        <v>9581</v>
      </c>
      <c r="F3248" s="1" t="str">
        <f>IFERROR(__xludf.DUMMYFUNCTION("GOOGLETRANSLATE(A3248, ""zh-CN"", ""ko"")"),"친절한")</f>
        <v>친절한</v>
      </c>
    </row>
    <row r="3249" ht="15.75" customHeight="1">
      <c r="A3249" s="1" t="s">
        <v>9582</v>
      </c>
      <c r="B3249" s="1">
        <v>6.0</v>
      </c>
      <c r="C3249" s="1" t="s">
        <v>9583</v>
      </c>
      <c r="D3249" s="1" t="s">
        <v>8</v>
      </c>
      <c r="E3249" s="1" t="s">
        <v>9584</v>
      </c>
      <c r="F3249" s="1" t="str">
        <f>IFERROR(__xludf.DUMMYFUNCTION("GOOGLETRANSLATE(A3249, ""zh-CN"", ""ko"")"),"병합")</f>
        <v>병합</v>
      </c>
    </row>
    <row r="3250" ht="15.75" customHeight="1">
      <c r="A3250" s="1" t="s">
        <v>9585</v>
      </c>
      <c r="B3250" s="1">
        <v>6.0</v>
      </c>
      <c r="C3250" s="1" t="s">
        <v>9586</v>
      </c>
      <c r="D3250" s="1" t="s">
        <v>8</v>
      </c>
      <c r="E3250" s="1" t="s">
        <v>9587</v>
      </c>
      <c r="F3250" s="1" t="str">
        <f>IFERROR(__xludf.DUMMYFUNCTION("GOOGLETRANSLATE(A3250, ""zh-CN"", ""ko"")"),"합성")</f>
        <v>합성</v>
      </c>
    </row>
    <row r="3251" ht="15.75" customHeight="1">
      <c r="A3251" s="1" t="s">
        <v>9588</v>
      </c>
      <c r="B3251" s="1">
        <v>6.0</v>
      </c>
      <c r="C3251" s="1" t="s">
        <v>9589</v>
      </c>
      <c r="D3251" s="1" t="s">
        <v>8</v>
      </c>
      <c r="E3251" s="1" t="s">
        <v>9590</v>
      </c>
      <c r="F3251" s="1" t="str">
        <f>IFERROR(__xludf.DUMMYFUNCTION("GOOGLETRANSLATE(A3251, ""zh-CN"", ""ko"")"),"공동")</f>
        <v>공동</v>
      </c>
    </row>
    <row r="3252" ht="15.75" customHeight="1">
      <c r="A3252" s="1" t="s">
        <v>9591</v>
      </c>
      <c r="B3252" s="1">
        <v>6.0</v>
      </c>
      <c r="C3252" s="1" t="s">
        <v>9592</v>
      </c>
      <c r="D3252" s="1" t="s">
        <v>8</v>
      </c>
      <c r="E3252" s="1" t="s">
        <v>9593</v>
      </c>
      <c r="F3252" s="1" t="str">
        <f>IFERROR(__xludf.DUMMYFUNCTION("GOOGLETRANSLATE(A3252, ""zh-CN"", ""ko"")"),"화해")</f>
        <v>화해</v>
      </c>
    </row>
    <row r="3253" ht="15.75" customHeight="1">
      <c r="A3253" s="1" t="s">
        <v>9594</v>
      </c>
      <c r="B3253" s="1">
        <v>6.0</v>
      </c>
      <c r="C3253" s="1" t="s">
        <v>9595</v>
      </c>
      <c r="D3253" s="1" t="s">
        <v>52</v>
      </c>
      <c r="E3253" s="1" t="s">
        <v>9596</v>
      </c>
      <c r="F3253" s="1" t="str">
        <f>IFERROR(__xludf.DUMMYFUNCTION("GOOGLETRANSLATE(A3253, ""zh-CN"", ""ko"")"),"조화")</f>
        <v>조화</v>
      </c>
    </row>
    <row r="3254" ht="15.75" customHeight="1">
      <c r="A3254" s="1" t="s">
        <v>9597</v>
      </c>
      <c r="B3254" s="1">
        <v>6.0</v>
      </c>
      <c r="C3254" s="1" t="s">
        <v>9598</v>
      </c>
      <c r="D3254" s="1" t="s">
        <v>52</v>
      </c>
      <c r="E3254" s="1" t="s">
        <v>9599</v>
      </c>
      <c r="F3254" s="1" t="str">
        <f>IFERROR(__xludf.DUMMYFUNCTION("GOOGLETRANSLATE(A3254, ""zh-CN"", ""ko"")"),"조화")</f>
        <v>조화</v>
      </c>
    </row>
    <row r="3255" ht="15.75" customHeight="1">
      <c r="A3255" s="1" t="s">
        <v>9600</v>
      </c>
      <c r="B3255" s="1">
        <v>6.0</v>
      </c>
      <c r="C3255" s="1" t="s">
        <v>9601</v>
      </c>
      <c r="D3255" s="1" t="s">
        <v>52</v>
      </c>
      <c r="E3255" s="1" t="s">
        <v>9602</v>
      </c>
      <c r="F3255" s="1" t="str">
        <f>IFERROR(__xludf.DUMMYFUNCTION("GOOGLETRANSLATE(A3255, ""zh-CN"", ""ko"")"),"비용 효율적")</f>
        <v>비용 효율적</v>
      </c>
    </row>
    <row r="3256" ht="15.75" customHeight="1">
      <c r="A3256" s="1" t="s">
        <v>9603</v>
      </c>
      <c r="B3256" s="1">
        <v>6.0</v>
      </c>
      <c r="C3256" s="1" t="s">
        <v>9604</v>
      </c>
      <c r="D3256" s="1" t="s">
        <v>52</v>
      </c>
      <c r="E3256" s="1" t="s">
        <v>9605</v>
      </c>
      <c r="F3256" s="1" t="str">
        <f>IFERROR(__xludf.DUMMYFUNCTION("GOOGLETRANSLATE(A3256, ""zh-CN"", ""ko"")"),"조화로운")</f>
        <v>조화로운</v>
      </c>
    </row>
    <row r="3257" ht="15.75" customHeight="1">
      <c r="A3257" s="1" t="s">
        <v>9606</v>
      </c>
      <c r="B3257" s="1">
        <v>6.0</v>
      </c>
      <c r="C3257" s="1" t="s">
        <v>585</v>
      </c>
      <c r="D3257" s="1" t="s">
        <v>3541</v>
      </c>
      <c r="E3257" s="1" t="s">
        <v>3542</v>
      </c>
      <c r="F3257" s="1" t="str">
        <f>IFERROR(__xludf.DUMMYFUNCTION("GOOGLETRANSLATE(A3257, ""zh-CN"", ""ko"")"),"여기요")</f>
        <v>여기요</v>
      </c>
    </row>
    <row r="3258" ht="15.75" customHeight="1">
      <c r="A3258" s="1" t="s">
        <v>9607</v>
      </c>
      <c r="B3258" s="1">
        <v>6.0</v>
      </c>
      <c r="C3258" s="1" t="s">
        <v>9608</v>
      </c>
      <c r="D3258" s="1" t="s">
        <v>16</v>
      </c>
      <c r="E3258" s="1" t="s">
        <v>9609</v>
      </c>
      <c r="F3258" s="1" t="str">
        <f>IFERROR(__xludf.DUMMYFUNCTION("GOOGLETRANSLATE(A3258, ""zh-CN"", ""ko"")"),"추적하다")</f>
        <v>추적하다</v>
      </c>
    </row>
    <row r="3259" ht="15.75" customHeight="1">
      <c r="A3259" s="1" t="s">
        <v>9610</v>
      </c>
      <c r="B3259" s="1">
        <v>6.0</v>
      </c>
      <c r="C3259" s="1" t="s">
        <v>9611</v>
      </c>
      <c r="D3259" s="1" t="s">
        <v>52</v>
      </c>
      <c r="E3259" s="1" t="s">
        <v>9612</v>
      </c>
      <c r="F3259" s="1" t="str">
        <f>IFERROR(__xludf.DUMMYFUNCTION("GOOGLETRANSLATE(A3259, ""zh-CN"", ""ko"")"),"무정한")</f>
        <v>무정한</v>
      </c>
    </row>
    <row r="3260" ht="15.75" customHeight="1">
      <c r="A3260" s="1" t="s">
        <v>9613</v>
      </c>
      <c r="B3260" s="1">
        <v>6.0</v>
      </c>
      <c r="C3260" s="1" t="s">
        <v>9614</v>
      </c>
      <c r="D3260" s="1" t="s">
        <v>8</v>
      </c>
      <c r="E3260" s="1" t="s">
        <v>9615</v>
      </c>
      <c r="F3260" s="1" t="str">
        <f>IFERROR(__xludf.DUMMYFUNCTION("GOOGLETRANSLATE(A3260, ""zh-CN"", ""ko"")"),"나는 바라요")</f>
        <v>나는 바라요</v>
      </c>
    </row>
    <row r="3261" ht="15.75" customHeight="1">
      <c r="A3261" s="1" t="s">
        <v>9616</v>
      </c>
      <c r="B3261" s="1">
        <v>6.0</v>
      </c>
      <c r="C3261" s="1" t="s">
        <v>9617</v>
      </c>
      <c r="D3261" s="1" t="s">
        <v>8</v>
      </c>
      <c r="E3261" s="1" t="s">
        <v>9618</v>
      </c>
      <c r="F3261" s="1" t="str">
        <f>IFERROR(__xludf.DUMMYFUNCTION("GOOGLETRANSLATE(A3261, ""zh-CN"", ""ko"")"),"흡입")</f>
        <v>흡입</v>
      </c>
    </row>
    <row r="3262" ht="15.75" customHeight="1">
      <c r="A3262" s="1" t="s">
        <v>9619</v>
      </c>
      <c r="B3262" s="1">
        <v>6.0</v>
      </c>
      <c r="C3262" s="1" t="s">
        <v>9620</v>
      </c>
      <c r="D3262" s="1" t="s">
        <v>1003</v>
      </c>
      <c r="E3262" s="1" t="s">
        <v>9621</v>
      </c>
      <c r="F3262" s="1" t="str">
        <f>IFERROR(__xludf.DUMMYFUNCTION("GOOGLETRANSLATE(A3262, ""zh-CN"", ""ko"")"),"수평의")</f>
        <v>수평의</v>
      </c>
    </row>
    <row r="3263" ht="15.75" customHeight="1">
      <c r="A3263" s="1" t="s">
        <v>9622</v>
      </c>
      <c r="B3263" s="1">
        <v>6.0</v>
      </c>
      <c r="C3263" s="1" t="s">
        <v>9623</v>
      </c>
      <c r="D3263" s="1" t="s">
        <v>8</v>
      </c>
      <c r="E3263" s="1" t="s">
        <v>9624</v>
      </c>
      <c r="F3263" s="1" t="str">
        <f>IFERROR(__xludf.DUMMYFUNCTION("GOOGLETRANSLATE(A3263, ""zh-CN"", ""ko"")"),"동축 케이블")</f>
        <v>동축 케이블</v>
      </c>
    </row>
    <row r="3264" ht="15.75" customHeight="1">
      <c r="A3264" s="1" t="s">
        <v>9625</v>
      </c>
      <c r="B3264" s="1">
        <v>6.0</v>
      </c>
      <c r="C3264" s="1" t="s">
        <v>9623</v>
      </c>
      <c r="D3264" s="1" t="s">
        <v>8</v>
      </c>
      <c r="E3264" s="1" t="s">
        <v>9626</v>
      </c>
      <c r="F3264" s="1" t="str">
        <f>IFERROR(__xludf.DUMMYFUNCTION("GOOGLETRANSLATE(A3264, ""zh-CN"", ""ko"")"),"빵 굽기")</f>
        <v>빵 굽기</v>
      </c>
    </row>
    <row r="3265" ht="15.75" customHeight="1">
      <c r="A3265" s="1" t="s">
        <v>9627</v>
      </c>
      <c r="B3265" s="1">
        <v>6.0</v>
      </c>
      <c r="C3265" s="1" t="s">
        <v>9628</v>
      </c>
      <c r="D3265" s="1" t="s">
        <v>8</v>
      </c>
      <c r="E3265" s="1" t="s">
        <v>9629</v>
      </c>
      <c r="F3265" s="1" t="str">
        <f>IFERROR(__xludf.DUMMYFUNCTION("GOOGLETRANSLATE(A3265, ""zh-CN"", ""ko"")"),"감각")</f>
        <v>감각</v>
      </c>
    </row>
    <row r="3266" ht="15.75" customHeight="1">
      <c r="A3266" s="1" t="s">
        <v>9630</v>
      </c>
      <c r="B3266" s="1">
        <v>6.0</v>
      </c>
      <c r="C3266" s="1" t="s">
        <v>9631</v>
      </c>
      <c r="D3266" s="1" t="s">
        <v>52</v>
      </c>
      <c r="E3266" s="1" t="s">
        <v>9632</v>
      </c>
      <c r="F3266" s="1" t="str">
        <f>IFERROR(__xludf.DUMMYFUNCTION("GOOGLETRANSLATE(A3266, ""zh-CN"", ""ko"")"),"매크로")</f>
        <v>매크로</v>
      </c>
    </row>
    <row r="3267" ht="15.75" customHeight="1">
      <c r="A3267" s="1" t="s">
        <v>9633</v>
      </c>
      <c r="B3267" s="1">
        <v>6.0</v>
      </c>
      <c r="C3267" s="1" t="s">
        <v>9634</v>
      </c>
      <c r="D3267" s="1" t="s">
        <v>16</v>
      </c>
      <c r="E3267" s="1" t="s">
        <v>9635</v>
      </c>
      <c r="F3267" s="1" t="str">
        <f>IFERROR(__xludf.DUMMYFUNCTION("GOOGLETRANSLATE(A3267, ""zh-CN"", ""ko"")"),"홍수")</f>
        <v>홍수</v>
      </c>
    </row>
    <row r="3268" ht="15.75" customHeight="1">
      <c r="A3268" s="1" t="s">
        <v>9636</v>
      </c>
      <c r="B3268" s="1">
        <v>6.0</v>
      </c>
      <c r="C3268" s="1" t="s">
        <v>9637</v>
      </c>
      <c r="D3268" s="1" t="s">
        <v>52</v>
      </c>
      <c r="E3268" s="1" t="s">
        <v>9638</v>
      </c>
      <c r="F3268" s="1" t="str">
        <f>IFERROR(__xludf.DUMMYFUNCTION("GOOGLETRANSLATE(A3268, ""zh-CN"", ""ko"")"),"웅장한")</f>
        <v>웅장한</v>
      </c>
    </row>
    <row r="3269" ht="15.75" customHeight="1">
      <c r="A3269" s="1" t="s">
        <v>9639</v>
      </c>
      <c r="B3269" s="1">
        <v>6.0</v>
      </c>
      <c r="C3269" s="1" t="s">
        <v>9640</v>
      </c>
      <c r="D3269" s="1" t="s">
        <v>16</v>
      </c>
      <c r="E3269" s="1" t="s">
        <v>9641</v>
      </c>
      <c r="F3269" s="1" t="str">
        <f>IFERROR(__xludf.DUMMYFUNCTION("GOOGLETRANSLATE(A3269, ""zh-CN"", ""ko"")"),"목")</f>
        <v>목</v>
      </c>
    </row>
    <row r="3270" ht="15.75" customHeight="1">
      <c r="A3270" s="1" t="s">
        <v>9642</v>
      </c>
      <c r="B3270" s="1">
        <v>6.0</v>
      </c>
      <c r="C3270" s="1" t="s">
        <v>9643</v>
      </c>
      <c r="D3270" s="1" t="s">
        <v>8</v>
      </c>
      <c r="E3270" s="1" t="s">
        <v>9644</v>
      </c>
      <c r="F3270" s="1" t="str">
        <f>IFERROR(__xludf.DUMMYFUNCTION("GOOGLETRANSLATE(A3270, ""zh-CN"", ""ko"")"),"노호")</f>
        <v>노호</v>
      </c>
    </row>
    <row r="3271" ht="15.75" customHeight="1">
      <c r="A3271" s="1" t="s">
        <v>9645</v>
      </c>
      <c r="B3271" s="1">
        <v>6.0</v>
      </c>
      <c r="C3271" s="1" t="s">
        <v>9646</v>
      </c>
      <c r="D3271" s="1" t="s">
        <v>16</v>
      </c>
      <c r="E3271" s="1" t="s">
        <v>9647</v>
      </c>
      <c r="F3271" s="1" t="str">
        <f>IFERROR(__xludf.DUMMYFUNCTION("GOOGLETRANSLATE(A3271, ""zh-CN"", ""ko"")"),"자손")</f>
        <v>자손</v>
      </c>
    </row>
    <row r="3272" ht="15.75" customHeight="1">
      <c r="A3272" s="1" t="s">
        <v>9648</v>
      </c>
      <c r="B3272" s="1">
        <v>6.0</v>
      </c>
      <c r="C3272" s="1" t="s">
        <v>9649</v>
      </c>
      <c r="E3272" s="1" t="s">
        <v>9650</v>
      </c>
      <c r="F3272" s="1" t="str">
        <f>IFERROR(__xludf.DUMMYFUNCTION("GOOGLETRANSLATE(A3272, ""zh-CN"", ""ko"")"),"미래에 대해 걱정하지 마세요")</f>
        <v>미래에 대해 걱정하지 마세요</v>
      </c>
    </row>
    <row r="3273" ht="15.75" customHeight="1">
      <c r="A3273" s="1" t="s">
        <v>9651</v>
      </c>
      <c r="B3273" s="1">
        <v>6.0</v>
      </c>
      <c r="C3273" s="1" t="s">
        <v>9652</v>
      </c>
      <c r="D3273" s="1" t="s">
        <v>16</v>
      </c>
      <c r="E3273" s="1" t="s">
        <v>9653</v>
      </c>
      <c r="F3273" s="1" t="str">
        <f>IFERROR(__xludf.DUMMYFUNCTION("GOOGLETRANSLATE(A3273, ""zh-CN"", ""ko"")"),"기호 논리학")</f>
        <v>기호 논리학</v>
      </c>
    </row>
    <row r="3274" ht="15.75" customHeight="1">
      <c r="A3274" s="1" t="s">
        <v>9654</v>
      </c>
      <c r="B3274" s="1">
        <v>6.0</v>
      </c>
      <c r="C3274" s="1" t="s">
        <v>9655</v>
      </c>
      <c r="D3274" s="1" t="s">
        <v>8</v>
      </c>
      <c r="E3274" s="1" t="s">
        <v>9656</v>
      </c>
      <c r="F3274" s="1" t="str">
        <f>IFERROR(__xludf.DUMMYFUNCTION("GOOGLETRANSLATE(A3274, ""zh-CN"", ""ko"")"),"후보자")</f>
        <v>후보자</v>
      </c>
    </row>
    <row r="3275" ht="15.75" customHeight="1">
      <c r="A3275" s="1" t="s">
        <v>9657</v>
      </c>
      <c r="B3275" s="1">
        <v>6.0</v>
      </c>
      <c r="C3275" s="1" t="s">
        <v>9658</v>
      </c>
      <c r="D3275" s="1" t="s">
        <v>8</v>
      </c>
      <c r="E3275" s="1" t="s">
        <v>9659</v>
      </c>
      <c r="F3275" s="1" t="str">
        <f>IFERROR(__xludf.DUMMYFUNCTION("GOOGLETRANSLATE(A3275, ""zh-CN"", ""ko"")"),"부르다")</f>
        <v>부르다</v>
      </c>
    </row>
    <row r="3276" ht="15.75" customHeight="1">
      <c r="A3276" s="1" t="s">
        <v>9660</v>
      </c>
      <c r="B3276" s="1">
        <v>6.0</v>
      </c>
      <c r="C3276" s="1" t="s">
        <v>9661</v>
      </c>
      <c r="D3276" s="1" t="s">
        <v>8</v>
      </c>
      <c r="E3276" s="1" t="s">
        <v>9662</v>
      </c>
      <c r="F3276" s="1" t="str">
        <f>IFERROR(__xludf.DUMMYFUNCTION("GOOGLETRANSLATE(A3276, ""zh-CN"", ""ko"")"),"소홀히 하다")</f>
        <v>소홀히 하다</v>
      </c>
    </row>
    <row r="3277" ht="15.75" customHeight="1">
      <c r="A3277" s="1" t="s">
        <v>9663</v>
      </c>
      <c r="B3277" s="1">
        <v>6.0</v>
      </c>
      <c r="C3277" s="1" t="s">
        <v>9664</v>
      </c>
      <c r="D3277" s="1" t="s">
        <v>8</v>
      </c>
      <c r="E3277" s="1" t="s">
        <v>9665</v>
      </c>
      <c r="F3277" s="1" t="str">
        <f>IFERROR(__xludf.DUMMYFUNCTION("GOOGLETRANSLATE(A3277, ""zh-CN"", ""ko"")"),"짖는")</f>
        <v>짖는</v>
      </c>
    </row>
    <row r="3278" ht="15.75" customHeight="1">
      <c r="A3278" s="1" t="s">
        <v>9666</v>
      </c>
      <c r="B3278" s="1">
        <v>6.0</v>
      </c>
      <c r="C3278" s="1" t="s">
        <v>9667</v>
      </c>
      <c r="D3278" s="1" t="s">
        <v>8</v>
      </c>
      <c r="E3278" s="1" t="s">
        <v>9668</v>
      </c>
      <c r="F3278" s="1" t="str">
        <f>IFERROR(__xludf.DUMMYFUNCTION("GOOGLETRANSLATE(A3278, ""zh-CN"", ""ko"")"),"부르다")</f>
        <v>부르다</v>
      </c>
    </row>
    <row r="3279" ht="15.75" customHeight="1">
      <c r="A3279" s="1" t="s">
        <v>9669</v>
      </c>
      <c r="B3279" s="1">
        <v>6.0</v>
      </c>
      <c r="C3279" s="1" t="s">
        <v>9670</v>
      </c>
      <c r="D3279" s="1" t="s">
        <v>33</v>
      </c>
      <c r="E3279" s="1" t="s">
        <v>9671</v>
      </c>
      <c r="F3279" s="1" t="str">
        <f>IFERROR(__xludf.DUMMYFUNCTION("GOOGLETRANSLATE(A3279, ""zh-CN"", ""ko"")"),"우연히")</f>
        <v>우연히</v>
      </c>
    </row>
    <row r="3280" ht="15.75" customHeight="1">
      <c r="A3280" s="1" t="s">
        <v>9672</v>
      </c>
      <c r="B3280" s="1">
        <v>6.0</v>
      </c>
      <c r="C3280" s="1" t="s">
        <v>9673</v>
      </c>
      <c r="D3280" s="1" t="s">
        <v>16</v>
      </c>
      <c r="E3280" s="1" t="s">
        <v>9674</v>
      </c>
      <c r="F3280" s="1" t="str">
        <f>IFERROR(__xludf.DUMMYFUNCTION("GOOGLETRANSLATE(A3280, ""zh-CN"", ""ko"")"),"호수")</f>
        <v>호수</v>
      </c>
    </row>
    <row r="3281" ht="15.75" customHeight="1">
      <c r="A3281" s="1" t="s">
        <v>9675</v>
      </c>
      <c r="B3281" s="1">
        <v>6.0</v>
      </c>
      <c r="C3281" s="1" t="s">
        <v>9676</v>
      </c>
      <c r="D3281" s="1" t="s">
        <v>16</v>
      </c>
      <c r="E3281" s="1" t="s">
        <v>9677</v>
      </c>
      <c r="F3281" s="1" t="str">
        <f>IFERROR(__xludf.DUMMYFUNCTION("GOOGLETRANSLATE(A3281, ""zh-CN"", ""ko"")"),"수염")</f>
        <v>수염</v>
      </c>
    </row>
    <row r="3282" ht="15.75" customHeight="1">
      <c r="A3282" s="1" t="s">
        <v>9678</v>
      </c>
      <c r="B3282" s="1">
        <v>6.0</v>
      </c>
      <c r="C3282" s="1" t="s">
        <v>9679</v>
      </c>
      <c r="D3282" s="1" t="s">
        <v>16</v>
      </c>
      <c r="E3282" s="1" t="s">
        <v>9680</v>
      </c>
      <c r="F3282" s="1" t="str">
        <f>IFERROR(__xludf.DUMMYFUNCTION("GOOGLETRANSLATE(A3282, ""zh-CN"", ""ko"")"),"꽃잎")</f>
        <v>꽃잎</v>
      </c>
    </row>
    <row r="3283" ht="15.75" customHeight="1">
      <c r="A3283" s="1" t="s">
        <v>9681</v>
      </c>
      <c r="B3283" s="1">
        <v>6.0</v>
      </c>
      <c r="C3283" s="1" t="s">
        <v>9682</v>
      </c>
      <c r="D3283" s="1" t="s">
        <v>16</v>
      </c>
      <c r="E3283" s="1" t="s">
        <v>9683</v>
      </c>
      <c r="F3283" s="1" t="str">
        <f>IFERROR(__xludf.DUMMYFUNCTION("GOOGLETRANSLATE(A3283, ""zh-CN"", ""ko"")"),"싹")</f>
        <v>싹</v>
      </c>
    </row>
    <row r="3284" ht="15.75" customHeight="1">
      <c r="A3284" s="1" t="s">
        <v>9684</v>
      </c>
      <c r="B3284" s="1">
        <v>6.0</v>
      </c>
      <c r="C3284" s="1" t="s">
        <v>9685</v>
      </c>
      <c r="D3284" s="1" t="s">
        <v>52</v>
      </c>
      <c r="E3284" s="1" t="s">
        <v>9686</v>
      </c>
      <c r="F3284" s="1" t="str">
        <f>IFERROR(__xludf.DUMMYFUNCTION("GOOGLETRANSLATE(A3284, ""zh-CN"", ""ko"")"),"아주 멋진")</f>
        <v>아주 멋진</v>
      </c>
    </row>
    <row r="3285" ht="15.75" customHeight="1">
      <c r="A3285" s="1" t="s">
        <v>9687</v>
      </c>
      <c r="B3285" s="1">
        <v>6.0</v>
      </c>
      <c r="C3285" s="1" t="s">
        <v>9688</v>
      </c>
      <c r="D3285" s="1" t="s">
        <v>16</v>
      </c>
      <c r="E3285" s="1" t="s">
        <v>9689</v>
      </c>
      <c r="F3285" s="1" t="str">
        <f>IFERROR(__xludf.DUMMYFUNCTION("GOOGLETRANSLATE(A3285, ""zh-CN"", ""ko"")"),"해외 화교")</f>
        <v>해외 화교</v>
      </c>
    </row>
    <row r="3286" ht="15.75" customHeight="1">
      <c r="A3286" s="1" t="s">
        <v>9690</v>
      </c>
      <c r="B3286" s="1">
        <v>6.0</v>
      </c>
      <c r="C3286" s="1" t="s">
        <v>9691</v>
      </c>
      <c r="D3286" s="1" t="s">
        <v>16</v>
      </c>
      <c r="E3286" s="1" t="s">
        <v>9692</v>
      </c>
      <c r="F3286" s="1" t="str">
        <f>IFERROR(__xludf.DUMMYFUNCTION("GOOGLETRANSLATE(A3286, ""zh-CN"", ""ko"")"),"비료")</f>
        <v>비료</v>
      </c>
    </row>
    <row r="3287" ht="15.75" customHeight="1">
      <c r="A3287" s="1" t="s">
        <v>9693</v>
      </c>
      <c r="B3287" s="1">
        <v>6.0</v>
      </c>
      <c r="C3287" s="1" t="s">
        <v>9694</v>
      </c>
      <c r="D3287" s="1" t="s">
        <v>8</v>
      </c>
      <c r="E3287" s="1" t="s">
        <v>9695</v>
      </c>
      <c r="F3287" s="1" t="str">
        <f>IFERROR(__xludf.DUMMYFUNCTION("GOOGLETRANSLATE(A3287, ""zh-CN"", ""ko"")"),"분할")</f>
        <v>분할</v>
      </c>
    </row>
    <row r="3288" ht="15.75" customHeight="1">
      <c r="A3288" s="1" t="s">
        <v>9696</v>
      </c>
      <c r="B3288" s="1">
        <v>6.0</v>
      </c>
      <c r="C3288" s="1" t="s">
        <v>9697</v>
      </c>
      <c r="E3288" s="1" t="s">
        <v>9698</v>
      </c>
      <c r="F3288" s="1" t="str">
        <f>IFERROR(__xludf.DUMMYFUNCTION("GOOGLETRANSLATE(A3288, ""zh-CN"", ""ko"")"),"뱀에 발을 추가하기")</f>
        <v>뱀에 발을 추가하기</v>
      </c>
    </row>
    <row r="3289" ht="15.75" customHeight="1">
      <c r="A3289" s="1" t="s">
        <v>9699</v>
      </c>
      <c r="B3289" s="1">
        <v>6.0</v>
      </c>
      <c r="C3289" s="1" t="s">
        <v>9700</v>
      </c>
      <c r="D3289" s="1" t="s">
        <v>16</v>
      </c>
      <c r="E3289" s="1" t="s">
        <v>9701</v>
      </c>
      <c r="F3289" s="1" t="str">
        <f>IFERROR(__xludf.DUMMYFUNCTION("GOOGLETRANSLATE(A3289, ""zh-CN"", ""ko"")"),"화석")</f>
        <v>화석</v>
      </c>
    </row>
    <row r="3290" ht="15.75" customHeight="1">
      <c r="A3290" s="1" t="s">
        <v>9702</v>
      </c>
      <c r="B3290" s="1">
        <v>6.0</v>
      </c>
      <c r="C3290" s="1" t="s">
        <v>9703</v>
      </c>
      <c r="D3290" s="1" t="s">
        <v>16</v>
      </c>
      <c r="E3290" s="1" t="s">
        <v>9704</v>
      </c>
      <c r="F3290" s="1" t="str">
        <f>IFERROR(__xludf.DUMMYFUNCTION("GOOGLETRANSLATE(A3290, ""zh-CN"", ""ko"")"),"마이크로폰")</f>
        <v>마이크로폰</v>
      </c>
    </row>
    <row r="3291" ht="15.75" customHeight="1">
      <c r="A3291" s="1" t="s">
        <v>9705</v>
      </c>
      <c r="B3291" s="1">
        <v>6.0</v>
      </c>
      <c r="C3291" s="1" t="s">
        <v>9706</v>
      </c>
      <c r="D3291" s="1" t="s">
        <v>8</v>
      </c>
      <c r="E3291" s="1" t="s">
        <v>9707</v>
      </c>
      <c r="F3291" s="1" t="str">
        <f>IFERROR(__xludf.DUMMYFUNCTION("GOOGLETRANSLATE(A3291, ""zh-CN"", ""ko"")"),"시험")</f>
        <v>시험</v>
      </c>
    </row>
    <row r="3292" ht="15.75" customHeight="1">
      <c r="A3292" s="1" t="s">
        <v>9708</v>
      </c>
      <c r="B3292" s="1">
        <v>6.0</v>
      </c>
      <c r="C3292" s="1" t="s">
        <v>9709</v>
      </c>
      <c r="D3292" s="1" t="s">
        <v>8</v>
      </c>
      <c r="E3292" s="1" t="s">
        <v>9710</v>
      </c>
      <c r="F3292" s="1" t="str">
        <f>IFERROR(__xludf.DUMMYFUNCTION("GOOGLETRANSLATE(A3292, ""zh-CN"", ""ko"")"),"조립")</f>
        <v>조립</v>
      </c>
    </row>
    <row r="3293" ht="15.75" customHeight="1">
      <c r="A3293" s="1" t="s">
        <v>9711</v>
      </c>
      <c r="B3293" s="1">
        <v>6.0</v>
      </c>
      <c r="C3293" s="1" t="s">
        <v>9712</v>
      </c>
      <c r="D3293" s="1" t="s">
        <v>52</v>
      </c>
      <c r="E3293" s="1" t="s">
        <v>9713</v>
      </c>
      <c r="F3293" s="1" t="str">
        <f>IFERROR(__xludf.DUMMYFUNCTION("GOOGLETRANSLATE(A3293, ""zh-CN"", ""ko"")"),"기쁨")</f>
        <v>기쁨</v>
      </c>
    </row>
    <row r="3294" ht="15.75" customHeight="1">
      <c r="A3294" s="1" t="s">
        <v>9714</v>
      </c>
      <c r="B3294" s="1">
        <v>6.0</v>
      </c>
      <c r="C3294" s="1" t="s">
        <v>9715</v>
      </c>
      <c r="D3294" s="1" t="s">
        <v>16</v>
      </c>
      <c r="E3294" s="1" t="s">
        <v>9716</v>
      </c>
      <c r="F3294" s="1" t="str">
        <f>IFERROR(__xludf.DUMMYFUNCTION("GOOGLETRANSLATE(A3294, ""zh-CN"", ""ko"")"),"링크")</f>
        <v>링크</v>
      </c>
    </row>
    <row r="3295" ht="15.75" customHeight="1">
      <c r="A3295" s="1" t="s">
        <v>9717</v>
      </c>
      <c r="B3295" s="1">
        <v>6.0</v>
      </c>
      <c r="C3295" s="1" t="s">
        <v>9718</v>
      </c>
      <c r="D3295" s="1" t="s">
        <v>8</v>
      </c>
      <c r="E3295" s="1" t="s">
        <v>9719</v>
      </c>
      <c r="F3295" s="1" t="str">
        <f>IFERROR(__xludf.DUMMYFUNCTION("GOOGLETRANSLATE(A3295, ""zh-CN"", ""ko"")"),"절감")</f>
        <v>절감</v>
      </c>
    </row>
    <row r="3296" ht="15.75" customHeight="1">
      <c r="A3296" s="1" t="s">
        <v>9720</v>
      </c>
      <c r="B3296" s="1">
        <v>6.0</v>
      </c>
      <c r="C3296" s="1" t="s">
        <v>9721</v>
      </c>
      <c r="D3296" s="1" t="s">
        <v>8</v>
      </c>
      <c r="E3296" s="1" t="s">
        <v>9722</v>
      </c>
      <c r="F3296" s="1" t="str">
        <f>IFERROR(__xludf.DUMMYFUNCTION("GOOGLETRANSLATE(A3296, ""zh-CN"", ""ko"")"),"완화")</f>
        <v>완화</v>
      </c>
    </row>
    <row r="3297" ht="15.75" customHeight="1">
      <c r="A3297" s="1" t="s">
        <v>9723</v>
      </c>
      <c r="B3297" s="1">
        <v>6.0</v>
      </c>
      <c r="C3297" s="1" t="s">
        <v>9724</v>
      </c>
      <c r="D3297" s="1" t="s">
        <v>16</v>
      </c>
      <c r="E3297" s="1" t="s">
        <v>9725</v>
      </c>
      <c r="F3297" s="1" t="str">
        <f>IFERROR(__xludf.DUMMYFUNCTION("GOOGLETRANSLATE(A3297, ""zh-CN"", ""ko"")"),"인내심 있는")</f>
        <v>인내심 있는</v>
      </c>
    </row>
    <row r="3298" ht="15.75" customHeight="1">
      <c r="A3298" s="1" t="s">
        <v>9726</v>
      </c>
      <c r="B3298" s="1">
        <v>6.0</v>
      </c>
      <c r="C3298" s="1" t="s">
        <v>9727</v>
      </c>
      <c r="D3298" s="1" t="s">
        <v>52</v>
      </c>
      <c r="E3298" s="1" t="s">
        <v>9728</v>
      </c>
      <c r="F3298" s="1" t="str">
        <f>IFERROR(__xludf.DUMMYFUNCTION("GOOGLETRANSLATE(A3298, ""zh-CN"", ""ko"")"),"황량한")</f>
        <v>황량한</v>
      </c>
    </row>
    <row r="3299" ht="15.75" customHeight="1">
      <c r="A3299" s="1" t="s">
        <v>9729</v>
      </c>
      <c r="B3299" s="1">
        <v>6.0</v>
      </c>
      <c r="C3299" s="1" t="s">
        <v>9730</v>
      </c>
      <c r="D3299" s="1" t="s">
        <v>52</v>
      </c>
      <c r="E3299" s="1" t="s">
        <v>9731</v>
      </c>
      <c r="F3299" s="1" t="str">
        <f>IFERROR(__xludf.DUMMYFUNCTION("GOOGLETRANSLATE(A3299, ""zh-CN"", ""ko"")"),"터무니없는")</f>
        <v>터무니없는</v>
      </c>
    </row>
    <row r="3300" ht="15.75" customHeight="1">
      <c r="A3300" s="1" t="s">
        <v>9732</v>
      </c>
      <c r="B3300" s="1">
        <v>6.0</v>
      </c>
      <c r="C3300" s="1" t="s">
        <v>9733</v>
      </c>
      <c r="D3300" s="1" t="s">
        <v>52</v>
      </c>
      <c r="E3300" s="1" t="s">
        <v>9734</v>
      </c>
      <c r="F3300" s="1" t="str">
        <f>IFERROR(__xludf.DUMMYFUNCTION("GOOGLETRANSLATE(A3300, ""zh-CN"", ""ko"")"),"터무니없는")</f>
        <v>터무니없는</v>
      </c>
    </row>
    <row r="3301" ht="15.75" customHeight="1">
      <c r="A3301" s="1" t="s">
        <v>9735</v>
      </c>
      <c r="B3301" s="1">
        <v>6.0</v>
      </c>
      <c r="C3301" s="1" t="s">
        <v>9736</v>
      </c>
      <c r="D3301" s="1" t="s">
        <v>16</v>
      </c>
      <c r="E3301" s="1" t="s">
        <v>9737</v>
      </c>
      <c r="F3301" s="1" t="str">
        <f>IFERROR(__xludf.DUMMYFUNCTION("GOOGLETRANSLATE(A3301, ""zh-CN"", ""ko"")"),"황제")</f>
        <v>황제</v>
      </c>
    </row>
    <row r="3302" ht="15.75" customHeight="1">
      <c r="A3302" s="1" t="s">
        <v>9738</v>
      </c>
      <c r="B3302" s="1">
        <v>6.0</v>
      </c>
      <c r="C3302" s="1" t="s">
        <v>9739</v>
      </c>
      <c r="D3302" s="1" t="s">
        <v>16</v>
      </c>
      <c r="E3302" s="1" t="s">
        <v>9740</v>
      </c>
      <c r="F3302" s="1" t="str">
        <f>IFERROR(__xludf.DUMMYFUNCTION("GOOGLETRANSLATE(A3302, ""zh-CN"", ""ko"")"),"황후")</f>
        <v>황후</v>
      </c>
    </row>
    <row r="3303" ht="15.75" customHeight="1">
      <c r="A3303" s="1" t="s">
        <v>9741</v>
      </c>
      <c r="B3303" s="1">
        <v>6.0</v>
      </c>
      <c r="C3303" s="1" t="s">
        <v>9742</v>
      </c>
      <c r="D3303" s="1" t="s">
        <v>16</v>
      </c>
      <c r="E3303" s="1" t="s">
        <v>9743</v>
      </c>
      <c r="F3303" s="1" t="str">
        <f>IFERROR(__xludf.DUMMYFUNCTION("GOOGLETRANSLATE(A3303, ""zh-CN"", ""ko"")"),"황혼")</f>
        <v>황혼</v>
      </c>
    </row>
    <row r="3304" ht="15.75" customHeight="1">
      <c r="A3304" s="1" t="s">
        <v>9744</v>
      </c>
      <c r="B3304" s="1">
        <v>6.0</v>
      </c>
      <c r="C3304" s="1" t="s">
        <v>9745</v>
      </c>
      <c r="E3304" s="1" t="s">
        <v>9746</v>
      </c>
      <c r="F3304" s="1" t="str">
        <f>IFERROR(__xludf.DUMMYFUNCTION("GOOGLETRANSLATE(A3304, ""zh-CN"", ""ko"")"),"갑자기 깨달았다")</f>
        <v>갑자기 깨달았다</v>
      </c>
    </row>
    <row r="3305" ht="15.75" customHeight="1">
      <c r="A3305" s="1" t="s">
        <v>9747</v>
      </c>
      <c r="B3305" s="1">
        <v>6.0</v>
      </c>
      <c r="C3305" s="1" t="s">
        <v>9748</v>
      </c>
      <c r="D3305" s="1" t="s">
        <v>8</v>
      </c>
      <c r="E3305" s="1" t="s">
        <v>9749</v>
      </c>
      <c r="F3305" s="1" t="str">
        <f>IFERROR(__xludf.DUMMYFUNCTION("GOOGLETRANSLATE(A3305, ""zh-CN"", ""ko"")"),"떨림")</f>
        <v>떨림</v>
      </c>
    </row>
    <row r="3306" ht="15.75" customHeight="1">
      <c r="A3306" s="1" t="s">
        <v>9750</v>
      </c>
      <c r="B3306" s="1">
        <v>6.0</v>
      </c>
      <c r="C3306" s="1" t="s">
        <v>9751</v>
      </c>
      <c r="D3306" s="1" t="s">
        <v>52</v>
      </c>
      <c r="E3306" s="1" t="s">
        <v>9752</v>
      </c>
      <c r="F3306" s="1" t="str">
        <f>IFERROR(__xludf.DUMMYFUNCTION("GOOGLETRANSLATE(A3306, ""zh-CN"", ""ko"")"),"멋진")</f>
        <v>멋진</v>
      </c>
    </row>
    <row r="3307" ht="15.75" customHeight="1">
      <c r="A3307" s="1" t="s">
        <v>9753</v>
      </c>
      <c r="B3307" s="1">
        <v>6.0</v>
      </c>
      <c r="C3307" s="1" t="s">
        <v>9754</v>
      </c>
      <c r="D3307" s="1" t="s">
        <v>8</v>
      </c>
      <c r="E3307" s="1" t="s">
        <v>9755</v>
      </c>
      <c r="F3307" s="1" t="str">
        <f>IFERROR(__xludf.DUMMYFUNCTION("GOOGLETRANSLATE(A3307, ""zh-CN"", ""ko"")"),"사치")</f>
        <v>사치</v>
      </c>
    </row>
    <row r="3308" ht="15.75" customHeight="1">
      <c r="A3308" s="1" t="s">
        <v>9756</v>
      </c>
      <c r="B3308" s="1">
        <v>6.0</v>
      </c>
      <c r="C3308" s="1" t="s">
        <v>9757</v>
      </c>
      <c r="D3308" s="1" t="s">
        <v>8</v>
      </c>
      <c r="E3308" s="1" t="s">
        <v>9758</v>
      </c>
      <c r="F3308" s="1" t="str">
        <f>IFERROR(__xludf.DUMMYFUNCTION("GOOGLETRANSLATE(A3308, ""zh-CN"", ""ko"")"),"반품")</f>
        <v>반품</v>
      </c>
    </row>
    <row r="3309" ht="15.75" customHeight="1">
      <c r="A3309" s="1" t="s">
        <v>9759</v>
      </c>
      <c r="B3309" s="1">
        <v>6.0</v>
      </c>
      <c r="C3309" s="1" t="s">
        <v>9760</v>
      </c>
      <c r="D3309" s="1" t="s">
        <v>8</v>
      </c>
      <c r="E3309" s="1" t="s">
        <v>9761</v>
      </c>
      <c r="F3309" s="1" t="str">
        <f>IFERROR(__xludf.DUMMYFUNCTION("GOOGLETRANSLATE(A3309, ""zh-CN"", ""ko"")"),"피하다")</f>
        <v>피하다</v>
      </c>
    </row>
    <row r="3310" ht="15.75" customHeight="1">
      <c r="A3310" s="1" t="s">
        <v>9762</v>
      </c>
      <c r="B3310" s="1">
        <v>6.0</v>
      </c>
      <c r="C3310" s="1" t="s">
        <v>9763</v>
      </c>
      <c r="D3310" s="1" t="s">
        <v>8</v>
      </c>
      <c r="E3310" s="1" t="s">
        <v>9764</v>
      </c>
      <c r="F3310" s="1" t="str">
        <f>IFERROR(__xludf.DUMMYFUNCTION("GOOGLETRANSLATE(A3310, ""zh-CN"", ""ko"")"),"검토")</f>
        <v>검토</v>
      </c>
    </row>
    <row r="3311" ht="15.75" customHeight="1">
      <c r="A3311" s="1" t="s">
        <v>9765</v>
      </c>
      <c r="B3311" s="1">
        <v>6.0</v>
      </c>
      <c r="C3311" s="1" t="s">
        <v>9766</v>
      </c>
      <c r="D3311" s="1" t="s">
        <v>8</v>
      </c>
      <c r="E3311" s="1" t="s">
        <v>9767</v>
      </c>
      <c r="F3311" s="1" t="str">
        <f>IFERROR(__xludf.DUMMYFUNCTION("GOOGLETRANSLATE(A3311, ""zh-CN"", ""ko"")"),"재활용")</f>
        <v>재활용</v>
      </c>
    </row>
    <row r="3312" ht="15.75" customHeight="1">
      <c r="A3312" s="1" t="s">
        <v>9768</v>
      </c>
      <c r="B3312" s="1">
        <v>6.0</v>
      </c>
      <c r="C3312" s="1" t="s">
        <v>9769</v>
      </c>
      <c r="D3312" s="1" t="s">
        <v>8</v>
      </c>
      <c r="E3312" s="1" t="s">
        <v>9770</v>
      </c>
      <c r="F3312" s="1" t="str">
        <f>IFERROR(__xludf.DUMMYFUNCTION("GOOGLETRANSLATE(A3312, ""zh-CN"", ""ko"")"),"자책감")</f>
        <v>자책감</v>
      </c>
    </row>
    <row r="3313" ht="15.75" customHeight="1">
      <c r="A3313" s="1" t="s">
        <v>9771</v>
      </c>
      <c r="B3313" s="1">
        <v>6.0</v>
      </c>
      <c r="C3313" s="1" t="s">
        <v>9772</v>
      </c>
      <c r="D3313" s="1" t="s">
        <v>8</v>
      </c>
      <c r="E3313" s="1" t="s">
        <v>9773</v>
      </c>
      <c r="F3313" s="1" t="str">
        <f>IFERROR(__xludf.DUMMYFUNCTION("GOOGLETRANSLATE(A3313, ""zh-CN"", ""ko"")"),"파괴하다")</f>
        <v>파괴하다</v>
      </c>
    </row>
    <row r="3314" ht="15.75" customHeight="1">
      <c r="A3314" s="1" t="s">
        <v>9774</v>
      </c>
      <c r="B3314" s="1">
        <v>6.0</v>
      </c>
      <c r="C3314" s="1" t="s">
        <v>9775</v>
      </c>
      <c r="D3314" s="1" t="s">
        <v>8</v>
      </c>
      <c r="E3314" s="1" t="s">
        <v>9776</v>
      </c>
      <c r="F3314" s="1" t="str">
        <f>IFERROR(__xludf.DUMMYFUNCTION("GOOGLETRANSLATE(A3314, ""zh-CN"", ""ko"")"),"보고서")</f>
        <v>보고서</v>
      </c>
    </row>
    <row r="3315" ht="15.75" customHeight="1">
      <c r="A3315" s="1" t="s">
        <v>9777</v>
      </c>
      <c r="B3315" s="1">
        <v>6.0</v>
      </c>
      <c r="C3315" s="1" t="s">
        <v>9778</v>
      </c>
      <c r="D3315" s="1" t="s">
        <v>8</v>
      </c>
      <c r="E3315" s="1" t="s">
        <v>9779</v>
      </c>
      <c r="F3315" s="1" t="str">
        <f>IFERROR(__xludf.DUMMYFUNCTION("GOOGLETRANSLATE(A3315, ""zh-CN"", ""ko"")"),"뇌물")</f>
        <v>뇌물</v>
      </c>
    </row>
    <row r="3316" ht="15.75" customHeight="1">
      <c r="A3316" s="1" t="s">
        <v>9780</v>
      </c>
      <c r="B3316" s="1">
        <v>6.0</v>
      </c>
      <c r="C3316" s="1" t="s">
        <v>9781</v>
      </c>
      <c r="D3316" s="1" t="s">
        <v>8</v>
      </c>
      <c r="E3316" s="1" t="s">
        <v>9782</v>
      </c>
      <c r="F3316" s="1" t="str">
        <f>IFERROR(__xludf.DUMMYFUNCTION("GOOGLETRANSLATE(A3316, ""zh-CN"", ""ko"")"),"회의")</f>
        <v>회의</v>
      </c>
    </row>
    <row r="3317" ht="15.75" customHeight="1">
      <c r="A3317" s="1" t="s">
        <v>9783</v>
      </c>
      <c r="B3317" s="1">
        <v>6.0</v>
      </c>
      <c r="C3317" s="1" t="s">
        <v>9784</v>
      </c>
      <c r="D3317" s="1" t="s">
        <v>52</v>
      </c>
      <c r="E3317" s="1" t="s">
        <v>9785</v>
      </c>
      <c r="F3317" s="1" t="str">
        <f>IFERROR(__xludf.DUMMYFUNCTION("GOOGLETRANSLATE(A3317, ""zh-CN"", ""ko"")"),"고기")</f>
        <v>고기</v>
      </c>
    </row>
    <row r="3318" ht="15.75" customHeight="1">
      <c r="A3318" s="1" t="s">
        <v>9786</v>
      </c>
      <c r="B3318" s="1">
        <v>6.0</v>
      </c>
      <c r="C3318" s="1" t="s">
        <v>9787</v>
      </c>
      <c r="D3318" s="1" t="s">
        <v>8</v>
      </c>
      <c r="E3318" s="1" t="s">
        <v>9788</v>
      </c>
      <c r="F3318" s="1" t="str">
        <f>IFERROR(__xludf.DUMMYFUNCTION("GOOGLETRANSLATE(A3318, ""zh-CN"", ""ko"")"),"혼수")</f>
        <v>혼수</v>
      </c>
    </row>
    <row r="3319" ht="15.75" customHeight="1">
      <c r="A3319" s="1" t="s">
        <v>9789</v>
      </c>
      <c r="B3319" s="1">
        <v>6.0</v>
      </c>
      <c r="C3319" s="1" t="s">
        <v>9790</v>
      </c>
      <c r="D3319" s="1" t="s">
        <v>16</v>
      </c>
      <c r="E3319" s="1" t="s">
        <v>9791</v>
      </c>
      <c r="F3319" s="1" t="str">
        <f>IFERROR(__xludf.DUMMYFUNCTION("GOOGLETRANSLATE(A3319, ""zh-CN"", ""ko"")"),"전신")</f>
        <v>전신</v>
      </c>
    </row>
    <row r="3320" ht="15.75" customHeight="1">
      <c r="A3320" s="1" t="s">
        <v>9792</v>
      </c>
      <c r="B3320" s="1">
        <v>6.0</v>
      </c>
      <c r="C3320" s="1" t="s">
        <v>9793</v>
      </c>
      <c r="D3320" s="1" t="s">
        <v>8</v>
      </c>
      <c r="E3320" s="1" t="s">
        <v>9794</v>
      </c>
      <c r="F3320" s="1" t="str">
        <f>IFERROR(__xludf.DUMMYFUNCTION("GOOGLETRANSLATE(A3320, ""zh-CN"", ""ko"")"),"혼합")</f>
        <v>혼합</v>
      </c>
    </row>
    <row r="3321" ht="15.75" customHeight="1">
      <c r="A3321" s="1" t="s">
        <v>9795</v>
      </c>
      <c r="B3321" s="1">
        <v>6.0</v>
      </c>
      <c r="C3321" s="1" t="s">
        <v>9796</v>
      </c>
      <c r="D3321" s="1" t="s">
        <v>52</v>
      </c>
      <c r="E3321" s="1" t="s">
        <v>9797</v>
      </c>
      <c r="F3321" s="1" t="str">
        <f>IFERROR(__xludf.DUMMYFUNCTION("GOOGLETRANSLATE(A3321, ""zh-CN"", ""ko"")"),"착란")</f>
        <v>착란</v>
      </c>
    </row>
    <row r="3322" ht="15.75" customHeight="1">
      <c r="A3322" s="1" t="s">
        <v>9798</v>
      </c>
      <c r="B3322" s="1">
        <v>6.0</v>
      </c>
      <c r="C3322" s="1" t="s">
        <v>9799</v>
      </c>
      <c r="D3322" s="1" t="s">
        <v>8</v>
      </c>
      <c r="E3322" s="1" t="s">
        <v>9800</v>
      </c>
      <c r="F3322" s="1" t="str">
        <f>IFERROR(__xludf.DUMMYFUNCTION("GOOGLETRANSLATE(A3322, ""zh-CN"", ""ko"")"),"착란")</f>
        <v>착란</v>
      </c>
    </row>
    <row r="3323" ht="15.75" customHeight="1">
      <c r="A3323" s="1" t="s">
        <v>9801</v>
      </c>
      <c r="B3323" s="1">
        <v>6.0</v>
      </c>
      <c r="C3323" s="1" t="s">
        <v>9802</v>
      </c>
      <c r="D3323" s="1" t="s">
        <v>52</v>
      </c>
      <c r="E3323" s="1" t="s">
        <v>9803</v>
      </c>
      <c r="F3323" s="1" t="str">
        <f>IFERROR(__xludf.DUMMYFUNCTION("GOOGLETRANSLATE(A3323, ""zh-CN"", ""ko"")"),"흐린")</f>
        <v>흐린</v>
      </c>
    </row>
    <row r="3324" ht="15.75" customHeight="1">
      <c r="A3324" s="1" t="s">
        <v>9804</v>
      </c>
      <c r="B3324" s="1">
        <v>6.0</v>
      </c>
      <c r="C3324" s="1" t="s">
        <v>9805</v>
      </c>
      <c r="D3324" s="1" t="s">
        <v>8</v>
      </c>
      <c r="E3324" s="1" t="s">
        <v>9806</v>
      </c>
      <c r="F3324" s="1" t="str">
        <f>IFERROR(__xludf.DUMMYFUNCTION("GOOGLETRANSLATE(A3324, ""zh-CN"", ""ko"")"),"자업자득이야")</f>
        <v>자업자득이야</v>
      </c>
    </row>
    <row r="3325" ht="15.75" customHeight="1">
      <c r="A3325" s="1" t="s">
        <v>9807</v>
      </c>
      <c r="B3325" s="1">
        <v>6.0</v>
      </c>
      <c r="C3325" s="1" t="s">
        <v>9808</v>
      </c>
      <c r="D3325" s="1" t="s">
        <v>16</v>
      </c>
      <c r="E3325" s="1" t="s">
        <v>9809</v>
      </c>
      <c r="F3325" s="1" t="str">
        <f>IFERROR(__xludf.DUMMYFUNCTION("GOOGLETRANSLATE(A3325, ""zh-CN"", ""ko"")"),"활력")</f>
        <v>활력</v>
      </c>
    </row>
    <row r="3326" ht="15.75" customHeight="1">
      <c r="A3326" s="1" t="s">
        <v>9810</v>
      </c>
      <c r="B3326" s="1">
        <v>6.0</v>
      </c>
      <c r="C3326" s="1" t="s">
        <v>9811</v>
      </c>
      <c r="D3326" s="1" t="s">
        <v>16</v>
      </c>
      <c r="E3326" s="1" t="s">
        <v>9812</v>
      </c>
      <c r="F3326" s="1" t="str">
        <f>IFERROR(__xludf.DUMMYFUNCTION("GOOGLETRANSLATE(A3326, ""zh-CN"", ""ko"")"),"로켓")</f>
        <v>로켓</v>
      </c>
    </row>
    <row r="3327" ht="15.75" customHeight="1">
      <c r="A3327" s="1" t="s">
        <v>9813</v>
      </c>
      <c r="B3327" s="1">
        <v>6.0</v>
      </c>
      <c r="C3327" s="1" t="s">
        <v>9814</v>
      </c>
      <c r="D3327" s="1" t="s">
        <v>16</v>
      </c>
      <c r="E3327" s="1" t="s">
        <v>9815</v>
      </c>
      <c r="F3327" s="1" t="str">
        <f>IFERROR(__xludf.DUMMYFUNCTION("GOOGLETRANSLATE(A3327, ""zh-CN"", ""ko"")"),"불꽃")</f>
        <v>불꽃</v>
      </c>
    </row>
    <row r="3328" ht="15.75" customHeight="1">
      <c r="A3328" s="1" t="s">
        <v>9816</v>
      </c>
      <c r="B3328" s="1">
        <v>6.0</v>
      </c>
      <c r="C3328" s="1" t="s">
        <v>9817</v>
      </c>
      <c r="D3328" s="1" t="s">
        <v>16</v>
      </c>
      <c r="E3328" s="1" t="s">
        <v>9818</v>
      </c>
      <c r="F3328" s="1" t="str">
        <f>IFERROR(__xludf.DUMMYFUNCTION("GOOGLETRANSLATE(A3328, ""zh-CN"", ""ko"")"),"화약")</f>
        <v>화약</v>
      </c>
    </row>
    <row r="3329" ht="15.75" customHeight="1">
      <c r="A3329" s="1" t="s">
        <v>9819</v>
      </c>
      <c r="B3329" s="1">
        <v>6.0</v>
      </c>
      <c r="C3329" s="1" t="s">
        <v>9820</v>
      </c>
      <c r="D3329" s="1" t="s">
        <v>16</v>
      </c>
      <c r="E3329" s="1" t="s">
        <v>9821</v>
      </c>
      <c r="F3329" s="1" t="str">
        <f>IFERROR(__xludf.DUMMYFUNCTION("GOOGLETRANSLATE(A3329, ""zh-CN"", ""ko"")"),"통화")</f>
        <v>통화</v>
      </c>
    </row>
    <row r="3330" ht="15.75" customHeight="1">
      <c r="A3330" s="1" t="s">
        <v>9822</v>
      </c>
      <c r="B3330" s="1">
        <v>6.0</v>
      </c>
      <c r="C3330" s="1" t="s">
        <v>9823</v>
      </c>
      <c r="D3330" s="1" t="s">
        <v>52</v>
      </c>
      <c r="E3330" s="1" t="s">
        <v>9824</v>
      </c>
      <c r="F3330" s="1" t="str">
        <f>IFERROR(__xludf.DUMMYFUNCTION("GOOGLETRANSLATE(A3330, ""zh-CN"", ""ko"")"),"고집스러운")</f>
        <v>고집스러운</v>
      </c>
    </row>
    <row r="3331" ht="15.75" customHeight="1">
      <c r="A3331" s="1" t="s">
        <v>9825</v>
      </c>
      <c r="B3331" s="1">
        <v>6.0</v>
      </c>
      <c r="C3331" s="1" t="s">
        <v>9826</v>
      </c>
      <c r="D3331" s="1" t="s">
        <v>16</v>
      </c>
      <c r="E3331" s="1" t="s">
        <v>2323</v>
      </c>
      <c r="F3331" s="1" t="str">
        <f>IFERROR(__xludf.DUMMYFUNCTION("GOOGLETRANSLATE(A3331, ""zh-CN"", ""ko"")"),"베이스")</f>
        <v>베이스</v>
      </c>
    </row>
    <row r="3332" ht="15.75" customHeight="1">
      <c r="A3332" s="1" t="s">
        <v>9827</v>
      </c>
      <c r="B3332" s="1">
        <v>6.0</v>
      </c>
      <c r="C3332" s="1" t="s">
        <v>2325</v>
      </c>
      <c r="D3332" s="1" t="s">
        <v>52</v>
      </c>
      <c r="E3332" s="1" t="s">
        <v>9828</v>
      </c>
      <c r="F3332" s="1" t="str">
        <f>IFERROR(__xludf.DUMMYFUNCTION("GOOGLETRANSLATE(A3332, ""zh-CN"", ""ko"")"),"운동")</f>
        <v>운동</v>
      </c>
    </row>
    <row r="3333" ht="15.75" customHeight="1">
      <c r="A3333" s="1" t="s">
        <v>9829</v>
      </c>
      <c r="B3333" s="1">
        <v>6.0</v>
      </c>
      <c r="C3333" s="1" t="s">
        <v>9830</v>
      </c>
      <c r="D3333" s="1" t="s">
        <v>52</v>
      </c>
      <c r="E3333" s="1" t="s">
        <v>9831</v>
      </c>
      <c r="F3333" s="1" t="str">
        <f>IFERROR(__xludf.DUMMYFUNCTION("GOOGLETRANSLATE(A3333, ""zh-CN"", ""ko"")"),"굶주림")</f>
        <v>굶주림</v>
      </c>
    </row>
    <row r="3334" ht="15.75" customHeight="1">
      <c r="A3334" s="1" t="s">
        <v>9832</v>
      </c>
      <c r="B3334" s="1">
        <v>6.0</v>
      </c>
      <c r="C3334" s="1" t="s">
        <v>9833</v>
      </c>
      <c r="D3334" s="1" t="s">
        <v>8</v>
      </c>
      <c r="E3334" s="1" t="s">
        <v>9834</v>
      </c>
      <c r="F3334" s="1" t="str">
        <f>IFERROR(__xludf.DUMMYFUNCTION("GOOGLETRANSLATE(A3334, ""zh-CN"", ""ko"")"),"자극")</f>
        <v>자극</v>
      </c>
    </row>
    <row r="3335" ht="15.75" customHeight="1">
      <c r="A3335" s="1" t="s">
        <v>9835</v>
      </c>
      <c r="B3335" s="1">
        <v>6.0</v>
      </c>
      <c r="C3335" s="1" t="s">
        <v>9836</v>
      </c>
      <c r="D3335" s="1" t="s">
        <v>16</v>
      </c>
      <c r="E3335" s="1" t="s">
        <v>9837</v>
      </c>
      <c r="F3335" s="1" t="str">
        <f>IFERROR(__xludf.DUMMYFUNCTION("GOOGLETRANSLATE(A3335, ""zh-CN"", ""ko"")"),"기구")</f>
        <v>기구</v>
      </c>
    </row>
    <row r="3336" ht="15.75" customHeight="1">
      <c r="A3336" s="1" t="s">
        <v>9838</v>
      </c>
      <c r="B3336" s="1">
        <v>6.0</v>
      </c>
      <c r="C3336" s="1" t="s">
        <v>9839</v>
      </c>
      <c r="D3336" s="1" t="s">
        <v>16</v>
      </c>
      <c r="E3336" s="1" t="s">
        <v>9840</v>
      </c>
      <c r="F3336" s="1" t="str">
        <f>IFERROR(__xludf.DUMMYFUNCTION("GOOGLETRANSLATE(A3336, ""zh-CN"", ""ko"")"),"축적")</f>
        <v>축적</v>
      </c>
    </row>
    <row r="3337" ht="15.75" customHeight="1">
      <c r="A3337" s="1" t="s">
        <v>9841</v>
      </c>
      <c r="B3337" s="1">
        <v>6.0</v>
      </c>
      <c r="C3337" s="1" t="s">
        <v>9842</v>
      </c>
      <c r="D3337" s="1" t="s">
        <v>8</v>
      </c>
      <c r="E3337" s="1" t="s">
        <v>9843</v>
      </c>
      <c r="F3337" s="1" t="str">
        <f>IFERROR(__xludf.DUMMYFUNCTION("GOOGLETRANSLATE(A3337, ""zh-CN"", ""ko"")"),"자극")</f>
        <v>자극</v>
      </c>
    </row>
    <row r="3338" ht="15.75" customHeight="1">
      <c r="A3338" s="1" t="s">
        <v>9844</v>
      </c>
      <c r="B3338" s="1">
        <v>6.0</v>
      </c>
      <c r="C3338" s="1" t="s">
        <v>9845</v>
      </c>
      <c r="D3338" s="1" t="s">
        <v>52</v>
      </c>
      <c r="E3338" s="1" t="s">
        <v>9846</v>
      </c>
      <c r="F3338" s="1" t="str">
        <f>IFERROR(__xludf.DUMMYFUNCTION("GOOGLETRANSLATE(A3338, ""zh-CN"", ""ko"")"),"영리한")</f>
        <v>영리한</v>
      </c>
    </row>
    <row r="3339" ht="15.75" customHeight="1">
      <c r="A3339" s="1" t="s">
        <v>9847</v>
      </c>
      <c r="B3339" s="1">
        <v>6.0</v>
      </c>
      <c r="C3339" s="1" t="s">
        <v>9848</v>
      </c>
      <c r="D3339" s="1" t="s">
        <v>52</v>
      </c>
      <c r="E3339" s="1" t="s">
        <v>9849</v>
      </c>
      <c r="F3339" s="1" t="str">
        <f>IFERROR(__xludf.DUMMYFUNCTION("GOOGLETRANSLATE(A3339, ""zh-CN"", ""ko"")"),"비밀의")</f>
        <v>비밀의</v>
      </c>
    </row>
    <row r="3340" ht="15.75" customHeight="1">
      <c r="A3340" s="1" t="s">
        <v>9850</v>
      </c>
      <c r="B3340" s="1">
        <v>6.0</v>
      </c>
      <c r="C3340" s="1" t="s">
        <v>9851</v>
      </c>
      <c r="D3340" s="1" t="s">
        <v>16</v>
      </c>
      <c r="E3340" s="1" t="s">
        <v>9852</v>
      </c>
      <c r="F3340" s="1" t="str">
        <f>IFERROR(__xludf.DUMMYFUNCTION("GOOGLETRANSLATE(A3340, ""zh-CN"", ""ko"")"),"열정")</f>
        <v>열정</v>
      </c>
    </row>
    <row r="3341" ht="15.75" customHeight="1">
      <c r="A3341" s="1" t="s">
        <v>9853</v>
      </c>
      <c r="B3341" s="1">
        <v>6.0</v>
      </c>
      <c r="C3341" s="1" t="s">
        <v>9854</v>
      </c>
      <c r="D3341" s="1" t="s">
        <v>8</v>
      </c>
      <c r="E3341" s="1" t="s">
        <v>9855</v>
      </c>
      <c r="F3341" s="1" t="str">
        <f>IFERROR(__xludf.DUMMYFUNCTION("GOOGLETRANSLATE(A3341, ""zh-CN"", ""ko"")"),"조소")</f>
        <v>조소</v>
      </c>
    </row>
    <row r="3342" ht="15.75" customHeight="1">
      <c r="A3342" s="1" t="s">
        <v>9856</v>
      </c>
      <c r="B3342" s="1">
        <v>6.0</v>
      </c>
      <c r="C3342" s="1" t="s">
        <v>9857</v>
      </c>
      <c r="D3342" s="1" t="s">
        <v>16</v>
      </c>
      <c r="E3342" s="1" t="s">
        <v>9858</v>
      </c>
      <c r="F3342" s="1" t="str">
        <f>IFERROR(__xludf.DUMMYFUNCTION("GOOGLETRANSLATE(A3342, ""zh-CN"", ""ko"")"),"기계적인")</f>
        <v>기계적인</v>
      </c>
    </row>
    <row r="3343" ht="15.75" customHeight="1">
      <c r="A3343" s="1" t="s">
        <v>9859</v>
      </c>
      <c r="B3343" s="1">
        <v>6.0</v>
      </c>
      <c r="C3343" s="1" t="s">
        <v>9860</v>
      </c>
      <c r="D3343" s="1" t="s">
        <v>16</v>
      </c>
      <c r="E3343" s="1" t="s">
        <v>9861</v>
      </c>
      <c r="F3343" s="1" t="str">
        <f>IFERROR(__xludf.DUMMYFUNCTION("GOOGLETRANSLATE(A3343, ""zh-CN"", ""ko"")"),"유전자")</f>
        <v>유전자</v>
      </c>
    </row>
    <row r="3344" ht="15.75" customHeight="1">
      <c r="A3344" s="1" t="s">
        <v>9862</v>
      </c>
      <c r="B3344" s="1">
        <v>6.0</v>
      </c>
      <c r="C3344" s="1" t="s">
        <v>9863</v>
      </c>
      <c r="D3344" s="1" t="s">
        <v>16</v>
      </c>
      <c r="E3344" s="1" t="s">
        <v>9864</v>
      </c>
      <c r="F3344" s="1" t="str">
        <f>IFERROR(__xludf.DUMMYFUNCTION("GOOGLETRANSLATE(A3344, ""zh-CN"", ""ko"")"),"기회")</f>
        <v>기회</v>
      </c>
    </row>
    <row r="3345" ht="15.75" customHeight="1">
      <c r="A3345" s="1" t="s">
        <v>9865</v>
      </c>
      <c r="B3345" s="1">
        <v>6.0</v>
      </c>
      <c r="C3345" s="1" t="s">
        <v>9866</v>
      </c>
      <c r="D3345" s="1" t="s">
        <v>52</v>
      </c>
      <c r="E3345" s="1" t="s">
        <v>9867</v>
      </c>
      <c r="F3345" s="1" t="str">
        <f>IFERROR(__xludf.DUMMYFUNCTION("GOOGLETRANSLATE(A3345, ""zh-CN"", ""ko"")"),"재치 있는")</f>
        <v>재치 있는</v>
      </c>
    </row>
    <row r="3346" ht="15.75" customHeight="1">
      <c r="A3346" s="1" t="s">
        <v>9868</v>
      </c>
      <c r="B3346" s="1">
        <v>6.0</v>
      </c>
      <c r="C3346" s="1" t="s">
        <v>9869</v>
      </c>
      <c r="D3346" s="1" t="s">
        <v>1473</v>
      </c>
      <c r="E3346" s="1" t="s">
        <v>5508</v>
      </c>
      <c r="F3346" s="1" t="str">
        <f>IFERROR(__xludf.DUMMYFUNCTION("GOOGLETRANSLATE(A3346, ""zh-CN"", ""ko"")"),"설사")</f>
        <v>설사</v>
      </c>
    </row>
    <row r="3347" ht="15.75" customHeight="1">
      <c r="A3347" s="1" t="s">
        <v>9870</v>
      </c>
      <c r="B3347" s="1">
        <v>6.0</v>
      </c>
      <c r="C3347" s="1" t="s">
        <v>9871</v>
      </c>
      <c r="D3347" s="1" t="s">
        <v>16</v>
      </c>
      <c r="E3347" s="1" t="s">
        <v>9872</v>
      </c>
      <c r="F3347" s="1" t="str">
        <f>IFERROR(__xludf.DUMMYFUNCTION("GOOGLETRANSLATE(A3347, ""zh-CN"", ""ko"")"),"수준")</f>
        <v>수준</v>
      </c>
    </row>
    <row r="3348" ht="15.75" customHeight="1">
      <c r="A3348" s="1" t="s">
        <v>9873</v>
      </c>
      <c r="B3348" s="1">
        <v>6.0</v>
      </c>
      <c r="C3348" s="1" t="s">
        <v>9874</v>
      </c>
      <c r="D3348" s="1" t="s">
        <v>16</v>
      </c>
      <c r="E3348" s="1" t="s">
        <v>9875</v>
      </c>
      <c r="F3348" s="1" t="str">
        <f>IFERROR(__xludf.DUMMYFUNCTION("GOOGLETRANSLATE(A3348, ""zh-CN"", ""ko"")"),"질병")</f>
        <v>질병</v>
      </c>
    </row>
    <row r="3349" ht="15.75" customHeight="1">
      <c r="A3349" s="1" t="s">
        <v>9876</v>
      </c>
      <c r="B3349" s="1">
        <v>6.0</v>
      </c>
      <c r="C3349" s="1" t="s">
        <v>9877</v>
      </c>
      <c r="D3349" s="1" t="s">
        <v>8</v>
      </c>
      <c r="E3349" s="1" t="s">
        <v>9878</v>
      </c>
      <c r="F3349" s="1" t="str">
        <f>IFERROR(__xludf.DUMMYFUNCTION("GOOGLETRANSLATE(A3349, ""zh-CN"", ""ko"")"),"부러움")</f>
        <v>부러움</v>
      </c>
    </row>
    <row r="3350" ht="15.75" customHeight="1">
      <c r="A3350" s="1" t="s">
        <v>9879</v>
      </c>
      <c r="B3350" s="1">
        <v>6.0</v>
      </c>
      <c r="C3350" s="1" t="s">
        <v>9880</v>
      </c>
      <c r="D3350" s="1" t="s">
        <v>1842</v>
      </c>
      <c r="E3350" s="1" t="s">
        <v>9881</v>
      </c>
      <c r="F3350" s="1" t="str">
        <f>IFERROR(__xludf.DUMMYFUNCTION("GOOGLETRANSLATE(A3350, ""zh-CN"", ""ko"")"),"극심한")</f>
        <v>극심한</v>
      </c>
    </row>
    <row r="3351" ht="15.75" customHeight="1">
      <c r="A3351" s="1" t="s">
        <v>9882</v>
      </c>
      <c r="B3351" s="1">
        <v>6.0</v>
      </c>
      <c r="C3351" s="1" t="s">
        <v>9883</v>
      </c>
      <c r="E3351" s="1" t="s">
        <v>9884</v>
      </c>
      <c r="F3351" s="1" t="str">
        <f>IFERROR(__xludf.DUMMYFUNCTION("GOOGLETRANSLATE(A3351, ""zh-CN"", ""ko"")"),"빠른 성공을 갈망하는")</f>
        <v>빠른 성공을 갈망하는</v>
      </c>
    </row>
    <row r="3352" ht="15.75" customHeight="1">
      <c r="A3352" s="1" t="s">
        <v>9885</v>
      </c>
      <c r="B3352" s="1">
        <v>6.0</v>
      </c>
      <c r="C3352" s="1" t="s">
        <v>9886</v>
      </c>
      <c r="D3352" s="1" t="s">
        <v>16</v>
      </c>
      <c r="E3352" s="1" t="s">
        <v>9887</v>
      </c>
      <c r="F3352" s="1" t="str">
        <f>IFERROR(__xludf.DUMMYFUNCTION("GOOGLETRANSLATE(A3352, ""zh-CN"", ""ko"")"),"원산지")</f>
        <v>원산지</v>
      </c>
    </row>
    <row r="3353" ht="15.75" customHeight="1">
      <c r="A3353" s="1" t="s">
        <v>9888</v>
      </c>
      <c r="B3353" s="1">
        <v>6.0</v>
      </c>
      <c r="C3353" s="1" t="s">
        <v>9889</v>
      </c>
      <c r="D3353" s="1" t="s">
        <v>33</v>
      </c>
      <c r="E3353" s="1" t="s">
        <v>9890</v>
      </c>
      <c r="F3353" s="1" t="str">
        <f>IFERROR(__xludf.DUMMYFUNCTION("GOOGLETRANSLATE(A3353, ""zh-CN"", ""ko"")"),"곧")</f>
        <v>곧</v>
      </c>
    </row>
    <row r="3354" ht="15.75" customHeight="1">
      <c r="A3354" s="1" t="s">
        <v>9891</v>
      </c>
      <c r="B3354" s="1">
        <v>6.0</v>
      </c>
      <c r="C3354" s="1" t="s">
        <v>9892</v>
      </c>
      <c r="D3354" s="1" t="s">
        <v>33</v>
      </c>
      <c r="E3354" s="1" t="s">
        <v>9893</v>
      </c>
      <c r="F3354" s="1" t="str">
        <f>IFERROR(__xludf.DUMMYFUNCTION("GOOGLETRANSLATE(A3354, ""zh-CN"", ""ko"")"),"날카로운")</f>
        <v>날카로운</v>
      </c>
    </row>
    <row r="3355" ht="15.75" customHeight="1">
      <c r="A3355" s="1" t="s">
        <v>9894</v>
      </c>
      <c r="B3355" s="1">
        <v>6.0</v>
      </c>
      <c r="C3355" s="1" t="s">
        <v>9895</v>
      </c>
      <c r="D3355" s="1" t="s">
        <v>52</v>
      </c>
      <c r="E3355" s="1" t="s">
        <v>9896</v>
      </c>
      <c r="F3355" s="1" t="str">
        <f>IFERROR(__xludf.DUMMYFUNCTION("GOOGLETRANSLATE(A3355, ""zh-CN"", ""ko"")"),"열렬한")</f>
        <v>열렬한</v>
      </c>
    </row>
    <row r="3356" ht="15.75" customHeight="1">
      <c r="A3356" s="1" t="s">
        <v>9897</v>
      </c>
      <c r="B3356" s="1">
        <v>6.0</v>
      </c>
      <c r="C3356" s="1" t="s">
        <v>9898</v>
      </c>
      <c r="D3356" s="1" t="s">
        <v>16</v>
      </c>
      <c r="E3356" s="1" t="s">
        <v>9899</v>
      </c>
      <c r="F3356" s="1" t="str">
        <f>IFERROR(__xludf.DUMMYFUNCTION("GOOGLETRANSLATE(A3356, ""zh-CN"", ""ko"")"),"그룹")</f>
        <v>그룹</v>
      </c>
    </row>
    <row r="3357" ht="15.75" customHeight="1">
      <c r="A3357" s="1" t="s">
        <v>9900</v>
      </c>
      <c r="B3357" s="1">
        <v>6.0</v>
      </c>
      <c r="C3357" s="1" t="s">
        <v>9901</v>
      </c>
      <c r="D3357" s="1" t="s">
        <v>1842</v>
      </c>
      <c r="E3357" s="1" t="s">
        <v>9902</v>
      </c>
      <c r="F3357" s="1" t="str">
        <f>IFERROR(__xludf.DUMMYFUNCTION("GOOGLETRANSLATE(A3357, ""zh-CN"", ""ko"")"),"한계")</f>
        <v>한계</v>
      </c>
    </row>
    <row r="3358" ht="15.75" customHeight="1">
      <c r="A3358" s="1" t="s">
        <v>9903</v>
      </c>
      <c r="B3358" s="1">
        <v>6.0</v>
      </c>
      <c r="C3358" s="1" t="s">
        <v>9904</v>
      </c>
      <c r="D3358" s="1" t="s">
        <v>52</v>
      </c>
      <c r="E3358" s="1" t="s">
        <v>9905</v>
      </c>
      <c r="F3358" s="1" t="str">
        <f>IFERROR(__xludf.DUMMYFUNCTION("GOOGLETRANSLATE(A3358, ""zh-CN"", ""ko"")"),"길조")</f>
        <v>길조</v>
      </c>
    </row>
    <row r="3359" ht="15.75" customHeight="1">
      <c r="A3359" s="1" t="s">
        <v>9906</v>
      </c>
      <c r="B3359" s="1">
        <v>6.0</v>
      </c>
      <c r="C3359" s="1" t="s">
        <v>9907</v>
      </c>
      <c r="E3359" s="1" t="s">
        <v>9908</v>
      </c>
      <c r="F3359" s="1" t="str">
        <f>IFERROR(__xludf.DUMMYFUNCTION("GOOGLETRANSLATE(A3359, ""zh-CN"", ""ko"")"),"빠른 성공을 갈망하는")</f>
        <v>빠른 성공을 갈망하는</v>
      </c>
    </row>
    <row r="3360" ht="15.75" customHeight="1">
      <c r="A3360" s="1" t="s">
        <v>9909</v>
      </c>
      <c r="B3360" s="1">
        <v>6.0</v>
      </c>
      <c r="C3360" s="1" t="s">
        <v>9910</v>
      </c>
      <c r="D3360" s="1" t="s">
        <v>33</v>
      </c>
      <c r="E3360" s="1" t="s">
        <v>9911</v>
      </c>
      <c r="F3360" s="1" t="str">
        <f>IFERROR(__xludf.DUMMYFUNCTION("GOOGLETRANSLATE(A3360, ""zh-CN"", ""ko"")"),"가능한 한 빨리")</f>
        <v>가능한 한 빨리</v>
      </c>
    </row>
    <row r="3361" ht="15.75" customHeight="1">
      <c r="A3361" s="1" t="s">
        <v>9912</v>
      </c>
      <c r="B3361" s="1">
        <v>6.0</v>
      </c>
      <c r="C3361" s="1" t="s">
        <v>9913</v>
      </c>
      <c r="D3361" s="1" t="s">
        <v>52</v>
      </c>
      <c r="E3361" s="1" t="s">
        <v>9914</v>
      </c>
      <c r="F3361" s="1" t="str">
        <f>IFERROR(__xludf.DUMMYFUNCTION("GOOGLETRANSLATE(A3361, ""zh-CN"", ""ko"")"),"짜증난")</f>
        <v>짜증난</v>
      </c>
    </row>
    <row r="3362" ht="15.75" customHeight="1">
      <c r="A3362" s="1" t="s">
        <v>9915</v>
      </c>
      <c r="B3362" s="1">
        <v>6.0</v>
      </c>
      <c r="C3362" s="1" t="s">
        <v>9916</v>
      </c>
      <c r="D3362" s="1" t="s">
        <v>8</v>
      </c>
      <c r="E3362" s="1" t="s">
        <v>9917</v>
      </c>
      <c r="F3362" s="1" t="str">
        <f>IFERROR(__xludf.DUMMYFUNCTION("GOOGLETRANSLATE(A3362, ""zh-CN"", ""ko"")"),"주다")</f>
        <v>주다</v>
      </c>
    </row>
    <row r="3363" ht="15.75" customHeight="1">
      <c r="A3363" s="1" t="s">
        <v>9918</v>
      </c>
      <c r="B3363" s="1">
        <v>6.0</v>
      </c>
      <c r="C3363" s="1" t="s">
        <v>9919</v>
      </c>
      <c r="D3363" s="1" t="s">
        <v>8</v>
      </c>
      <c r="E3363" s="1" t="s">
        <v>9920</v>
      </c>
      <c r="F3363" s="1" t="str">
        <f>IFERROR(__xludf.DUMMYFUNCTION("GOOGLETRANSLATE(A3363, ""zh-CN"", ""ko"")"),"상속받다")</f>
        <v>상속받다</v>
      </c>
    </row>
    <row r="3364" ht="15.75" customHeight="1">
      <c r="A3364" s="1" t="s">
        <v>9921</v>
      </c>
      <c r="B3364" s="1">
        <v>6.0</v>
      </c>
      <c r="C3364" s="1" t="s">
        <v>9922</v>
      </c>
      <c r="D3364" s="1" t="s">
        <v>16</v>
      </c>
      <c r="E3364" s="1" t="s">
        <v>9923</v>
      </c>
      <c r="F3364" s="1" t="str">
        <f>IFERROR(__xludf.DUMMYFUNCTION("GOOGLETRANSLATE(A3364, ""zh-CN"", ""ko"")"),"4분의 1")</f>
        <v>4분의 1</v>
      </c>
    </row>
    <row r="3365" ht="15.75" customHeight="1">
      <c r="A3365" s="1" t="s">
        <v>9924</v>
      </c>
      <c r="B3365" s="1">
        <v>6.0</v>
      </c>
      <c r="C3365" s="1" t="s">
        <v>9925</v>
      </c>
      <c r="D3365" s="1" t="s">
        <v>8</v>
      </c>
      <c r="E3365" s="1" t="s">
        <v>9926</v>
      </c>
      <c r="F3365" s="1" t="str">
        <f>IFERROR(__xludf.DUMMYFUNCTION("GOOGLETRANSLATE(A3365, ""zh-CN"", ""ko"")"),"금기")</f>
        <v>금기</v>
      </c>
    </row>
    <row r="3366" ht="15.75" customHeight="1">
      <c r="A3366" s="1" t="s">
        <v>9927</v>
      </c>
      <c r="B3366" s="1">
        <v>6.0</v>
      </c>
      <c r="C3366" s="1" t="s">
        <v>9928</v>
      </c>
      <c r="D3366" s="1" t="s">
        <v>8</v>
      </c>
      <c r="E3366" s="1" t="s">
        <v>9929</v>
      </c>
      <c r="F3366" s="1" t="str">
        <f>IFERROR(__xludf.DUMMYFUNCTION("GOOGLETRANSLATE(A3366, ""zh-CN"", ""ko"")"),"비교하다")</f>
        <v>비교하다</v>
      </c>
    </row>
    <row r="3367" ht="15.75" customHeight="1">
      <c r="A3367" s="1" t="s">
        <v>9930</v>
      </c>
      <c r="B3367" s="1">
        <v>6.0</v>
      </c>
      <c r="C3367" s="1" t="s">
        <v>9931</v>
      </c>
      <c r="D3367" s="1" t="s">
        <v>52</v>
      </c>
      <c r="E3367" s="1" t="s">
        <v>9932</v>
      </c>
      <c r="F3367" s="1" t="str">
        <f>IFERROR(__xludf.DUMMYFUNCTION("GOOGLETRANSLATE(A3367, ""zh-CN"", ""ko"")"),"고요")</f>
        <v>고요</v>
      </c>
    </row>
    <row r="3368" ht="15.75" customHeight="1">
      <c r="A3368" s="1" t="s">
        <v>9933</v>
      </c>
      <c r="B3368" s="1">
        <v>6.0</v>
      </c>
      <c r="C3368" s="1" t="s">
        <v>9934</v>
      </c>
      <c r="D3368" s="1" t="s">
        <v>16</v>
      </c>
      <c r="E3368" s="1" t="s">
        <v>9935</v>
      </c>
      <c r="F3368" s="1" t="str">
        <f>IFERROR(__xludf.DUMMYFUNCTION("GOOGLETRANSLATE(A3368, ""zh-CN"", ""ko"")"),"3위")</f>
        <v>3위</v>
      </c>
    </row>
    <row r="3369" ht="15.75" customHeight="1">
      <c r="A3369" s="1" t="s">
        <v>9936</v>
      </c>
      <c r="B3369" s="1">
        <v>6.0</v>
      </c>
      <c r="C3369" s="1" t="s">
        <v>9937</v>
      </c>
      <c r="D3369" s="1" t="s">
        <v>16</v>
      </c>
      <c r="E3369" s="1" t="s">
        <v>9938</v>
      </c>
      <c r="F3369" s="1" t="str">
        <f>IFERROR(__xludf.DUMMYFUNCTION("GOOGLETRANSLATE(A3369, ""zh-CN"", ""ko"")"),"기능")</f>
        <v>기능</v>
      </c>
    </row>
    <row r="3370" ht="15.75" customHeight="1">
      <c r="A3370" s="1" t="s">
        <v>9939</v>
      </c>
      <c r="B3370" s="1">
        <v>6.0</v>
      </c>
      <c r="C3370" s="1" t="s">
        <v>9940</v>
      </c>
      <c r="D3370" s="1" t="s">
        <v>8</v>
      </c>
      <c r="E3370" s="1" t="s">
        <v>9941</v>
      </c>
      <c r="F3370" s="1" t="str">
        <f>IFERROR(__xludf.DUMMYFUNCTION("GOOGLETRANSLATE(A3370, ""zh-CN"", ""ko"")"),"희망")</f>
        <v>희망</v>
      </c>
    </row>
    <row r="3371" ht="15.75" customHeight="1">
      <c r="A3371" s="1" t="s">
        <v>9942</v>
      </c>
      <c r="B3371" s="1">
        <v>6.0</v>
      </c>
      <c r="C3371" s="1" t="s">
        <v>9943</v>
      </c>
      <c r="D3371" s="1" t="s">
        <v>16</v>
      </c>
      <c r="E3371" s="1" t="s">
        <v>9944</v>
      </c>
      <c r="F3371" s="1" t="str">
        <f>IFERROR(__xludf.DUMMYFUNCTION("GOOGLETRANSLATE(A3371, ""zh-CN"", ""ko"")"),"징후")</f>
        <v>징후</v>
      </c>
    </row>
    <row r="3372" ht="15.75" customHeight="1">
      <c r="A3372" s="1" t="s">
        <v>9945</v>
      </c>
      <c r="B3372" s="1">
        <v>6.0</v>
      </c>
      <c r="C3372" s="1" t="s">
        <v>9946</v>
      </c>
      <c r="D3372" s="1" t="s">
        <v>16</v>
      </c>
      <c r="E3372" s="1" t="s">
        <v>9947</v>
      </c>
      <c r="F3372" s="1" t="str">
        <f>IFERROR(__xludf.DUMMYFUNCTION("GOOGLETRANSLATE(A3372, ""zh-CN"", ""ko"")"),"메모리")</f>
        <v>메모리</v>
      </c>
    </row>
    <row r="3373" ht="15.75" customHeight="1">
      <c r="A3373" s="1" t="s">
        <v>9948</v>
      </c>
      <c r="B3373" s="1">
        <v>6.0</v>
      </c>
      <c r="C3373" s="1" t="s">
        <v>9949</v>
      </c>
      <c r="D3373" s="1" t="s">
        <v>16</v>
      </c>
      <c r="E3373" s="1" t="s">
        <v>9950</v>
      </c>
      <c r="F3373" s="1" t="str">
        <f>IFERROR(__xludf.DUMMYFUNCTION("GOOGLETRANSLATE(A3373, ""zh-CN"", ""ko"")"),"요약")</f>
        <v>요약</v>
      </c>
    </row>
    <row r="3374" ht="15.75" customHeight="1">
      <c r="A3374" s="1" t="s">
        <v>9951</v>
      </c>
      <c r="B3374" s="1">
        <v>6.0</v>
      </c>
      <c r="C3374" s="1" t="s">
        <v>9952</v>
      </c>
      <c r="D3374" s="1" t="s">
        <v>8</v>
      </c>
      <c r="E3374" s="1" t="s">
        <v>9953</v>
      </c>
      <c r="F3374" s="1" t="str">
        <f>IFERROR(__xludf.DUMMYFUNCTION("GOOGLETRANSLATE(A3374, ""zh-CN"", ""ko"")"),"기록")</f>
        <v>기록</v>
      </c>
    </row>
    <row r="3375" ht="15.75" customHeight="1">
      <c r="A3375" s="1" t="s">
        <v>9954</v>
      </c>
      <c r="B3375" s="1">
        <v>6.0</v>
      </c>
      <c r="C3375" s="1" t="s">
        <v>9955</v>
      </c>
      <c r="D3375" s="1" t="s">
        <v>16</v>
      </c>
      <c r="E3375" s="1" t="s">
        <v>9956</v>
      </c>
      <c r="F3375" s="1" t="str">
        <f>IFERROR(__xludf.DUMMYFUNCTION("GOOGLETRANSLATE(A3375, ""zh-CN"", ""ko"")"),"가정식")</f>
        <v>가정식</v>
      </c>
    </row>
    <row r="3376" ht="15.75" customHeight="1">
      <c r="A3376" s="1" t="s">
        <v>9957</v>
      </c>
      <c r="B3376" s="1">
        <v>6.0</v>
      </c>
      <c r="C3376" s="1" t="s">
        <v>9958</v>
      </c>
      <c r="D3376" s="1" t="s">
        <v>8</v>
      </c>
      <c r="E3376" s="1" t="s">
        <v>9959</v>
      </c>
      <c r="F3376" s="1" t="str">
        <f>IFERROR(__xludf.DUMMYFUNCTION("GOOGLETRANSLATE(A3376, ""zh-CN"", ""ko"")"),"처리 중")</f>
        <v>처리 중</v>
      </c>
    </row>
    <row r="3377" ht="15.75" customHeight="1">
      <c r="A3377" s="1" t="s">
        <v>9960</v>
      </c>
      <c r="B3377" s="1">
        <v>6.0</v>
      </c>
      <c r="C3377" s="1" t="s">
        <v>9961</v>
      </c>
      <c r="D3377" s="1" t="s">
        <v>16</v>
      </c>
      <c r="E3377" s="1" t="s">
        <v>9962</v>
      </c>
      <c r="F3377" s="1" t="str">
        <f>IFERROR(__xludf.DUMMYFUNCTION("GOOGLETRANSLATE(A3377, ""zh-CN"", ""ko"")"),"남자")</f>
        <v>남자</v>
      </c>
    </row>
    <row r="3378" ht="15.75" customHeight="1">
      <c r="A3378" s="1" t="s">
        <v>9963</v>
      </c>
      <c r="B3378" s="1">
        <v>6.0</v>
      </c>
      <c r="C3378" s="1" t="s">
        <v>2361</v>
      </c>
      <c r="D3378" s="1" t="s">
        <v>8</v>
      </c>
      <c r="E3378" s="1" t="s">
        <v>9964</v>
      </c>
      <c r="F3378" s="1" t="str">
        <f>IFERROR(__xludf.DUMMYFUNCTION("GOOGLETRANSLATE(A3378, ""zh-CN"", ""ko"")"),"더욱 심하게 하다")</f>
        <v>더욱 심하게 하다</v>
      </c>
    </row>
    <row r="3379" ht="15.75" customHeight="1">
      <c r="A3379" s="1" t="s">
        <v>9965</v>
      </c>
      <c r="B3379" s="1">
        <v>6.0</v>
      </c>
      <c r="C3379" s="1" t="s">
        <v>9966</v>
      </c>
      <c r="D3379" s="1" t="s">
        <v>16</v>
      </c>
      <c r="E3379" s="1" t="s">
        <v>9967</v>
      </c>
      <c r="F3379" s="1" t="str">
        <f>IFERROR(__xludf.DUMMYFUNCTION("GOOGLETRANSLATE(A3379, ""zh-CN"", ""ko"")"),"가족 구성원")</f>
        <v>가족 구성원</v>
      </c>
    </row>
    <row r="3380" ht="15.75" customHeight="1">
      <c r="A3380" s="1" t="s">
        <v>9968</v>
      </c>
      <c r="B3380" s="1">
        <v>6.0</v>
      </c>
      <c r="C3380" s="1" t="s">
        <v>9969</v>
      </c>
      <c r="D3380" s="1" t="s">
        <v>16</v>
      </c>
      <c r="E3380" s="1" t="s">
        <v>9970</v>
      </c>
      <c r="F3380" s="1" t="str">
        <f>IFERROR(__xludf.DUMMYFUNCTION("GOOGLETRANSLATE(A3380, ""zh-CN"", ""ko"")"),"맛있는 음식")</f>
        <v>맛있는 음식</v>
      </c>
    </row>
    <row r="3381" ht="15.75" customHeight="1">
      <c r="A3381" s="1" t="s">
        <v>9971</v>
      </c>
      <c r="B3381" s="1">
        <v>6.0</v>
      </c>
      <c r="C3381" s="1" t="s">
        <v>9972</v>
      </c>
      <c r="E3381" s="1" t="s">
        <v>9973</v>
      </c>
      <c r="F3381" s="1" t="str">
        <f>IFERROR(__xludf.DUMMYFUNCTION("GOOGLETRANSLATE(A3381, ""zh-CN"", ""ko"")"),"가족 이름")</f>
        <v>가족 이름</v>
      </c>
    </row>
    <row r="3382" ht="15.75" customHeight="1">
      <c r="A3382" s="1" t="s">
        <v>9974</v>
      </c>
      <c r="B3382" s="1">
        <v>6.0</v>
      </c>
      <c r="C3382" s="1" t="s">
        <v>9975</v>
      </c>
      <c r="D3382" s="1" t="s">
        <v>8</v>
      </c>
      <c r="E3382" s="1" t="s">
        <v>9976</v>
      </c>
      <c r="F3382" s="1" t="str">
        <f>IFERROR(__xludf.DUMMYFUNCTION("GOOGLETRANSLATE(A3382, ""zh-CN"", ""ko"")"),"혼합")</f>
        <v>혼합</v>
      </c>
    </row>
    <row r="3383" ht="15.75" customHeight="1">
      <c r="A3383" s="1" t="s">
        <v>9977</v>
      </c>
      <c r="B3383" s="1">
        <v>6.0</v>
      </c>
      <c r="C3383" s="1" t="s">
        <v>9978</v>
      </c>
      <c r="D3383" s="1" t="s">
        <v>8</v>
      </c>
      <c r="E3383" s="1" t="s">
        <v>9979</v>
      </c>
      <c r="F3383" s="1" t="str">
        <f>IFERROR(__xludf.DUMMYFUNCTION("GOOGLETRANSLATE(A3383, ""zh-CN"", ""ko"")"),"튀김")</f>
        <v>튀김</v>
      </c>
    </row>
    <row r="3384" ht="15.75" customHeight="1">
      <c r="A3384" s="1" t="s">
        <v>9980</v>
      </c>
      <c r="B3384" s="1">
        <v>6.0</v>
      </c>
      <c r="C3384" s="1" t="s">
        <v>9981</v>
      </c>
      <c r="D3384" s="1" t="s">
        <v>52</v>
      </c>
      <c r="E3384" s="1" t="s">
        <v>9982</v>
      </c>
      <c r="F3384" s="1" t="str">
        <f>IFERROR(__xludf.DUMMYFUNCTION("GOOGLETRANSLATE(A3384, ""zh-CN"", ""ko"")"),"단단한")</f>
        <v>단단한</v>
      </c>
    </row>
    <row r="3385" ht="15.75" customHeight="1">
      <c r="A3385" s="1" t="s">
        <v>9983</v>
      </c>
      <c r="B3385" s="1">
        <v>6.0</v>
      </c>
      <c r="C3385" s="1" t="s">
        <v>9984</v>
      </c>
      <c r="D3385" s="1" t="s">
        <v>8</v>
      </c>
      <c r="E3385" s="1" t="s">
        <v>9985</v>
      </c>
      <c r="F3385" s="1" t="str">
        <f>IFERROR(__xludf.DUMMYFUNCTION("GOOGLETRANSLATE(A3385, ""zh-CN"", ""ko"")"),"감독")</f>
        <v>감독</v>
      </c>
    </row>
    <row r="3386" ht="15.75" customHeight="1">
      <c r="A3386" s="1" t="s">
        <v>9986</v>
      </c>
      <c r="B3386" s="1">
        <v>6.0</v>
      </c>
      <c r="C3386" s="1" t="s">
        <v>9987</v>
      </c>
      <c r="D3386" s="1" t="s">
        <v>52</v>
      </c>
      <c r="E3386" s="1" t="s">
        <v>9988</v>
      </c>
      <c r="F3386" s="1" t="str">
        <f>IFERROR(__xludf.DUMMYFUNCTION("GOOGLETRANSLATE(A3386, ""zh-CN"", ""ko"")"),"팁")</f>
        <v>팁</v>
      </c>
    </row>
    <row r="3387" ht="15.75" customHeight="1">
      <c r="A3387" s="1" t="s">
        <v>9989</v>
      </c>
      <c r="B3387" s="1">
        <v>6.0</v>
      </c>
      <c r="C3387" s="1" t="s">
        <v>9990</v>
      </c>
      <c r="D3387" s="1" t="s">
        <v>52</v>
      </c>
      <c r="E3387" s="1" t="s">
        <v>9991</v>
      </c>
      <c r="F3387" s="1" t="str">
        <f>IFERROR(__xludf.DUMMYFUNCTION("GOOGLETRANSLATE(A3387, ""zh-CN"", ""ko"")"),"튼튼한")</f>
        <v>튼튼한</v>
      </c>
    </row>
    <row r="3388" ht="15.75" customHeight="1">
      <c r="A3388" s="1" t="s">
        <v>9992</v>
      </c>
      <c r="B3388" s="1">
        <v>6.0</v>
      </c>
      <c r="C3388" s="1" t="s">
        <v>9993</v>
      </c>
      <c r="D3388" s="1" t="s">
        <v>52</v>
      </c>
      <c r="E3388" s="1" t="s">
        <v>9994</v>
      </c>
      <c r="F3388" s="1" t="str">
        <f>IFERROR(__xludf.DUMMYFUNCTION("GOOGLETRANSLATE(A3388, ""zh-CN"", ""ko"")"),"어려운")</f>
        <v>어려운</v>
      </c>
    </row>
    <row r="3389" ht="15.75" customHeight="1">
      <c r="A3389" s="1" t="s">
        <v>9995</v>
      </c>
      <c r="B3389" s="1">
        <v>6.0</v>
      </c>
      <c r="C3389" s="1" t="s">
        <v>9996</v>
      </c>
      <c r="D3389" s="1" t="s">
        <v>52</v>
      </c>
      <c r="E3389" s="1" t="s">
        <v>9997</v>
      </c>
      <c r="F3389" s="1" t="str">
        <f>IFERROR(__xludf.DUMMYFUNCTION("GOOGLETRANSLATE(A3389, ""zh-CN"", ""ko"")"),"회복력")</f>
        <v>회복력</v>
      </c>
    </row>
    <row r="3390" ht="15.75" customHeight="1">
      <c r="A3390" s="1" t="s">
        <v>9998</v>
      </c>
      <c r="B3390" s="1">
        <v>6.0</v>
      </c>
      <c r="C3390" s="1" t="s">
        <v>9999</v>
      </c>
      <c r="D3390" s="1" t="s">
        <v>52</v>
      </c>
      <c r="E3390" s="1" t="s">
        <v>10000</v>
      </c>
      <c r="F3390" s="1" t="str">
        <f>IFERROR(__xludf.DUMMYFUNCTION("GOOGLETRANSLATE(A3390, ""zh-CN"", ""ko"")"),"날카로운")</f>
        <v>날카로운</v>
      </c>
    </row>
    <row r="3391" ht="15.75" customHeight="1">
      <c r="A3391" s="1" t="s">
        <v>10001</v>
      </c>
      <c r="B3391" s="1">
        <v>6.0</v>
      </c>
      <c r="C3391" s="1" t="s">
        <v>10002</v>
      </c>
      <c r="D3391" s="1" t="s">
        <v>52</v>
      </c>
      <c r="E3391" s="1" t="s">
        <v>10003</v>
      </c>
      <c r="F3391" s="1" t="str">
        <f>IFERROR(__xludf.DUMMYFUNCTION("GOOGLETRANSLATE(A3391, ""zh-CN"", ""ko"")"),"단단한")</f>
        <v>단단한</v>
      </c>
    </row>
    <row r="3392" ht="15.75" customHeight="1">
      <c r="A3392" s="1" t="s">
        <v>10004</v>
      </c>
      <c r="B3392" s="1">
        <v>6.0</v>
      </c>
      <c r="C3392" s="1" t="s">
        <v>10005</v>
      </c>
      <c r="D3392" s="1" t="s">
        <v>8</v>
      </c>
      <c r="E3392" s="1" t="s">
        <v>10006</v>
      </c>
      <c r="F3392" s="1" t="str">
        <f>IFERROR(__xludf.DUMMYFUNCTION("GOOGLETRANSLATE(A3392, ""zh-CN"", ""ko"")"),"감시")</f>
        <v>감시</v>
      </c>
    </row>
    <row r="3393" ht="15.75" customHeight="1">
      <c r="A3393" s="1" t="s">
        <v>10007</v>
      </c>
      <c r="B3393" s="1">
        <v>6.0</v>
      </c>
      <c r="C3393" s="1" t="s">
        <v>10008</v>
      </c>
      <c r="D3393" s="1" t="s">
        <v>52</v>
      </c>
      <c r="E3393" s="1" t="s">
        <v>10009</v>
      </c>
      <c r="F3393" s="1" t="str">
        <f>IFERROR(__xludf.DUMMYFUNCTION("GOOGLETRANSLATE(A3393, ""zh-CN"", ""ko"")"),"딱딱한")</f>
        <v>딱딱한</v>
      </c>
    </row>
    <row r="3394" ht="15.75" customHeight="1">
      <c r="A3394" s="1" t="s">
        <v>10010</v>
      </c>
      <c r="B3394" s="1">
        <v>6.0</v>
      </c>
      <c r="C3394" s="1" t="s">
        <v>10011</v>
      </c>
      <c r="D3394" s="1" t="s">
        <v>16</v>
      </c>
      <c r="E3394" s="1" t="s">
        <v>10012</v>
      </c>
      <c r="F3394" s="1" t="str">
        <f>IFERROR(__xludf.DUMMYFUNCTION("GOOGLETRANSLATE(A3394, ""zh-CN"", ""ko"")"),"감옥")</f>
        <v>감옥</v>
      </c>
    </row>
    <row r="3395" ht="15.75" customHeight="1">
      <c r="A3395" s="1" t="s">
        <v>10013</v>
      </c>
      <c r="B3395" s="1">
        <v>6.0</v>
      </c>
      <c r="C3395" s="1" t="s">
        <v>4933</v>
      </c>
      <c r="D3395" s="1" t="s">
        <v>8</v>
      </c>
      <c r="E3395" s="1" t="s">
        <v>10014</v>
      </c>
      <c r="F3395" s="1" t="str">
        <f>IFERROR(__xludf.DUMMYFUNCTION("GOOGLETRANSLATE(A3395, ""zh-CN"", ""ko"")"),"선택하다")</f>
        <v>선택하다</v>
      </c>
    </row>
    <row r="3396" ht="15.75" customHeight="1">
      <c r="A3396" s="1" t="s">
        <v>10015</v>
      </c>
      <c r="B3396" s="1">
        <v>6.0</v>
      </c>
      <c r="C3396" s="1" t="s">
        <v>10016</v>
      </c>
      <c r="D3396" s="1" t="s">
        <v>8</v>
      </c>
      <c r="E3396" s="1" t="s">
        <v>10017</v>
      </c>
      <c r="F3396" s="1" t="str">
        <f>IFERROR(__xludf.DUMMYFUNCTION("GOOGLETRANSLATE(A3396, ""zh-CN"", ""ko"")"),"리본 커팅식")</f>
        <v>리본 커팅식</v>
      </c>
    </row>
    <row r="3397" ht="15.75" customHeight="1">
      <c r="A3397" s="1" t="s">
        <v>10018</v>
      </c>
      <c r="B3397" s="1">
        <v>6.0</v>
      </c>
      <c r="C3397" s="1" t="s">
        <v>10019</v>
      </c>
      <c r="D3397" s="1" t="s">
        <v>8</v>
      </c>
      <c r="E3397" s="1" t="s">
        <v>10020</v>
      </c>
      <c r="F3397" s="1" t="str">
        <f>IFERROR(__xludf.DUMMYFUNCTION("GOOGLETRANSLATE(A3397, ""zh-CN"", ""ko"")"),"단순화")</f>
        <v>단순화</v>
      </c>
    </row>
    <row r="3398" ht="15.75" customHeight="1">
      <c r="A3398" s="1" t="s">
        <v>10021</v>
      </c>
      <c r="B3398" s="1">
        <v>6.0</v>
      </c>
      <c r="C3398" s="1" t="s">
        <v>10022</v>
      </c>
      <c r="D3398" s="1" t="s">
        <v>52</v>
      </c>
      <c r="E3398" s="1" t="s">
        <v>10023</v>
      </c>
      <c r="F3398" s="1" t="str">
        <f>IFERROR(__xludf.DUMMYFUNCTION("GOOGLETRANSLATE(A3398, ""zh-CN"", ""ko"")"),"단순한")</f>
        <v>단순한</v>
      </c>
    </row>
    <row r="3399" ht="15.75" customHeight="1">
      <c r="A3399" s="1" t="s">
        <v>10024</v>
      </c>
      <c r="B3399" s="1">
        <v>6.0</v>
      </c>
      <c r="C3399" s="1" t="s">
        <v>10025</v>
      </c>
      <c r="D3399" s="1" t="s">
        <v>8</v>
      </c>
      <c r="E3399" s="1" t="s">
        <v>10026</v>
      </c>
      <c r="F3399" s="1" t="str">
        <f>IFERROR(__xludf.DUMMYFUNCTION("GOOGLETRANSLATE(A3399, ""zh-CN"", ""ko"")"),"검토")</f>
        <v>검토</v>
      </c>
    </row>
    <row r="3400" ht="15.75" customHeight="1">
      <c r="A3400" s="1" t="s">
        <v>10027</v>
      </c>
      <c r="B3400" s="1">
        <v>6.0</v>
      </c>
      <c r="C3400" s="1" t="s">
        <v>10028</v>
      </c>
      <c r="D3400" s="1" t="s">
        <v>16</v>
      </c>
      <c r="E3400" s="1" t="s">
        <v>10029</v>
      </c>
      <c r="F3400" s="1" t="str">
        <f>IFERROR(__xludf.DUMMYFUNCTION("GOOGLETRANSLATE(A3400, ""zh-CN"", ""ko"")"),"간체 중국어")</f>
        <v>간체 중국어</v>
      </c>
    </row>
    <row r="3401" ht="15.75" customHeight="1">
      <c r="A3401" s="1" t="s">
        <v>10030</v>
      </c>
      <c r="B3401" s="1">
        <v>6.0</v>
      </c>
      <c r="C3401" s="1" t="s">
        <v>10031</v>
      </c>
      <c r="D3401" s="1" t="s">
        <v>8</v>
      </c>
      <c r="E3401" s="1" t="s">
        <v>10032</v>
      </c>
      <c r="F3401" s="1" t="str">
        <f>IFERROR(__xludf.DUMMYFUNCTION("GOOGLETRANSLATE(A3401, ""zh-CN"", ""ko"")"),"시험")</f>
        <v>시험</v>
      </c>
    </row>
    <row r="3402" ht="15.75" customHeight="1">
      <c r="A3402" s="1" t="s">
        <v>10033</v>
      </c>
      <c r="B3402" s="1">
        <v>6.0</v>
      </c>
      <c r="C3402" s="1" t="s">
        <v>10034</v>
      </c>
      <c r="D3402" s="1" t="s">
        <v>16</v>
      </c>
      <c r="E3402" s="1" t="s">
        <v>10035</v>
      </c>
      <c r="F3402" s="1" t="str">
        <f>IFERROR(__xludf.DUMMYFUNCTION("GOOGLETRANSLATE(A3402, ""zh-CN"", ""ko"")"),"짧은")</f>
        <v>짧은</v>
      </c>
    </row>
    <row r="3403" ht="15.75" customHeight="1">
      <c r="A3403" s="1" t="s">
        <v>10036</v>
      </c>
      <c r="B3403" s="1">
        <v>6.0</v>
      </c>
      <c r="C3403" s="1" t="s">
        <v>600</v>
      </c>
      <c r="D3403" s="1" t="s">
        <v>8</v>
      </c>
      <c r="E3403" s="1" t="s">
        <v>10037</v>
      </c>
      <c r="F3403" s="1" t="str">
        <f>IFERROR(__xludf.DUMMYFUNCTION("GOOGLETRANSLATE(A3403, ""zh-CN"", ""ko"")"),"튀김")</f>
        <v>튀김</v>
      </c>
    </row>
    <row r="3404" ht="15.75" customHeight="1">
      <c r="A3404" s="1" t="s">
        <v>10038</v>
      </c>
      <c r="B3404" s="1">
        <v>6.0</v>
      </c>
      <c r="C3404" s="1" t="s">
        <v>600</v>
      </c>
      <c r="D3404" s="1" t="s">
        <v>16</v>
      </c>
      <c r="E3404" s="1" t="s">
        <v>10039</v>
      </c>
      <c r="F3404" s="1" t="str">
        <f>IFERROR(__xludf.DUMMYFUNCTION("GOOGLETRANSLATE(A3404, ""zh-CN"", ""ko"")"),"검")</f>
        <v>검</v>
      </c>
    </row>
    <row r="3405" ht="15.75" customHeight="1">
      <c r="A3405" s="1" t="s">
        <v>10040</v>
      </c>
      <c r="B3405" s="1">
        <v>6.0</v>
      </c>
      <c r="C3405" s="1" t="s">
        <v>10041</v>
      </c>
      <c r="D3405" s="1" t="s">
        <v>8</v>
      </c>
      <c r="E3405" s="1" t="s">
        <v>10042</v>
      </c>
      <c r="F3405" s="1" t="str">
        <f>IFERROR(__xludf.DUMMYFUNCTION("GOOGLETRANSLATE(A3405, ""zh-CN"", ""ko"")"),"신분증")</f>
        <v>신분증</v>
      </c>
    </row>
    <row r="3406" ht="15.75" customHeight="1">
      <c r="A3406" s="1" t="s">
        <v>10043</v>
      </c>
      <c r="B3406" s="1">
        <v>6.0</v>
      </c>
      <c r="C3406" s="1" t="s">
        <v>10044</v>
      </c>
      <c r="D3406" s="1" t="s">
        <v>16</v>
      </c>
      <c r="E3406" s="1" t="s">
        <v>10045</v>
      </c>
      <c r="F3406" s="1" t="str">
        <f>IFERROR(__xludf.DUMMYFUNCTION("GOOGLETRANSLATE(A3406, ""zh-CN"", ""ko"")"),"스파이")</f>
        <v>스파이</v>
      </c>
    </row>
    <row r="3407" ht="15.75" customHeight="1">
      <c r="A3407" s="1" t="s">
        <v>10046</v>
      </c>
      <c r="B3407" s="1">
        <v>6.0</v>
      </c>
      <c r="C3407" s="1" t="s">
        <v>10047</v>
      </c>
      <c r="D3407" s="1" t="s">
        <v>8</v>
      </c>
      <c r="E3407" s="1" t="s">
        <v>10048</v>
      </c>
      <c r="F3407" s="1" t="str">
        <f>IFERROR(__xludf.DUMMYFUNCTION("GOOGLETRANSLATE(A3407, ""zh-CN"", ""ko"")"),"신분증")</f>
        <v>신분증</v>
      </c>
    </row>
    <row r="3408" ht="15.75" customHeight="1">
      <c r="A3408" s="1" t="s">
        <v>10049</v>
      </c>
      <c r="B3408" s="1">
        <v>6.0</v>
      </c>
      <c r="C3408" s="1" t="s">
        <v>10050</v>
      </c>
      <c r="E3408" s="1" t="s">
        <v>10051</v>
      </c>
      <c r="F3408" s="1" t="str">
        <f>IFERROR(__xludf.DUMMYFUNCTION("GOOGLETRANSLATE(A3408, ""zh-CN"", ""ko"")"),"정보에 밝은")</f>
        <v>정보에 밝은</v>
      </c>
    </row>
    <row r="3409" ht="15.75" customHeight="1">
      <c r="A3409" s="1" t="s">
        <v>10052</v>
      </c>
      <c r="B3409" s="1">
        <v>6.0</v>
      </c>
      <c r="C3409" s="1" t="s">
        <v>10053</v>
      </c>
      <c r="D3409" s="1" t="s">
        <v>875</v>
      </c>
      <c r="E3409" s="1" t="s">
        <v>10054</v>
      </c>
      <c r="F3409" s="1" t="str">
        <f>IFERROR(__xludf.DUMMYFUNCTION("GOOGLETRANSLATE(A3409, ""zh-CN"", ""ko"")"),"간격")</f>
        <v>간격</v>
      </c>
    </row>
    <row r="3410" ht="15.75" customHeight="1">
      <c r="A3410" s="1" t="s">
        <v>10055</v>
      </c>
      <c r="B3410" s="1">
        <v>6.0</v>
      </c>
      <c r="C3410" s="1" t="s">
        <v>10056</v>
      </c>
      <c r="D3410" s="1" t="s">
        <v>52</v>
      </c>
      <c r="E3410" s="1" t="s">
        <v>10057</v>
      </c>
      <c r="F3410" s="1" t="str">
        <f>IFERROR(__xludf.DUMMYFUNCTION("GOOGLETRANSLATE(A3410, ""zh-CN"", ""ko"")"),"간접")</f>
        <v>간접</v>
      </c>
    </row>
    <row r="3411" ht="15.75" customHeight="1">
      <c r="A3411" s="1" t="s">
        <v>10058</v>
      </c>
      <c r="B3411" s="1">
        <v>6.0</v>
      </c>
      <c r="C3411" s="1" t="s">
        <v>10059</v>
      </c>
      <c r="D3411" s="1" t="s">
        <v>16</v>
      </c>
      <c r="E3411" s="1" t="s">
        <v>10060</v>
      </c>
      <c r="F3411" s="1" t="str">
        <f>IFERROR(__xludf.DUMMYFUNCTION("GOOGLETRANSLATE(A3411, ""zh-CN"", ""ko"")"),"의견")</f>
        <v>의견</v>
      </c>
    </row>
    <row r="3412" ht="15.75" customHeight="1">
      <c r="A3412" s="1" t="s">
        <v>10061</v>
      </c>
      <c r="B3412" s="1">
        <v>6.0</v>
      </c>
      <c r="C3412" s="1" t="s">
        <v>10062</v>
      </c>
      <c r="D3412" s="1" t="s">
        <v>52</v>
      </c>
      <c r="E3412" s="1" t="s">
        <v>10063</v>
      </c>
      <c r="F3412" s="1" t="str">
        <f>IFERROR(__xludf.DUMMYFUNCTION("GOOGLETRANSLATE(A3412, ""zh-CN"", ""ko"")"),"소리")</f>
        <v>소리</v>
      </c>
    </row>
    <row r="3413" ht="15.75" customHeight="1">
      <c r="A3413" s="1" t="s">
        <v>10064</v>
      </c>
      <c r="B3413" s="1">
        <v>6.0</v>
      </c>
      <c r="C3413" s="1" t="s">
        <v>10065</v>
      </c>
      <c r="D3413" s="1" t="s">
        <v>8</v>
      </c>
      <c r="E3413" s="1" t="s">
        <v>10066</v>
      </c>
      <c r="F3413" s="1" t="str">
        <f>IFERROR(__xludf.DUMMYFUNCTION("GOOGLETRANSLATE(A3413, ""zh-CN"", ""ko"")"),"짓밟다")</f>
        <v>짓밟다</v>
      </c>
    </row>
    <row r="3414" ht="15.75" customHeight="1">
      <c r="A3414" s="1" t="s">
        <v>10067</v>
      </c>
      <c r="B3414" s="1">
        <v>6.0</v>
      </c>
      <c r="C3414" s="1" t="s">
        <v>10068</v>
      </c>
      <c r="D3414" s="1" t="s">
        <v>16</v>
      </c>
      <c r="E3414" s="1" t="s">
        <v>10069</v>
      </c>
      <c r="F3414" s="1" t="str">
        <f>IFERROR(__xludf.DUMMYFUNCTION("GOOGLETRANSLATE(A3414, ""zh-CN"", ""ko"")"),"군함")</f>
        <v>군함</v>
      </c>
    </row>
    <row r="3415" ht="15.75" customHeight="1">
      <c r="A3415" s="1" t="s">
        <v>10070</v>
      </c>
      <c r="B3415" s="1">
        <v>6.0</v>
      </c>
      <c r="C3415" s="1" t="s">
        <v>10071</v>
      </c>
      <c r="D3415" s="1" t="s">
        <v>16</v>
      </c>
      <c r="E3415" s="1" t="s">
        <v>10072</v>
      </c>
      <c r="F3415" s="1" t="str">
        <f>IFERROR(__xludf.DUMMYFUNCTION("GOOGLETRANSLATE(A3415, ""zh-CN"", ""ko"")"),"지식")</f>
        <v>지식</v>
      </c>
    </row>
    <row r="3416" ht="15.75" customHeight="1">
      <c r="A3416" s="1" t="s">
        <v>10073</v>
      </c>
      <c r="B3416" s="1">
        <v>6.0</v>
      </c>
      <c r="C3416" s="1" t="s">
        <v>10074</v>
      </c>
      <c r="D3416" s="1" t="s">
        <v>52</v>
      </c>
      <c r="E3416" s="1" t="s">
        <v>10075</v>
      </c>
      <c r="F3416" s="1" t="str">
        <f>IFERROR(__xludf.DUMMYFUNCTION("GOOGLETRANSLATE(A3416, ""zh-CN"", ""ko"")"),"용감한 행동")</f>
        <v>용감한 행동</v>
      </c>
    </row>
    <row r="3417" ht="15.75" customHeight="1">
      <c r="A3417" s="1" t="s">
        <v>10076</v>
      </c>
      <c r="B3417" s="1">
        <v>6.0</v>
      </c>
      <c r="C3417" s="1" t="s">
        <v>10077</v>
      </c>
      <c r="D3417" s="1" t="s">
        <v>486</v>
      </c>
      <c r="E3417" s="1" t="s">
        <v>10078</v>
      </c>
      <c r="F3417" s="1" t="str">
        <f>IFERROR(__xludf.DUMMYFUNCTION("GOOGLETRANSLATE(A3417, ""zh-CN"", ""ko"")"),"주어진")</f>
        <v>주어진</v>
      </c>
    </row>
    <row r="3418" ht="15.75" customHeight="1">
      <c r="A3418" s="1" t="s">
        <v>10079</v>
      </c>
      <c r="B3418" s="1">
        <v>6.0</v>
      </c>
      <c r="C3418" s="1" t="s">
        <v>10080</v>
      </c>
      <c r="D3418" s="1" t="s">
        <v>33</v>
      </c>
      <c r="E3418" s="1" t="s">
        <v>10081</v>
      </c>
      <c r="F3418" s="1" t="str">
        <f>IFERROR(__xludf.DUMMYFUNCTION("GOOGLETRANSLATE(A3418, ""zh-CN"", ""ko"")"),"거의")</f>
        <v>거의</v>
      </c>
    </row>
    <row r="3419" ht="15.75" customHeight="1">
      <c r="A3419" s="1" t="s">
        <v>10082</v>
      </c>
      <c r="B3419" s="1">
        <v>6.0</v>
      </c>
      <c r="C3419" s="1" t="s">
        <v>10083</v>
      </c>
      <c r="D3419" s="1" t="s">
        <v>8</v>
      </c>
      <c r="E3419" s="1" t="s">
        <v>10084</v>
      </c>
      <c r="F3419" s="1" t="str">
        <f>IFERROR(__xludf.DUMMYFUNCTION("GOOGLETRANSLATE(A3419, ""zh-CN"", ""ko"")"),"더")</f>
        <v>더</v>
      </c>
    </row>
    <row r="3420" ht="15.75" customHeight="1">
      <c r="A3420" s="1" t="s">
        <v>10085</v>
      </c>
      <c r="B3420" s="1">
        <v>6.0</v>
      </c>
      <c r="C3420" s="1" t="s">
        <v>10086</v>
      </c>
      <c r="D3420" s="1" t="s">
        <v>16</v>
      </c>
      <c r="E3420" s="1" t="s">
        <v>10087</v>
      </c>
      <c r="F3420" s="1" t="str">
        <f>IFERROR(__xludf.DUMMYFUNCTION("GOOGLETRANSLATE(A3420, ""zh-CN"", ""ko"")"),"일반적인")</f>
        <v>일반적인</v>
      </c>
    </row>
    <row r="3421" ht="15.75" customHeight="1">
      <c r="A3421" s="1" t="s">
        <v>10088</v>
      </c>
      <c r="B3421" s="1">
        <v>6.0</v>
      </c>
      <c r="C3421" s="1" t="s">
        <v>10089</v>
      </c>
      <c r="D3421" s="1" t="s">
        <v>52</v>
      </c>
      <c r="E3421" s="1" t="s">
        <v>10090</v>
      </c>
      <c r="F3421" s="1" t="str">
        <f>IFERROR(__xludf.DUMMYFUNCTION("GOOGLETRANSLATE(A3421, ""zh-CN"", ""ko"")"),"뻣뻣한")</f>
        <v>뻣뻣한</v>
      </c>
    </row>
    <row r="3422" ht="15.75" customHeight="1">
      <c r="A3422" s="1" t="s">
        <v>10091</v>
      </c>
      <c r="B3422" s="1">
        <v>6.0</v>
      </c>
      <c r="C3422" s="1" t="s">
        <v>1258</v>
      </c>
      <c r="D3422" s="1" t="s">
        <v>16</v>
      </c>
      <c r="E3422" s="1" t="s">
        <v>10092</v>
      </c>
      <c r="F3422" s="1" t="str">
        <f>IFERROR(__xludf.DUMMYFUNCTION("GOOGLETRANSLATE(A3422, ""zh-CN"", ""ko"")"),"외륜")</f>
        <v>외륜</v>
      </c>
    </row>
    <row r="3423" ht="15.75" customHeight="1">
      <c r="A3423" s="1" t="s">
        <v>10093</v>
      </c>
      <c r="B3423" s="1">
        <v>6.0</v>
      </c>
      <c r="C3423" s="1" t="s">
        <v>10094</v>
      </c>
      <c r="D3423" s="1" t="s">
        <v>8</v>
      </c>
      <c r="E3423" s="1" t="s">
        <v>10095</v>
      </c>
      <c r="F3423" s="1" t="str">
        <f>IFERROR(__xludf.DUMMYFUNCTION("GOOGLETRANSLATE(A3423, ""zh-CN"", ""ko"")"),"상")</f>
        <v>상</v>
      </c>
    </row>
    <row r="3424" ht="15.75" customHeight="1">
      <c r="A3424" s="1" t="s">
        <v>10096</v>
      </c>
      <c r="B3424" s="1">
        <v>6.0</v>
      </c>
      <c r="C3424" s="1" t="s">
        <v>10097</v>
      </c>
      <c r="D3424" s="1" t="s">
        <v>8</v>
      </c>
      <c r="E3424" s="1" t="s">
        <v>10098</v>
      </c>
      <c r="F3424" s="1" t="str">
        <f>IFERROR(__xludf.DUMMYFUNCTION("GOOGLETRANSLATE(A3424, ""zh-CN"", ""ko"")"),"보상")</f>
        <v>보상</v>
      </c>
    </row>
    <row r="3425" ht="15.75" customHeight="1">
      <c r="A3425" s="1" t="s">
        <v>10099</v>
      </c>
      <c r="B3425" s="1">
        <v>6.0</v>
      </c>
      <c r="C3425" s="1" t="s">
        <v>10100</v>
      </c>
      <c r="D3425" s="1" t="s">
        <v>8</v>
      </c>
      <c r="E3425" s="1" t="s">
        <v>10101</v>
      </c>
      <c r="F3425" s="1" t="str">
        <f>IFERROR(__xludf.DUMMYFUNCTION("GOOGLETRANSLATE(A3425, ""zh-CN"", ""ko"")"),"도착")</f>
        <v>도착</v>
      </c>
    </row>
    <row r="3426" ht="15.75" customHeight="1">
      <c r="A3426" s="1" t="s">
        <v>10102</v>
      </c>
      <c r="B3426" s="1">
        <v>6.0</v>
      </c>
      <c r="C3426" s="1" t="s">
        <v>10103</v>
      </c>
      <c r="D3426" s="1" t="s">
        <v>8</v>
      </c>
      <c r="E3426" s="1" t="s">
        <v>10104</v>
      </c>
      <c r="F3426" s="1" t="str">
        <f>IFERROR(__xludf.DUMMYFUNCTION("GOOGLETRANSLATE(A3426, ""zh-CN"", ""ko"")"),"십자가")</f>
        <v>십자가</v>
      </c>
    </row>
    <row r="3427" ht="15.75" customHeight="1">
      <c r="A3427" s="1" t="s">
        <v>10105</v>
      </c>
      <c r="B3427" s="1">
        <v>6.0</v>
      </c>
      <c r="C3427" s="1" t="s">
        <v>10106</v>
      </c>
      <c r="D3427" s="1" t="s">
        <v>8</v>
      </c>
      <c r="E3427" s="1" t="s">
        <v>10107</v>
      </c>
      <c r="F3427" s="1" t="str">
        <f>IFERROR(__xludf.DUMMYFUNCTION("GOOGLETRANSLATE(A3427, ""zh-CN"", ""ko"")"),"설명")</f>
        <v>설명</v>
      </c>
    </row>
    <row r="3428" ht="15.75" customHeight="1">
      <c r="A3428" s="1" t="s">
        <v>10108</v>
      </c>
      <c r="B3428" s="1">
        <v>6.0</v>
      </c>
      <c r="C3428" s="1" t="s">
        <v>10109</v>
      </c>
      <c r="D3428" s="1" t="s">
        <v>16</v>
      </c>
      <c r="E3428" s="1" t="s">
        <v>10110</v>
      </c>
      <c r="F3428" s="1" t="str">
        <f>IFERROR(__xludf.DUMMYFUNCTION("GOOGLETRANSLATE(A3428, ""zh-CN"", ""ko"")"),"집중하다")</f>
        <v>집중하다</v>
      </c>
    </row>
    <row r="3429" ht="15.75" customHeight="1">
      <c r="A3429" s="1" t="s">
        <v>10111</v>
      </c>
      <c r="B3429" s="1">
        <v>6.0</v>
      </c>
      <c r="C3429" s="1" t="s">
        <v>10112</v>
      </c>
      <c r="D3429" s="1" t="s">
        <v>52</v>
      </c>
      <c r="E3429" s="1" t="s">
        <v>10113</v>
      </c>
      <c r="F3429" s="1" t="str">
        <f>IFERROR(__xludf.DUMMYFUNCTION("GOOGLETRANSLATE(A3429, ""zh-CN"", ""ko"")"),"불안해하는")</f>
        <v>불안해하는</v>
      </c>
    </row>
    <row r="3430" ht="15.75" customHeight="1">
      <c r="A3430" s="1" t="s">
        <v>10114</v>
      </c>
      <c r="B3430" s="1">
        <v>6.0</v>
      </c>
      <c r="C3430" s="1" t="s">
        <v>10115</v>
      </c>
      <c r="D3430" s="1" t="s">
        <v>52</v>
      </c>
      <c r="E3430" s="1" t="s">
        <v>10116</v>
      </c>
      <c r="F3430" s="1" t="str">
        <f>IFERROR(__xludf.DUMMYFUNCTION("GOOGLETRANSLATE(A3430, ""zh-CN"", ""ko"")"),"연약한")</f>
        <v>연약한</v>
      </c>
    </row>
    <row r="3431" ht="15.75" customHeight="1">
      <c r="A3431" s="1" t="s">
        <v>10117</v>
      </c>
      <c r="B3431" s="1">
        <v>6.0</v>
      </c>
      <c r="C3431" s="1" t="s">
        <v>10118</v>
      </c>
      <c r="D3431" s="1" t="s">
        <v>8</v>
      </c>
      <c r="E3431" s="1" t="s">
        <v>10119</v>
      </c>
      <c r="F3431" s="1" t="str">
        <f>IFERROR(__xludf.DUMMYFUNCTION("GOOGLETRANSLATE(A3431, ""zh-CN"", ""ko"")"),"협상")</f>
        <v>협상</v>
      </c>
    </row>
    <row r="3432" ht="15.75" customHeight="1">
      <c r="A3432" s="1" t="s">
        <v>10120</v>
      </c>
      <c r="B3432" s="1">
        <v>6.0</v>
      </c>
      <c r="C3432" s="1" t="s">
        <v>10121</v>
      </c>
      <c r="D3432" s="1" t="s">
        <v>8</v>
      </c>
      <c r="E3432" s="1" t="s">
        <v>10122</v>
      </c>
      <c r="F3432" s="1" t="str">
        <f>IFERROR(__xludf.DUMMYFUNCTION("GOOGLETRANSLATE(A3432, ""zh-CN"", ""ko"")"),"거래")</f>
        <v>거래</v>
      </c>
    </row>
    <row r="3433" ht="15.75" customHeight="1">
      <c r="A3433" s="1" t="s">
        <v>10123</v>
      </c>
      <c r="B3433" s="1">
        <v>6.0</v>
      </c>
      <c r="C3433" s="1" t="s">
        <v>10124</v>
      </c>
      <c r="D3433" s="1" t="s">
        <v>8</v>
      </c>
      <c r="E3433" s="1" t="s">
        <v>10125</v>
      </c>
      <c r="F3433" s="1" t="str">
        <f>IFERROR(__xludf.DUMMYFUNCTION("GOOGLETRANSLATE(A3433, ""zh-CN"", ""ko"")"),"젓다")</f>
        <v>젓다</v>
      </c>
    </row>
    <row r="3434" ht="15.75" customHeight="1">
      <c r="A3434" s="1" t="s">
        <v>10126</v>
      </c>
      <c r="B3434" s="1">
        <v>6.0</v>
      </c>
      <c r="C3434" s="1" t="s">
        <v>10127</v>
      </c>
      <c r="D3434" s="1" t="s">
        <v>16</v>
      </c>
      <c r="E3434" s="1" t="s">
        <v>10128</v>
      </c>
      <c r="F3434" s="1" t="str">
        <f>IFERROR(__xludf.DUMMYFUNCTION("GOOGLETRANSLATE(A3434, ""zh-CN"", ""ko"")"),"모서리")</f>
        <v>모서리</v>
      </c>
    </row>
    <row r="3435" ht="15.75" customHeight="1">
      <c r="A3435" s="1" t="s">
        <v>10129</v>
      </c>
      <c r="B3435" s="1">
        <v>6.0</v>
      </c>
      <c r="C3435" s="1" t="s">
        <v>10130</v>
      </c>
      <c r="D3435" s="1" t="s">
        <v>8</v>
      </c>
      <c r="E3435" s="1" t="s">
        <v>10131</v>
      </c>
      <c r="F3435" s="1" t="str">
        <f>IFERROR(__xludf.DUMMYFUNCTION("GOOGLETRANSLATE(A3435, ""zh-CN"", ""ko"")"),"지불하다")</f>
        <v>지불하다</v>
      </c>
    </row>
    <row r="3436" ht="15.75" customHeight="1">
      <c r="A3436" s="1" t="s">
        <v>10132</v>
      </c>
      <c r="B3436" s="1">
        <v>6.0</v>
      </c>
      <c r="C3436" s="1" t="s">
        <v>10133</v>
      </c>
      <c r="D3436" s="1" t="s">
        <v>33</v>
      </c>
      <c r="E3436" s="1" t="s">
        <v>10134</v>
      </c>
      <c r="F3436" s="1" t="str">
        <f>IFERROR(__xludf.DUMMYFUNCTION("GOOGLETRANSLATE(A3436, ""zh-CN"", ""ko"")"),"운이 좋은")</f>
        <v>운이 좋은</v>
      </c>
    </row>
    <row r="3437" ht="15.75" customHeight="1">
      <c r="A3437" s="1" t="s">
        <v>10135</v>
      </c>
      <c r="B3437" s="1">
        <v>6.0</v>
      </c>
      <c r="C3437" s="1" t="s">
        <v>10136</v>
      </c>
      <c r="D3437" s="1" t="s">
        <v>8</v>
      </c>
      <c r="E3437" s="1" t="s">
        <v>10137</v>
      </c>
      <c r="F3437" s="1" t="str">
        <f>IFERROR(__xludf.DUMMYFUNCTION("GOOGLETRANSLATE(A3437, ""zh-CN"", ""ko"")"),"경쟁")</f>
        <v>경쟁</v>
      </c>
    </row>
    <row r="3438" ht="15.75" customHeight="1">
      <c r="A3438" s="1" t="s">
        <v>10138</v>
      </c>
      <c r="B3438" s="1">
        <v>6.0</v>
      </c>
      <c r="C3438" s="1" t="s">
        <v>10139</v>
      </c>
      <c r="D3438" s="1" t="s">
        <v>16</v>
      </c>
      <c r="E3438" s="1" t="s">
        <v>10140</v>
      </c>
      <c r="F3438" s="1" t="str">
        <f>IFERROR(__xludf.DUMMYFUNCTION("GOOGLETRANSLATE(A3438, ""zh-CN"", ""ko"")"),"육성")</f>
        <v>육성</v>
      </c>
    </row>
    <row r="3439" ht="15.75" customHeight="1">
      <c r="A3439" s="1" t="s">
        <v>10141</v>
      </c>
      <c r="B3439" s="1">
        <v>6.0</v>
      </c>
      <c r="C3439" s="1" t="s">
        <v>1268</v>
      </c>
      <c r="D3439" s="1" t="s">
        <v>33</v>
      </c>
      <c r="E3439" s="1" t="s">
        <v>10142</v>
      </c>
      <c r="F3439" s="1" t="str">
        <f>IFERROR(__xludf.DUMMYFUNCTION("GOOGLETRANSLATE(A3439, ""zh-CN"", ""ko"")"),"모두")</f>
        <v>모두</v>
      </c>
    </row>
    <row r="3440" ht="15.75" customHeight="1">
      <c r="A3440" s="1" t="s">
        <v>10143</v>
      </c>
      <c r="B3440" s="1">
        <v>6.0</v>
      </c>
      <c r="C3440" s="1" t="s">
        <v>10144</v>
      </c>
      <c r="D3440" s="1" t="s">
        <v>16</v>
      </c>
      <c r="E3440" s="1" t="s">
        <v>10145</v>
      </c>
      <c r="F3440" s="1" t="str">
        <f>IFERROR(__xludf.DUMMYFUNCTION("GOOGLETRANSLATE(A3440, ""zh-CN"", ""ko"")"),"사회 계층")</f>
        <v>사회 계층</v>
      </c>
    </row>
    <row r="3441" ht="15.75" customHeight="1">
      <c r="A3441" s="1" t="s">
        <v>10146</v>
      </c>
      <c r="B3441" s="1">
        <v>6.0</v>
      </c>
      <c r="C3441" s="1" t="s">
        <v>10147</v>
      </c>
      <c r="D3441" s="1" t="s">
        <v>33</v>
      </c>
      <c r="E3441" s="1" t="s">
        <v>10148</v>
      </c>
      <c r="F3441" s="1" t="str">
        <f>IFERROR(__xludf.DUMMYFUNCTION("GOOGLETRANSLATE(A3441, ""zh-CN"", ""ko"")"),"연이은")</f>
        <v>연이은</v>
      </c>
    </row>
    <row r="3442" ht="15.75" customHeight="1">
      <c r="A3442" s="1" t="s">
        <v>10149</v>
      </c>
      <c r="B3442" s="1">
        <v>6.0</v>
      </c>
      <c r="C3442" s="1" t="s">
        <v>10150</v>
      </c>
      <c r="D3442" s="1" t="s">
        <v>8</v>
      </c>
      <c r="E3442" s="1" t="s">
        <v>10151</v>
      </c>
      <c r="F3442" s="1" t="str">
        <f>IFERROR(__xludf.DUMMYFUNCTION("GOOGLETRANSLATE(A3442, ""zh-CN"", ""ko"")"),"노출")</f>
        <v>노출</v>
      </c>
    </row>
    <row r="3443" ht="15.75" customHeight="1">
      <c r="A3443" s="1" t="s">
        <v>10152</v>
      </c>
      <c r="B3443" s="1">
        <v>6.0</v>
      </c>
      <c r="C3443" s="1" t="s">
        <v>10153</v>
      </c>
      <c r="D3443" s="1" t="s">
        <v>52</v>
      </c>
      <c r="E3443" s="1" t="s">
        <v>10154</v>
      </c>
      <c r="F3443" s="1" t="str">
        <f>IFERROR(__xludf.DUMMYFUNCTION("GOOGLETRANSLATE(A3443, ""zh-CN"", ""ko"")"),"뛰어난")</f>
        <v>뛰어난</v>
      </c>
    </row>
    <row r="3444" ht="15.75" customHeight="1">
      <c r="A3444" s="1" t="s">
        <v>10155</v>
      </c>
      <c r="B3444" s="1">
        <v>6.0</v>
      </c>
      <c r="C3444" s="1" t="s">
        <v>10156</v>
      </c>
      <c r="E3444" s="1" t="s">
        <v>10157</v>
      </c>
      <c r="F3444" s="1" t="str">
        <f>IFERROR(__xludf.DUMMYFUNCTION("GOOGLETRANSLATE(A3444, ""zh-CN"", ""ko"")"),"최선을 다하세요")</f>
        <v>최선을 다하세요</v>
      </c>
    </row>
    <row r="3445" ht="15.75" customHeight="1">
      <c r="A3445" s="1" t="s">
        <v>10158</v>
      </c>
      <c r="B3445" s="1">
        <v>6.0</v>
      </c>
      <c r="C3445" s="1" t="s">
        <v>10159</v>
      </c>
      <c r="D3445" s="1" t="s">
        <v>16</v>
      </c>
      <c r="E3445" s="1" t="s">
        <v>10160</v>
      </c>
      <c r="F3445" s="1" t="str">
        <f>IFERROR(__xludf.DUMMYFUNCTION("GOOGLETRANSLATE(A3445, ""zh-CN"", ""ko"")"),"결정화")</f>
        <v>결정화</v>
      </c>
    </row>
    <row r="3446" ht="15.75" customHeight="1">
      <c r="A3446" s="1" t="s">
        <v>10161</v>
      </c>
      <c r="B3446" s="1">
        <v>6.0</v>
      </c>
      <c r="C3446" s="1" t="s">
        <v>10162</v>
      </c>
      <c r="D3446" s="1" t="s">
        <v>16</v>
      </c>
      <c r="E3446" s="1" t="s">
        <v>10163</v>
      </c>
      <c r="F3446" s="1" t="str">
        <f>IFERROR(__xludf.DUMMYFUNCTION("GOOGLETRANSLATE(A3446, ""zh-CN"", ""ko"")"),"종결")</f>
        <v>종결</v>
      </c>
    </row>
    <row r="3447" ht="15.75" customHeight="1">
      <c r="A3447" s="1" t="s">
        <v>10164</v>
      </c>
      <c r="B3447" s="1">
        <v>6.0</v>
      </c>
      <c r="C3447" s="1" t="s">
        <v>10165</v>
      </c>
      <c r="D3447" s="1" t="s">
        <v>8</v>
      </c>
      <c r="E3447" s="1" t="s">
        <v>10166</v>
      </c>
      <c r="F3447" s="1" t="str">
        <f>IFERROR(__xludf.DUMMYFUNCTION("GOOGLETRANSLATE(A3447, ""zh-CN"", ""ko"")"),"합의")</f>
        <v>합의</v>
      </c>
    </row>
    <row r="3448" ht="15.75" customHeight="1">
      <c r="A3448" s="1" t="s">
        <v>10167</v>
      </c>
      <c r="B3448" s="1">
        <v>6.0</v>
      </c>
      <c r="C3448" s="1" t="s">
        <v>10168</v>
      </c>
      <c r="D3448" s="1" t="s">
        <v>8</v>
      </c>
      <c r="E3448" s="1" t="s">
        <v>10169</v>
      </c>
      <c r="F3448" s="1" t="str">
        <f>IFERROR(__xludf.DUMMYFUNCTION("GOOGLETRANSLATE(A3448, ""zh-CN"", ""ko"")"),"사선")</f>
        <v>사선</v>
      </c>
    </row>
    <row r="3449" ht="15.75" customHeight="1">
      <c r="A3449" s="1" t="s">
        <v>10170</v>
      </c>
      <c r="B3449" s="1">
        <v>6.0</v>
      </c>
      <c r="C3449" s="1" t="s">
        <v>10171</v>
      </c>
      <c r="D3449" s="1" t="s">
        <v>8</v>
      </c>
      <c r="E3449" s="1" t="s">
        <v>10172</v>
      </c>
      <c r="F3449" s="1" t="str">
        <f>IFERROR(__xludf.DUMMYFUNCTION("GOOGLETRANSLATE(A3449, ""zh-CN"", ""ko"")"),"현재")</f>
        <v>현재</v>
      </c>
    </row>
    <row r="3450" ht="15.75" customHeight="1">
      <c r="A3450" s="1" t="s">
        <v>10173</v>
      </c>
      <c r="B3450" s="1">
        <v>6.0</v>
      </c>
      <c r="C3450" s="1" t="s">
        <v>10171</v>
      </c>
      <c r="D3450" s="1" t="s">
        <v>8</v>
      </c>
      <c r="E3450" s="1" t="s">
        <v>10174</v>
      </c>
      <c r="F3450" s="1" t="str">
        <f>IFERROR(__xludf.DUMMYFUNCTION("GOOGLETRANSLATE(A3450, ""zh-CN"", ""ko"")"),"제어")</f>
        <v>제어</v>
      </c>
    </row>
    <row r="3451" ht="15.75" customHeight="1">
      <c r="A3451" s="1" t="s">
        <v>10175</v>
      </c>
      <c r="B3451" s="1">
        <v>6.0</v>
      </c>
      <c r="C3451" s="1" t="s">
        <v>10176</v>
      </c>
      <c r="D3451" s="1" t="s">
        <v>16</v>
      </c>
      <c r="E3451" s="1" t="s">
        <v>10177</v>
      </c>
      <c r="F3451" s="1" t="str">
        <f>IFERROR(__xludf.DUMMYFUNCTION("GOOGLETRANSLATE(A3451, ""zh-CN"", ""ko"")"),"율")</f>
        <v>율</v>
      </c>
    </row>
    <row r="3452" ht="15.75" customHeight="1">
      <c r="A3452" s="1" t="s">
        <v>10178</v>
      </c>
      <c r="B3452" s="1">
        <v>6.0</v>
      </c>
      <c r="C3452" s="1" t="s">
        <v>10179</v>
      </c>
      <c r="D3452" s="1" t="s">
        <v>8</v>
      </c>
      <c r="E3452" s="1" t="s">
        <v>10180</v>
      </c>
      <c r="F3452" s="1" t="str">
        <f>IFERROR(__xludf.DUMMYFUNCTION("GOOGLETRANSLATE(A3452, ""zh-CN"", ""ko"")"),"풀어 주다")</f>
        <v>풀어 주다</v>
      </c>
    </row>
    <row r="3453" ht="15.75" customHeight="1">
      <c r="A3453" s="1" t="s">
        <v>10181</v>
      </c>
      <c r="B3453" s="1">
        <v>6.0</v>
      </c>
      <c r="C3453" s="1" t="s">
        <v>10182</v>
      </c>
      <c r="D3453" s="1" t="s">
        <v>8</v>
      </c>
      <c r="E3453" s="1" t="s">
        <v>10183</v>
      </c>
      <c r="F3453" s="1" t="str">
        <f>IFERROR(__xludf.DUMMYFUNCTION("GOOGLETRANSLATE(A3453, ""zh-CN"", ""ko"")"),"해방")</f>
        <v>해방</v>
      </c>
    </row>
    <row r="3454" ht="15.75" customHeight="1">
      <c r="A3454" s="1" t="s">
        <v>10184</v>
      </c>
      <c r="B3454" s="1">
        <v>6.0</v>
      </c>
      <c r="C3454" s="1" t="s">
        <v>10185</v>
      </c>
      <c r="D3454" s="1" t="s">
        <v>8</v>
      </c>
      <c r="E3454" s="1" t="s">
        <v>10186</v>
      </c>
      <c r="F3454" s="1" t="str">
        <f>IFERROR(__xludf.DUMMYFUNCTION("GOOGLETRANSLATE(A3454, ""zh-CN"", ""ko"")"),"해고하다")</f>
        <v>해고하다</v>
      </c>
    </row>
    <row r="3455" ht="15.75" customHeight="1">
      <c r="A3455" s="1" t="s">
        <v>10187</v>
      </c>
      <c r="B3455" s="1">
        <v>6.0</v>
      </c>
      <c r="C3455" s="1" t="s">
        <v>10188</v>
      </c>
      <c r="D3455" s="1" t="s">
        <v>8</v>
      </c>
      <c r="E3455" s="1" t="s">
        <v>10189</v>
      </c>
      <c r="F3455" s="1" t="str">
        <f>IFERROR(__xludf.DUMMYFUNCTION("GOOGLETRANSLATE(A3455, ""zh-CN"", ""ko"")"),"해부")</f>
        <v>해부</v>
      </c>
    </row>
    <row r="3456" ht="15.75" customHeight="1">
      <c r="A3456" s="1" t="s">
        <v>10190</v>
      </c>
      <c r="B3456" s="1">
        <v>6.0</v>
      </c>
      <c r="C3456" s="1" t="s">
        <v>10191</v>
      </c>
      <c r="D3456" s="1" t="s">
        <v>8</v>
      </c>
      <c r="E3456" s="1" t="s">
        <v>10192</v>
      </c>
      <c r="F3456" s="1" t="str">
        <f>IFERROR(__xludf.DUMMYFUNCTION("GOOGLETRANSLATE(A3456, ""zh-CN"", ""ko"")"),"해산하다")</f>
        <v>해산하다</v>
      </c>
    </row>
    <row r="3457" ht="15.75" customHeight="1">
      <c r="A3457" s="1" t="s">
        <v>10193</v>
      </c>
      <c r="B3457" s="1">
        <v>6.0</v>
      </c>
      <c r="C3457" s="1" t="s">
        <v>10194</v>
      </c>
      <c r="D3457" s="1" t="s">
        <v>8</v>
      </c>
      <c r="E3457" s="1" t="s">
        <v>10195</v>
      </c>
      <c r="F3457" s="1" t="str">
        <f>IFERROR(__xludf.DUMMYFUNCTION("GOOGLETRANSLATE(A3457, ""zh-CN"", ""ko"")"),"분해")</f>
        <v>분해</v>
      </c>
    </row>
    <row r="3458" ht="15.75" customHeight="1">
      <c r="A3458" s="1" t="s">
        <v>10196</v>
      </c>
      <c r="B3458" s="1">
        <v>6.0</v>
      </c>
      <c r="C3458" s="1" t="s">
        <v>10197</v>
      </c>
      <c r="D3458" s="1" t="s">
        <v>8</v>
      </c>
      <c r="E3458" s="1" t="s">
        <v>10198</v>
      </c>
      <c r="F3458" s="1" t="str">
        <f>IFERROR(__xludf.DUMMYFUNCTION("GOOGLETRANSLATE(A3458, ""zh-CN"", ""ko"")"),"알리다")</f>
        <v>알리다</v>
      </c>
    </row>
    <row r="3459" ht="15.75" customHeight="1">
      <c r="A3459" s="1" t="s">
        <v>10199</v>
      </c>
      <c r="B3459" s="1">
        <v>6.0</v>
      </c>
      <c r="C3459" s="1" t="s">
        <v>10200</v>
      </c>
      <c r="D3459" s="1" t="s">
        <v>8</v>
      </c>
      <c r="E3459" s="1" t="s">
        <v>10201</v>
      </c>
      <c r="F3459" s="1" t="str">
        <f>IFERROR(__xludf.DUMMYFUNCTION("GOOGLETRANSLATE(A3459, ""zh-CN"", ""ko"")"),"참조")</f>
        <v>참조</v>
      </c>
    </row>
    <row r="3460" ht="15.75" customHeight="1">
      <c r="A3460" s="1" t="s">
        <v>10202</v>
      </c>
      <c r="B3460" s="1">
        <v>6.0</v>
      </c>
      <c r="C3460" s="1" t="s">
        <v>10203</v>
      </c>
      <c r="D3460" s="1" t="s">
        <v>16</v>
      </c>
      <c r="E3460" s="1" t="s">
        <v>10204</v>
      </c>
      <c r="F3460" s="1" t="str">
        <f>IFERROR(__xludf.DUMMYFUNCTION("GOOGLETRANSLATE(A3460, ""zh-CN"", ""ko"")"),"한계")</f>
        <v>한계</v>
      </c>
    </row>
    <row r="3461" ht="15.75" customHeight="1">
      <c r="A3461" s="1" t="s">
        <v>10205</v>
      </c>
      <c r="B3461" s="1">
        <v>6.0</v>
      </c>
      <c r="C3461" s="1" t="s">
        <v>10206</v>
      </c>
      <c r="D3461" s="1" t="s">
        <v>8</v>
      </c>
      <c r="E3461" s="1" t="s">
        <v>10207</v>
      </c>
      <c r="F3461" s="1" t="str">
        <f>IFERROR(__xludf.DUMMYFUNCTION("GOOGLETRANSLATE(A3461, ""zh-CN"", ""ko"")"),"~의 도움으로")</f>
        <v>~의 도움으로</v>
      </c>
    </row>
    <row r="3462" ht="15.75" customHeight="1">
      <c r="A3462" s="1" t="s">
        <v>10208</v>
      </c>
      <c r="B3462" s="1">
        <v>6.0</v>
      </c>
      <c r="C3462" s="1" t="s">
        <v>10209</v>
      </c>
      <c r="E3462" s="1" t="s">
        <v>10210</v>
      </c>
      <c r="F3462" s="1" t="str">
        <f>IFERROR(__xludf.DUMMYFUNCTION("GOOGLETRANSLATE(A3462, ""zh-CN"", ""ko"")"),"즐기다")</f>
        <v>즐기다</v>
      </c>
    </row>
    <row r="3463" ht="15.75" customHeight="1">
      <c r="A3463" s="1" t="s">
        <v>10211</v>
      </c>
      <c r="B3463" s="1">
        <v>6.0</v>
      </c>
      <c r="C3463" s="1" t="s">
        <v>10212</v>
      </c>
      <c r="D3463" s="1" t="s">
        <v>16</v>
      </c>
      <c r="E3463" s="1" t="s">
        <v>10213</v>
      </c>
      <c r="F3463" s="1" t="str">
        <f>IFERROR(__xludf.DUMMYFUNCTION("GOOGLETRANSLATE(A3463, ""zh-CN"", ""ko"")"),"재원")</f>
        <v>재원</v>
      </c>
    </row>
    <row r="3464" ht="15.75" customHeight="1">
      <c r="A3464" s="1" t="s">
        <v>10214</v>
      </c>
      <c r="B3464" s="1">
        <v>6.0</v>
      </c>
      <c r="C3464" s="1" t="s">
        <v>10215</v>
      </c>
      <c r="D3464" s="1" t="s">
        <v>52</v>
      </c>
      <c r="E3464" s="1" t="s">
        <v>10216</v>
      </c>
      <c r="F3464" s="1" t="str">
        <f>IFERROR(__xludf.DUMMYFUNCTION("GOOGLETRANSLATE(A3464, ""zh-CN"", ""ko"")"),"긴급한")</f>
        <v>긴급한</v>
      </c>
    </row>
    <row r="3465" ht="15.75" customHeight="1">
      <c r="A3465" s="1" t="s">
        <v>10217</v>
      </c>
      <c r="B3465" s="1">
        <v>6.0</v>
      </c>
      <c r="C3465" s="1" t="s">
        <v>10218</v>
      </c>
      <c r="E3465" s="1" t="s">
        <v>10219</v>
      </c>
      <c r="F3465" s="1" t="str">
        <f>IFERROR(__xludf.DUMMYFUNCTION("GOOGLETRANSLATE(A3465, ""zh-CN"", ""ko"")"),"비단에 꽃을 더하다")</f>
        <v>비단에 꽃을 더하다</v>
      </c>
    </row>
    <row r="3466" ht="15.75" customHeight="1">
      <c r="A3466" s="1" t="s">
        <v>10220</v>
      </c>
      <c r="B3466" s="1">
        <v>6.0</v>
      </c>
      <c r="C3466" s="1" t="s">
        <v>10221</v>
      </c>
      <c r="D3466" s="1" t="s">
        <v>1473</v>
      </c>
      <c r="E3466" s="1" t="s">
        <v>10222</v>
      </c>
      <c r="F3466" s="1" t="str">
        <f>IFERROR(__xludf.DUMMYFUNCTION("GOOGLETRANSLATE(A3466, ""zh-CN"", ""ko"")"),"그런 다음")</f>
        <v>그런 다음</v>
      </c>
    </row>
    <row r="3467" ht="15.75" customHeight="1">
      <c r="A3467" s="1" t="s">
        <v>10223</v>
      </c>
      <c r="B3467" s="1">
        <v>6.0</v>
      </c>
      <c r="C3467" s="1" t="s">
        <v>10224</v>
      </c>
      <c r="D3467" s="1" t="s">
        <v>8</v>
      </c>
      <c r="E3467" s="1" t="s">
        <v>10225</v>
      </c>
      <c r="F3467" s="1" t="str">
        <f>IFERROR(__xludf.DUMMYFUNCTION("GOOGLETRANSLATE(A3467, ""zh-CN"", ""ko"")"),"공격")</f>
        <v>공격</v>
      </c>
    </row>
    <row r="3468" ht="15.75" customHeight="1">
      <c r="A3468" s="1" t="s">
        <v>10226</v>
      </c>
      <c r="B3468" s="1">
        <v>6.0</v>
      </c>
      <c r="C3468" s="1" t="s">
        <v>10227</v>
      </c>
      <c r="D3468" s="1" t="s">
        <v>8</v>
      </c>
      <c r="E3468" s="1" t="s">
        <v>10228</v>
      </c>
      <c r="F3468" s="1" t="str">
        <f>IFERROR(__xludf.DUMMYFUNCTION("GOOGLETRANSLATE(A3468, ""zh-CN"", ""ko"")"),"진화")</f>
        <v>진화</v>
      </c>
    </row>
    <row r="3469" ht="15.75" customHeight="1">
      <c r="A3469" s="1" t="s">
        <v>10229</v>
      </c>
      <c r="B3469" s="1">
        <v>6.0</v>
      </c>
      <c r="C3469" s="1" t="s">
        <v>10230</v>
      </c>
      <c r="D3469" s="1" t="s">
        <v>16</v>
      </c>
      <c r="E3469" s="1" t="s">
        <v>10231</v>
      </c>
      <c r="F3469" s="1" t="str">
        <f>IFERROR(__xludf.DUMMYFUNCTION("GOOGLETRANSLATE(A3469, ""zh-CN"", ""ko"")"),"최근에")</f>
        <v>최근에</v>
      </c>
    </row>
    <row r="3470" ht="15.75" customHeight="1">
      <c r="A3470" s="1" t="s">
        <v>10232</v>
      </c>
      <c r="B3470" s="1">
        <v>6.0</v>
      </c>
      <c r="C3470" s="1" t="s">
        <v>10233</v>
      </c>
      <c r="D3470" s="1" t="s">
        <v>8</v>
      </c>
      <c r="E3470" s="1" t="s">
        <v>10234</v>
      </c>
      <c r="F3470" s="1" t="str">
        <f>IFERROR(__xludf.DUMMYFUNCTION("GOOGLETRANSLATE(A3470, ""zh-CN"", ""ko"")"),"담그다")</f>
        <v>담그다</v>
      </c>
    </row>
    <row r="3471" ht="15.75" customHeight="1">
      <c r="A3471" s="1" t="s">
        <v>10235</v>
      </c>
      <c r="B3471" s="1">
        <v>6.0</v>
      </c>
      <c r="C3471" s="1" t="s">
        <v>10236</v>
      </c>
      <c r="D3471" s="1" t="s">
        <v>8</v>
      </c>
      <c r="E3471" s="1" t="s">
        <v>10237</v>
      </c>
      <c r="F3471" s="1" t="str">
        <f>IFERROR(__xludf.DUMMYFUNCTION("GOOGLETRANSLATE(A3471, ""zh-CN"", ""ko"")"),"홍보")</f>
        <v>홍보</v>
      </c>
    </row>
    <row r="3472" ht="15.75" customHeight="1">
      <c r="A3472" s="1" t="s">
        <v>10238</v>
      </c>
      <c r="B3472" s="1">
        <v>6.0</v>
      </c>
      <c r="C3472" s="1" t="s">
        <v>10239</v>
      </c>
      <c r="D3472" s="1" t="s">
        <v>16</v>
      </c>
      <c r="E3472" s="1" t="s">
        <v>10240</v>
      </c>
      <c r="F3472" s="1" t="str">
        <f>IFERROR(__xludf.DUMMYFUNCTION("GOOGLETRANSLATE(A3472, ""zh-CN"", ""ko"")"),"진전")</f>
        <v>진전</v>
      </c>
    </row>
    <row r="3473" ht="15.75" customHeight="1">
      <c r="A3473" s="1" t="s">
        <v>10241</v>
      </c>
      <c r="B3473" s="1">
        <v>6.0</v>
      </c>
      <c r="C3473" s="1" t="s">
        <v>10242</v>
      </c>
      <c r="D3473" s="1" t="s">
        <v>16</v>
      </c>
      <c r="E3473" s="1" t="s">
        <v>10243</v>
      </c>
      <c r="F3473" s="1" t="str">
        <f>IFERROR(__xludf.DUMMYFUNCTION("GOOGLETRANSLATE(A3473, ""zh-CN"", ""ko"")"),"줄기")</f>
        <v>줄기</v>
      </c>
    </row>
    <row r="3474" ht="15.75" customHeight="1">
      <c r="A3474" s="1" t="s">
        <v>10244</v>
      </c>
      <c r="B3474" s="1">
        <v>6.0</v>
      </c>
      <c r="C3474" s="1" t="s">
        <v>10245</v>
      </c>
      <c r="E3474" s="1" t="s">
        <v>10246</v>
      </c>
      <c r="F3474" s="1" t="str">
        <f>IFERROR(__xludf.DUMMYFUNCTION("GOOGLETRANSLATE(A3474, ""zh-CN"", ""ko"")"),"무성한")</f>
        <v>무성한</v>
      </c>
    </row>
    <row r="3475" ht="15.75" customHeight="1">
      <c r="A3475" s="1" t="s">
        <v>10247</v>
      </c>
      <c r="B3475" s="1">
        <v>6.0</v>
      </c>
      <c r="C3475" s="1" t="s">
        <v>10248</v>
      </c>
      <c r="D3475" s="1" t="s">
        <v>8</v>
      </c>
      <c r="E3475" s="1" t="s">
        <v>10249</v>
      </c>
      <c r="F3475" s="1" t="str">
        <f>IFERROR(__xludf.DUMMYFUNCTION("GOOGLETRANSLATE(A3475, ""zh-CN"", ""ko"")"),"방해하다")</f>
        <v>방해하다</v>
      </c>
    </row>
    <row r="3476" ht="15.75" customHeight="1">
      <c r="A3476" s="1" t="s">
        <v>10250</v>
      </c>
      <c r="B3476" s="1">
        <v>6.0</v>
      </c>
      <c r="C3476" s="1" t="s">
        <v>10251</v>
      </c>
      <c r="D3476" s="1" t="s">
        <v>16</v>
      </c>
      <c r="E3476" s="1" t="s">
        <v>10252</v>
      </c>
      <c r="F3476" s="1" t="str">
        <f>IFERROR(__xludf.DUMMYFUNCTION("GOOGLETRANSLATE(A3476, ""zh-CN"", ""ko"")"),"자금 조달")</f>
        <v>자금 조달</v>
      </c>
    </row>
    <row r="3477" ht="15.75" customHeight="1">
      <c r="A3477" s="1" t="s">
        <v>10253</v>
      </c>
      <c r="B3477" s="1">
        <v>6.0</v>
      </c>
      <c r="C3477" s="1" t="s">
        <v>10254</v>
      </c>
      <c r="D3477" s="1" t="s">
        <v>16</v>
      </c>
      <c r="E3477" s="1" t="s">
        <v>10255</v>
      </c>
      <c r="F3477" s="1" t="str">
        <f>IFERROR(__xludf.DUMMYFUNCTION("GOOGLETRANSLATE(A3477, ""zh-CN"", ""ko"")"),"본질")</f>
        <v>본질</v>
      </c>
    </row>
    <row r="3478" ht="15.75" customHeight="1">
      <c r="A3478" s="1" t="s">
        <v>10256</v>
      </c>
      <c r="B3478" s="1">
        <v>6.0</v>
      </c>
      <c r="C3478" s="1" t="s">
        <v>10257</v>
      </c>
      <c r="D3478" s="1" t="s">
        <v>8</v>
      </c>
      <c r="E3478" s="1" t="s">
        <v>10258</v>
      </c>
      <c r="F3478" s="1" t="str">
        <f>IFERROR(__xludf.DUMMYFUNCTION("GOOGLETRANSLATE(A3478, ""zh-CN"", ""ko"")"),"유선")</f>
        <v>유선</v>
      </c>
    </row>
    <row r="3479" ht="15.75" customHeight="1">
      <c r="A3479" s="1" t="s">
        <v>10259</v>
      </c>
      <c r="B3479" s="1">
        <v>6.0</v>
      </c>
      <c r="C3479" s="1" t="s">
        <v>10260</v>
      </c>
      <c r="E3479" s="1" t="s">
        <v>10261</v>
      </c>
      <c r="F3479" s="1" t="str">
        <f>IFERROR(__xludf.DUMMYFUNCTION("GOOGLETRANSLATE(A3479, ""zh-CN"", ""ko"")"),"양심적인")</f>
        <v>양심적인</v>
      </c>
    </row>
    <row r="3480" ht="15.75" customHeight="1">
      <c r="A3480" s="1" t="s">
        <v>10262</v>
      </c>
      <c r="B3480" s="1">
        <v>6.0</v>
      </c>
      <c r="C3480" s="1" t="s">
        <v>10263</v>
      </c>
      <c r="D3480" s="1" t="s">
        <v>52</v>
      </c>
      <c r="E3480" s="1" t="s">
        <v>10264</v>
      </c>
      <c r="F3480" s="1" t="str">
        <f>IFERROR(__xludf.DUMMYFUNCTION("GOOGLETRANSLATE(A3480, ""zh-CN"", ""ko"")"),"정도")</f>
        <v>정도</v>
      </c>
    </row>
    <row r="3481" ht="15.75" customHeight="1">
      <c r="A3481" s="1" t="s">
        <v>10265</v>
      </c>
      <c r="B3481" s="1">
        <v>6.0</v>
      </c>
      <c r="C3481" s="1" t="s">
        <v>10266</v>
      </c>
      <c r="D3481" s="1" t="s">
        <v>52</v>
      </c>
      <c r="E3481" s="1" t="s">
        <v>10267</v>
      </c>
      <c r="F3481" s="1" t="str">
        <f>IFERROR(__xludf.DUMMYFUNCTION("GOOGLETRANSLATE(A3481, ""zh-CN"", ""ko"")"),"놀라다")</f>
        <v>놀라다</v>
      </c>
    </row>
    <row r="3482" ht="15.75" customHeight="1">
      <c r="A3482" s="1" t="s">
        <v>10268</v>
      </c>
      <c r="B3482" s="1">
        <v>6.0</v>
      </c>
      <c r="C3482" s="1" t="s">
        <v>10269</v>
      </c>
      <c r="D3482" s="1" t="s">
        <v>52</v>
      </c>
      <c r="E3482" s="1" t="s">
        <v>10270</v>
      </c>
      <c r="F3482" s="1" t="str">
        <f>IFERROR(__xludf.DUMMYFUNCTION("GOOGLETRANSLATE(A3482, ""zh-CN"", ""ko"")"),"정확한")</f>
        <v>정확한</v>
      </c>
    </row>
    <row r="3483" ht="15.75" customHeight="1">
      <c r="A3483" s="1" t="s">
        <v>10271</v>
      </c>
      <c r="B3483" s="1">
        <v>6.0</v>
      </c>
      <c r="C3483" s="1" t="s">
        <v>10272</v>
      </c>
      <c r="D3483" s="1" t="s">
        <v>8</v>
      </c>
      <c r="E3483" s="1" t="s">
        <v>10273</v>
      </c>
      <c r="F3483" s="1" t="str">
        <f>IFERROR(__xludf.DUMMYFUNCTION("GOOGLETRANSLATE(A3483, ""zh-CN"", ""ko"")"),"능숙한")</f>
        <v>능숙한</v>
      </c>
    </row>
    <row r="3484" ht="15.75" customHeight="1">
      <c r="A3484" s="1" t="s">
        <v>10274</v>
      </c>
      <c r="B3484" s="1">
        <v>6.0</v>
      </c>
      <c r="C3484" s="1" t="s">
        <v>10275</v>
      </c>
      <c r="D3484" s="1" t="s">
        <v>16</v>
      </c>
      <c r="E3484" s="1" t="s">
        <v>10276</v>
      </c>
      <c r="F3484" s="1" t="str">
        <f>IFERROR(__xludf.DUMMYFUNCTION("GOOGLETRANSLATE(A3484, ""zh-CN"", ""ko"")"),"위도와 경도")</f>
        <v>위도와 경도</v>
      </c>
    </row>
    <row r="3485" ht="15.75" customHeight="1">
      <c r="A3485" s="1" t="s">
        <v>10277</v>
      </c>
      <c r="B3485" s="1">
        <v>6.0</v>
      </c>
      <c r="C3485" s="1" t="s">
        <v>10278</v>
      </c>
      <c r="D3485" s="1" t="s">
        <v>33</v>
      </c>
      <c r="E3485" s="1" t="s">
        <v>10279</v>
      </c>
      <c r="F3485" s="1" t="str">
        <f>IFERROR(__xludf.DUMMYFUNCTION("GOOGLETRANSLATE(A3485, ""zh-CN"", ""ko"")"),"주의하여")</f>
        <v>주의하여</v>
      </c>
    </row>
    <row r="3486" ht="15.75" customHeight="1">
      <c r="A3486" s="1" t="s">
        <v>10280</v>
      </c>
      <c r="B3486" s="1">
        <v>6.0</v>
      </c>
      <c r="C3486" s="1" t="s">
        <v>10281</v>
      </c>
      <c r="D3486" s="1" t="s">
        <v>52</v>
      </c>
      <c r="E3486" s="1" t="s">
        <v>10282</v>
      </c>
      <c r="F3486" s="1" t="str">
        <f>IFERROR(__xludf.DUMMYFUNCTION("GOOGLETRANSLATE(A3486, ""zh-CN"", ""ko"")"),"놀라다")</f>
        <v>놀라다</v>
      </c>
    </row>
    <row r="3487" ht="15.75" customHeight="1">
      <c r="A3487" s="1" t="s">
        <v>10283</v>
      </c>
      <c r="B3487" s="1">
        <v>6.0</v>
      </c>
      <c r="C3487" s="1" t="s">
        <v>10284</v>
      </c>
      <c r="E3487" s="1" t="s">
        <v>10285</v>
      </c>
      <c r="F3487" s="1" t="str">
        <f>IFERROR(__xludf.DUMMYFUNCTION("GOOGLETRANSLATE(A3487, ""zh-CN"", ""ko"")"),"탁월함을 추구하십시오")</f>
        <v>탁월함을 추구하십시오</v>
      </c>
    </row>
    <row r="3488" ht="15.75" customHeight="1">
      <c r="A3488" s="1" t="s">
        <v>10286</v>
      </c>
      <c r="B3488" s="1">
        <v>6.0</v>
      </c>
      <c r="C3488" s="1" t="s">
        <v>10287</v>
      </c>
      <c r="D3488" s="1" t="s">
        <v>52</v>
      </c>
      <c r="E3488" s="1" t="s">
        <v>10288</v>
      </c>
      <c r="F3488" s="1" t="str">
        <f>IFERROR(__xludf.DUMMYFUNCTION("GOOGLETRANSLATE(A3488, ""zh-CN"", ""ko"")"),"절묘한")</f>
        <v>절묘한</v>
      </c>
    </row>
    <row r="3489" ht="15.75" customHeight="1">
      <c r="A3489" s="1" t="s">
        <v>10289</v>
      </c>
      <c r="B3489" s="1">
        <v>6.0</v>
      </c>
      <c r="C3489" s="1" t="s">
        <v>10290</v>
      </c>
      <c r="D3489" s="1" t="s">
        <v>16</v>
      </c>
      <c r="E3489" s="1" t="s">
        <v>10291</v>
      </c>
      <c r="F3489" s="1" t="str">
        <f>IFERROR(__xludf.DUMMYFUNCTION("GOOGLETRANSLATE(A3489, ""zh-CN"", ""ko"")"),"잘")</f>
        <v>잘</v>
      </c>
    </row>
    <row r="3490" ht="15.75" customHeight="1">
      <c r="A3490" s="1" t="s">
        <v>10292</v>
      </c>
      <c r="B3490" s="1">
        <v>6.0</v>
      </c>
      <c r="C3490" s="1" t="s">
        <v>10293</v>
      </c>
      <c r="D3490" s="1" t="s">
        <v>8</v>
      </c>
      <c r="E3490" s="1" t="s">
        <v>10294</v>
      </c>
      <c r="F3490" s="1" t="str">
        <f>IFERROR(__xludf.DUMMYFUNCTION("GOOGLETRANSLATE(A3490, ""zh-CN"", ""ko"")"),"경고하다")</f>
        <v>경고하다</v>
      </c>
    </row>
    <row r="3491" ht="15.75" customHeight="1">
      <c r="A3491" s="1" t="s">
        <v>10295</v>
      </c>
      <c r="B3491" s="1">
        <v>6.0</v>
      </c>
      <c r="C3491" s="1" t="s">
        <v>10296</v>
      </c>
      <c r="D3491" s="1" t="s">
        <v>8</v>
      </c>
      <c r="E3491" s="1" t="s">
        <v>10297</v>
      </c>
      <c r="F3491" s="1" t="str">
        <f>IFERROR(__xludf.DUMMYFUNCTION("GOOGLETRANSLATE(A3491, ""zh-CN"", ""ko"")"),"알리다")</f>
        <v>알리다</v>
      </c>
    </row>
    <row r="3492" ht="15.75" customHeight="1">
      <c r="A3492" s="1" t="s">
        <v>10298</v>
      </c>
      <c r="B3492" s="1">
        <v>6.0</v>
      </c>
      <c r="C3492" s="1" t="s">
        <v>10299</v>
      </c>
      <c r="D3492" s="1" t="s">
        <v>16</v>
      </c>
      <c r="E3492" s="1" t="s">
        <v>10300</v>
      </c>
      <c r="F3492" s="1" t="str">
        <f>IFERROR(__xludf.DUMMYFUNCTION("GOOGLETRANSLATE(A3492, ""zh-CN"", ""ko"")"),"경추")</f>
        <v>경추</v>
      </c>
    </row>
    <row r="3493" ht="15.75" customHeight="1">
      <c r="A3493" s="1" t="s">
        <v>10301</v>
      </c>
      <c r="B3493" s="1">
        <v>6.0</v>
      </c>
      <c r="C3493" s="1" t="s">
        <v>10302</v>
      </c>
      <c r="D3493" s="1" t="s">
        <v>16</v>
      </c>
      <c r="E3493" s="1" t="s">
        <v>10303</v>
      </c>
      <c r="F3493" s="1" t="str">
        <f>IFERROR(__xludf.DUMMYFUNCTION("GOOGLETRANSLATE(A3493, ""zh-CN"", ""ko"")"),"왕국")</f>
        <v>왕국</v>
      </c>
    </row>
    <row r="3494" ht="15.75" customHeight="1">
      <c r="A3494" s="1" t="s">
        <v>10304</v>
      </c>
      <c r="B3494" s="1">
        <v>6.0</v>
      </c>
      <c r="C3494" s="1" t="s">
        <v>10305</v>
      </c>
      <c r="D3494" s="1" t="s">
        <v>8</v>
      </c>
      <c r="E3494" s="1" t="s">
        <v>10306</v>
      </c>
      <c r="F3494" s="1" t="str">
        <f>IFERROR(__xludf.DUMMYFUNCTION("GOOGLETRANSLATE(A3494, ""zh-CN"", ""ko"")"),"경례")</f>
        <v>경례</v>
      </c>
    </row>
    <row r="3495" ht="15.75" customHeight="1">
      <c r="A3495" s="1" t="s">
        <v>10307</v>
      </c>
      <c r="B3495" s="1">
        <v>6.0</v>
      </c>
      <c r="C3495" s="1" t="s">
        <v>10308</v>
      </c>
      <c r="D3495" s="1" t="s">
        <v>8</v>
      </c>
      <c r="E3495" s="1" t="s">
        <v>10309</v>
      </c>
      <c r="F3495" s="1" t="str">
        <f>IFERROR(__xludf.DUMMYFUNCTION("GOOGLETRANSLATE(A3495, ""zh-CN"", ""ko"")"),"경쟁")</f>
        <v>경쟁</v>
      </c>
    </row>
    <row r="3496" ht="15.75" customHeight="1">
      <c r="A3496" s="1" t="s">
        <v>10310</v>
      </c>
      <c r="B3496" s="1">
        <v>6.0</v>
      </c>
      <c r="C3496" s="1" t="s">
        <v>10311</v>
      </c>
      <c r="D3496" s="1" t="s">
        <v>16</v>
      </c>
      <c r="E3496" s="1" t="s">
        <v>10312</v>
      </c>
      <c r="F3496" s="1" t="str">
        <f>IFERROR(__xludf.DUMMYFUNCTION("GOOGLETRANSLATE(A3496, ""zh-CN"", ""ko"")"),"렌즈")</f>
        <v>렌즈</v>
      </c>
    </row>
    <row r="3497" ht="15.75" customHeight="1">
      <c r="A3497" s="1" t="s">
        <v>10313</v>
      </c>
      <c r="B3497" s="1">
        <v>6.0</v>
      </c>
      <c r="C3497" s="1" t="s">
        <v>10314</v>
      </c>
      <c r="D3497" s="1" t="s">
        <v>8</v>
      </c>
      <c r="E3497" s="1" t="s">
        <v>10315</v>
      </c>
      <c r="F3497" s="1" t="str">
        <f>IFERROR(__xludf.DUMMYFUNCTION("GOOGLETRANSLATE(A3497, ""zh-CN"", ""ko"")"),"선거")</f>
        <v>선거</v>
      </c>
    </row>
    <row r="3498" ht="15.75" customHeight="1">
      <c r="A3498" s="1" t="s">
        <v>10316</v>
      </c>
      <c r="B3498" s="1">
        <v>6.0</v>
      </c>
      <c r="C3498" s="1" t="s">
        <v>10317</v>
      </c>
      <c r="D3498" s="1" t="s">
        <v>8</v>
      </c>
      <c r="E3498" s="1" t="s">
        <v>10318</v>
      </c>
      <c r="F3498" s="1" t="str">
        <f>IFERROR(__xludf.DUMMYFUNCTION("GOOGLETRANSLATE(A3498, ""zh-CN"", ""ko"")"),"봉납")</f>
        <v>봉납</v>
      </c>
    </row>
    <row r="3499" ht="15.75" customHeight="1">
      <c r="A3499" s="1" t="s">
        <v>10319</v>
      </c>
      <c r="B3499" s="1">
        <v>6.0</v>
      </c>
      <c r="C3499" s="1" t="s">
        <v>10320</v>
      </c>
      <c r="D3499" s="1" t="s">
        <v>16</v>
      </c>
      <c r="E3499" s="1" t="s">
        <v>10321</v>
      </c>
      <c r="F3499" s="1" t="str">
        <f>IFERROR(__xludf.DUMMYFUNCTION("GOOGLETRANSLATE(A3499, ""zh-CN"", ""ko"")"),"논쟁")</f>
        <v>논쟁</v>
      </c>
    </row>
    <row r="3500" ht="15.75" customHeight="1">
      <c r="A3500" s="1" t="s">
        <v>10322</v>
      </c>
      <c r="B3500" s="1">
        <v>6.0</v>
      </c>
      <c r="C3500" s="1" t="s">
        <v>10323</v>
      </c>
      <c r="D3500" s="1" t="s">
        <v>8</v>
      </c>
      <c r="E3500" s="1" t="s">
        <v>10324</v>
      </c>
      <c r="F3500" s="1" t="str">
        <f>IFERROR(__xludf.DUMMYFUNCTION("GOOGLETRANSLATE(A3500, ""zh-CN"", ""ko"")"),"옳은")</f>
        <v>옳은</v>
      </c>
    </row>
    <row r="3501" ht="15.75" customHeight="1">
      <c r="A3501" s="1" t="s">
        <v>10325</v>
      </c>
      <c r="B3501" s="1">
        <v>6.0</v>
      </c>
      <c r="C3501" s="1" t="s">
        <v>10326</v>
      </c>
      <c r="D3501" s="1" t="s">
        <v>16</v>
      </c>
      <c r="E3501" s="1" t="s">
        <v>10327</v>
      </c>
      <c r="F3501" s="1" t="str">
        <f>IFERROR(__xludf.DUMMYFUNCTION("GOOGLETRANSLATE(A3501, ""zh-CN"", ""ko"")"),"술")</f>
        <v>술</v>
      </c>
    </row>
    <row r="3502" ht="15.75" customHeight="1">
      <c r="A3502" s="1" t="s">
        <v>10328</v>
      </c>
      <c r="B3502" s="1">
        <v>6.0</v>
      </c>
      <c r="C3502" s="1" t="s">
        <v>10329</v>
      </c>
      <c r="D3502" s="1" t="s">
        <v>8</v>
      </c>
      <c r="E3502" s="1" t="s">
        <v>10330</v>
      </c>
      <c r="F3502" s="1" t="str">
        <f>IFERROR(__xludf.DUMMYFUNCTION("GOOGLETRANSLATE(A3502, ""zh-CN"", ""ko"")"),"안도")</f>
        <v>안도</v>
      </c>
    </row>
    <row r="3503" ht="15.75" customHeight="1">
      <c r="A3503" s="1" t="s">
        <v>10331</v>
      </c>
      <c r="B3503" s="1">
        <v>6.0</v>
      </c>
      <c r="C3503" s="1" t="s">
        <v>10332</v>
      </c>
      <c r="D3503" s="1" t="s">
        <v>33</v>
      </c>
      <c r="E3503" s="1" t="s">
        <v>10333</v>
      </c>
      <c r="F3503" s="1" t="str">
        <f>IFERROR(__xludf.DUMMYFUNCTION("GOOGLETRANSLATE(A3503, ""zh-CN"", ""ko"")"),"가까운")</f>
        <v>가까운</v>
      </c>
    </row>
    <row r="3504" ht="15.75" customHeight="1">
      <c r="A3504" s="1" t="s">
        <v>10334</v>
      </c>
      <c r="B3504" s="1">
        <v>6.0</v>
      </c>
      <c r="C3504" s="1" t="s">
        <v>10335</v>
      </c>
      <c r="D3504" s="1" t="s">
        <v>8</v>
      </c>
      <c r="E3504" s="1" t="s">
        <v>10336</v>
      </c>
      <c r="F3504" s="1" t="str">
        <f>IFERROR(__xludf.DUMMYFUNCTION("GOOGLETRANSLATE(A3504, ""zh-CN"", ""ko"")"),"고용")</f>
        <v>고용</v>
      </c>
    </row>
    <row r="3505" ht="15.75" customHeight="1">
      <c r="A3505" s="1" t="s">
        <v>10337</v>
      </c>
      <c r="B3505" s="1">
        <v>6.0</v>
      </c>
      <c r="C3505" s="1" t="s">
        <v>10338</v>
      </c>
      <c r="D3505" s="1" t="s">
        <v>8</v>
      </c>
      <c r="E3505" s="1" t="s">
        <v>10339</v>
      </c>
      <c r="F3505" s="1" t="str">
        <f>IFERROR(__xludf.DUMMYFUNCTION("GOOGLETRANSLATE(A3505, ""zh-CN"", ""ko"")"),"직업")</f>
        <v>직업</v>
      </c>
    </row>
    <row r="3506" ht="15.75" customHeight="1">
      <c r="A3506" s="1" t="s">
        <v>10340</v>
      </c>
      <c r="B3506" s="1">
        <v>6.0</v>
      </c>
      <c r="C3506" s="1" t="s">
        <v>10341</v>
      </c>
      <c r="D3506" s="1" t="s">
        <v>8</v>
      </c>
      <c r="E3506" s="1" t="s">
        <v>10342</v>
      </c>
      <c r="F3506" s="1" t="str">
        <f>IFERROR(__xludf.DUMMYFUNCTION("GOOGLETRANSLATE(A3506, ""zh-CN"", ""ko"")"),"절하다")</f>
        <v>절하다</v>
      </c>
    </row>
    <row r="3507" ht="15.75" customHeight="1">
      <c r="A3507" s="1" t="s">
        <v>10343</v>
      </c>
      <c r="B3507" s="1">
        <v>6.0</v>
      </c>
      <c r="C3507" s="1" t="s">
        <v>10344</v>
      </c>
      <c r="D3507" s="1" t="s">
        <v>8</v>
      </c>
      <c r="E3507" s="1" t="s">
        <v>10345</v>
      </c>
      <c r="F3507" s="1" t="str">
        <f>IFERROR(__xludf.DUMMYFUNCTION("GOOGLETRANSLATE(A3507, ""zh-CN"", ""ko"")"),"구류")</f>
        <v>구류</v>
      </c>
    </row>
    <row r="3508" ht="15.75" customHeight="1">
      <c r="A3508" s="1" t="s">
        <v>10346</v>
      </c>
      <c r="B3508" s="1">
        <v>6.0</v>
      </c>
      <c r="C3508" s="1" t="s">
        <v>10347</v>
      </c>
      <c r="D3508" s="1" t="s">
        <v>16</v>
      </c>
      <c r="E3508" s="1" t="s">
        <v>10348</v>
      </c>
      <c r="F3508" s="1" t="str">
        <f>IFERROR(__xludf.DUMMYFUNCTION("GOOGLETRANSLATE(A3508, ""zh-CN"", ""ko"")"),"거주자")</f>
        <v>거주자</v>
      </c>
    </row>
    <row r="3509" ht="15.75" customHeight="1">
      <c r="A3509" s="1" t="s">
        <v>10349</v>
      </c>
      <c r="B3509" s="1">
        <v>6.0</v>
      </c>
      <c r="C3509" s="1" t="s">
        <v>10350</v>
      </c>
      <c r="D3509" s="1" t="s">
        <v>52</v>
      </c>
      <c r="E3509" s="1" t="s">
        <v>10351</v>
      </c>
      <c r="F3509" s="1" t="str">
        <f>IFERROR(__xludf.DUMMYFUNCTION("GOOGLETRANSLATE(A3509, ""zh-CN"", ""ko"")"),"억제된")</f>
        <v>억제된</v>
      </c>
    </row>
    <row r="3510" ht="15.75" customHeight="1">
      <c r="A3510" s="1" t="s">
        <v>10352</v>
      </c>
      <c r="B3510" s="1">
        <v>6.0</v>
      </c>
      <c r="C3510" s="1" t="s">
        <v>10353</v>
      </c>
      <c r="D3510" s="1" t="s">
        <v>8</v>
      </c>
      <c r="E3510" s="1" t="s">
        <v>10354</v>
      </c>
      <c r="F3510" s="1" t="str">
        <f>IFERROR(__xludf.DUMMYFUNCTION("GOOGLETRANSLATE(A3510, ""zh-CN"", ""ko"")"),"살다")</f>
        <v>살다</v>
      </c>
    </row>
    <row r="3511" ht="15.75" customHeight="1">
      <c r="A3511" s="1" t="s">
        <v>10355</v>
      </c>
      <c r="B3511" s="1">
        <v>6.0</v>
      </c>
      <c r="C3511" s="1" t="s">
        <v>10356</v>
      </c>
      <c r="D3511" s="1" t="s">
        <v>16</v>
      </c>
      <c r="E3511" s="1" t="s">
        <v>10357</v>
      </c>
      <c r="F3511" s="1" t="str">
        <f>IFERROR(__xludf.DUMMYFUNCTION("GOOGLETRANSLATE(A3511, ""zh-CN"", ""ko"")"),"현지의")</f>
        <v>현지의</v>
      </c>
    </row>
    <row r="3512" ht="15.75" customHeight="1">
      <c r="A3512" s="1" t="s">
        <v>10358</v>
      </c>
      <c r="B3512" s="1">
        <v>6.0</v>
      </c>
      <c r="C3512" s="1" t="s">
        <v>10359</v>
      </c>
      <c r="D3512" s="1" t="s">
        <v>16</v>
      </c>
      <c r="E3512" s="1" t="s">
        <v>10360</v>
      </c>
      <c r="F3512" s="1" t="str">
        <f>IFERROR(__xludf.DUMMYFUNCTION("GOOGLETRANSLATE(A3512, ""zh-CN"", ""ko"")"),"상황")</f>
        <v>상황</v>
      </c>
    </row>
    <row r="3513" ht="15.75" customHeight="1">
      <c r="A3513" s="1" t="s">
        <v>10361</v>
      </c>
      <c r="B3513" s="1">
        <v>6.0</v>
      </c>
      <c r="C3513" s="1" t="s">
        <v>10362</v>
      </c>
      <c r="D3513" s="1" t="s">
        <v>16</v>
      </c>
      <c r="E3513" s="1" t="s">
        <v>10363</v>
      </c>
      <c r="F3513" s="1" t="str">
        <f>IFERROR(__xludf.DUMMYFUNCTION("GOOGLETRANSLATE(A3513, ""zh-CN"", ""ko"")"),"상황")</f>
        <v>상황</v>
      </c>
    </row>
    <row r="3514" ht="15.75" customHeight="1">
      <c r="A3514" s="1" t="s">
        <v>10364</v>
      </c>
      <c r="B3514" s="1">
        <v>6.0</v>
      </c>
      <c r="C3514" s="1" t="s">
        <v>10365</v>
      </c>
      <c r="D3514" s="1" t="s">
        <v>8</v>
      </c>
      <c r="E3514" s="1" t="s">
        <v>10366</v>
      </c>
      <c r="F3514" s="1" t="str">
        <f>IFERROR(__xludf.DUMMYFUNCTION("GOOGLETRANSLATE(A3514, ""zh-CN"", ""ko"")"),"제한 사항")</f>
        <v>제한 사항</v>
      </c>
    </row>
    <row r="3515" ht="15.75" customHeight="1">
      <c r="A3515" s="1" t="s">
        <v>10367</v>
      </c>
      <c r="B3515" s="1">
        <v>6.0</v>
      </c>
      <c r="C3515" s="1" t="s">
        <v>10368</v>
      </c>
      <c r="D3515" s="1" t="s">
        <v>8</v>
      </c>
      <c r="E3515" s="1" t="s">
        <v>10369</v>
      </c>
      <c r="F3515" s="1" t="str">
        <f>IFERROR(__xludf.DUMMYFUNCTION("GOOGLETRANSLATE(A3515, ""zh-CN"", ""ko"")"),"이동하다")</f>
        <v>이동하다</v>
      </c>
    </row>
    <row r="3516" ht="15.75" customHeight="1">
      <c r="A3516" s="1" t="s">
        <v>10370</v>
      </c>
      <c r="B3516" s="1">
        <v>6.0</v>
      </c>
      <c r="C3516" s="1" t="s">
        <v>10371</v>
      </c>
      <c r="D3516" s="1" t="s">
        <v>8</v>
      </c>
      <c r="E3516" s="1" t="s">
        <v>10372</v>
      </c>
      <c r="F3516" s="1" t="str">
        <f>IFERROR(__xludf.DUMMYFUNCTION("GOOGLETRANSLATE(A3516, ""zh-CN"", ""ko"")"),"씹다")</f>
        <v>씹다</v>
      </c>
    </row>
    <row r="3517" ht="15.75" customHeight="1">
      <c r="A3517" s="1" t="s">
        <v>10373</v>
      </c>
      <c r="B3517" s="1">
        <v>6.0</v>
      </c>
      <c r="C3517" s="1" t="s">
        <v>10374</v>
      </c>
      <c r="D3517" s="1" t="s">
        <v>52</v>
      </c>
      <c r="E3517" s="1" t="s">
        <v>10375</v>
      </c>
      <c r="F3517" s="1" t="str">
        <f>IFERROR(__xludf.DUMMYFUNCTION("GOOGLETRANSLATE(A3517, ""zh-CN"", ""ko"")"),"좌절")</f>
        <v>좌절</v>
      </c>
    </row>
    <row r="3518" ht="15.75" customHeight="1">
      <c r="A3518" s="1" t="s">
        <v>10376</v>
      </c>
      <c r="B3518" s="1">
        <v>6.0</v>
      </c>
      <c r="C3518" s="1" t="s">
        <v>10377</v>
      </c>
      <c r="E3518" s="1" t="s">
        <v>10378</v>
      </c>
      <c r="F3518" s="1" t="str">
        <f>IFERROR(__xludf.DUMMYFUNCTION("GOOGLETRANSLATE(A3518, ""zh-CN"", ""ko"")"),"세계적으로 유명한")</f>
        <v>세계적으로 유명한</v>
      </c>
    </row>
    <row r="3519" ht="15.75" customHeight="1">
      <c r="A3519" s="1" t="s">
        <v>10379</v>
      </c>
      <c r="B3519" s="1">
        <v>6.0</v>
      </c>
      <c r="C3519" s="1" t="s">
        <v>10380</v>
      </c>
      <c r="E3519" s="1" t="s">
        <v>10381</v>
      </c>
      <c r="F3519" s="1" t="str">
        <f>IFERROR(__xludf.DUMMYFUNCTION("GOOGLETRANSLATE(A3519, ""zh-CN"", ""ko"")"),"추축 같은")</f>
        <v>추축 같은</v>
      </c>
    </row>
    <row r="3520" ht="15.75" customHeight="1">
      <c r="A3520" s="1" t="s">
        <v>10382</v>
      </c>
      <c r="B3520" s="1">
        <v>6.0</v>
      </c>
      <c r="C3520" s="1" t="s">
        <v>10383</v>
      </c>
      <c r="D3520" s="1" t="s">
        <v>16</v>
      </c>
      <c r="E3520" s="1" t="s">
        <v>10384</v>
      </c>
      <c r="F3520" s="1" t="str">
        <f>IFERROR(__xludf.DUMMYFUNCTION("GOOGLETRANSLATE(A3520, ""zh-CN"", ""ko"")"),"스크립트")</f>
        <v>스크립트</v>
      </c>
    </row>
    <row r="3521" ht="15.75" customHeight="1">
      <c r="A3521" s="1" t="s">
        <v>10385</v>
      </c>
      <c r="B3521" s="1">
        <v>6.0</v>
      </c>
      <c r="C3521" s="1" t="s">
        <v>10386</v>
      </c>
      <c r="E3521" s="1" t="s">
        <v>10387</v>
      </c>
      <c r="F3521" s="1" t="str">
        <f>IFERROR(__xludf.DUMMYFUNCTION("GOOGLETRANSLATE(A3521, ""zh-CN"", ""ko"")"),"집중하다")</f>
        <v>집중하다</v>
      </c>
    </row>
    <row r="3522" ht="15.75" customHeight="1">
      <c r="A3522" s="1" t="s">
        <v>10388</v>
      </c>
      <c r="B3522" s="1">
        <v>6.0</v>
      </c>
      <c r="C3522" s="1" t="s">
        <v>10389</v>
      </c>
      <c r="D3522" s="1" t="s">
        <v>52</v>
      </c>
      <c r="E3522" s="1" t="s">
        <v>10390</v>
      </c>
      <c r="F3522" s="1" t="str">
        <f>IFERROR(__xludf.DUMMYFUNCTION("GOOGLETRANSLATE(A3522, ""zh-CN"", ""ko"")"),"극심한")</f>
        <v>극심한</v>
      </c>
    </row>
    <row r="3523" ht="15.75" customHeight="1">
      <c r="A3523" s="1" t="s">
        <v>10391</v>
      </c>
      <c r="B3523" s="1">
        <v>6.0</v>
      </c>
      <c r="C3523" s="1" t="s">
        <v>10392</v>
      </c>
      <c r="D3523" s="1" t="s">
        <v>8</v>
      </c>
      <c r="E3523" s="1" t="s">
        <v>10393</v>
      </c>
      <c r="F3523" s="1" t="str">
        <f>IFERROR(__xludf.DUMMYFUNCTION("GOOGLETRANSLATE(A3523, ""zh-CN"", ""ko"")"),"보도에 따르면")</f>
        <v>보도에 따르면</v>
      </c>
    </row>
    <row r="3524" ht="15.75" customHeight="1">
      <c r="A3524" s="1" t="s">
        <v>10394</v>
      </c>
      <c r="B3524" s="1">
        <v>6.0</v>
      </c>
      <c r="C3524" s="1" t="s">
        <v>10395</v>
      </c>
      <c r="D3524" s="1" t="s">
        <v>26</v>
      </c>
      <c r="E3524" s="1" t="s">
        <v>10396</v>
      </c>
      <c r="F3524" s="1" t="str">
        <f>IFERROR(__xludf.DUMMYFUNCTION("GOOGLETRANSLATE(A3524, ""zh-CN"", ""ko"")"),"연타")</f>
        <v>연타</v>
      </c>
    </row>
    <row r="3525" ht="15.75" customHeight="1">
      <c r="A3525" s="1" t="s">
        <v>10397</v>
      </c>
      <c r="B3525" s="1">
        <v>6.0</v>
      </c>
      <c r="C3525" s="1" t="s">
        <v>10398</v>
      </c>
      <c r="D3525" s="1" t="s">
        <v>8</v>
      </c>
      <c r="E3525" s="1" t="s">
        <v>10399</v>
      </c>
      <c r="F3525" s="1" t="str">
        <f>IFERROR(__xludf.DUMMYFUNCTION("GOOGLETRANSLATE(A3525, ""zh-CN"", ""ko"")"),"의사 결정")</f>
        <v>의사 결정</v>
      </c>
    </row>
    <row r="3526" ht="15.75" customHeight="1">
      <c r="A3526" s="1" t="s">
        <v>10400</v>
      </c>
      <c r="B3526" s="1">
        <v>6.0</v>
      </c>
      <c r="C3526" s="1" t="s">
        <v>10401</v>
      </c>
      <c r="D3526" s="1" t="s">
        <v>8</v>
      </c>
      <c r="E3526" s="1" t="s">
        <v>10402</v>
      </c>
      <c r="F3526" s="1" t="str">
        <f>IFERROR(__xludf.DUMMYFUNCTION("GOOGLETRANSLATE(A3526, ""zh-CN"", ""ko"")"),"절망")</f>
        <v>절망</v>
      </c>
    </row>
    <row r="3527" ht="15.75" customHeight="1">
      <c r="A3527" s="1" t="s">
        <v>10403</v>
      </c>
      <c r="B3527" s="1">
        <v>6.0</v>
      </c>
      <c r="C3527" s="1" t="s">
        <v>10404</v>
      </c>
      <c r="D3527" s="1" t="s">
        <v>113</v>
      </c>
      <c r="E3527" s="1" t="s">
        <v>10405</v>
      </c>
      <c r="F3527" s="1" t="str">
        <f>IFERROR(__xludf.DUMMYFUNCTION("GOOGLETRANSLATE(A3527, ""zh-CN"", ""ko"")"),"의식")</f>
        <v>의식</v>
      </c>
    </row>
    <row r="3528" ht="15.75" customHeight="1">
      <c r="A3528" s="1" t="s">
        <v>10406</v>
      </c>
      <c r="B3528" s="1">
        <v>6.0</v>
      </c>
      <c r="C3528" s="1" t="s">
        <v>10407</v>
      </c>
      <c r="D3528" s="1" t="s">
        <v>8</v>
      </c>
      <c r="E3528" s="1" t="s">
        <v>10408</v>
      </c>
      <c r="F3528" s="1" t="str">
        <f>IFERROR(__xludf.DUMMYFUNCTION("GOOGLETRANSLATE(A3528, ""zh-CN"", ""ko"")"),"각성")</f>
        <v>각성</v>
      </c>
    </row>
    <row r="3529" ht="15.75" customHeight="1">
      <c r="A3529" s="1" t="s">
        <v>10409</v>
      </c>
      <c r="B3529" s="1">
        <v>6.0</v>
      </c>
      <c r="C3529" s="1" t="s">
        <v>10410</v>
      </c>
      <c r="D3529" s="1" t="s">
        <v>16</v>
      </c>
      <c r="E3529" s="1" t="s">
        <v>10411</v>
      </c>
      <c r="F3529" s="1" t="str">
        <f>IFERROR(__xludf.DUMMYFUNCTION("GOOGLETRANSLATE(A3529, ""zh-CN"", ""ko"")"),"군대")</f>
        <v>군대</v>
      </c>
    </row>
    <row r="3530" ht="15.75" customHeight="1">
      <c r="A3530" s="1" t="s">
        <v>10412</v>
      </c>
      <c r="B3530" s="1">
        <v>6.0</v>
      </c>
      <c r="C3530" s="1" t="s">
        <v>10413</v>
      </c>
      <c r="D3530" s="1" t="s">
        <v>16</v>
      </c>
      <c r="E3530" s="1" t="s">
        <v>10414</v>
      </c>
      <c r="F3530" s="1" t="str">
        <f>IFERROR(__xludf.DUMMYFUNCTION("GOOGLETRANSLATE(A3530, ""zh-CN"", ""ko"")"),"신사")</f>
        <v>신사</v>
      </c>
    </row>
    <row r="3531" ht="15.75" customHeight="1">
      <c r="A3531" s="1" t="s">
        <v>10415</v>
      </c>
      <c r="B3531" s="1">
        <v>6.0</v>
      </c>
      <c r="C3531" s="1" t="s">
        <v>10416</v>
      </c>
      <c r="D3531" s="1" t="s">
        <v>16</v>
      </c>
      <c r="E3531" s="1" t="s">
        <v>4211</v>
      </c>
      <c r="F3531" s="1" t="str">
        <f>IFERROR(__xludf.DUMMYFUNCTION("GOOGLETRANSLATE(A3531, ""zh-CN"", ""ko"")"),"만화")</f>
        <v>만화</v>
      </c>
    </row>
    <row r="3532" ht="15.75" customHeight="1">
      <c r="A3532" s="1" t="s">
        <v>10417</v>
      </c>
      <c r="B3532" s="1">
        <v>6.0</v>
      </c>
      <c r="C3532" s="1" t="s">
        <v>10418</v>
      </c>
      <c r="D3532" s="1" t="s">
        <v>8</v>
      </c>
      <c r="E3532" s="1" t="s">
        <v>10419</v>
      </c>
      <c r="F3532" s="1" t="str">
        <f>IFERROR(__xludf.DUMMYFUNCTION("GOOGLETRANSLATE(A3532, ""zh-CN"", ""ko"")"),"채광")</f>
        <v>채광</v>
      </c>
    </row>
    <row r="3533" ht="15.75" customHeight="1">
      <c r="A3533" s="1" t="s">
        <v>10420</v>
      </c>
      <c r="B3533" s="1">
        <v>6.0</v>
      </c>
      <c r="C3533" s="1" t="s">
        <v>10421</v>
      </c>
      <c r="D3533" s="1" t="s">
        <v>8</v>
      </c>
      <c r="E3533" s="1" t="s">
        <v>10422</v>
      </c>
      <c r="F3533" s="1" t="str">
        <f>IFERROR(__xludf.DUMMYFUNCTION("GOOGLETRANSLATE(A3533, ""zh-CN"", ""ko"")"),"제명")</f>
        <v>제명</v>
      </c>
    </row>
    <row r="3534" ht="15.75" customHeight="1">
      <c r="A3534" s="1" t="s">
        <v>10423</v>
      </c>
      <c r="B3534" s="1">
        <v>6.0</v>
      </c>
      <c r="C3534" s="1" t="s">
        <v>10424</v>
      </c>
      <c r="D3534" s="1" t="s">
        <v>52</v>
      </c>
      <c r="E3534" s="1" t="s">
        <v>10425</v>
      </c>
      <c r="F3534" s="1" t="str">
        <f>IFERROR(__xludf.DUMMYFUNCTION("GOOGLETRANSLATE(A3534, ""zh-CN"", ""ko"")"),"열려 있는")</f>
        <v>열려 있는</v>
      </c>
    </row>
    <row r="3535" ht="15.75" customHeight="1">
      <c r="A3535" s="1" t="s">
        <v>10426</v>
      </c>
      <c r="B3535" s="1">
        <v>6.0</v>
      </c>
      <c r="C3535" s="1" t="s">
        <v>10427</v>
      </c>
      <c r="D3535" s="1" t="s">
        <v>52</v>
      </c>
      <c r="E3535" s="1" t="s">
        <v>10428</v>
      </c>
      <c r="F3535" s="1" t="str">
        <f>IFERROR(__xludf.DUMMYFUNCTION("GOOGLETRANSLATE(A3535, ""zh-CN"", ""ko"")"),"쾌활한")</f>
        <v>쾌활한</v>
      </c>
    </row>
    <row r="3536" ht="15.75" customHeight="1">
      <c r="A3536" s="1" t="s">
        <v>10429</v>
      </c>
      <c r="B3536" s="1">
        <v>6.0</v>
      </c>
      <c r="C3536" s="1" t="s">
        <v>10430</v>
      </c>
      <c r="D3536" s="1" t="s">
        <v>52</v>
      </c>
      <c r="E3536" s="1" t="s">
        <v>10431</v>
      </c>
      <c r="F3536" s="1" t="str">
        <f>IFERROR(__xludf.DUMMYFUNCTION("GOOGLETRANSLATE(A3536, ""zh-CN"", ""ko"")"),"밝은")</f>
        <v>밝은</v>
      </c>
    </row>
    <row r="3537" ht="15.75" customHeight="1">
      <c r="A3537" s="1" t="s">
        <v>10432</v>
      </c>
      <c r="B3537" s="1">
        <v>6.0</v>
      </c>
      <c r="C3537" s="1" t="s">
        <v>10433</v>
      </c>
      <c r="D3537" s="1" t="s">
        <v>8</v>
      </c>
      <c r="E3537" s="1" t="s">
        <v>10434</v>
      </c>
      <c r="F3537" s="1" t="str">
        <f>IFERROR(__xludf.DUMMYFUNCTION("GOOGLETRANSLATE(A3537, ""zh-CN"", ""ko"")"),"열다")</f>
        <v>열다</v>
      </c>
    </row>
    <row r="3538" ht="15.75" customHeight="1">
      <c r="A3538" s="1" t="s">
        <v>10435</v>
      </c>
      <c r="B3538" s="1">
        <v>6.0</v>
      </c>
      <c r="C3538" s="1" t="s">
        <v>10436</v>
      </c>
      <c r="D3538" s="1" t="s">
        <v>8</v>
      </c>
      <c r="E3538" s="1" t="s">
        <v>10437</v>
      </c>
      <c r="F3538" s="1" t="str">
        <f>IFERROR(__xludf.DUMMYFUNCTION("GOOGLETRANSLATE(A3538, ""zh-CN"", ""ko"")"),"열다")</f>
        <v>열다</v>
      </c>
    </row>
    <row r="3539" ht="15.75" customHeight="1">
      <c r="A3539" s="1" t="s">
        <v>10438</v>
      </c>
      <c r="B3539" s="1">
        <v>6.0</v>
      </c>
      <c r="C3539" s="1" t="s">
        <v>10439</v>
      </c>
      <c r="D3539" s="1" t="s">
        <v>8</v>
      </c>
      <c r="E3539" s="1" t="s">
        <v>10440</v>
      </c>
      <c r="F3539" s="1" t="str">
        <f>IFERROR(__xludf.DUMMYFUNCTION("GOOGLETRANSLATE(A3539, ""zh-CN"", ""ko"")"),"실행하다")</f>
        <v>실행하다</v>
      </c>
    </row>
    <row r="3540" ht="15.75" customHeight="1">
      <c r="A3540" s="1" t="s">
        <v>10441</v>
      </c>
      <c r="B3540" s="1">
        <v>6.0</v>
      </c>
      <c r="C3540" s="1" t="s">
        <v>10442</v>
      </c>
      <c r="D3540" s="1" t="s">
        <v>16</v>
      </c>
      <c r="E3540" s="1" t="s">
        <v>10443</v>
      </c>
      <c r="F3540" s="1" t="str">
        <f>IFERROR(__xludf.DUMMYFUNCTION("GOOGLETRANSLATE(A3540, ""zh-CN"", ""ko"")"),"지출")</f>
        <v>지출</v>
      </c>
    </row>
    <row r="3541" ht="15.75" customHeight="1">
      <c r="A3541" s="1" t="s">
        <v>10444</v>
      </c>
      <c r="B3541" s="1">
        <v>6.0</v>
      </c>
      <c r="C3541" s="1" t="s">
        <v>10445</v>
      </c>
      <c r="D3541" s="1" t="s">
        <v>8</v>
      </c>
      <c r="E3541" s="1" t="s">
        <v>10446</v>
      </c>
      <c r="F3541" s="1" t="str">
        <f>IFERROR(__xludf.DUMMYFUNCTION("GOOGLETRANSLATE(A3541, ""zh-CN"", ""ko"")"),"게시")</f>
        <v>게시</v>
      </c>
    </row>
    <row r="3542" ht="15.75" customHeight="1">
      <c r="A3542" s="1" t="s">
        <v>10447</v>
      </c>
      <c r="B3542" s="1">
        <v>6.0</v>
      </c>
      <c r="C3542" s="1" t="s">
        <v>10448</v>
      </c>
      <c r="D3542" s="1" t="s">
        <v>8</v>
      </c>
      <c r="E3542" s="1" t="s">
        <v>10449</v>
      </c>
      <c r="F3542" s="1" t="str">
        <f>IFERROR(__xludf.DUMMYFUNCTION("GOOGLETRANSLATE(A3542, ""zh-CN"", ""ko"")"),"탐구")</f>
        <v>탐구</v>
      </c>
    </row>
    <row r="3543" ht="15.75" customHeight="1">
      <c r="A3543" s="1" t="s">
        <v>10450</v>
      </c>
      <c r="B3543" s="1">
        <v>6.0</v>
      </c>
      <c r="C3543" s="1" t="s">
        <v>10451</v>
      </c>
      <c r="D3543" s="1" t="s">
        <v>16</v>
      </c>
      <c r="E3543" s="1" t="s">
        <v>10452</v>
      </c>
      <c r="F3543" s="1" t="str">
        <f>IFERROR(__xludf.DUMMYFUNCTION("GOOGLETRANSLATE(A3543, ""zh-CN"", ""ko"")"),"출판")</f>
        <v>출판</v>
      </c>
    </row>
    <row r="3544" ht="15.75" customHeight="1">
      <c r="A3544" s="1" t="s">
        <v>10453</v>
      </c>
      <c r="B3544" s="1">
        <v>6.0</v>
      </c>
      <c r="C3544" s="1" t="s">
        <v>10454</v>
      </c>
      <c r="D3544" s="1" t="s">
        <v>8</v>
      </c>
      <c r="E3544" s="1" t="s">
        <v>10455</v>
      </c>
      <c r="F3544" s="1" t="str">
        <f>IFERROR(__xludf.DUMMYFUNCTION("GOOGLETRANSLATE(A3544, ""zh-CN"", ""ko"")"),"벌채 반출")</f>
        <v>벌채 반출</v>
      </c>
    </row>
    <row r="3545" ht="15.75" customHeight="1">
      <c r="A3545" s="1" t="s">
        <v>10456</v>
      </c>
      <c r="B3545" s="1">
        <v>6.0</v>
      </c>
      <c r="C3545" s="1" t="s">
        <v>10457</v>
      </c>
      <c r="E3545" s="1" t="s">
        <v>10458</v>
      </c>
      <c r="F3545" s="1" t="str">
        <f>IFERROR(__xludf.DUMMYFUNCTION("GOOGLETRANSLATE(A3545, ""zh-CN"", ""ko"")"),"유창하게 말하다")</f>
        <v>유창하게 말하다</v>
      </c>
    </row>
    <row r="3546" ht="15.75" customHeight="1">
      <c r="A3546" s="1" t="s">
        <v>10459</v>
      </c>
      <c r="B3546" s="1">
        <v>6.0</v>
      </c>
      <c r="C3546" s="1" t="s">
        <v>10460</v>
      </c>
      <c r="D3546" s="1" t="s">
        <v>8</v>
      </c>
      <c r="E3546" s="1" t="s">
        <v>10461</v>
      </c>
      <c r="F3546" s="1" t="str">
        <f>IFERROR(__xludf.DUMMYFUNCTION("GOOGLETRANSLATE(A3546, ""zh-CN"", ""ko"")"),"보다")</f>
        <v>보다</v>
      </c>
    </row>
    <row r="3547" ht="15.75" customHeight="1">
      <c r="A3547" s="1" t="s">
        <v>10462</v>
      </c>
      <c r="B3547" s="1">
        <v>6.0</v>
      </c>
      <c r="C3547" s="1" t="s">
        <v>10463</v>
      </c>
      <c r="D3547" s="1" t="s">
        <v>52</v>
      </c>
      <c r="E3547" s="1" t="s">
        <v>10464</v>
      </c>
      <c r="F3547" s="1" t="str">
        <f>IFERROR(__xludf.DUMMYFUNCTION("GOOGLETRANSLATE(A3547, ""zh-CN"", ""ko"")"),"관대한")</f>
        <v>관대한</v>
      </c>
    </row>
    <row r="3548" ht="15.75" customHeight="1">
      <c r="A3548" s="1" t="s">
        <v>10465</v>
      </c>
      <c r="B3548" s="1">
        <v>6.0</v>
      </c>
      <c r="C3548" s="1" t="s">
        <v>10466</v>
      </c>
      <c r="D3548" s="1" t="s">
        <v>8</v>
      </c>
      <c r="E3548" s="1" t="s">
        <v>10467</v>
      </c>
      <c r="F3548" s="1" t="str">
        <f>IFERROR(__xludf.DUMMYFUNCTION("GOOGLETRANSLATE(A3548, ""zh-CN"", ""ko"")"),"나르다")</f>
        <v>나르다</v>
      </c>
    </row>
    <row r="3549" ht="15.75" customHeight="1">
      <c r="A3549" s="1" t="s">
        <v>10468</v>
      </c>
      <c r="B3549" s="1">
        <v>6.0</v>
      </c>
      <c r="C3549" s="1" t="s">
        <v>10469</v>
      </c>
      <c r="D3549" s="1" t="s">
        <v>8</v>
      </c>
      <c r="E3549" s="1" t="s">
        <v>10470</v>
      </c>
      <c r="F3549" s="1" t="str">
        <f>IFERROR(__xludf.DUMMYFUNCTION("GOOGLETRANSLATE(A3549, ""zh-CN"", ""ko"")"),"항의")</f>
        <v>항의</v>
      </c>
    </row>
    <row r="3550" ht="15.75" customHeight="1">
      <c r="A3550" s="1" t="s">
        <v>10471</v>
      </c>
      <c r="B3550" s="1">
        <v>6.0</v>
      </c>
      <c r="C3550" s="1" t="s">
        <v>10472</v>
      </c>
      <c r="D3550" s="1" t="s">
        <v>8</v>
      </c>
      <c r="E3550" s="1" t="s">
        <v>10473</v>
      </c>
      <c r="F3550" s="1" t="str">
        <f>IFERROR(__xludf.DUMMYFUNCTION("GOOGLETRANSLATE(A3550, ""zh-CN"", ""ko"")"),"조사")</f>
        <v>조사</v>
      </c>
    </row>
    <row r="3551" ht="15.75" customHeight="1">
      <c r="A3551" s="1" t="s">
        <v>10474</v>
      </c>
      <c r="B3551" s="1">
        <v>6.0</v>
      </c>
      <c r="C3551" s="1" t="s">
        <v>10475</v>
      </c>
      <c r="D3551" s="1" t="s">
        <v>8</v>
      </c>
      <c r="E3551" s="1" t="s">
        <v>10476</v>
      </c>
      <c r="F3551" s="1" t="str">
        <f>IFERROR(__xludf.DUMMYFUNCTION("GOOGLETRANSLATE(A3551, ""zh-CN"", ""ko"")"),"고고학")</f>
        <v>고고학</v>
      </c>
    </row>
    <row r="3552" ht="15.75" customHeight="1">
      <c r="A3552" s="1" t="s">
        <v>10477</v>
      </c>
      <c r="B3552" s="1">
        <v>6.0</v>
      </c>
      <c r="C3552" s="1" t="s">
        <v>10478</v>
      </c>
      <c r="D3552" s="1" t="s">
        <v>8</v>
      </c>
      <c r="E3552" s="1" t="s">
        <v>10479</v>
      </c>
      <c r="F3552" s="1" t="str">
        <f>IFERROR(__xludf.DUMMYFUNCTION("GOOGLETRANSLATE(A3552, ""zh-CN"", ""ko"")"),"평가")</f>
        <v>평가</v>
      </c>
    </row>
    <row r="3553" ht="15.75" customHeight="1">
      <c r="A3553" s="1" t="s">
        <v>10480</v>
      </c>
      <c r="B3553" s="1">
        <v>6.0</v>
      </c>
      <c r="C3553" s="1" t="s">
        <v>10481</v>
      </c>
      <c r="D3553" s="1" t="s">
        <v>8</v>
      </c>
      <c r="E3553" s="1" t="s">
        <v>10482</v>
      </c>
      <c r="F3553" s="1" t="str">
        <f>IFERROR(__xludf.DUMMYFUNCTION("GOOGLETRANSLATE(A3553, ""zh-CN"", ""ko"")"),"시험")</f>
        <v>시험</v>
      </c>
    </row>
    <row r="3554" ht="15.75" customHeight="1">
      <c r="A3554" s="1" t="s">
        <v>10483</v>
      </c>
      <c r="B3554" s="1">
        <v>6.0</v>
      </c>
      <c r="C3554" s="1" t="s">
        <v>10484</v>
      </c>
      <c r="D3554" s="1" t="s">
        <v>8</v>
      </c>
      <c r="E3554" s="1" t="s">
        <v>10485</v>
      </c>
      <c r="F3554" s="1" t="str">
        <f>IFERROR(__xludf.DUMMYFUNCTION("GOOGLETRANSLATE(A3554, ""zh-CN"", ""ko"")"),"더 가까이")</f>
        <v>더 가까이</v>
      </c>
    </row>
    <row r="3555" ht="15.75" customHeight="1">
      <c r="A3555" s="1" t="s">
        <v>10486</v>
      </c>
      <c r="B3555" s="1">
        <v>6.0</v>
      </c>
      <c r="C3555" s="1" t="s">
        <v>2514</v>
      </c>
      <c r="D3555" s="1" t="s">
        <v>8</v>
      </c>
      <c r="E3555" s="1" t="s">
        <v>10487</v>
      </c>
      <c r="F3555" s="1" t="str">
        <f>IFERROR(__xludf.DUMMYFUNCTION("GOOGLETRANSLATE(A3555, ""zh-CN"", ""ko"")"),"노크")</f>
        <v>노크</v>
      </c>
    </row>
    <row r="3556" ht="15.75" customHeight="1">
      <c r="A3556" s="1" t="s">
        <v>10488</v>
      </c>
      <c r="B3556" s="1">
        <v>6.0</v>
      </c>
      <c r="C3556" s="1" t="s">
        <v>10489</v>
      </c>
      <c r="D3556" s="1" t="s">
        <v>16</v>
      </c>
      <c r="E3556" s="1" t="s">
        <v>10490</v>
      </c>
      <c r="F3556" s="1" t="str">
        <f>IFERROR(__xludf.DUMMYFUNCTION("GOOGLETRANSLATE(A3556, ""zh-CN"", ""ko"")"),"주제")</f>
        <v>주제</v>
      </c>
    </row>
    <row r="3557" ht="15.75" customHeight="1">
      <c r="A3557" s="1" t="s">
        <v>10491</v>
      </c>
      <c r="B3557" s="1">
        <v>6.0</v>
      </c>
      <c r="C3557" s="1" t="s">
        <v>10492</v>
      </c>
      <c r="D3557" s="1" t="s">
        <v>52</v>
      </c>
      <c r="E3557" s="1" t="s">
        <v>10493</v>
      </c>
      <c r="F3557" s="1" t="str">
        <f>IFERROR(__xludf.DUMMYFUNCTION("GOOGLETRANSLATE(A3557, ""zh-CN"", ""ko"")"),"많은")</f>
        <v>많은</v>
      </c>
    </row>
    <row r="3558" ht="15.75" customHeight="1">
      <c r="A3558" s="1" t="s">
        <v>10494</v>
      </c>
      <c r="B3558" s="1">
        <v>6.0</v>
      </c>
      <c r="C3558" s="1" t="s">
        <v>10495</v>
      </c>
      <c r="D3558" s="1" t="s">
        <v>52</v>
      </c>
      <c r="E3558" s="1" t="s">
        <v>10496</v>
      </c>
      <c r="F3558" s="1" t="str">
        <f>IFERROR(__xludf.DUMMYFUNCTION("GOOGLETRANSLATE(A3558, ""zh-CN"", ""ko"")"),"맛있는")</f>
        <v>맛있는</v>
      </c>
    </row>
    <row r="3559" ht="15.75" customHeight="1">
      <c r="A3559" s="1" t="s">
        <v>10497</v>
      </c>
      <c r="B3559" s="1">
        <v>6.0</v>
      </c>
      <c r="C3559" s="1" t="s">
        <v>10498</v>
      </c>
      <c r="D3559" s="1" t="s">
        <v>8</v>
      </c>
      <c r="E3559" s="1" t="s">
        <v>10499</v>
      </c>
      <c r="F3559" s="1" t="str">
        <f>IFERROR(__xludf.DUMMYFUNCTION("GOOGLETRANSLATE(A3559, ""zh-CN"", ""ko"")"),"열렬한")</f>
        <v>열렬한</v>
      </c>
    </row>
    <row r="3560" ht="15.75" customHeight="1">
      <c r="A3560" s="1" t="s">
        <v>10500</v>
      </c>
      <c r="B3560" s="1">
        <v>6.0</v>
      </c>
      <c r="C3560" s="1" t="s">
        <v>10501</v>
      </c>
      <c r="D3560" s="1" t="s">
        <v>52</v>
      </c>
      <c r="E3560" s="1" t="s">
        <v>10502</v>
      </c>
      <c r="F3560" s="1" t="str">
        <f>IFERROR(__xludf.DUMMYFUNCTION("GOOGLETRANSLATE(A3560, ""zh-CN"", ""ko"")"),"증오스러운")</f>
        <v>증오스러운</v>
      </c>
    </row>
    <row r="3561" ht="15.75" customHeight="1">
      <c r="A3561" s="1" t="s">
        <v>10503</v>
      </c>
      <c r="B3561" s="1">
        <v>6.0</v>
      </c>
      <c r="C3561" s="1" t="s">
        <v>10504</v>
      </c>
      <c r="D3561" s="1" t="s">
        <v>52</v>
      </c>
      <c r="E3561" s="1" t="s">
        <v>10505</v>
      </c>
      <c r="F3561" s="1" t="str">
        <f>IFERROR(__xludf.DUMMYFUNCTION("GOOGLETRANSLATE(A3561, ""zh-CN"", ""ko"")"),"실행할 수 있는")</f>
        <v>실행할 수 있는</v>
      </c>
    </row>
    <row r="3562" ht="15.75" customHeight="1">
      <c r="A3562" s="1" t="s">
        <v>10506</v>
      </c>
      <c r="B3562" s="1">
        <v>6.0</v>
      </c>
      <c r="C3562" s="1" t="s">
        <v>10507</v>
      </c>
      <c r="E3562" s="1" t="s">
        <v>10508</v>
      </c>
      <c r="F3562" s="1" t="str">
        <f>IFERROR(__xludf.DUMMYFUNCTION("GOOGLETRANSLATE(A3562, ""zh-CN"", ""ko"")"),"시간이 없습니다")</f>
        <v>시간이 없습니다</v>
      </c>
    </row>
    <row r="3563" ht="15.75" customHeight="1">
      <c r="A3563" s="1" t="s">
        <v>10509</v>
      </c>
      <c r="B3563" s="1">
        <v>6.0</v>
      </c>
      <c r="C3563" s="1" t="s">
        <v>10510</v>
      </c>
      <c r="D3563" s="1" t="s">
        <v>16</v>
      </c>
      <c r="E3563" s="1" t="s">
        <v>10511</v>
      </c>
      <c r="F3563" s="1" t="str">
        <f>IFERROR(__xludf.DUMMYFUNCTION("GOOGLETRANSLATE(A3563, ""zh-CN"", ""ko"")"),"고객")</f>
        <v>고객</v>
      </c>
    </row>
    <row r="3564" ht="15.75" customHeight="1">
      <c r="A3564" s="1" t="s">
        <v>10512</v>
      </c>
      <c r="B3564" s="1">
        <v>6.0</v>
      </c>
      <c r="C3564" s="1" t="s">
        <v>10513</v>
      </c>
      <c r="D3564" s="1" t="s">
        <v>16</v>
      </c>
      <c r="E3564" s="1" t="s">
        <v>10514</v>
      </c>
      <c r="F3564" s="1" t="str">
        <f>IFERROR(__xludf.DUMMYFUNCTION("GOOGLETRANSLATE(A3564, ""zh-CN"", ""ko"")"),"연구 주제")</f>
        <v>연구 주제</v>
      </c>
    </row>
    <row r="3565" ht="15.75" customHeight="1">
      <c r="A3565" s="1" t="s">
        <v>10515</v>
      </c>
      <c r="B3565" s="1">
        <v>6.0</v>
      </c>
      <c r="C3565" s="1" t="s">
        <v>10516</v>
      </c>
      <c r="D3565" s="1" t="s">
        <v>8</v>
      </c>
      <c r="E3565" s="1" t="s">
        <v>10517</v>
      </c>
      <c r="F3565" s="1" t="str">
        <f>IFERROR(__xludf.DUMMYFUNCTION("GOOGLETRANSLATE(A3565, ""zh-CN"", ""ko"")"),"제지")</f>
        <v>제지</v>
      </c>
    </row>
    <row r="3566" ht="15.75" customHeight="1">
      <c r="A3566" s="1" t="s">
        <v>10518</v>
      </c>
      <c r="B3566" s="1">
        <v>6.0</v>
      </c>
      <c r="C3566" s="1" t="s">
        <v>10519</v>
      </c>
      <c r="D3566" s="1" t="s">
        <v>8</v>
      </c>
      <c r="E3566" s="1" t="s">
        <v>10520</v>
      </c>
      <c r="F3566" s="1" t="str">
        <f>IFERROR(__xludf.DUMMYFUNCTION("GOOGLETRANSLATE(A3566, ""zh-CN"", ""ko"")"),"깨물다")</f>
        <v>깨물다</v>
      </c>
    </row>
    <row r="3567" ht="15.75" customHeight="1">
      <c r="A3567" s="1" t="s">
        <v>10521</v>
      </c>
      <c r="B3567" s="1">
        <v>6.0</v>
      </c>
      <c r="C3567" s="1" t="s">
        <v>10522</v>
      </c>
      <c r="D3567" s="1" t="s">
        <v>52</v>
      </c>
      <c r="E3567" s="1" t="s">
        <v>10523</v>
      </c>
      <c r="F3567" s="1" t="str">
        <f>IFERROR(__xludf.DUMMYFUNCTION("GOOGLETRANSLATE(A3567, ""zh-CN"", ""ko"")"),"진실된")</f>
        <v>진실된</v>
      </c>
    </row>
    <row r="3568" ht="15.75" customHeight="1">
      <c r="A3568" s="1" t="s">
        <v>10524</v>
      </c>
      <c r="B3568" s="1">
        <v>6.0</v>
      </c>
      <c r="C3568" s="1" t="s">
        <v>10525</v>
      </c>
      <c r="D3568" s="1" t="s">
        <v>16</v>
      </c>
      <c r="E3568" s="1" t="s">
        <v>10526</v>
      </c>
      <c r="F3568" s="1" t="str">
        <f>IFERROR(__xludf.DUMMYFUNCTION("GOOGLETRANSLATE(A3568, ""zh-CN"", ""ko"")"),"피트")</f>
        <v>피트</v>
      </c>
    </row>
    <row r="3569" ht="15.75" customHeight="1">
      <c r="A3569" s="1" t="s">
        <v>10527</v>
      </c>
      <c r="B3569" s="1">
        <v>6.0</v>
      </c>
      <c r="C3569" s="1" t="s">
        <v>10528</v>
      </c>
      <c r="D3569" s="1" t="s">
        <v>52</v>
      </c>
      <c r="E3569" s="1" t="s">
        <v>10529</v>
      </c>
      <c r="F3569" s="1" t="str">
        <f>IFERROR(__xludf.DUMMYFUNCTION("GOOGLETRANSLATE(A3569, ""zh-CN"", ""ko"")"),"구멍")</f>
        <v>구멍</v>
      </c>
    </row>
    <row r="3570" ht="15.75" customHeight="1">
      <c r="A3570" s="1" t="s">
        <v>10530</v>
      </c>
      <c r="B3570" s="1">
        <v>6.0</v>
      </c>
      <c r="C3570" s="1" t="s">
        <v>10531</v>
      </c>
      <c r="E3570" s="1" t="s">
        <v>10532</v>
      </c>
      <c r="F3570" s="1" t="str">
        <f>IFERROR(__xludf.DUMMYFUNCTION("GOOGLETRANSLATE(A3570, ""zh-CN"", ""ko"")"),"전례 없고 비할 데 없는")</f>
        <v>전례 없고 비할 데 없는</v>
      </c>
    </row>
    <row r="3571" ht="15.75" customHeight="1">
      <c r="A3571" s="1" t="s">
        <v>10533</v>
      </c>
      <c r="B3571" s="1">
        <v>6.0</v>
      </c>
      <c r="C3571" s="1" t="s">
        <v>10534</v>
      </c>
      <c r="D3571" s="1" t="s">
        <v>8</v>
      </c>
      <c r="E3571" s="1" t="s">
        <v>10535</v>
      </c>
      <c r="F3571" s="1" t="str">
        <f>IFERROR(__xludf.DUMMYFUNCTION("GOOGLETRANSLATE(A3571, ""zh-CN"", ""ko"")"),"공상")</f>
        <v>공상</v>
      </c>
    </row>
    <row r="3572" ht="15.75" customHeight="1">
      <c r="A3572" s="1" t="s">
        <v>10536</v>
      </c>
      <c r="B3572" s="1">
        <v>6.0</v>
      </c>
      <c r="C3572" s="1" t="s">
        <v>10537</v>
      </c>
      <c r="D3572" s="1" t="s">
        <v>52</v>
      </c>
      <c r="E3572" s="1" t="s">
        <v>10538</v>
      </c>
      <c r="F3572" s="1" t="str">
        <f>IFERROR(__xludf.DUMMYFUNCTION("GOOGLETRANSLATE(A3572, ""zh-CN"", ""ko"")"),"공")</f>
        <v>공</v>
      </c>
    </row>
    <row r="3573" ht="15.75" customHeight="1">
      <c r="A3573" s="1" t="s">
        <v>10539</v>
      </c>
      <c r="B3573" s="1">
        <v>6.0</v>
      </c>
      <c r="C3573" s="1" t="s">
        <v>10540</v>
      </c>
      <c r="D3573" s="1" t="s">
        <v>16</v>
      </c>
      <c r="E3573" s="1" t="s">
        <v>10541</v>
      </c>
      <c r="F3573" s="1" t="str">
        <f>IFERROR(__xludf.DUMMYFUNCTION("GOOGLETRANSLATE(A3573, ""zh-CN"", ""ko"")"),"구멍")</f>
        <v>구멍</v>
      </c>
    </row>
    <row r="3574" ht="15.75" customHeight="1">
      <c r="A3574" s="1" t="s">
        <v>10542</v>
      </c>
      <c r="B3574" s="1">
        <v>6.0</v>
      </c>
      <c r="C3574" s="1" t="s">
        <v>10543</v>
      </c>
      <c r="D3574" s="1" t="s">
        <v>52</v>
      </c>
      <c r="E3574" s="1" t="s">
        <v>10544</v>
      </c>
      <c r="F3574" s="1" t="str">
        <f>IFERROR(__xludf.DUMMYFUNCTION("GOOGLETRANSLATE(A3574, ""zh-CN"", ""ko"")"),"두려움")</f>
        <v>두려움</v>
      </c>
    </row>
    <row r="3575" ht="15.75" customHeight="1">
      <c r="A3575" s="1" t="s">
        <v>10545</v>
      </c>
      <c r="B3575" s="1">
        <v>6.0</v>
      </c>
      <c r="C3575" s="1" t="s">
        <v>10546</v>
      </c>
      <c r="D3575" s="1" t="s">
        <v>8</v>
      </c>
      <c r="E3575" s="1" t="s">
        <v>10547</v>
      </c>
      <c r="F3575" s="1" t="str">
        <f>IFERROR(__xludf.DUMMYFUNCTION("GOOGLETRANSLATE(A3575, ""zh-CN"", ""ko"")"),"위협")</f>
        <v>위협</v>
      </c>
    </row>
    <row r="3576" ht="15.75" customHeight="1">
      <c r="A3576" s="1" t="s">
        <v>10548</v>
      </c>
      <c r="B3576" s="1">
        <v>6.0</v>
      </c>
      <c r="C3576" s="1" t="s">
        <v>10549</v>
      </c>
      <c r="D3576" s="1" t="s">
        <v>52</v>
      </c>
      <c r="E3576" s="1" t="s">
        <v>10550</v>
      </c>
      <c r="F3576" s="1" t="str">
        <f>IFERROR(__xludf.DUMMYFUNCTION("GOOGLETRANSLATE(A3576, ""zh-CN"", ""ko"")"),"두려움")</f>
        <v>두려움</v>
      </c>
    </row>
    <row r="3577" ht="15.75" customHeight="1">
      <c r="A3577" s="1" t="s">
        <v>10551</v>
      </c>
      <c r="B3577" s="1">
        <v>6.0</v>
      </c>
      <c r="C3577" s="1" t="s">
        <v>10552</v>
      </c>
      <c r="D3577" s="1" t="s">
        <v>16</v>
      </c>
      <c r="E3577" s="1" t="s">
        <v>10553</v>
      </c>
      <c r="F3577" s="1" t="str">
        <f>IFERROR(__xludf.DUMMYFUNCTION("GOOGLETRANSLATE(A3577, ""zh-CN"", ""ko"")"),"공백")</f>
        <v>공백</v>
      </c>
    </row>
    <row r="3578" ht="15.75" customHeight="1">
      <c r="A3578" s="1" t="s">
        <v>10554</v>
      </c>
      <c r="B3578" s="1">
        <v>6.0</v>
      </c>
      <c r="C3578" s="1" t="s">
        <v>10555</v>
      </c>
      <c r="D3578" s="1" t="s">
        <v>16</v>
      </c>
      <c r="E3578" s="1" t="s">
        <v>10556</v>
      </c>
      <c r="F3578" s="1" t="str">
        <f>IFERROR(__xludf.DUMMYFUNCTION("GOOGLETRANSLATE(A3578, ""zh-CN"", ""ko"")"),"갭")</f>
        <v>갭</v>
      </c>
    </row>
    <row r="3579" ht="15.75" customHeight="1">
      <c r="A3579" s="1" t="s">
        <v>10557</v>
      </c>
      <c r="B3579" s="1">
        <v>6.0</v>
      </c>
      <c r="C3579" s="1" t="s">
        <v>10558</v>
      </c>
      <c r="D3579" s="1" t="s">
        <v>16</v>
      </c>
      <c r="E3579" s="1" t="s">
        <v>10559</v>
      </c>
      <c r="F3579" s="1" t="str">
        <f>IFERROR(__xludf.DUMMYFUNCTION("GOOGLETRANSLATE(A3579, ""zh-CN"", ""ko"")"),"호흡")</f>
        <v>호흡</v>
      </c>
    </row>
    <row r="3580" ht="15.75" customHeight="1">
      <c r="A3580" s="1" t="s">
        <v>10560</v>
      </c>
      <c r="B3580" s="1">
        <v>6.0</v>
      </c>
      <c r="C3580" s="1" t="s">
        <v>10561</v>
      </c>
      <c r="D3580" s="1" t="s">
        <v>16</v>
      </c>
      <c r="E3580" s="1" t="s">
        <v>10562</v>
      </c>
      <c r="F3580" s="1" t="str">
        <f>IFERROR(__xludf.DUMMYFUNCTION("GOOGLETRANSLATE(A3580, ""zh-CN"", ""ko"")"),"구강")</f>
        <v>구강</v>
      </c>
    </row>
    <row r="3581" ht="15.75" customHeight="1">
      <c r="A3581" s="1" t="s">
        <v>10563</v>
      </c>
      <c r="B3581" s="1">
        <v>6.0</v>
      </c>
      <c r="C3581" s="1" t="s">
        <v>10564</v>
      </c>
      <c r="D3581" s="1" t="s">
        <v>52</v>
      </c>
      <c r="E3581" s="1" t="s">
        <v>10565</v>
      </c>
      <c r="F3581" s="1" t="str">
        <f>IFERROR(__xludf.DUMMYFUNCTION("GOOGLETRANSLATE(A3581, ""zh-CN"", ""ko"")"),"경구")</f>
        <v>경구</v>
      </c>
    </row>
    <row r="3582" ht="15.75" customHeight="1">
      <c r="A3582" s="1" t="s">
        <v>10566</v>
      </c>
      <c r="B3582" s="1">
        <v>6.0</v>
      </c>
      <c r="C3582" s="1" t="s">
        <v>10567</v>
      </c>
      <c r="D3582" s="1" t="s">
        <v>16</v>
      </c>
      <c r="E3582" s="1" t="s">
        <v>10568</v>
      </c>
      <c r="F3582" s="1" t="str">
        <f>IFERROR(__xludf.DUMMYFUNCTION("GOOGLETRANSLATE(A3582, ""zh-CN"", ""ko"")"),"악센트")</f>
        <v>악센트</v>
      </c>
    </row>
    <row r="3583" ht="15.75" customHeight="1">
      <c r="A3583" s="1" t="s">
        <v>10569</v>
      </c>
      <c r="B3583" s="1">
        <v>6.0</v>
      </c>
      <c r="C3583" s="1" t="s">
        <v>10570</v>
      </c>
      <c r="D3583" s="1" t="s">
        <v>8</v>
      </c>
      <c r="E3583" s="1" t="s">
        <v>10571</v>
      </c>
      <c r="F3583" s="1" t="str">
        <f>IFERROR(__xludf.DUMMYFUNCTION("GOOGLETRANSLATE(A3583, ""zh-CN"", ""ko"")"),"버클")</f>
        <v>버클</v>
      </c>
    </row>
    <row r="3584" ht="15.75" customHeight="1">
      <c r="A3584" s="1" t="s">
        <v>10572</v>
      </c>
      <c r="B3584" s="1">
        <v>6.0</v>
      </c>
      <c r="C3584" s="1" t="s">
        <v>10573</v>
      </c>
      <c r="D3584" s="1" t="s">
        <v>8</v>
      </c>
      <c r="E3584" s="1" t="s">
        <v>10574</v>
      </c>
      <c r="F3584" s="1" t="str">
        <f>IFERROR(__xludf.DUMMYFUNCTION("GOOGLETRANSLATE(A3584, ""zh-CN"", ""ko"")"),"울다")</f>
        <v>울다</v>
      </c>
    </row>
    <row r="3585" ht="15.75" customHeight="1">
      <c r="A3585" s="1" t="s">
        <v>10575</v>
      </c>
      <c r="B3585" s="1">
        <v>6.0</v>
      </c>
      <c r="C3585" s="1" t="s">
        <v>10576</v>
      </c>
      <c r="D3585" s="1" t="s">
        <v>52</v>
      </c>
      <c r="E3585" s="1" t="s">
        <v>10577</v>
      </c>
      <c r="F3585" s="1" t="str">
        <f>IFERROR(__xludf.DUMMYFUNCTION("GOOGLETRANSLATE(A3585, ""zh-CN"", ""ko"")"),"시든")</f>
        <v>시든</v>
      </c>
    </row>
    <row r="3586" ht="15.75" customHeight="1">
      <c r="A3586" s="1" t="s">
        <v>10578</v>
      </c>
      <c r="B3586" s="1">
        <v>6.0</v>
      </c>
      <c r="C3586" s="1" t="s">
        <v>10579</v>
      </c>
      <c r="D3586" s="1" t="s">
        <v>52</v>
      </c>
      <c r="E3586" s="1" t="s">
        <v>10580</v>
      </c>
      <c r="F3586" s="1" t="str">
        <f>IFERROR(__xludf.DUMMYFUNCTION("GOOGLETRANSLATE(A3586, ""zh-CN"", ""ko"")"),"따분한")</f>
        <v>따분한</v>
      </c>
    </row>
    <row r="3587" ht="15.75" customHeight="1">
      <c r="A3587" s="1" t="s">
        <v>10581</v>
      </c>
      <c r="B3587" s="1">
        <v>6.0</v>
      </c>
      <c r="C3587" s="1" t="s">
        <v>10582</v>
      </c>
      <c r="E3587" s="1" t="s">
        <v>10583</v>
      </c>
      <c r="F3587" s="1" t="str">
        <f>IFERROR(__xludf.DUMMYFUNCTION("GOOGLETRANSLATE(A3587, ""zh-CN"", ""ko"")"),"고난 후에 행복이 온다")</f>
        <v>고난 후에 행복이 온다</v>
      </c>
    </row>
    <row r="3588" ht="15.75" customHeight="1">
      <c r="A3588" s="1" t="s">
        <v>10584</v>
      </c>
      <c r="B3588" s="1">
        <v>6.0</v>
      </c>
      <c r="C3588" s="1" t="s">
        <v>10585</v>
      </c>
      <c r="D3588" s="1" t="s">
        <v>52</v>
      </c>
      <c r="E3588" s="1" t="s">
        <v>10586</v>
      </c>
      <c r="F3588" s="1" t="str">
        <f>IFERROR(__xludf.DUMMYFUNCTION("GOOGLETRANSLATE(A3588, ""zh-CN"", ""ko"")"),"격렬한")</f>
        <v>격렬한</v>
      </c>
    </row>
    <row r="3589" ht="15.75" customHeight="1">
      <c r="A3589" s="1" t="s">
        <v>10587</v>
      </c>
      <c r="B3589" s="1">
        <v>6.0</v>
      </c>
      <c r="C3589" s="1" t="s">
        <v>10588</v>
      </c>
      <c r="D3589" s="1" t="s">
        <v>8</v>
      </c>
      <c r="E3589" s="1" t="s">
        <v>10589</v>
      </c>
      <c r="F3589" s="1" t="str">
        <f>IFERROR(__xludf.DUMMYFUNCTION("GOOGLETRANSLATE(A3589, ""zh-CN"", ""ko"")"),"십자가")</f>
        <v>십자가</v>
      </c>
    </row>
    <row r="3590" ht="15.75" customHeight="1">
      <c r="A3590" s="1" t="s">
        <v>10590</v>
      </c>
      <c r="B3590" s="1">
        <v>6.0</v>
      </c>
      <c r="C3590" s="1" t="s">
        <v>10588</v>
      </c>
      <c r="D3590" s="1" t="s">
        <v>8</v>
      </c>
      <c r="E3590" s="1" t="s">
        <v>10591</v>
      </c>
      <c r="F3590" s="1" t="str">
        <f>IFERROR(__xludf.DUMMYFUNCTION("GOOGLETRANSLATE(A3590, ""zh-CN"", ""ko"")"),"십자가")</f>
        <v>십자가</v>
      </c>
    </row>
    <row r="3591" ht="15.75" customHeight="1">
      <c r="A3591" s="1" t="s">
        <v>10592</v>
      </c>
      <c r="B3591" s="1">
        <v>6.0</v>
      </c>
      <c r="C3591" s="1" t="s">
        <v>10593</v>
      </c>
      <c r="D3591" s="1" t="s">
        <v>52</v>
      </c>
      <c r="E3591" s="1" t="s">
        <v>10594</v>
      </c>
      <c r="F3591" s="1" t="str">
        <f>IFERROR(__xludf.DUMMYFUNCTION("GOOGLETRANSLATE(A3591, ""zh-CN"", ""ko"")"),"행복하다")</f>
        <v>행복하다</v>
      </c>
    </row>
    <row r="3592" ht="15.75" customHeight="1">
      <c r="A3592" s="1" t="s">
        <v>10595</v>
      </c>
      <c r="B3592" s="1">
        <v>6.0</v>
      </c>
      <c r="C3592" s="1" t="s">
        <v>10596</v>
      </c>
      <c r="D3592" s="1" t="s">
        <v>52</v>
      </c>
      <c r="E3592" s="1" t="s">
        <v>10597</v>
      </c>
      <c r="F3592" s="1" t="str">
        <f>IFERROR(__xludf.DUMMYFUNCTION("GOOGLETRANSLATE(A3592, ""zh-CN"", ""ko"")"),"넓은")</f>
        <v>넓은</v>
      </c>
    </row>
    <row r="3593" ht="15.75" customHeight="1">
      <c r="A3593" s="1" t="s">
        <v>10598</v>
      </c>
      <c r="B3593" s="1">
        <v>6.0</v>
      </c>
      <c r="C3593" s="1" t="s">
        <v>10599</v>
      </c>
      <c r="D3593" s="1" t="s">
        <v>52</v>
      </c>
      <c r="E3593" s="1" t="s">
        <v>10600</v>
      </c>
      <c r="F3593" s="1" t="str">
        <f>IFERROR(__xludf.DUMMYFUNCTION("GOOGLETRANSLATE(A3593, ""zh-CN"", ""ko"")"),"내성적인")</f>
        <v>내성적인</v>
      </c>
    </row>
    <row r="3594" ht="15.75" customHeight="1">
      <c r="A3594" s="1" t="s">
        <v>10601</v>
      </c>
      <c r="B3594" s="1">
        <v>6.0</v>
      </c>
      <c r="C3594" s="1" t="s">
        <v>10602</v>
      </c>
      <c r="D3594" s="1" t="s">
        <v>8</v>
      </c>
      <c r="E3594" s="1" t="s">
        <v>10603</v>
      </c>
      <c r="F3594" s="1" t="str">
        <f>IFERROR(__xludf.DUMMYFUNCTION("GOOGLETRANSLATE(A3594, ""zh-CN"", ""ko"")"),"환대")</f>
        <v>환대</v>
      </c>
    </row>
    <row r="3595" ht="15.75" customHeight="1">
      <c r="A3595" s="1" t="s">
        <v>10604</v>
      </c>
      <c r="B3595" s="1">
        <v>6.0</v>
      </c>
      <c r="C3595" s="1" t="s">
        <v>10605</v>
      </c>
      <c r="D3595" s="1" t="s">
        <v>16</v>
      </c>
      <c r="E3595" s="1" t="s">
        <v>10606</v>
      </c>
      <c r="F3595" s="1" t="str">
        <f>IFERROR(__xludf.DUMMYFUNCTION("GOOGLETRANSLATE(A3595, ""zh-CN"", ""ko"")"),"모양")</f>
        <v>모양</v>
      </c>
    </row>
    <row r="3596" ht="15.75" customHeight="1">
      <c r="A3596" s="1" t="s">
        <v>10607</v>
      </c>
      <c r="B3596" s="1">
        <v>6.0</v>
      </c>
      <c r="C3596" s="1" t="s">
        <v>10608</v>
      </c>
      <c r="D3596" s="1" t="s">
        <v>16</v>
      </c>
      <c r="E3596" s="1" t="s">
        <v>10609</v>
      </c>
      <c r="F3596" s="1" t="str">
        <f>IFERROR(__xludf.DUMMYFUNCTION("GOOGLETRANSLATE(A3596, ""zh-CN"", ""ko"")"),"바구니")</f>
        <v>바구니</v>
      </c>
    </row>
    <row r="3597" ht="15.75" customHeight="1">
      <c r="A3597" s="1" t="s">
        <v>10610</v>
      </c>
      <c r="B3597" s="1">
        <v>6.0</v>
      </c>
      <c r="C3597" s="1" t="s">
        <v>10611</v>
      </c>
      <c r="D3597" s="1" t="s">
        <v>16</v>
      </c>
      <c r="E3597" s="1" t="s">
        <v>10612</v>
      </c>
      <c r="F3597" s="1" t="str">
        <f>IFERROR(__xludf.DUMMYFUNCTION("GOOGLETRANSLATE(A3597, ""zh-CN"", ""ko"")"),"광물")</f>
        <v>광물</v>
      </c>
    </row>
    <row r="3598" ht="15.75" customHeight="1">
      <c r="A3598" s="1" t="s">
        <v>10613</v>
      </c>
      <c r="B3598" s="1">
        <v>6.0</v>
      </c>
      <c r="C3598" s="1" t="s">
        <v>10614</v>
      </c>
      <c r="D3598" s="1" t="s">
        <v>16</v>
      </c>
      <c r="E3598" s="1" t="s">
        <v>10615</v>
      </c>
      <c r="F3598" s="1" t="str">
        <f>IFERROR(__xludf.DUMMYFUNCTION("GOOGLETRANSLATE(A3598, ""zh-CN"", ""ko"")"),"액자")</f>
        <v>액자</v>
      </c>
    </row>
    <row r="3599" ht="15.75" customHeight="1">
      <c r="A3599" s="1" t="s">
        <v>10616</v>
      </c>
      <c r="B3599" s="1">
        <v>6.0</v>
      </c>
      <c r="C3599" s="1" t="s">
        <v>10617</v>
      </c>
      <c r="D3599" s="1" t="s">
        <v>8</v>
      </c>
      <c r="E3599" s="1" t="s">
        <v>10618</v>
      </c>
      <c r="F3599" s="1" t="str">
        <f>IFERROR(__xludf.DUMMYFUNCTION("GOOGLETRANSLATE(A3599, ""zh-CN"", ""ko"")"),"수업을 빼먹다")</f>
        <v>수업을 빼먹다</v>
      </c>
    </row>
    <row r="3600" ht="15.75" customHeight="1">
      <c r="A3600" s="1" t="s">
        <v>10619</v>
      </c>
      <c r="B3600" s="1">
        <v>6.0</v>
      </c>
      <c r="C3600" s="1" t="s">
        <v>10620</v>
      </c>
      <c r="D3600" s="1" t="s">
        <v>1473</v>
      </c>
      <c r="E3600" s="1" t="s">
        <v>10621</v>
      </c>
      <c r="F3600" s="1" t="str">
        <f>IFERROR(__xludf.DUMMYFUNCTION("GOOGLETRANSLATE(A3600, ""zh-CN"", ""ko"")"),"게다가")</f>
        <v>게다가</v>
      </c>
    </row>
    <row r="3601" ht="15.75" customHeight="1">
      <c r="A3601" s="1" t="s">
        <v>10622</v>
      </c>
      <c r="B3601" s="1">
        <v>6.0</v>
      </c>
      <c r="C3601" s="1" t="s">
        <v>10623</v>
      </c>
      <c r="D3601" s="1" t="s">
        <v>8</v>
      </c>
      <c r="E3601" s="1" t="s">
        <v>10624</v>
      </c>
      <c r="F3601" s="1" t="str">
        <f>IFERROR(__xludf.DUMMYFUNCTION("GOOGLETRANSLATE(A3601, ""zh-CN"", ""ko"")"),"무례")</f>
        <v>무례</v>
      </c>
    </row>
    <row r="3602" ht="15.75" customHeight="1">
      <c r="A3602" s="1" t="s">
        <v>10625</v>
      </c>
      <c r="B3602" s="1">
        <v>6.0</v>
      </c>
      <c r="C3602" s="1" t="s">
        <v>10626</v>
      </c>
      <c r="D3602" s="1" t="s">
        <v>8</v>
      </c>
      <c r="E3602" s="1" t="s">
        <v>10627</v>
      </c>
      <c r="F3602" s="1" t="str">
        <f>IFERROR(__xludf.DUMMYFUNCTION("GOOGLETRANSLATE(A3602, ""zh-CN"", ""ko"")"),"손실")</f>
        <v>손실</v>
      </c>
    </row>
    <row r="3603" ht="15.75" customHeight="1">
      <c r="A3603" s="1" t="s">
        <v>10628</v>
      </c>
      <c r="B3603" s="1">
        <v>6.0</v>
      </c>
      <c r="C3603" s="1" t="s">
        <v>10629</v>
      </c>
      <c r="D3603" s="1" t="s">
        <v>8</v>
      </c>
      <c r="E3603" s="1" t="s">
        <v>10630</v>
      </c>
      <c r="F3603" s="1" t="str">
        <f>IFERROR(__xludf.DUMMYFUNCTION("GOOGLETRANSLATE(A3603, ""zh-CN"", ""ko"")"),"속박")</f>
        <v>속박</v>
      </c>
    </row>
    <row r="3604" ht="15.75" customHeight="1">
      <c r="A3604" s="1" t="s">
        <v>10631</v>
      </c>
      <c r="B3604" s="1">
        <v>6.0</v>
      </c>
      <c r="C3604" s="1" t="s">
        <v>10632</v>
      </c>
      <c r="D3604" s="1" t="s">
        <v>8</v>
      </c>
      <c r="E3604" s="1" t="s">
        <v>10633</v>
      </c>
      <c r="F3604" s="1" t="str">
        <f>IFERROR(__xludf.DUMMYFUNCTION("GOOGLETRANSLATE(A3604, ""zh-CN"", ""ko"")"),"확장")</f>
        <v>확장</v>
      </c>
    </row>
    <row r="3605" ht="15.75" customHeight="1">
      <c r="A3605" s="1" t="s">
        <v>10634</v>
      </c>
      <c r="B3605" s="1">
        <v>6.0</v>
      </c>
      <c r="C3605" s="1" t="s">
        <v>10635</v>
      </c>
      <c r="D3605" s="1" t="s">
        <v>8</v>
      </c>
      <c r="E3605" s="1" t="s">
        <v>10636</v>
      </c>
      <c r="F3605" s="1" t="str">
        <f>IFERROR(__xludf.DUMMYFUNCTION("GOOGLETRANSLATE(A3605, ""zh-CN"", ""ko"")"),"확산")</f>
        <v>확산</v>
      </c>
    </row>
    <row r="3606" ht="15.75" customHeight="1">
      <c r="A3606" s="1" t="s">
        <v>10637</v>
      </c>
      <c r="B3606" s="1">
        <v>6.0</v>
      </c>
      <c r="C3606" s="1" t="s">
        <v>10638</v>
      </c>
      <c r="D3606" s="1" t="s">
        <v>8</v>
      </c>
      <c r="E3606" s="1" t="s">
        <v>10639</v>
      </c>
      <c r="F3606" s="1" t="str">
        <f>IFERROR(__xludf.DUMMYFUNCTION("GOOGLETRANSLATE(A3606, ""zh-CN"", ""ko"")"),"확장")</f>
        <v>확장</v>
      </c>
    </row>
    <row r="3607" ht="15.75" customHeight="1">
      <c r="A3607" s="1" t="s">
        <v>10640</v>
      </c>
      <c r="B3607" s="1">
        <v>6.0</v>
      </c>
      <c r="C3607" s="1" t="s">
        <v>2558</v>
      </c>
      <c r="D3607" s="1" t="s">
        <v>56</v>
      </c>
      <c r="E3607" s="1" t="s">
        <v>10641</v>
      </c>
      <c r="F3607" s="1" t="str">
        <f>IFERROR(__xludf.DUMMYFUNCTION("GOOGLETRANSLATE(A3607, ""zh-CN"", ""ko"")"),"라")</f>
        <v>라</v>
      </c>
    </row>
    <row r="3608" ht="15.75" customHeight="1">
      <c r="A3608" s="1" t="s">
        <v>10642</v>
      </c>
      <c r="B3608" s="1">
        <v>6.0</v>
      </c>
      <c r="C3608" s="1" t="s">
        <v>10643</v>
      </c>
      <c r="D3608" s="1" t="s">
        <v>16</v>
      </c>
      <c r="E3608" s="1" t="s">
        <v>10644</v>
      </c>
      <c r="F3608" s="1" t="str">
        <f>IFERROR(__xludf.DUMMYFUNCTION("GOOGLETRANSLATE(A3608, ""zh-CN"", ""ko"")"),"트럼펫")</f>
        <v>트럼펫</v>
      </c>
    </row>
    <row r="3609" ht="15.75" customHeight="1">
      <c r="A3609" s="1" t="s">
        <v>10645</v>
      </c>
      <c r="B3609" s="1">
        <v>6.0</v>
      </c>
      <c r="C3609" s="1" t="s">
        <v>10646</v>
      </c>
      <c r="D3609" s="1" t="s">
        <v>16</v>
      </c>
      <c r="E3609" s="1" t="s">
        <v>10647</v>
      </c>
      <c r="F3609" s="1" t="str">
        <f>IFERROR(__xludf.DUMMYFUNCTION("GOOGLETRANSLATE(A3609, ""zh-CN"", ""ko"")"),"양초")</f>
        <v>양초</v>
      </c>
    </row>
    <row r="3610" ht="15.75" customHeight="1">
      <c r="A3610" s="1" t="s">
        <v>10648</v>
      </c>
      <c r="B3610" s="1">
        <v>6.0</v>
      </c>
      <c r="C3610" s="1" t="s">
        <v>10649</v>
      </c>
      <c r="D3610" s="1" t="s">
        <v>16</v>
      </c>
      <c r="E3610" s="1" t="s">
        <v>10650</v>
      </c>
      <c r="F3610" s="1" t="str">
        <f>IFERROR(__xludf.DUMMYFUNCTION("GOOGLETRANSLATE(A3610, ""zh-CN"", ""ko"")"),"기원")</f>
        <v>기원</v>
      </c>
    </row>
    <row r="3611" ht="15.75" customHeight="1">
      <c r="A3611" s="1" t="s">
        <v>10651</v>
      </c>
      <c r="B3611" s="1">
        <v>6.0</v>
      </c>
      <c r="C3611" s="1" t="s">
        <v>10652</v>
      </c>
      <c r="D3611" s="1" t="s">
        <v>113</v>
      </c>
      <c r="E3611" s="1" t="s">
        <v>10653</v>
      </c>
      <c r="F3611" s="1" t="str">
        <f>IFERROR(__xludf.DUMMYFUNCTION("GOOGLETRANSLATE(A3611, ""zh-CN"", ""ko"")"),"원천")</f>
        <v>원천</v>
      </c>
    </row>
    <row r="3612" ht="15.75" customHeight="1">
      <c r="A3612" s="1" t="s">
        <v>10654</v>
      </c>
      <c r="B3612" s="1">
        <v>6.0</v>
      </c>
      <c r="C3612" s="1" t="s">
        <v>10655</v>
      </c>
      <c r="D3612" s="1" t="s">
        <v>16</v>
      </c>
      <c r="E3612" s="1" t="s">
        <v>10656</v>
      </c>
      <c r="F3612" s="1" t="str">
        <f>IFERROR(__xludf.DUMMYFUNCTION("GOOGLETRANSLATE(A3612, ""zh-CN"", ""ko"")"),"열")</f>
        <v>열</v>
      </c>
    </row>
    <row r="3613" ht="15.75" customHeight="1">
      <c r="A3613" s="1" t="s">
        <v>10657</v>
      </c>
      <c r="B3613" s="1">
        <v>6.0</v>
      </c>
      <c r="C3613" s="1" t="s">
        <v>10658</v>
      </c>
      <c r="D3613" s="1" t="s">
        <v>52</v>
      </c>
      <c r="E3613" s="1" t="s">
        <v>10659</v>
      </c>
      <c r="F3613" s="1" t="str">
        <f>IFERROR(__xludf.DUMMYFUNCTION("GOOGLETRANSLATE(A3613, ""zh-CN"", ""ko"")"),"게으른")</f>
        <v>게으른</v>
      </c>
    </row>
    <row r="3614" ht="15.75" customHeight="1">
      <c r="A3614" s="1" t="s">
        <v>10660</v>
      </c>
      <c r="B3614" s="1">
        <v>6.0</v>
      </c>
      <c r="C3614" s="1" t="s">
        <v>10661</v>
      </c>
      <c r="D3614" s="1" t="s">
        <v>52</v>
      </c>
      <c r="E3614" s="1" t="s">
        <v>10662</v>
      </c>
      <c r="F3614" s="1" t="str">
        <f>IFERROR(__xludf.DUMMYFUNCTION("GOOGLETRANSLATE(A3614, ""zh-CN"", ""ko"")"),"흐트러진")</f>
        <v>흐트러진</v>
      </c>
    </row>
    <row r="3615" ht="15.75" customHeight="1">
      <c r="A3615" s="1" t="s">
        <v>10663</v>
      </c>
      <c r="B3615" s="1">
        <v>6.0</v>
      </c>
      <c r="C3615" s="1" t="s">
        <v>10664</v>
      </c>
      <c r="E3615" s="1" t="s">
        <v>10665</v>
      </c>
      <c r="F3615" s="1" t="str">
        <f>IFERROR(__xludf.DUMMYFUNCTION("GOOGLETRANSLATE(A3615, ""zh-CN"", ""ko"")"),"늑대")</f>
        <v>늑대</v>
      </c>
    </row>
    <row r="3616" ht="15.75" customHeight="1">
      <c r="A3616" s="1" t="s">
        <v>10666</v>
      </c>
      <c r="B3616" s="1">
        <v>6.0</v>
      </c>
      <c r="C3616" s="1" t="s">
        <v>10667</v>
      </c>
      <c r="D3616" s="1" t="s">
        <v>8</v>
      </c>
      <c r="E3616" s="1" t="s">
        <v>10668</v>
      </c>
      <c r="F3616" s="1" t="str">
        <f>IFERROR(__xludf.DUMMYFUNCTION("GOOGLETRANSLATE(A3616, ""zh-CN"", ""ko"")"),"국자")</f>
        <v>국자</v>
      </c>
    </row>
    <row r="3617" ht="15.75" customHeight="1">
      <c r="A3617" s="1" t="s">
        <v>10669</v>
      </c>
      <c r="B3617" s="1">
        <v>6.0</v>
      </c>
      <c r="C3617" s="1" t="s">
        <v>10670</v>
      </c>
      <c r="D3617" s="1" t="s">
        <v>8</v>
      </c>
      <c r="E3617" s="1" t="s">
        <v>10671</v>
      </c>
      <c r="F3617" s="1" t="str">
        <f>IFERROR(__xludf.DUMMYFUNCTION("GOOGLETRANSLATE(A3617, ""zh-CN"", ""ko"")"),"잔소리")</f>
        <v>잔소리</v>
      </c>
    </row>
    <row r="3618" ht="15.75" customHeight="1">
      <c r="A3618" s="1" t="s">
        <v>10672</v>
      </c>
      <c r="B3618" s="1">
        <v>6.0</v>
      </c>
      <c r="C3618" s="1" t="s">
        <v>10673</v>
      </c>
      <c r="D3618" s="1" t="s">
        <v>52</v>
      </c>
      <c r="E3618" s="1" t="s">
        <v>10674</v>
      </c>
      <c r="F3618" s="1" t="str">
        <f>IFERROR(__xludf.DUMMYFUNCTION("GOOGLETRANSLATE(A3618, ""zh-CN"", ""ko"")"),"단단한")</f>
        <v>단단한</v>
      </c>
    </row>
    <row r="3619" ht="15.75" customHeight="1">
      <c r="A3619" s="1" t="s">
        <v>10675</v>
      </c>
      <c r="B3619" s="1">
        <v>6.0</v>
      </c>
      <c r="C3619" s="1" t="s">
        <v>10676</v>
      </c>
      <c r="D3619" s="1" t="s">
        <v>16</v>
      </c>
      <c r="E3619" s="1" t="s">
        <v>10677</v>
      </c>
      <c r="F3619" s="1" t="str">
        <f>IFERROR(__xludf.DUMMYFUNCTION("GOOGLETRANSLATE(A3619, ""zh-CN"", ""ko"")"),"투정")</f>
        <v>투정</v>
      </c>
    </row>
    <row r="3620" ht="15.75" customHeight="1">
      <c r="A3620" s="1" t="s">
        <v>10678</v>
      </c>
      <c r="B3620" s="1">
        <v>6.0</v>
      </c>
      <c r="C3620" s="1" t="s">
        <v>10679</v>
      </c>
      <c r="D3620" s="1" t="s">
        <v>16</v>
      </c>
      <c r="E3620" s="1" t="s">
        <v>10680</v>
      </c>
      <c r="F3620" s="1" t="str">
        <f>IFERROR(__xludf.DUMMYFUNCTION("GOOGLETRANSLATE(A3620, ""zh-CN"", ""ko"")"),"기쁨")</f>
        <v>기쁨</v>
      </c>
    </row>
    <row r="3621" ht="15.75" customHeight="1">
      <c r="A3621" s="1" t="s">
        <v>10681</v>
      </c>
      <c r="B3621" s="1">
        <v>6.0</v>
      </c>
      <c r="C3621" s="1" t="s">
        <v>10682</v>
      </c>
      <c r="D3621" s="1" t="s">
        <v>1624</v>
      </c>
      <c r="E3621" s="1" t="s">
        <v>10683</v>
      </c>
      <c r="F3621" s="1" t="str">
        <f>IFERROR(__xludf.DUMMYFUNCTION("GOOGLETRANSLATE(A3621, ""zh-CN"", ""ko"")"),"자발적인")</f>
        <v>자발적인</v>
      </c>
    </row>
    <row r="3622" ht="15.75" customHeight="1">
      <c r="A3622" s="1" t="s">
        <v>10684</v>
      </c>
      <c r="B3622" s="1">
        <v>6.0</v>
      </c>
      <c r="C3622" s="1" t="s">
        <v>10685</v>
      </c>
      <c r="D3622" s="1" t="s">
        <v>16</v>
      </c>
      <c r="E3622" s="1" t="s">
        <v>10686</v>
      </c>
      <c r="F3622" s="1" t="str">
        <f>IFERROR(__xludf.DUMMYFUNCTION("GOOGLETRANSLATE(A3622, ""zh-CN"", ""ko"")"),"레이더")</f>
        <v>레이더</v>
      </c>
    </row>
    <row r="3623" ht="15.75" customHeight="1">
      <c r="A3623" s="1" t="s">
        <v>10687</v>
      </c>
      <c r="B3623" s="1">
        <v>6.0</v>
      </c>
      <c r="C3623" s="1" t="s">
        <v>10688</v>
      </c>
      <c r="D3623" s="1" t="s">
        <v>8</v>
      </c>
      <c r="E3623" s="1" t="s">
        <v>10689</v>
      </c>
      <c r="F3623" s="1" t="str">
        <f>IFERROR(__xludf.DUMMYFUNCTION("GOOGLETRANSLATE(A3623, ""zh-CN"", ""ko"")"),"비슷한")</f>
        <v>비슷한</v>
      </c>
    </row>
    <row r="3624" ht="15.75" customHeight="1">
      <c r="A3624" s="1" t="s">
        <v>10690</v>
      </c>
      <c r="B3624" s="1">
        <v>6.0</v>
      </c>
      <c r="C3624" s="1" t="s">
        <v>10691</v>
      </c>
      <c r="D3624" s="1" t="s">
        <v>52</v>
      </c>
      <c r="E3624" s="1" t="s">
        <v>10692</v>
      </c>
      <c r="F3624" s="1" t="str">
        <f>IFERROR(__xludf.DUMMYFUNCTION("GOOGLETRANSLATE(A3624, ""zh-CN"", ""ko"")"),"추운")</f>
        <v>추운</v>
      </c>
    </row>
    <row r="3625" ht="15.75" customHeight="1">
      <c r="A3625" s="1" t="s">
        <v>10693</v>
      </c>
      <c r="B3625" s="1">
        <v>6.0</v>
      </c>
      <c r="C3625" s="1" t="s">
        <v>10694</v>
      </c>
      <c r="D3625" s="1" t="s">
        <v>8</v>
      </c>
      <c r="E3625" s="1" t="s">
        <v>10695</v>
      </c>
      <c r="F3625" s="1" t="str">
        <f>IFERROR(__xludf.DUMMYFUNCTION("GOOGLETRANSLATE(A3625, ""zh-CN"", ""ko"")"),"소홀히 하다")</f>
        <v>소홀히 하다</v>
      </c>
    </row>
    <row r="3626" ht="15.75" customHeight="1">
      <c r="A3626" s="1" t="s">
        <v>10696</v>
      </c>
      <c r="B3626" s="1">
        <v>6.0</v>
      </c>
      <c r="C3626" s="1" t="s">
        <v>10697</v>
      </c>
      <c r="D3626" s="1" t="s">
        <v>8</v>
      </c>
      <c r="E3626" s="1" t="s">
        <v>10698</v>
      </c>
      <c r="F3626" s="1" t="str">
        <f>IFERROR(__xludf.DUMMYFUNCTION("GOOGLETRANSLATE(A3626, ""zh-CN"", ""ko"")"),"쿨다운")</f>
        <v>쿨다운</v>
      </c>
    </row>
    <row r="3627" ht="15.75" customHeight="1">
      <c r="A3627" s="1" t="s">
        <v>10699</v>
      </c>
      <c r="B3627" s="1">
        <v>6.0</v>
      </c>
      <c r="C3627" s="1" t="s">
        <v>10700</v>
      </c>
      <c r="D3627" s="1" t="s">
        <v>8</v>
      </c>
      <c r="E3627" s="1" t="s">
        <v>10701</v>
      </c>
      <c r="F3627" s="1" t="str">
        <f>IFERROR(__xludf.DUMMYFUNCTION("GOOGLETRANSLATE(A3627, ""zh-CN"", ""ko"")"),"깜짝 놀랐다")</f>
        <v>깜짝 놀랐다</v>
      </c>
    </row>
    <row r="3628" ht="15.75" customHeight="1">
      <c r="A3628" s="1" t="s">
        <v>10702</v>
      </c>
      <c r="B3628" s="1">
        <v>6.0</v>
      </c>
      <c r="C3628" s="1" t="s">
        <v>10703</v>
      </c>
      <c r="D3628" s="1" t="s">
        <v>16</v>
      </c>
      <c r="E3628" s="1" t="s">
        <v>10704</v>
      </c>
      <c r="F3628" s="1" t="str">
        <f>IFERROR(__xludf.DUMMYFUNCTION("GOOGLETRANSLATE(A3628, ""zh-CN"", ""ko"")"),"새벽")</f>
        <v>새벽</v>
      </c>
    </row>
    <row r="3629" ht="15.75" customHeight="1">
      <c r="A3629" s="1" t="s">
        <v>10705</v>
      </c>
      <c r="B3629" s="1">
        <v>6.0</v>
      </c>
      <c r="C3629" s="1" t="s">
        <v>10706</v>
      </c>
      <c r="D3629" s="1" t="s">
        <v>8</v>
      </c>
      <c r="E3629" s="1" t="s">
        <v>10707</v>
      </c>
      <c r="F3629" s="1" t="str">
        <f>IFERROR(__xludf.DUMMYFUNCTION("GOOGLETRANSLATE(A3629, ""zh-CN"", ""ko"")"),"주의 깊게 보세요")</f>
        <v>주의 깊게 보세요</v>
      </c>
    </row>
    <row r="3630" ht="15.75" customHeight="1">
      <c r="A3630" s="1" t="s">
        <v>10708</v>
      </c>
      <c r="B3630" s="1">
        <v>6.0</v>
      </c>
      <c r="C3630" s="1" t="s">
        <v>10709</v>
      </c>
      <c r="D3630" s="1" t="s">
        <v>16</v>
      </c>
      <c r="E3630" s="1" t="s">
        <v>10710</v>
      </c>
      <c r="F3630" s="1" t="str">
        <f>IFERROR(__xludf.DUMMYFUNCTION("GOOGLETRANSLATE(A3630, ""zh-CN"", ""ko"")"),"중요한 단계")</f>
        <v>중요한 단계</v>
      </c>
    </row>
    <row r="3631" ht="15.75" customHeight="1">
      <c r="A3631" s="1" t="s">
        <v>10711</v>
      </c>
      <c r="B3631" s="1">
        <v>6.0</v>
      </c>
      <c r="C3631" s="1" t="s">
        <v>10712</v>
      </c>
      <c r="D3631" s="1" t="s">
        <v>16</v>
      </c>
      <c r="E3631" s="1" t="s">
        <v>10713</v>
      </c>
      <c r="F3631" s="1" t="str">
        <f>IFERROR(__xludf.DUMMYFUNCTION("GOOGLETRANSLATE(A3631, ""zh-CN"", ""ko"")"),"에티켓")</f>
        <v>에티켓</v>
      </c>
    </row>
    <row r="3632" ht="15.75" customHeight="1">
      <c r="A3632" s="1" t="s">
        <v>10714</v>
      </c>
      <c r="B3632" s="1">
        <v>6.0</v>
      </c>
      <c r="C3632" s="1" t="s">
        <v>10715</v>
      </c>
      <c r="E3632" s="1" t="s">
        <v>10716</v>
      </c>
      <c r="F3632" s="1" t="str">
        <f>IFERROR(__xludf.DUMMYFUNCTION("GOOGLETRANSLATE(A3632, ""zh-CN"", ""ko"")"),"상호 상태")</f>
        <v>상호 상태</v>
      </c>
    </row>
    <row r="3633" ht="15.75" customHeight="1">
      <c r="A3633" s="1" t="s">
        <v>10717</v>
      </c>
      <c r="B3633" s="1">
        <v>6.0</v>
      </c>
      <c r="C3633" s="1" t="s">
        <v>10718</v>
      </c>
      <c r="E3633" s="1" t="s">
        <v>10719</v>
      </c>
      <c r="F3633" s="1" t="str">
        <f>IFERROR(__xludf.DUMMYFUNCTION("GOOGLETRANSLATE(A3633, ""zh-CN"", ""ko"")"),"물론")</f>
        <v>물론</v>
      </c>
    </row>
    <row r="3634" ht="15.75" customHeight="1">
      <c r="A3634" s="1" t="s">
        <v>10720</v>
      </c>
      <c r="B3634" s="1">
        <v>6.0</v>
      </c>
      <c r="C3634" s="1" t="s">
        <v>10721</v>
      </c>
      <c r="E3634" s="1" t="s">
        <v>10722</v>
      </c>
      <c r="F3634" s="1" t="str">
        <f>IFERROR(__xludf.DUMMYFUNCTION("GOOGLETRANSLATE(A3634, ""zh-CN"", ""ko"")"),"정당하다")</f>
        <v>정당하다</v>
      </c>
    </row>
    <row r="3635" ht="15.75" customHeight="1">
      <c r="A3635" s="1" t="s">
        <v>10723</v>
      </c>
      <c r="B3635" s="1">
        <v>6.0</v>
      </c>
      <c r="C3635" s="1" t="s">
        <v>10724</v>
      </c>
      <c r="D3635" s="1" t="s">
        <v>52</v>
      </c>
      <c r="E3635" s="1" t="s">
        <v>10725</v>
      </c>
      <c r="F3635" s="1" t="str">
        <f>IFERROR(__xludf.DUMMYFUNCTION("GOOGLETRANSLATE(A3635, ""zh-CN"", ""ko"")"),"이유")</f>
        <v>이유</v>
      </c>
    </row>
    <row r="3636" ht="15.75" customHeight="1">
      <c r="A3636" s="1" t="s">
        <v>10726</v>
      </c>
      <c r="B3636" s="1">
        <v>6.0</v>
      </c>
      <c r="C3636" s="1" t="s">
        <v>10727</v>
      </c>
      <c r="D3636" s="1" t="s">
        <v>26</v>
      </c>
      <c r="E3636" s="1" t="s">
        <v>10728</v>
      </c>
      <c r="F3636" s="1" t="str">
        <f>IFERROR(__xludf.DUMMYFUNCTION("GOOGLETRANSLATE(A3636, ""zh-CN"", ""ko"")"),"곡물")</f>
        <v>곡물</v>
      </c>
    </row>
    <row r="3637" ht="15.75" customHeight="1">
      <c r="A3637" s="1" t="s">
        <v>10729</v>
      </c>
      <c r="B3637" s="1">
        <v>6.0</v>
      </c>
      <c r="C3637" s="1" t="s">
        <v>10730</v>
      </c>
      <c r="D3637" s="1" t="s">
        <v>16</v>
      </c>
      <c r="E3637" s="1" t="s">
        <v>10731</v>
      </c>
      <c r="F3637" s="1" t="str">
        <f>IFERROR(__xludf.DUMMYFUNCTION("GOOGLETRANSLATE(A3637, ""zh-CN"", ""ko"")"),"위치")</f>
        <v>위치</v>
      </c>
    </row>
    <row r="3638" ht="15.75" customHeight="1">
      <c r="A3638" s="1" t="s">
        <v>10732</v>
      </c>
      <c r="B3638" s="1">
        <v>6.0</v>
      </c>
      <c r="C3638" s="1" t="s">
        <v>10733</v>
      </c>
      <c r="D3638" s="1" t="s">
        <v>16</v>
      </c>
      <c r="E3638" s="1" t="s">
        <v>10734</v>
      </c>
      <c r="F3638" s="1" t="str">
        <f>IFERROR(__xludf.DUMMYFUNCTION("GOOGLETRANSLATE(A3638, ""zh-CN"", ""ko"")"),"역사 전반에 걸쳐")</f>
        <v>역사 전반에 걸쳐</v>
      </c>
    </row>
    <row r="3639" ht="15.75" customHeight="1">
      <c r="A3639" s="1" t="s">
        <v>10735</v>
      </c>
      <c r="B3639" s="1">
        <v>6.0</v>
      </c>
      <c r="C3639" s="1" t="s">
        <v>10736</v>
      </c>
      <c r="D3639" s="1" t="s">
        <v>26</v>
      </c>
      <c r="E3639" s="1" t="s">
        <v>10737</v>
      </c>
      <c r="F3639" s="1" t="str">
        <f>IFERROR(__xludf.DUMMYFUNCTION("GOOGLETRANSLATE(A3639, ""zh-CN"", ""ko"")"),"입방체")</f>
        <v>입방체</v>
      </c>
    </row>
    <row r="3640" ht="15.75" customHeight="1">
      <c r="A3640" s="1" t="s">
        <v>10738</v>
      </c>
      <c r="B3640" s="1">
        <v>6.0</v>
      </c>
      <c r="C3640" s="1" t="s">
        <v>10739</v>
      </c>
      <c r="D3640" s="1" t="s">
        <v>16</v>
      </c>
      <c r="E3640" s="1" t="s">
        <v>10740</v>
      </c>
      <c r="F3640" s="1" t="str">
        <f>IFERROR(__xludf.DUMMYFUNCTION("GOOGLETRANSLATE(A3640, ""zh-CN"", ""ko"")"),"장점과 단점")</f>
        <v>장점과 단점</v>
      </c>
    </row>
    <row r="3641" ht="15.75" customHeight="1">
      <c r="A3641" s="1" t="s">
        <v>10741</v>
      </c>
      <c r="B3641" s="1">
        <v>6.0</v>
      </c>
      <c r="C3641" s="1" t="s">
        <v>10742</v>
      </c>
      <c r="D3641" s="1" t="s">
        <v>16</v>
      </c>
      <c r="E3641" s="1" t="s">
        <v>10743</v>
      </c>
      <c r="F3641" s="1" t="str">
        <f>IFERROR(__xludf.DUMMYFUNCTION("GOOGLETRANSLATE(A3641, ""zh-CN"", ""ko"")"),"고가 도로")</f>
        <v>고가 도로</v>
      </c>
    </row>
    <row r="3642" ht="15.75" customHeight="1">
      <c r="A3642" s="1" t="s">
        <v>10744</v>
      </c>
      <c r="B3642" s="1">
        <v>6.0</v>
      </c>
      <c r="C3642" s="1" t="s">
        <v>10745</v>
      </c>
      <c r="D3642" s="1" t="s">
        <v>33</v>
      </c>
      <c r="E3642" s="1" t="s">
        <v>10746</v>
      </c>
      <c r="F3642" s="1" t="str">
        <f>IFERROR(__xludf.DUMMYFUNCTION("GOOGLETRANSLATE(A3642, ""zh-CN"", ""ko"")"),"언제나")</f>
        <v>언제나</v>
      </c>
    </row>
    <row r="3643" ht="15.75" customHeight="1">
      <c r="A3643" s="1" t="s">
        <v>10747</v>
      </c>
      <c r="B3643" s="1">
        <v>6.0</v>
      </c>
      <c r="C3643" s="1" t="s">
        <v>10748</v>
      </c>
      <c r="D3643" s="1" t="s">
        <v>8</v>
      </c>
      <c r="E3643" s="1" t="s">
        <v>10749</v>
      </c>
      <c r="F3643" s="1" t="str">
        <f>IFERROR(__xludf.DUMMYFUNCTION("GOOGLETRANSLATE(A3643, ""zh-CN"", ""ko"")"),"애쓰다")</f>
        <v>애쓰다</v>
      </c>
    </row>
    <row r="3644" ht="15.75" customHeight="1">
      <c r="A3644" s="1" t="s">
        <v>10750</v>
      </c>
      <c r="B3644" s="1">
        <v>6.0</v>
      </c>
      <c r="C3644" s="1" t="s">
        <v>10751</v>
      </c>
      <c r="E3644" s="1" t="s">
        <v>10752</v>
      </c>
      <c r="F3644" s="1" t="str">
        <f>IFERROR(__xludf.DUMMYFUNCTION("GOOGLETRANSLATE(A3644, ""zh-CN"", ""ko"")"),"자신의 능력 범위 내에서")</f>
        <v>자신의 능력 범위 내에서</v>
      </c>
    </row>
    <row r="3645" ht="15.75" customHeight="1">
      <c r="A3645" s="1" t="s">
        <v>10753</v>
      </c>
      <c r="B3645" s="1">
        <v>6.0</v>
      </c>
      <c r="C3645" s="1" t="s">
        <v>10754</v>
      </c>
      <c r="D3645" s="1" t="s">
        <v>52</v>
      </c>
      <c r="E3645" s="1" t="s">
        <v>10755</v>
      </c>
      <c r="F3645" s="1" t="str">
        <f>IFERROR(__xludf.DUMMYFUNCTION("GOOGLETRANSLATE(A3645, ""zh-CN"", ""ko"")"),"3D")</f>
        <v>3D</v>
      </c>
    </row>
    <row r="3646" ht="15.75" customHeight="1">
      <c r="A3646" s="1" t="s">
        <v>10756</v>
      </c>
      <c r="B3646" s="1">
        <v>6.0</v>
      </c>
      <c r="C3646" s="1" t="s">
        <v>10757</v>
      </c>
      <c r="D3646" s="1" t="s">
        <v>16</v>
      </c>
      <c r="E3646" s="1" t="s">
        <v>10758</v>
      </c>
      <c r="F3646" s="1" t="str">
        <f>IFERROR(__xludf.DUMMYFUNCTION("GOOGLETRANSLATE(A3646, ""zh-CN"", ""ko"")"),"예외")</f>
        <v>예외</v>
      </c>
    </row>
    <row r="3647" ht="15.75" customHeight="1">
      <c r="A3647" s="1" t="s">
        <v>10759</v>
      </c>
      <c r="B3647" s="1">
        <v>6.0</v>
      </c>
      <c r="C3647" s="1" t="s">
        <v>10760</v>
      </c>
      <c r="D3647" s="1" t="s">
        <v>8</v>
      </c>
      <c r="E3647" s="1" t="s">
        <v>10761</v>
      </c>
      <c r="F3647" s="1" t="str">
        <f>IFERROR(__xludf.DUMMYFUNCTION("GOOGLETRANSLATE(A3647, ""zh-CN"", ""ko"")"),"애쓰다")</f>
        <v>애쓰다</v>
      </c>
    </row>
    <row r="3648" ht="15.75" customHeight="1">
      <c r="A3648" s="1" t="s">
        <v>10762</v>
      </c>
      <c r="B3648" s="1">
        <v>6.0</v>
      </c>
      <c r="C3648" s="1" t="s">
        <v>10763</v>
      </c>
      <c r="D3648" s="1" t="s">
        <v>8</v>
      </c>
      <c r="E3648" s="1" t="s">
        <v>10764</v>
      </c>
      <c r="F3648" s="1" t="str">
        <f>IFERROR(__xludf.DUMMYFUNCTION("GOOGLETRANSLATE(A3648, ""zh-CN"", ""ko"")"),"~을 기반으로")</f>
        <v>~을 기반으로</v>
      </c>
    </row>
    <row r="3649" ht="15.75" customHeight="1">
      <c r="A3649" s="1" t="s">
        <v>10765</v>
      </c>
      <c r="B3649" s="1">
        <v>6.0</v>
      </c>
      <c r="C3649" s="1" t="s">
        <v>10766</v>
      </c>
      <c r="D3649" s="1" t="s">
        <v>8</v>
      </c>
      <c r="E3649" s="1" t="s">
        <v>10767</v>
      </c>
      <c r="F3649" s="1" t="str">
        <f>IFERROR(__xludf.DUMMYFUNCTION("GOOGLETRANSLATE(A3649, ""zh-CN"", ""ko"")"),"파티")</f>
        <v>파티</v>
      </c>
    </row>
    <row r="3650" ht="15.75" customHeight="1">
      <c r="A3650" s="1" t="s">
        <v>10768</v>
      </c>
      <c r="B3650" s="1">
        <v>6.0</v>
      </c>
      <c r="C3650" s="1" t="s">
        <v>10769</v>
      </c>
      <c r="D3650" s="1" t="s">
        <v>52</v>
      </c>
      <c r="E3650" s="1" t="s">
        <v>10770</v>
      </c>
      <c r="F3650" s="1" t="str">
        <f>IFERROR(__xludf.DUMMYFUNCTION("GOOGLETRANSLATE(A3650, ""zh-CN"", ""ko"")"),"진실성")</f>
        <v>진실성</v>
      </c>
    </row>
    <row r="3651" ht="15.75" customHeight="1">
      <c r="A3651" s="1" t="s">
        <v>10771</v>
      </c>
      <c r="B3651" s="1">
        <v>6.0</v>
      </c>
      <c r="C3651" s="1" t="s">
        <v>10772</v>
      </c>
      <c r="D3651" s="1" t="s">
        <v>8</v>
      </c>
      <c r="E3651" s="1" t="s">
        <v>10773</v>
      </c>
      <c r="F3651" s="1" t="str">
        <f>IFERROR(__xludf.DUMMYFUNCTION("GOOGLETRANSLATE(A3651, ""zh-CN"", ""ko"")"),"연락하다")</f>
        <v>연락하다</v>
      </c>
    </row>
    <row r="3652" ht="15.75" customHeight="1">
      <c r="A3652" s="1" t="s">
        <v>10774</v>
      </c>
      <c r="B3652" s="1">
        <v>6.0</v>
      </c>
      <c r="C3652" s="1" t="s">
        <v>10775</v>
      </c>
      <c r="D3652" s="1" t="s">
        <v>16</v>
      </c>
      <c r="E3652" s="1" t="s">
        <v>10776</v>
      </c>
      <c r="F3652" s="1" t="str">
        <f>IFERROR(__xludf.DUMMYFUNCTION("GOOGLETRANSLATE(A3652, ""zh-CN"", ""ko"")"),"동맹")</f>
        <v>동맹</v>
      </c>
    </row>
    <row r="3653" ht="15.75" customHeight="1">
      <c r="A3653" s="1" t="s">
        <v>10777</v>
      </c>
      <c r="B3653" s="1">
        <v>6.0</v>
      </c>
      <c r="C3653" s="1" t="s">
        <v>10778</v>
      </c>
      <c r="D3653" s="1" t="s">
        <v>8</v>
      </c>
      <c r="E3653" s="1" t="s">
        <v>10779</v>
      </c>
      <c r="F3653" s="1" t="str">
        <f>IFERROR(__xludf.DUMMYFUNCTION("GOOGLETRANSLATE(A3653, ""zh-CN"", ""ko"")"),"해마다")</f>
        <v>해마다</v>
      </c>
    </row>
    <row r="3654" ht="15.75" customHeight="1">
      <c r="A3654" s="1" t="s">
        <v>10780</v>
      </c>
      <c r="B3654" s="1">
        <v>6.0</v>
      </c>
      <c r="C3654" s="1" t="s">
        <v>10781</v>
      </c>
      <c r="D3654" s="1" t="s">
        <v>52</v>
      </c>
      <c r="E3654" s="1" t="s">
        <v>10782</v>
      </c>
      <c r="F3654" s="1" t="str">
        <f>IFERROR(__xludf.DUMMYFUNCTION("GOOGLETRANSLATE(A3654, ""zh-CN"", ""ko"")"),"체인")</f>
        <v>체인</v>
      </c>
    </row>
    <row r="3655" ht="15.75" customHeight="1">
      <c r="A3655" s="1" t="s">
        <v>10783</v>
      </c>
      <c r="B3655" s="1">
        <v>6.0</v>
      </c>
      <c r="C3655" s="1" t="s">
        <v>10784</v>
      </c>
      <c r="D3655" s="1" t="s">
        <v>1473</v>
      </c>
      <c r="E3655" s="1" t="s">
        <v>10785</v>
      </c>
      <c r="F3655" s="1" t="str">
        <f>IFERROR(__xludf.DUMMYFUNCTION("GOOGLETRANSLATE(A3655, ""zh-CN"", ""ko"")"),"함께")</f>
        <v>함께</v>
      </c>
    </row>
    <row r="3656" ht="15.75" customHeight="1">
      <c r="A3656" s="1" t="s">
        <v>10786</v>
      </c>
      <c r="B3656" s="1">
        <v>6.0</v>
      </c>
      <c r="C3656" s="1" t="s">
        <v>10787</v>
      </c>
      <c r="D3656" s="1" t="s">
        <v>8</v>
      </c>
      <c r="E3656" s="1" t="s">
        <v>10788</v>
      </c>
      <c r="F3656" s="1" t="str">
        <f>IFERROR(__xludf.DUMMYFUNCTION("GOOGLETRANSLATE(A3656, ""zh-CN"", ""ko"")"),"레노버")</f>
        <v>레노버</v>
      </c>
    </row>
    <row r="3657" ht="15.75" customHeight="1">
      <c r="A3657" s="1" t="s">
        <v>10789</v>
      </c>
      <c r="B3657" s="1">
        <v>6.0</v>
      </c>
      <c r="C3657" s="1" t="s">
        <v>10790</v>
      </c>
      <c r="D3657" s="1" t="s">
        <v>16</v>
      </c>
      <c r="E3657" s="1" t="s">
        <v>10791</v>
      </c>
      <c r="F3657" s="1" t="str">
        <f>IFERROR(__xludf.DUMMYFUNCTION("GOOGLETRANSLATE(A3657, ""zh-CN"", ""ko"")"),"양심")</f>
        <v>양심</v>
      </c>
    </row>
    <row r="3658" ht="15.75" customHeight="1">
      <c r="A3658" s="1" t="s">
        <v>10792</v>
      </c>
      <c r="B3658" s="1">
        <v>6.0</v>
      </c>
      <c r="C3658" s="1" t="s">
        <v>1358</v>
      </c>
      <c r="D3658" s="1" t="s">
        <v>8</v>
      </c>
      <c r="E3658" s="1" t="s">
        <v>10793</v>
      </c>
      <c r="F3658" s="1" t="str">
        <f>IFERROR(__xludf.DUMMYFUNCTION("GOOGLETRANSLATE(A3658, ""zh-CN"", ""ko"")"),"공기")</f>
        <v>공기</v>
      </c>
    </row>
    <row r="3659" ht="15.75" customHeight="1">
      <c r="A3659" s="1" t="s">
        <v>10794</v>
      </c>
      <c r="B3659" s="1">
        <v>6.0</v>
      </c>
      <c r="C3659" s="1" t="s">
        <v>10795</v>
      </c>
      <c r="D3659" s="1" t="s">
        <v>8</v>
      </c>
      <c r="E3659" s="1" t="s">
        <v>10796</v>
      </c>
      <c r="F3659" s="1" t="str">
        <f>IFERROR(__xludf.DUMMYFUNCTION("GOOGLETRANSLATE(A3659, ""zh-CN"", ""ko"")"),"이해")</f>
        <v>이해</v>
      </c>
    </row>
    <row r="3660" ht="15.75" customHeight="1">
      <c r="A3660" s="1" t="s">
        <v>10797</v>
      </c>
      <c r="B3660" s="1">
        <v>6.0</v>
      </c>
      <c r="C3660" s="1" t="s">
        <v>10798</v>
      </c>
      <c r="D3660" s="1" t="s">
        <v>52</v>
      </c>
      <c r="E3660" s="1" t="s">
        <v>10799</v>
      </c>
      <c r="F3660" s="1" t="str">
        <f>IFERROR(__xludf.DUMMYFUNCTION("GOOGLETRANSLATE(A3660, ""zh-CN"", ""ko"")"),"대단한")</f>
        <v>대단한</v>
      </c>
    </row>
    <row r="3661" ht="15.75" customHeight="1">
      <c r="A3661" s="1" t="s">
        <v>10800</v>
      </c>
      <c r="B3661" s="1">
        <v>6.0</v>
      </c>
      <c r="C3661" s="1" t="s">
        <v>10801</v>
      </c>
      <c r="D3661" s="1" t="s">
        <v>8</v>
      </c>
      <c r="E3661" s="1" t="s">
        <v>10802</v>
      </c>
      <c r="F3661" s="1" t="str">
        <f>IFERROR(__xludf.DUMMYFUNCTION("GOOGLETRANSLATE(A3661, ""zh-CN"", ""ko"")"),"목록")</f>
        <v>목록</v>
      </c>
    </row>
    <row r="3662" ht="15.75" customHeight="1">
      <c r="A3662" s="1" t="s">
        <v>10803</v>
      </c>
      <c r="B3662" s="1">
        <v>6.0</v>
      </c>
      <c r="C3662" s="1" t="s">
        <v>10804</v>
      </c>
      <c r="D3662" s="1" t="s">
        <v>8</v>
      </c>
      <c r="E3662" s="1" t="s">
        <v>10805</v>
      </c>
      <c r="F3662" s="1" t="str">
        <f>IFERROR(__xludf.DUMMYFUNCTION("GOOGLETRANSLATE(A3662, ""zh-CN"", ""ko"")"),"린")</f>
        <v>린</v>
      </c>
    </row>
    <row r="3663" ht="15.75" customHeight="1">
      <c r="A3663" s="1" t="s">
        <v>10806</v>
      </c>
      <c r="B3663" s="1">
        <v>6.0</v>
      </c>
      <c r="C3663" s="1" t="s">
        <v>10807</v>
      </c>
      <c r="D3663" s="1" t="s">
        <v>8</v>
      </c>
      <c r="E3663" s="1" t="s">
        <v>10808</v>
      </c>
      <c r="F3663" s="1" t="str">
        <f>IFERROR(__xludf.DUMMYFUNCTION("GOOGLETRANSLATE(A3663, ""zh-CN"", ""ko"")"),"객관적인")</f>
        <v>객관적인</v>
      </c>
    </row>
    <row r="3664" ht="15.75" customHeight="1">
      <c r="A3664" s="1" t="s">
        <v>10809</v>
      </c>
      <c r="B3664" s="1">
        <v>6.0</v>
      </c>
      <c r="C3664" s="1" t="s">
        <v>10810</v>
      </c>
      <c r="D3664" s="1" t="s">
        <v>52</v>
      </c>
      <c r="E3664" s="1" t="s">
        <v>10811</v>
      </c>
      <c r="F3664" s="1" t="str">
        <f>IFERROR(__xludf.DUMMYFUNCTION("GOOGLETRANSLATE(A3664, ""zh-CN"", ""ko"")"),"적은")</f>
        <v>적은</v>
      </c>
    </row>
    <row r="3665" ht="15.75" customHeight="1">
      <c r="A3665" s="1" t="s">
        <v>10812</v>
      </c>
      <c r="B3665" s="1">
        <v>6.0</v>
      </c>
      <c r="C3665" s="1" t="s">
        <v>10813</v>
      </c>
      <c r="D3665" s="1" t="s">
        <v>16</v>
      </c>
      <c r="E3665" s="1" t="s">
        <v>10814</v>
      </c>
      <c r="F3665" s="1" t="str">
        <f>IFERROR(__xludf.DUMMYFUNCTION("GOOGLETRANSLATE(A3665, ""zh-CN"", ""ko"")"),"이른 아침")</f>
        <v>이른 아침</v>
      </c>
    </row>
    <row r="3666" ht="15.75" customHeight="1">
      <c r="A3666" s="1" t="s">
        <v>10815</v>
      </c>
      <c r="B3666" s="1">
        <v>6.0</v>
      </c>
      <c r="C3666" s="1" t="s">
        <v>10816</v>
      </c>
      <c r="D3666" s="1" t="s">
        <v>16</v>
      </c>
      <c r="E3666" s="1" t="s">
        <v>10817</v>
      </c>
      <c r="F3666" s="1" t="str">
        <f>IFERROR(__xludf.DUMMYFUNCTION("GOOGLETRANSLATE(A3666, ""zh-CN"", ""ko"")"),"영감")</f>
        <v>영감</v>
      </c>
    </row>
    <row r="3667" ht="15.75" customHeight="1">
      <c r="A3667" s="1" t="s">
        <v>10818</v>
      </c>
      <c r="B3667" s="1">
        <v>6.0</v>
      </c>
      <c r="C3667" s="1" t="s">
        <v>10819</v>
      </c>
      <c r="D3667" s="1" t="s">
        <v>16</v>
      </c>
      <c r="E3667" s="1" t="s">
        <v>10820</v>
      </c>
      <c r="F3667" s="1" t="str">
        <f>IFERROR(__xludf.DUMMYFUNCTION("GOOGLETRANSLATE(A3667, ""zh-CN"", ""ko"")"),"영혼")</f>
        <v>영혼</v>
      </c>
    </row>
    <row r="3668" ht="15.75" customHeight="1">
      <c r="A3668" s="1" t="s">
        <v>10821</v>
      </c>
      <c r="B3668" s="1">
        <v>6.0</v>
      </c>
      <c r="C3668" s="1" t="s">
        <v>10822</v>
      </c>
      <c r="D3668" s="1" t="s">
        <v>52</v>
      </c>
      <c r="E3668" s="1" t="s">
        <v>10823</v>
      </c>
      <c r="F3668" s="1" t="str">
        <f>IFERROR(__xludf.DUMMYFUNCTION("GOOGLETRANSLATE(A3668, ""zh-CN"", ""ko"")"),"영리한")</f>
        <v>영리한</v>
      </c>
    </row>
    <row r="3669" ht="15.75" customHeight="1">
      <c r="A3669" s="1" t="s">
        <v>10824</v>
      </c>
      <c r="B3669" s="1">
        <v>6.0</v>
      </c>
      <c r="C3669" s="1" t="s">
        <v>10825</v>
      </c>
      <c r="D3669" s="1" t="s">
        <v>52</v>
      </c>
      <c r="E3669" s="1" t="s">
        <v>10826</v>
      </c>
      <c r="F3669" s="1" t="str">
        <f>IFERROR(__xludf.DUMMYFUNCTION("GOOGLETRANSLATE(A3669, ""zh-CN"", ""ko"")"),"예민한")</f>
        <v>예민한</v>
      </c>
    </row>
    <row r="3670" ht="15.75" customHeight="1">
      <c r="A3670" s="1" t="s">
        <v>10827</v>
      </c>
      <c r="B3670" s="1">
        <v>6.0</v>
      </c>
      <c r="C3670" s="1" t="s">
        <v>10828</v>
      </c>
      <c r="D3670" s="1" t="s">
        <v>52</v>
      </c>
      <c r="E3670" s="1" t="s">
        <v>10829</v>
      </c>
      <c r="F3670" s="1" t="str">
        <f>IFERROR(__xludf.DUMMYFUNCTION("GOOGLETRANSLATE(A3670, ""zh-CN"", ""ko"")"),"때때로 일어나는")</f>
        <v>때때로 일어나는</v>
      </c>
    </row>
    <row r="3671" ht="15.75" customHeight="1">
      <c r="A3671" s="1" t="s">
        <v>10830</v>
      </c>
      <c r="B3671" s="1">
        <v>6.0</v>
      </c>
      <c r="C3671" s="1" t="s">
        <v>10831</v>
      </c>
      <c r="D3671" s="1" t="s">
        <v>8</v>
      </c>
      <c r="E3671" s="1" t="s">
        <v>10832</v>
      </c>
      <c r="F3671" s="1" t="str">
        <f>IFERROR(__xludf.DUMMYFUNCTION("GOOGLETRANSLATE(A3671, ""zh-CN"", ""ko"")"),"이해하다")</f>
        <v>이해하다</v>
      </c>
    </row>
    <row r="3672" ht="15.75" customHeight="1">
      <c r="A3672" s="1" t="s">
        <v>10833</v>
      </c>
      <c r="B3672" s="1">
        <v>6.0</v>
      </c>
      <c r="C3672" s="1" t="s">
        <v>10834</v>
      </c>
      <c r="D3672" s="1" t="s">
        <v>16</v>
      </c>
      <c r="E3672" s="1" t="s">
        <v>10835</v>
      </c>
      <c r="F3672" s="1" t="str">
        <f>IFERROR(__xludf.DUMMYFUNCTION("GOOGLETRANSLATE(A3672, ""zh-CN"", ""ko"")"),"영사관")</f>
        <v>영사관</v>
      </c>
    </row>
    <row r="3673" ht="15.75" customHeight="1">
      <c r="A3673" s="1" t="s">
        <v>10836</v>
      </c>
      <c r="B3673" s="1">
        <v>6.0</v>
      </c>
      <c r="C3673" s="1" t="s">
        <v>10837</v>
      </c>
      <c r="D3673" s="1" t="s">
        <v>16</v>
      </c>
      <c r="E3673" s="1" t="s">
        <v>10838</v>
      </c>
      <c r="F3673" s="1" t="str">
        <f>IFERROR(__xludf.DUMMYFUNCTION("GOOGLETRANSLATE(A3673, ""zh-CN"", ""ko"")"),"지역")</f>
        <v>지역</v>
      </c>
    </row>
    <row r="3674" ht="15.75" customHeight="1">
      <c r="A3674" s="1" t="s">
        <v>10839</v>
      </c>
      <c r="B3674" s="1">
        <v>6.0</v>
      </c>
      <c r="C3674" s="1" t="s">
        <v>10840</v>
      </c>
      <c r="D3674" s="1" t="s">
        <v>8</v>
      </c>
      <c r="E3674" s="1" t="s">
        <v>10841</v>
      </c>
      <c r="F3674" s="1" t="str">
        <f>IFERROR(__xludf.DUMMYFUNCTION("GOOGLETRANSLATE(A3674, ""zh-CN"", ""ko"")"),"이해력")</f>
        <v>이해력</v>
      </c>
    </row>
    <row r="3675" ht="15.75" customHeight="1">
      <c r="A3675" s="1" t="s">
        <v>10842</v>
      </c>
      <c r="B3675" s="1">
        <v>6.0</v>
      </c>
      <c r="C3675" s="1" t="s">
        <v>10843</v>
      </c>
      <c r="D3675" s="1" t="s">
        <v>8</v>
      </c>
      <c r="E3675" s="1" t="s">
        <v>10844</v>
      </c>
      <c r="F3675" s="1" t="str">
        <f>IFERROR(__xludf.DUMMYFUNCTION("GOOGLETRANSLATE(A3675, ""zh-CN"", ""ko"")"),"주요한")</f>
        <v>주요한</v>
      </c>
    </row>
    <row r="3676" ht="15.75" customHeight="1">
      <c r="A3676" s="1" t="s">
        <v>10845</v>
      </c>
      <c r="B3676" s="1">
        <v>6.0</v>
      </c>
      <c r="C3676" s="1" t="s">
        <v>10846</v>
      </c>
      <c r="D3676" s="1" t="s">
        <v>16</v>
      </c>
      <c r="E3676" s="1" t="s">
        <v>10847</v>
      </c>
      <c r="F3676" s="1" t="str">
        <f>IFERROR(__xludf.DUMMYFUNCTION("GOOGLETRANSLATE(A3676, ""zh-CN"", ""ko"")"),"지도자")</f>
        <v>지도자</v>
      </c>
    </row>
    <row r="3677" ht="15.75" customHeight="1">
      <c r="A3677" s="1" t="s">
        <v>10848</v>
      </c>
      <c r="B3677" s="1">
        <v>6.0</v>
      </c>
      <c r="C3677" s="1" t="s">
        <v>10849</v>
      </c>
      <c r="D3677" s="1" t="s">
        <v>8</v>
      </c>
      <c r="E3677" s="1" t="s">
        <v>10850</v>
      </c>
      <c r="F3677" s="1" t="str">
        <f>IFERROR(__xludf.DUMMYFUNCTION("GOOGLETRANSLATE(A3677, ""zh-CN"", ""ko"")"),"슬립")</f>
        <v>슬립</v>
      </c>
    </row>
    <row r="3678" ht="15.75" customHeight="1">
      <c r="A3678" s="1" t="s">
        <v>10851</v>
      </c>
      <c r="B3678" s="1">
        <v>6.0</v>
      </c>
      <c r="C3678" s="1" t="s">
        <v>10852</v>
      </c>
      <c r="D3678" s="1" t="s">
        <v>8</v>
      </c>
      <c r="E3678" s="1" t="s">
        <v>10853</v>
      </c>
      <c r="F3678" s="1" t="str">
        <f>IFERROR(__xludf.DUMMYFUNCTION("GOOGLETRANSLATE(A3678, ""zh-CN"", ""ko"")"),"방랑")</f>
        <v>방랑</v>
      </c>
    </row>
    <row r="3679" ht="15.75" customHeight="1">
      <c r="A3679" s="1" t="s">
        <v>10854</v>
      </c>
      <c r="B3679" s="1">
        <v>6.0</v>
      </c>
      <c r="C3679" s="1" t="s">
        <v>10855</v>
      </c>
      <c r="D3679" s="1" t="s">
        <v>8</v>
      </c>
      <c r="E3679" s="1" t="s">
        <v>10856</v>
      </c>
      <c r="F3679" s="1" t="str">
        <f>IFERROR(__xludf.DUMMYFUNCTION("GOOGLETRANSLATE(A3679, ""zh-CN"", ""ko"")"),"노스탤지어")</f>
        <v>노스탤지어</v>
      </c>
    </row>
    <row r="3680" ht="15.75" customHeight="1">
      <c r="A3680" s="1" t="s">
        <v>10857</v>
      </c>
      <c r="B3680" s="1">
        <v>6.0</v>
      </c>
      <c r="C3680" s="1" t="s">
        <v>10858</v>
      </c>
      <c r="D3680" s="1" t="s">
        <v>8</v>
      </c>
      <c r="E3680" s="1" t="s">
        <v>10859</v>
      </c>
      <c r="F3680" s="1" t="str">
        <f>IFERROR(__xludf.DUMMYFUNCTION("GOOGLETRANSLATE(A3680, ""zh-CN"", ""ko"")"),"드러내다")</f>
        <v>드러내다</v>
      </c>
    </row>
    <row r="3681" ht="15.75" customHeight="1">
      <c r="A3681" s="1" t="s">
        <v>10860</v>
      </c>
      <c r="B3681" s="1">
        <v>6.0</v>
      </c>
      <c r="C3681" s="1" t="s">
        <v>10861</v>
      </c>
      <c r="D3681" s="1" t="s">
        <v>16</v>
      </c>
      <c r="E3681" s="1" t="s">
        <v>10862</v>
      </c>
      <c r="F3681" s="1" t="str">
        <f>IFERROR(__xludf.DUMMYFUNCTION("GOOGLETRANSLATE(A3681, ""zh-CN"", ""ko"")"),"악당")</f>
        <v>악당</v>
      </c>
    </row>
    <row r="3682" ht="15.75" customHeight="1">
      <c r="A3682" s="1" t="s">
        <v>10863</v>
      </c>
      <c r="B3682" s="1">
        <v>6.0</v>
      </c>
      <c r="C3682" s="1" t="s">
        <v>10864</v>
      </c>
      <c r="D3682" s="1" t="s">
        <v>8</v>
      </c>
      <c r="E3682" s="1" t="s">
        <v>10865</v>
      </c>
      <c r="F3682" s="1" t="str">
        <f>IFERROR(__xludf.DUMMYFUNCTION("GOOGLETRANSLATE(A3682, ""zh-CN"", ""ko"")"),"기념품")</f>
        <v>기념품</v>
      </c>
    </row>
    <row r="3683" ht="15.75" customHeight="1">
      <c r="A3683" s="1" t="s">
        <v>10866</v>
      </c>
      <c r="B3683" s="1">
        <v>6.0</v>
      </c>
      <c r="C3683" s="1" t="s">
        <v>10867</v>
      </c>
      <c r="D3683" s="1" t="s">
        <v>8</v>
      </c>
      <c r="E3683" s="1" t="s">
        <v>10868</v>
      </c>
      <c r="F3683" s="1" t="str">
        <f>IFERROR(__xludf.DUMMYFUNCTION("GOOGLETRANSLATE(A3683, ""zh-CN"", ""ko"")"),"조심하세요")</f>
        <v>조심하세요</v>
      </c>
    </row>
    <row r="3684" ht="15.75" customHeight="1">
      <c r="A3684" s="1" t="s">
        <v>10869</v>
      </c>
      <c r="B3684" s="1">
        <v>6.0</v>
      </c>
      <c r="C3684" s="1" t="s">
        <v>10870</v>
      </c>
      <c r="D3684" s="1" t="s">
        <v>8</v>
      </c>
      <c r="E3684" s="1" t="s">
        <v>10871</v>
      </c>
      <c r="F3684" s="1" t="str">
        <f>IFERROR(__xludf.DUMMYFUNCTION("GOOGLETRANSLATE(A3684, ""zh-CN"", ""ko"")"),"순환")</f>
        <v>순환</v>
      </c>
    </row>
    <row r="3685" ht="15.75" customHeight="1">
      <c r="A3685" s="1" t="s">
        <v>10872</v>
      </c>
      <c r="B3685" s="1">
        <v>6.0</v>
      </c>
      <c r="C3685" s="1" t="s">
        <v>10873</v>
      </c>
      <c r="D3685" s="1" t="s">
        <v>8</v>
      </c>
      <c r="E3685" s="1" t="s">
        <v>10874</v>
      </c>
      <c r="F3685" s="1" t="str">
        <f>IFERROR(__xludf.DUMMYFUNCTION("GOOGLETRANSLATE(A3685, ""zh-CN"", ""ko"")"),"청각장애인")</f>
        <v>청각장애인</v>
      </c>
    </row>
    <row r="3686" ht="15.75" customHeight="1">
      <c r="A3686" s="1" t="s">
        <v>10875</v>
      </c>
      <c r="B3686" s="1">
        <v>6.0</v>
      </c>
      <c r="C3686" s="1" t="s">
        <v>10876</v>
      </c>
      <c r="D3686" s="1" t="s">
        <v>52</v>
      </c>
      <c r="E3686" s="1" t="s">
        <v>10877</v>
      </c>
      <c r="F3686" s="1" t="str">
        <f>IFERROR(__xludf.DUMMYFUNCTION("GOOGLETRANSLATE(A3686, ""zh-CN"", ""ko"")"),"멋진")</f>
        <v>멋진</v>
      </c>
    </row>
    <row r="3687" ht="15.75" customHeight="1">
      <c r="A3687" s="1" t="s">
        <v>10878</v>
      </c>
      <c r="B3687" s="1">
        <v>6.0</v>
      </c>
      <c r="C3687" s="1" t="s">
        <v>10879</v>
      </c>
      <c r="D3687" s="1" t="s">
        <v>8</v>
      </c>
      <c r="E3687" s="1" t="s">
        <v>10880</v>
      </c>
      <c r="F3687" s="1" t="str">
        <f>IFERROR(__xludf.DUMMYFUNCTION("GOOGLETRANSLATE(A3687, ""zh-CN"", ""ko"")"),"전매권")</f>
        <v>전매권</v>
      </c>
    </row>
    <row r="3688" ht="15.75" customHeight="1">
      <c r="A3688" s="1" t="s">
        <v>10881</v>
      </c>
      <c r="B3688" s="1">
        <v>6.0</v>
      </c>
      <c r="C3688" s="1" t="s">
        <v>10882</v>
      </c>
      <c r="D3688" s="1" t="s">
        <v>8</v>
      </c>
      <c r="E3688" s="1" t="s">
        <v>10883</v>
      </c>
      <c r="F3688" s="1" t="str">
        <f>IFERROR(__xludf.DUMMYFUNCTION("GOOGLETRANSLATE(A3688, ""zh-CN"", ""ko"")"),"감싸인")</f>
        <v>감싸인</v>
      </c>
    </row>
    <row r="3689" ht="15.75" customHeight="1">
      <c r="A3689" s="1" t="s">
        <v>10884</v>
      </c>
      <c r="B3689" s="1">
        <v>6.0</v>
      </c>
      <c r="C3689" s="1" t="s">
        <v>10885</v>
      </c>
      <c r="D3689" s="1" t="s">
        <v>8</v>
      </c>
      <c r="E3689" s="1" t="s">
        <v>10886</v>
      </c>
      <c r="F3689" s="1" t="str">
        <f>IFERROR(__xludf.DUMMYFUNCTION("GOOGLETRANSLATE(A3689, ""zh-CN"", ""ko"")"),"껴안다")</f>
        <v>껴안다</v>
      </c>
    </row>
    <row r="3690" ht="15.75" customHeight="1">
      <c r="A3690" s="1" t="s">
        <v>10887</v>
      </c>
      <c r="B3690" s="1">
        <v>6.0</v>
      </c>
      <c r="C3690" s="1" t="s">
        <v>10888</v>
      </c>
      <c r="D3690" s="1" t="s">
        <v>16</v>
      </c>
      <c r="E3690" s="1" t="s">
        <v>10889</v>
      </c>
      <c r="F3690" s="1" t="str">
        <f>IFERROR(__xludf.DUMMYFUNCTION("GOOGLETRANSLATE(A3690, ""zh-CN"", ""ko"")"),"난로")</f>
        <v>난로</v>
      </c>
    </row>
    <row r="3691" ht="15.75" customHeight="1">
      <c r="A3691" s="1" t="s">
        <v>10890</v>
      </c>
      <c r="B3691" s="1">
        <v>6.0</v>
      </c>
      <c r="C3691" s="1" t="s">
        <v>10891</v>
      </c>
      <c r="D3691" s="1" t="s">
        <v>8</v>
      </c>
      <c r="E3691" s="1" t="s">
        <v>10892</v>
      </c>
      <c r="F3691" s="1" t="str">
        <f>IFERROR(__xludf.DUMMYFUNCTION("GOOGLETRANSLATE(A3691, ""zh-CN"", ""ko"")"),"약탈")</f>
        <v>약탈</v>
      </c>
    </row>
    <row r="3692" ht="15.75" customHeight="1">
      <c r="A3692" s="1" t="s">
        <v>10893</v>
      </c>
      <c r="B3692" s="1">
        <v>6.0</v>
      </c>
      <c r="C3692" s="1" t="s">
        <v>10894</v>
      </c>
      <c r="D3692" s="1" t="s">
        <v>16</v>
      </c>
      <c r="E3692" s="1" t="s">
        <v>10895</v>
      </c>
      <c r="F3692" s="1" t="str">
        <f>IFERROR(__xludf.DUMMYFUNCTION("GOOGLETRANSLATE(A3692, ""zh-CN"", ""ko"")"),"배")</f>
        <v>배</v>
      </c>
    </row>
    <row r="3693" ht="15.75" customHeight="1">
      <c r="A3693" s="1" t="s">
        <v>10896</v>
      </c>
      <c r="B3693" s="1">
        <v>6.0</v>
      </c>
      <c r="C3693" s="1" t="s">
        <v>10897</v>
      </c>
      <c r="D3693" s="1" t="s">
        <v>16</v>
      </c>
      <c r="E3693" s="1" t="s">
        <v>10898</v>
      </c>
      <c r="F3693" s="1" t="str">
        <f>IFERROR(__xludf.DUMMYFUNCTION("GOOGLETRANSLATE(A3693, ""zh-CN"", ""ko"")"),"윤곽")</f>
        <v>윤곽</v>
      </c>
    </row>
    <row r="3694" ht="15.75" customHeight="1">
      <c r="A3694" s="1" t="s">
        <v>10899</v>
      </c>
      <c r="B3694" s="1">
        <v>6.0</v>
      </c>
      <c r="C3694" s="1" t="s">
        <v>10900</v>
      </c>
      <c r="D3694" s="1" t="s">
        <v>16</v>
      </c>
      <c r="E3694" s="1" t="s">
        <v>10901</v>
      </c>
      <c r="F3694" s="1" t="str">
        <f>IFERROR(__xludf.DUMMYFUNCTION("GOOGLETRANSLATE(A3694, ""zh-CN"", ""ko"")"),"타이어")</f>
        <v>타이어</v>
      </c>
    </row>
    <row r="3695" ht="15.75" customHeight="1">
      <c r="A3695" s="1" t="s">
        <v>10902</v>
      </c>
      <c r="B3695" s="1">
        <v>6.0</v>
      </c>
      <c r="C3695" s="1" t="s">
        <v>10903</v>
      </c>
      <c r="D3695" s="1" t="s">
        <v>16</v>
      </c>
      <c r="E3695" s="1" t="s">
        <v>10904</v>
      </c>
      <c r="F3695" s="1" t="str">
        <f>IFERROR(__xludf.DUMMYFUNCTION("GOOGLETRANSLATE(A3695, ""zh-CN"", ""ko"")"),"법정")</f>
        <v>법정</v>
      </c>
    </row>
    <row r="3696" ht="15.75" customHeight="1">
      <c r="A3696" s="1" t="s">
        <v>10905</v>
      </c>
      <c r="B3696" s="1">
        <v>6.0</v>
      </c>
      <c r="C3696" s="1" t="s">
        <v>10906</v>
      </c>
      <c r="D3696" s="1" t="s">
        <v>8</v>
      </c>
      <c r="E3696" s="1" t="s">
        <v>10907</v>
      </c>
      <c r="F3696" s="1" t="str">
        <f>IFERROR(__xludf.DUMMYFUNCTION("GOOGLETRANSLATE(A3696, ""zh-CN"", ""ko"")"),"논쟁")</f>
        <v>논쟁</v>
      </c>
    </row>
    <row r="3697" ht="15.75" customHeight="1">
      <c r="A3697" s="1" t="s">
        <v>10908</v>
      </c>
      <c r="B3697" s="1">
        <v>6.0</v>
      </c>
      <c r="C3697" s="1" t="s">
        <v>10909</v>
      </c>
      <c r="D3697" s="1" t="s">
        <v>52</v>
      </c>
      <c r="E3697" s="1" t="s">
        <v>10910</v>
      </c>
      <c r="F3697" s="1" t="str">
        <f>IFERROR(__xludf.DUMMYFUNCTION("GOOGLETRANSLATE(A3697, ""zh-CN"", ""ko"")"),"말 수가 많은")</f>
        <v>말 수가 많은</v>
      </c>
    </row>
    <row r="3698" ht="15.75" customHeight="1">
      <c r="A3698" s="1" t="s">
        <v>10911</v>
      </c>
      <c r="B3698" s="1">
        <v>6.0</v>
      </c>
      <c r="C3698" s="1" t="s">
        <v>10912</v>
      </c>
      <c r="D3698" s="1" t="s">
        <v>8</v>
      </c>
      <c r="E3698" s="1" t="s">
        <v>10913</v>
      </c>
      <c r="F3698" s="1" t="str">
        <f>IFERROR(__xludf.DUMMYFUNCTION("GOOGLETRANSLATE(A3698, ""zh-CN"", ""ko"")"),"완전한")</f>
        <v>완전한</v>
      </c>
    </row>
    <row r="3699" ht="15.75" customHeight="1">
      <c r="A3699" s="1" t="s">
        <v>10914</v>
      </c>
      <c r="B3699" s="1">
        <v>6.0</v>
      </c>
      <c r="C3699" s="1" t="s">
        <v>10915</v>
      </c>
      <c r="D3699" s="1" t="s">
        <v>8</v>
      </c>
      <c r="E3699" s="1" t="s">
        <v>10916</v>
      </c>
      <c r="F3699" s="1" t="str">
        <f>IFERROR(__xludf.DUMMYFUNCTION("GOOGLETRANSLATE(A3699, ""zh-CN"", ""ko"")"),"구현하다")</f>
        <v>구현하다</v>
      </c>
    </row>
    <row r="3700" ht="15.75" customHeight="1">
      <c r="A3700" s="1" t="s">
        <v>10917</v>
      </c>
      <c r="B3700" s="1">
        <v>6.0</v>
      </c>
      <c r="C3700" s="1" t="s">
        <v>10918</v>
      </c>
      <c r="E3700" s="1" t="s">
        <v>10919</v>
      </c>
      <c r="F3700" s="1" t="str">
        <f>IFERROR(__xludf.DUMMYFUNCTION("GOOGLETRANSLATE(A3700, ""zh-CN"", ""ko"")"),"하나씩 차례로")</f>
        <v>하나씩 차례로</v>
      </c>
    </row>
    <row r="3701" ht="15.75" customHeight="1">
      <c r="A3701" s="1" t="s">
        <v>10920</v>
      </c>
      <c r="B3701" s="1">
        <v>6.0</v>
      </c>
      <c r="C3701" s="1" t="s">
        <v>10921</v>
      </c>
      <c r="D3701" s="1" t="s">
        <v>33</v>
      </c>
      <c r="E3701" s="1" t="s">
        <v>10922</v>
      </c>
      <c r="F3701" s="1" t="str">
        <f>IFERROR(__xludf.DUMMYFUNCTION("GOOGLETRANSLATE(A3701, ""zh-CN"", ""ko"")"),"자꾸")</f>
        <v>자꾸</v>
      </c>
    </row>
    <row r="3702" ht="15.75" customHeight="1">
      <c r="A3702" s="1" t="s">
        <v>10923</v>
      </c>
      <c r="B3702" s="1">
        <v>6.0</v>
      </c>
      <c r="C3702" s="1" t="s">
        <v>2644</v>
      </c>
      <c r="D3702" s="1" t="s">
        <v>8</v>
      </c>
      <c r="E3702" s="1" t="s">
        <v>10924</v>
      </c>
      <c r="F3702" s="1" t="str">
        <f>IFERROR(__xludf.DUMMYFUNCTION("GOOGLETRANSLATE(A3702, ""zh-CN"", ""ko"")"),"다하다")</f>
        <v>다하다</v>
      </c>
    </row>
    <row r="3703" ht="15.75" customHeight="1">
      <c r="A3703" s="1" t="s">
        <v>10925</v>
      </c>
      <c r="B3703" s="1">
        <v>6.0</v>
      </c>
      <c r="C3703" s="1" t="s">
        <v>10926</v>
      </c>
      <c r="D3703" s="1" t="s">
        <v>8</v>
      </c>
      <c r="E3703" s="1" t="s">
        <v>10927</v>
      </c>
      <c r="F3703" s="1" t="str">
        <f>IFERROR(__xludf.DUMMYFUNCTION("GOOGLETRANSLATE(A3703, ""zh-CN"", ""ko"")"),"마비")</f>
        <v>마비</v>
      </c>
    </row>
    <row r="3704" ht="15.75" customHeight="1">
      <c r="A3704" s="1" t="s">
        <v>10928</v>
      </c>
      <c r="B3704" s="1">
        <v>6.0</v>
      </c>
      <c r="C3704" s="1" t="s">
        <v>10929</v>
      </c>
      <c r="D3704" s="1" t="s">
        <v>52</v>
      </c>
      <c r="E3704" s="1" t="s">
        <v>10930</v>
      </c>
      <c r="F3704" s="1" t="str">
        <f>IFERROR(__xludf.DUMMYFUNCTION("GOOGLETRANSLATE(A3704, ""zh-CN"", ""ko"")"),"얼어서 고움")</f>
        <v>얼어서 고움</v>
      </c>
    </row>
    <row r="3705" ht="15.75" customHeight="1">
      <c r="A3705" s="1" t="s">
        <v>10931</v>
      </c>
      <c r="B3705" s="1">
        <v>6.0</v>
      </c>
      <c r="C3705" s="1" t="s">
        <v>10932</v>
      </c>
      <c r="D3705" s="1" t="s">
        <v>8</v>
      </c>
      <c r="E3705" s="1" t="s">
        <v>10933</v>
      </c>
      <c r="F3705" s="1" t="str">
        <f>IFERROR(__xludf.DUMMYFUNCTION("GOOGLETRANSLATE(A3705, ""zh-CN"", ""ko"")"),"마취")</f>
        <v>마취</v>
      </c>
    </row>
    <row r="3706" ht="15.75" customHeight="1">
      <c r="A3706" s="1" t="s">
        <v>10934</v>
      </c>
      <c r="B3706" s="1">
        <v>6.0</v>
      </c>
      <c r="C3706" s="1" t="s">
        <v>10935</v>
      </c>
      <c r="D3706" s="1" t="s">
        <v>16</v>
      </c>
      <c r="E3706" s="1" t="s">
        <v>10936</v>
      </c>
      <c r="F3706" s="1" t="str">
        <f>IFERROR(__xludf.DUMMYFUNCTION("GOOGLETRANSLATE(A3706, ""zh-CN"", ""ko"")"),"교각")</f>
        <v>교각</v>
      </c>
    </row>
    <row r="3707" ht="15.75" customHeight="1">
      <c r="A3707" s="1" t="s">
        <v>10937</v>
      </c>
      <c r="B3707" s="1">
        <v>6.0</v>
      </c>
      <c r="C3707" s="1" t="s">
        <v>10938</v>
      </c>
      <c r="D3707" s="1" t="s">
        <v>16</v>
      </c>
      <c r="E3707" s="1" t="s">
        <v>10939</v>
      </c>
      <c r="F3707" s="1" t="str">
        <f>IFERROR(__xludf.DUMMYFUNCTION("GOOGLETRANSLATE(A3707, ""zh-CN"", ""ko"")"),"개미")</f>
        <v>개미</v>
      </c>
    </row>
    <row r="3708" ht="15.75" customHeight="1">
      <c r="A3708" s="1" t="s">
        <v>10940</v>
      </c>
      <c r="B3708" s="1">
        <v>6.0</v>
      </c>
      <c r="C3708" s="1" t="s">
        <v>196</v>
      </c>
      <c r="D3708" s="1" t="s">
        <v>56</v>
      </c>
      <c r="E3708" s="1" t="s">
        <v>10941</v>
      </c>
      <c r="F3708" s="1" t="str">
        <f>IFERROR(__xludf.DUMMYFUNCTION("GOOGLETRANSLATE(A3708, ""zh-CN"", ""ko"")"),"잘")</f>
        <v>잘</v>
      </c>
    </row>
    <row r="3709" ht="15.75" customHeight="1">
      <c r="A3709" s="1" t="s">
        <v>10942</v>
      </c>
      <c r="B3709" s="1">
        <v>6.0</v>
      </c>
      <c r="C3709" s="1" t="s">
        <v>10943</v>
      </c>
      <c r="D3709" s="1" t="s">
        <v>8</v>
      </c>
      <c r="E3709" s="1" t="s">
        <v>10944</v>
      </c>
      <c r="F3709" s="1" t="str">
        <f>IFERROR(__xludf.DUMMYFUNCTION("GOOGLETRANSLATE(A3709, ""zh-CN"", ""ko"")"),"매복")</f>
        <v>매복</v>
      </c>
    </row>
    <row r="3710" ht="15.75" customHeight="1">
      <c r="A3710" s="1" t="s">
        <v>10945</v>
      </c>
      <c r="B3710" s="1">
        <v>6.0</v>
      </c>
      <c r="C3710" s="1" t="s">
        <v>10946</v>
      </c>
      <c r="D3710" s="1" t="s">
        <v>8</v>
      </c>
      <c r="E3710" s="1" t="s">
        <v>10947</v>
      </c>
      <c r="F3710" s="1" t="str">
        <f>IFERROR(__xludf.DUMMYFUNCTION("GOOGLETRANSLATE(A3710, ""zh-CN"", ""ko"")"),"묻힌")</f>
        <v>묻힌</v>
      </c>
    </row>
    <row r="3711" ht="15.75" customHeight="1">
      <c r="A3711" s="1" t="s">
        <v>10948</v>
      </c>
      <c r="B3711" s="1">
        <v>6.0</v>
      </c>
      <c r="C3711" s="1" t="s">
        <v>10949</v>
      </c>
      <c r="D3711" s="1" t="s">
        <v>8</v>
      </c>
      <c r="E3711" s="1" t="s">
        <v>10950</v>
      </c>
      <c r="F3711" s="1" t="str">
        <f>IFERROR(__xludf.DUMMYFUNCTION("GOOGLETRANSLATE(A3711, ""zh-CN"", ""ko"")"),"묻다 ")</f>
        <v>묻다 </v>
      </c>
    </row>
    <row r="3712" ht="15.75" customHeight="1">
      <c r="A3712" s="1" t="s">
        <v>10951</v>
      </c>
      <c r="B3712" s="1">
        <v>6.0</v>
      </c>
      <c r="C3712" s="1" t="s">
        <v>664</v>
      </c>
      <c r="D3712" s="1" t="s">
        <v>8</v>
      </c>
      <c r="E3712" s="1" t="s">
        <v>10952</v>
      </c>
      <c r="F3712" s="1" t="str">
        <f>IFERROR(__xludf.DUMMYFUNCTION("GOOGLETRANSLATE(A3712, ""zh-CN"", ""ko"")"),"마이")</f>
        <v>마이</v>
      </c>
    </row>
    <row r="3713" ht="15.75" customHeight="1">
      <c r="A3713" s="1" t="s">
        <v>10953</v>
      </c>
      <c r="B3713" s="1">
        <v>6.0</v>
      </c>
      <c r="C3713" s="1" t="s">
        <v>10954</v>
      </c>
      <c r="D3713" s="1" t="s">
        <v>16</v>
      </c>
      <c r="E3713" s="1" t="s">
        <v>10955</v>
      </c>
      <c r="F3713" s="1" t="str">
        <f>IFERROR(__xludf.DUMMYFUNCTION("GOOGLETRANSLATE(A3713, ""zh-CN"", ""ko"")"),"맥박")</f>
        <v>맥박</v>
      </c>
    </row>
    <row r="3714" ht="15.75" customHeight="1">
      <c r="A3714" s="1" t="s">
        <v>10956</v>
      </c>
      <c r="B3714" s="1">
        <v>6.0</v>
      </c>
      <c r="C3714" s="1" t="s">
        <v>10957</v>
      </c>
      <c r="D3714" s="1" t="s">
        <v>8</v>
      </c>
      <c r="E3714" s="1" t="s">
        <v>10958</v>
      </c>
      <c r="F3714" s="1" t="str">
        <f>IFERROR(__xludf.DUMMYFUNCTION("GOOGLETRANSLATE(A3714, ""zh-CN"", ""ko"")"),"불평하다")</f>
        <v>불평하다</v>
      </c>
    </row>
    <row r="3715" ht="15.75" customHeight="1">
      <c r="A3715" s="1" t="s">
        <v>10959</v>
      </c>
      <c r="B3715" s="1">
        <v>6.0</v>
      </c>
      <c r="C3715" s="1" t="s">
        <v>10960</v>
      </c>
      <c r="D3715" s="1" t="s">
        <v>52</v>
      </c>
      <c r="E3715" s="1" t="s">
        <v>10961</v>
      </c>
      <c r="F3715" s="1" t="str">
        <f>IFERROR(__xludf.DUMMYFUNCTION("GOOGLETRANSLATE(A3715, ""zh-CN"", ""ko"")"),"긴")</f>
        <v>긴</v>
      </c>
    </row>
    <row r="3716" ht="15.75" customHeight="1">
      <c r="A3716" s="1" t="s">
        <v>10962</v>
      </c>
      <c r="B3716" s="1">
        <v>6.0</v>
      </c>
      <c r="C3716" s="1" t="s">
        <v>10963</v>
      </c>
      <c r="D3716" s="1" t="s">
        <v>16</v>
      </c>
      <c r="E3716" s="1" t="s">
        <v>10964</v>
      </c>
      <c r="F3716" s="1" t="str">
        <f>IFERROR(__xludf.DUMMYFUNCTION("GOOGLETRANSLATE(A3716, ""zh-CN"", ""ko"")"),"지세도")</f>
        <v>지세도</v>
      </c>
    </row>
    <row r="3717" ht="15.75" customHeight="1">
      <c r="A3717" s="1" t="s">
        <v>10965</v>
      </c>
      <c r="B3717" s="1">
        <v>6.0</v>
      </c>
      <c r="C3717" s="1" t="s">
        <v>10966</v>
      </c>
      <c r="D3717" s="1" t="s">
        <v>52</v>
      </c>
      <c r="E3717" s="1" t="s">
        <v>10967</v>
      </c>
      <c r="F3717" s="1" t="str">
        <f>IFERROR(__xludf.DUMMYFUNCTION("GOOGLETRANSLATE(A3717, ""zh-CN"", ""ko"")"),"만성병 환자")</f>
        <v>만성병 환자</v>
      </c>
    </row>
    <row r="3718" ht="15.75" customHeight="1">
      <c r="A3718" s="1" t="s">
        <v>10968</v>
      </c>
      <c r="B3718" s="1">
        <v>6.0</v>
      </c>
      <c r="C3718" s="1" t="s">
        <v>10969</v>
      </c>
      <c r="D3718" s="1" t="s">
        <v>8</v>
      </c>
      <c r="E3718" s="1" t="s">
        <v>10970</v>
      </c>
      <c r="F3718" s="1" t="str">
        <f>IFERROR(__xludf.DUMMYFUNCTION("GOOGLETRANSLATE(A3718, ""zh-CN"", ""ko"")"),"확산")</f>
        <v>확산</v>
      </c>
    </row>
    <row r="3719" ht="15.75" customHeight="1">
      <c r="A3719" s="1" t="s">
        <v>10971</v>
      </c>
      <c r="B3719" s="1">
        <v>6.0</v>
      </c>
      <c r="C3719" s="1" t="s">
        <v>10972</v>
      </c>
      <c r="D3719" s="1" t="s">
        <v>52</v>
      </c>
      <c r="E3719" s="1" t="s">
        <v>10973</v>
      </c>
      <c r="F3719" s="1" t="str">
        <f>IFERROR(__xludf.DUMMYFUNCTION("GOOGLETRANSLATE(A3719, ""zh-CN"", ""ko"")"),"바쁘다")</f>
        <v>바쁘다</v>
      </c>
    </row>
    <row r="3720" ht="15.75" customHeight="1">
      <c r="A3720" s="1" t="s">
        <v>10974</v>
      </c>
      <c r="B3720" s="1">
        <v>6.0</v>
      </c>
      <c r="C3720" s="1" t="s">
        <v>10975</v>
      </c>
      <c r="D3720" s="1" t="s">
        <v>52</v>
      </c>
      <c r="E3720" s="1" t="s">
        <v>10976</v>
      </c>
      <c r="F3720" s="1" t="str">
        <f>IFERROR(__xludf.DUMMYFUNCTION("GOOGLETRANSLATE(A3720, ""zh-CN"", ""ko"")"),"대단한")</f>
        <v>대단한</v>
      </c>
    </row>
    <row r="3721" ht="15.75" customHeight="1">
      <c r="A3721" s="1" t="s">
        <v>10977</v>
      </c>
      <c r="B3721" s="1">
        <v>6.0</v>
      </c>
      <c r="C3721" s="1" t="s">
        <v>10978</v>
      </c>
      <c r="D3721" s="1" t="s">
        <v>52</v>
      </c>
      <c r="E3721" s="1" t="s">
        <v>10979</v>
      </c>
      <c r="F3721" s="1" t="str">
        <f>IFERROR(__xludf.DUMMYFUNCTION("GOOGLETRANSLATE(A3721, ""zh-CN"", ""ko"")"),"눈이 먼")</f>
        <v>눈이 먼</v>
      </c>
    </row>
    <row r="3722" ht="15.75" customHeight="1">
      <c r="A3722" s="1" t="s">
        <v>10980</v>
      </c>
      <c r="B3722" s="1">
        <v>6.0</v>
      </c>
      <c r="C3722" s="1" t="s">
        <v>10981</v>
      </c>
      <c r="D3722" s="1" t="s">
        <v>52</v>
      </c>
      <c r="E3722" s="1" t="s">
        <v>10982</v>
      </c>
      <c r="F3722" s="1" t="str">
        <f>IFERROR(__xludf.DUMMYFUNCTION("GOOGLETRANSLATE(A3722, ""zh-CN"", ""ko"")"),"당황한")</f>
        <v>당황한</v>
      </c>
    </row>
    <row r="3723" ht="15.75" customHeight="1">
      <c r="A3723" s="1" t="s">
        <v>10983</v>
      </c>
      <c r="B3723" s="1">
        <v>6.0</v>
      </c>
      <c r="C3723" s="1" t="s">
        <v>10984</v>
      </c>
      <c r="D3723" s="1" t="s">
        <v>8</v>
      </c>
      <c r="E3723" s="1" t="s">
        <v>10985</v>
      </c>
      <c r="F3723" s="1" t="str">
        <f>IFERROR(__xludf.DUMMYFUNCTION("GOOGLETRANSLATE(A3723, ""zh-CN"", ""ko"")"),"인격화")</f>
        <v>인격화</v>
      </c>
    </row>
    <row r="3724" ht="15.75" customHeight="1">
      <c r="A3724" s="1" t="s">
        <v>10986</v>
      </c>
      <c r="B3724" s="1">
        <v>6.0</v>
      </c>
      <c r="C3724" s="1" t="s">
        <v>10987</v>
      </c>
      <c r="D3724" s="1" t="s">
        <v>8</v>
      </c>
      <c r="E3724" s="1" t="s">
        <v>10988</v>
      </c>
      <c r="F3724" s="1" t="str">
        <f>IFERROR(__xludf.DUMMYFUNCTION("GOOGLETRANSLATE(A3724, ""zh-CN"", ""ko"")"),"긁다")</f>
        <v>긁다</v>
      </c>
    </row>
    <row r="3725" ht="15.75" customHeight="1">
      <c r="A3725" s="1" t="s">
        <v>10989</v>
      </c>
      <c r="B3725" s="1">
        <v>6.0</v>
      </c>
      <c r="C3725" s="1" t="s">
        <v>10990</v>
      </c>
      <c r="D3725" s="1" t="s">
        <v>52</v>
      </c>
      <c r="E3725" s="1" t="s">
        <v>10991</v>
      </c>
      <c r="F3725" s="1" t="str">
        <f>IFERROR(__xludf.DUMMYFUNCTION("GOOGLETRANSLATE(A3725, ""zh-CN"", ""ko"")"),"풍부한")</f>
        <v>풍부한</v>
      </c>
    </row>
    <row r="3726" ht="15.75" customHeight="1">
      <c r="A3726" s="1" t="s">
        <v>10992</v>
      </c>
      <c r="B3726" s="1">
        <v>6.0</v>
      </c>
      <c r="C3726" s="1" t="s">
        <v>10993</v>
      </c>
      <c r="D3726" s="1" t="s">
        <v>26</v>
      </c>
      <c r="E3726" s="1" t="s">
        <v>10994</v>
      </c>
      <c r="F3726" s="1" t="str">
        <f>IFERROR(__xludf.DUMMYFUNCTION("GOOGLETRANSLATE(A3726, ""zh-CN"", ""ko"")"),"조각들")</f>
        <v>조각들</v>
      </c>
    </row>
    <row r="3727" ht="15.75" customHeight="1">
      <c r="A3727" s="1" t="s">
        <v>10995</v>
      </c>
      <c r="B3727" s="1">
        <v>6.0</v>
      </c>
      <c r="C3727" s="1" t="s">
        <v>10996</v>
      </c>
      <c r="D3727" s="1" t="s">
        <v>16</v>
      </c>
      <c r="E3727" s="1" t="s">
        <v>10997</v>
      </c>
      <c r="F3727" s="1" t="str">
        <f>IFERROR(__xludf.DUMMYFUNCTION("GOOGLETRANSLATE(A3727, ""zh-CN"", ""ko"")"),"중간")</f>
        <v>중간</v>
      </c>
    </row>
    <row r="3728" ht="15.75" customHeight="1">
      <c r="A3728" s="1" t="s">
        <v>10998</v>
      </c>
      <c r="B3728" s="1">
        <v>6.0</v>
      </c>
      <c r="C3728" s="1" t="s">
        <v>10999</v>
      </c>
      <c r="D3728" s="1" t="s">
        <v>52</v>
      </c>
      <c r="E3728" s="1" t="s">
        <v>11000</v>
      </c>
      <c r="F3728" s="1" t="str">
        <f>IFERROR(__xludf.DUMMYFUNCTION("GOOGLETRANSLATE(A3728, ""zh-CN"", ""ko"")"),"심미적으로 만족스러운")</f>
        <v>심미적으로 만족스러운</v>
      </c>
    </row>
    <row r="3729" ht="15.75" customHeight="1">
      <c r="A3729" s="1" t="s">
        <v>11001</v>
      </c>
      <c r="B3729" s="1">
        <v>6.0</v>
      </c>
      <c r="C3729" s="1" t="s">
        <v>11002</v>
      </c>
      <c r="D3729" s="1" t="s">
        <v>52</v>
      </c>
      <c r="E3729" s="1" t="s">
        <v>11003</v>
      </c>
      <c r="F3729" s="1" t="str">
        <f>IFERROR(__xludf.DUMMYFUNCTION("GOOGLETRANSLATE(A3729, ""zh-CN"", ""ko"")"),"행복하다")</f>
        <v>행복하다</v>
      </c>
    </row>
    <row r="3730" ht="15.75" customHeight="1">
      <c r="A3730" s="1" t="s">
        <v>11004</v>
      </c>
      <c r="B3730" s="1">
        <v>6.0</v>
      </c>
      <c r="C3730" s="1" t="s">
        <v>11005</v>
      </c>
      <c r="D3730" s="1" t="s">
        <v>52</v>
      </c>
      <c r="E3730" s="1" t="s">
        <v>11006</v>
      </c>
      <c r="F3730" s="1" t="str">
        <f>IFERROR(__xludf.DUMMYFUNCTION("GOOGLETRANSLATE(A3730, ""zh-CN"", ""ko"")"),"아주 멋진")</f>
        <v>아주 멋진</v>
      </c>
    </row>
    <row r="3731" ht="15.75" customHeight="1">
      <c r="A3731" s="1" t="s">
        <v>11007</v>
      </c>
      <c r="B3731" s="1">
        <v>6.0</v>
      </c>
      <c r="C3731" s="1" t="s">
        <v>11008</v>
      </c>
      <c r="D3731" s="1" t="s">
        <v>8</v>
      </c>
      <c r="E3731" s="1" t="s">
        <v>11009</v>
      </c>
      <c r="F3731" s="1" t="str">
        <f>IFERROR(__xludf.DUMMYFUNCTION("GOOGLETRANSLATE(A3731, ""zh-CN"", ""ko"")"),"싹")</f>
        <v>싹</v>
      </c>
    </row>
    <row r="3732" ht="15.75" customHeight="1">
      <c r="A3732" s="1" t="s">
        <v>11010</v>
      </c>
      <c r="B3732" s="1">
        <v>6.0</v>
      </c>
      <c r="C3732" s="1" t="s">
        <v>11011</v>
      </c>
      <c r="D3732" s="1" t="s">
        <v>52</v>
      </c>
      <c r="E3732" s="1" t="s">
        <v>11012</v>
      </c>
      <c r="F3732" s="1" t="str">
        <f>IFERROR(__xludf.DUMMYFUNCTION("GOOGLETRANSLATE(A3732, ""zh-CN"", ""ko"")"),"폭력적인")</f>
        <v>폭력적인</v>
      </c>
    </row>
    <row r="3733" ht="15.75" customHeight="1">
      <c r="A3733" s="1" t="s">
        <v>11013</v>
      </c>
      <c r="B3733" s="1">
        <v>6.0</v>
      </c>
      <c r="C3733" s="1" t="s">
        <v>11014</v>
      </c>
      <c r="D3733" s="1" t="s">
        <v>8</v>
      </c>
      <c r="E3733" s="1" t="s">
        <v>11015</v>
      </c>
      <c r="F3733" s="1" t="str">
        <f>IFERROR(__xludf.DUMMYFUNCTION("GOOGLETRANSLATE(A3733, ""zh-CN"", ""ko"")"),"곁눈질")</f>
        <v>곁눈질</v>
      </c>
    </row>
    <row r="3734" ht="15.75" customHeight="1">
      <c r="A3734" s="1" t="s">
        <v>11016</v>
      </c>
      <c r="B3734" s="1">
        <v>6.0</v>
      </c>
      <c r="C3734" s="1" t="s">
        <v>11017</v>
      </c>
      <c r="D3734" s="1" t="s">
        <v>8</v>
      </c>
      <c r="E3734" s="1" t="s">
        <v>11018</v>
      </c>
      <c r="F3734" s="1" t="str">
        <f>IFERROR(__xludf.DUMMYFUNCTION("GOOGLETRANSLATE(A3734, ""zh-CN"", ""ko"")"),"조립")</f>
        <v>조립</v>
      </c>
    </row>
    <row r="3735" ht="15.75" customHeight="1">
      <c r="A3735" s="1" t="s">
        <v>11019</v>
      </c>
      <c r="B3735" s="1">
        <v>6.0</v>
      </c>
      <c r="C3735" s="1" t="s">
        <v>11020</v>
      </c>
      <c r="D3735" s="1" t="s">
        <v>52</v>
      </c>
      <c r="E3735" s="1" t="s">
        <v>11021</v>
      </c>
      <c r="F3735" s="1" t="str">
        <f>IFERROR(__xludf.DUMMYFUNCTION("GOOGLETRANSLATE(A3735, ""zh-CN"", ""ko"")"),"혼란시키다")</f>
        <v>혼란시키다</v>
      </c>
    </row>
    <row r="3736" ht="15.75" customHeight="1">
      <c r="A3736" s="1" t="s">
        <v>11022</v>
      </c>
      <c r="B3736" s="1">
        <v>6.0</v>
      </c>
      <c r="C3736" s="1" t="s">
        <v>11023</v>
      </c>
      <c r="D3736" s="1" t="s">
        <v>8</v>
      </c>
      <c r="E3736" s="1" t="s">
        <v>11024</v>
      </c>
      <c r="F3736" s="1" t="str">
        <f>IFERROR(__xludf.DUMMYFUNCTION("GOOGLETRANSLATE(A3736, ""zh-CN"", ""ko"")"),"퍼지다")</f>
        <v>퍼지다</v>
      </c>
    </row>
    <row r="3737" ht="15.75" customHeight="1">
      <c r="A3737" s="1" t="s">
        <v>11025</v>
      </c>
      <c r="B3737" s="1">
        <v>6.0</v>
      </c>
      <c r="C3737" s="1" t="s">
        <v>11026</v>
      </c>
      <c r="D3737" s="1" t="s">
        <v>52</v>
      </c>
      <c r="E3737" s="1" t="s">
        <v>11027</v>
      </c>
      <c r="F3737" s="1" t="str">
        <f>IFERROR(__xludf.DUMMYFUNCTION("GOOGLETRANSLATE(A3737, ""zh-CN"", ""ko"")"),"매력적인")</f>
        <v>매력적인</v>
      </c>
    </row>
    <row r="3738" ht="15.75" customHeight="1">
      <c r="A3738" s="1" t="s">
        <v>11028</v>
      </c>
      <c r="B3738" s="1">
        <v>6.0</v>
      </c>
      <c r="C3738" s="1" t="s">
        <v>11029</v>
      </c>
      <c r="D3738" s="1" t="s">
        <v>8</v>
      </c>
      <c r="E3738" s="1" t="s">
        <v>11030</v>
      </c>
      <c r="F3738" s="1" t="str">
        <f>IFERROR(__xludf.DUMMYFUNCTION("GOOGLETRANSLATE(A3738, ""zh-CN"", ""ko"")"),"미신적인")</f>
        <v>미신적인</v>
      </c>
    </row>
    <row r="3739" ht="15.75" customHeight="1">
      <c r="A3739" s="1" t="s">
        <v>11031</v>
      </c>
      <c r="B3739" s="1">
        <v>6.0</v>
      </c>
      <c r="C3739" s="1" t="s">
        <v>11032</v>
      </c>
      <c r="D3739" s="1" t="s">
        <v>16</v>
      </c>
      <c r="E3739" s="1" t="s">
        <v>11033</v>
      </c>
      <c r="F3739" s="1" t="str">
        <f>IFERROR(__xludf.DUMMYFUNCTION("GOOGLETRANSLATE(A3739, ""zh-CN"", ""ko"")"),"수수께끼")</f>
        <v>수수께끼</v>
      </c>
    </row>
    <row r="3740" ht="15.75" customHeight="1">
      <c r="A3740" s="1" t="s">
        <v>11034</v>
      </c>
      <c r="B3740" s="1">
        <v>6.0</v>
      </c>
      <c r="C3740" s="1" t="s">
        <v>11035</v>
      </c>
      <c r="D3740" s="1" t="s">
        <v>16</v>
      </c>
      <c r="E3740" s="1" t="s">
        <v>11036</v>
      </c>
      <c r="F3740" s="1" t="str">
        <f>IFERROR(__xludf.DUMMYFUNCTION("GOOGLETRANSLATE(A3740, ""zh-CN"", ""ko"")"),"밀도")</f>
        <v>밀도</v>
      </c>
    </row>
    <row r="3741" ht="15.75" customHeight="1">
      <c r="A3741" s="1" t="s">
        <v>11037</v>
      </c>
      <c r="B3741" s="1">
        <v>6.0</v>
      </c>
      <c r="C3741" s="1" t="s">
        <v>5420</v>
      </c>
      <c r="D3741" s="1" t="s">
        <v>8</v>
      </c>
      <c r="E3741" s="1" t="s">
        <v>11038</v>
      </c>
      <c r="F3741" s="1" t="str">
        <f>IFERROR(__xludf.DUMMYFUNCTION("GOOGLETRANSLATE(A3741, ""zh-CN"", ""ko"")"),"밀봉하다")</f>
        <v>밀봉하다</v>
      </c>
    </row>
    <row r="3742" ht="15.75" customHeight="1">
      <c r="A3742" s="1" t="s">
        <v>11039</v>
      </c>
      <c r="B3742" s="1">
        <v>6.0</v>
      </c>
      <c r="C3742" s="1" t="s">
        <v>11040</v>
      </c>
      <c r="D3742" s="1" t="s">
        <v>16</v>
      </c>
      <c r="E3742" s="1" t="s">
        <v>11041</v>
      </c>
      <c r="F3742" s="1" t="str">
        <f>IFERROR(__xludf.DUMMYFUNCTION("GOOGLETRANSLATE(A3742, ""zh-CN"", ""ko"")"),"면")</f>
        <v>면</v>
      </c>
    </row>
    <row r="3743" ht="15.75" customHeight="1">
      <c r="A3743" s="1" t="s">
        <v>11042</v>
      </c>
      <c r="B3743" s="1">
        <v>6.0</v>
      </c>
      <c r="C3743" s="1" t="s">
        <v>11043</v>
      </c>
      <c r="D3743" s="1" t="s">
        <v>1473</v>
      </c>
      <c r="E3743" s="1" t="s">
        <v>11044</v>
      </c>
      <c r="F3743" s="1" t="str">
        <f>IFERROR(__xludf.DUMMYFUNCTION("GOOGLETRANSLATE(A3743, ""zh-CN"", ""ko"")"),"...하지 않도록")</f>
        <v>...하지 않도록</v>
      </c>
    </row>
    <row r="3744" ht="15.75" customHeight="1">
      <c r="A3744" s="1" t="s">
        <v>11045</v>
      </c>
      <c r="B3744" s="1">
        <v>6.0</v>
      </c>
      <c r="C3744" s="1" t="s">
        <v>11046</v>
      </c>
      <c r="D3744" s="1" t="s">
        <v>8</v>
      </c>
      <c r="E3744" s="1" t="s">
        <v>2209</v>
      </c>
      <c r="F3744" s="1" t="str">
        <f>IFERROR(__xludf.DUMMYFUNCTION("GOOGLETRANSLATE(A3744, ""zh-CN"", ""ko"")"),"격려")</f>
        <v>격려</v>
      </c>
    </row>
    <row r="3745" ht="15.75" customHeight="1">
      <c r="A3745" s="1" t="s">
        <v>11047</v>
      </c>
      <c r="B3745" s="1">
        <v>6.0</v>
      </c>
      <c r="C3745" s="1" t="s">
        <v>11048</v>
      </c>
      <c r="D3745" s="1" t="s">
        <v>52</v>
      </c>
      <c r="E3745" s="1" t="s">
        <v>11049</v>
      </c>
      <c r="F3745" s="1" t="str">
        <f>IFERROR(__xludf.DUMMYFUNCTION("GOOGLETRANSLATE(A3745, ""zh-CN"", ""ko"")"),"마지못해")</f>
        <v>마지못해</v>
      </c>
    </row>
    <row r="3746" ht="15.75" customHeight="1">
      <c r="A3746" s="1" t="s">
        <v>11050</v>
      </c>
      <c r="B3746" s="1">
        <v>6.0</v>
      </c>
      <c r="C3746" s="1" t="s">
        <v>11051</v>
      </c>
      <c r="D3746" s="1" t="s">
        <v>8</v>
      </c>
      <c r="E3746" s="1" t="s">
        <v>11052</v>
      </c>
      <c r="F3746" s="1" t="str">
        <f>IFERROR(__xludf.DUMMYFUNCTION("GOOGLETRANSLATE(A3746, ""zh-CN"", ""ko"")"),"면제")</f>
        <v>면제</v>
      </c>
    </row>
    <row r="3747" ht="15.75" customHeight="1">
      <c r="A3747" s="1" t="s">
        <v>11053</v>
      </c>
      <c r="B3747" s="1">
        <v>6.0</v>
      </c>
      <c r="C3747" s="1" t="s">
        <v>11054</v>
      </c>
      <c r="D3747" s="1" t="s">
        <v>16</v>
      </c>
      <c r="E3747" s="1" t="s">
        <v>11055</v>
      </c>
      <c r="F3747" s="1" t="str">
        <f>IFERROR(__xludf.DUMMYFUNCTION("GOOGLETRANSLATE(A3747, ""zh-CN"", ""ko"")"),"얼굴")</f>
        <v>얼굴</v>
      </c>
    </row>
    <row r="3748" ht="15.75" customHeight="1">
      <c r="A3748" s="1" t="s">
        <v>11056</v>
      </c>
      <c r="B3748" s="1">
        <v>6.0</v>
      </c>
      <c r="C3748" s="1" t="s">
        <v>11057</v>
      </c>
      <c r="D3748" s="1" t="s">
        <v>16</v>
      </c>
      <c r="E3748" s="1" t="s">
        <v>11058</v>
      </c>
      <c r="F3748" s="1" t="str">
        <f>IFERROR(__xludf.DUMMYFUNCTION("GOOGLETRANSLATE(A3748, ""zh-CN"", ""ko"")"),"얼굴")</f>
        <v>얼굴</v>
      </c>
    </row>
    <row r="3749" ht="15.75" customHeight="1">
      <c r="A3749" s="1" t="s">
        <v>11059</v>
      </c>
      <c r="B3749" s="1">
        <v>6.0</v>
      </c>
      <c r="C3749" s="1" t="s">
        <v>11060</v>
      </c>
      <c r="D3749" s="1" t="s">
        <v>8</v>
      </c>
      <c r="E3749" s="1" t="s">
        <v>11061</v>
      </c>
      <c r="F3749" s="1" t="str">
        <f>IFERROR(__xludf.DUMMYFUNCTION("GOOGLETRANSLATE(A3749, ""zh-CN"", ""ko"")"),"묘사하다")</f>
        <v>묘사하다</v>
      </c>
    </row>
    <row r="3750" ht="15.75" customHeight="1">
      <c r="A3750" s="1" t="s">
        <v>11062</v>
      </c>
      <c r="B3750" s="1">
        <v>6.0</v>
      </c>
      <c r="C3750" s="1" t="s">
        <v>11063</v>
      </c>
      <c r="D3750" s="1" t="s">
        <v>8</v>
      </c>
      <c r="E3750" s="1" t="s">
        <v>11064</v>
      </c>
      <c r="F3750" s="1" t="str">
        <f>IFERROR(__xludf.DUMMYFUNCTION("GOOGLETRANSLATE(A3750, ""zh-CN"", ""ko"")"),"목표")</f>
        <v>목표</v>
      </c>
    </row>
    <row r="3751" ht="15.75" customHeight="1">
      <c r="A3751" s="1" t="s">
        <v>11065</v>
      </c>
      <c r="B3751" s="1">
        <v>6.0</v>
      </c>
      <c r="C3751" s="1" t="s">
        <v>11066</v>
      </c>
      <c r="D3751" s="1" t="s">
        <v>8</v>
      </c>
      <c r="E3751" s="1" t="s">
        <v>11067</v>
      </c>
      <c r="F3751" s="1" t="str">
        <f>IFERROR(__xludf.DUMMYFUNCTION("GOOGLETRANSLATE(A3751, ""zh-CN"", ""ko"")"),"경멸")</f>
        <v>경멸</v>
      </c>
    </row>
    <row r="3752" ht="15.75" customHeight="1">
      <c r="A3752" s="1" t="s">
        <v>11068</v>
      </c>
      <c r="B3752" s="1">
        <v>6.0</v>
      </c>
      <c r="C3752" s="1" t="s">
        <v>11069</v>
      </c>
      <c r="D3752" s="1" t="s">
        <v>52</v>
      </c>
      <c r="E3752" s="1" t="s">
        <v>11070</v>
      </c>
      <c r="F3752" s="1" t="str">
        <f>IFERROR(__xludf.DUMMYFUNCTION("GOOGLETRANSLATE(A3752, ""zh-CN"", ""ko"")"),"의미 없는")</f>
        <v>의미 없는</v>
      </c>
    </row>
    <row r="3753" ht="15.75" customHeight="1">
      <c r="A3753" s="1" t="s">
        <v>11071</v>
      </c>
      <c r="B3753" s="1">
        <v>6.0</v>
      </c>
      <c r="C3753" s="1" t="s">
        <v>11072</v>
      </c>
      <c r="D3753" s="1" t="s">
        <v>8</v>
      </c>
      <c r="E3753" s="1" t="s">
        <v>11073</v>
      </c>
      <c r="F3753" s="1" t="str">
        <f>IFERROR(__xludf.DUMMYFUNCTION("GOOGLETRANSLATE(A3753, ""zh-CN"", ""ko"")"),"경멸")</f>
        <v>경멸</v>
      </c>
    </row>
    <row r="3754" ht="15.75" customHeight="1">
      <c r="A3754" s="1" t="s">
        <v>11074</v>
      </c>
      <c r="B3754" s="1">
        <v>6.0</v>
      </c>
      <c r="C3754" s="1" t="s">
        <v>11075</v>
      </c>
      <c r="D3754" s="1" t="s">
        <v>8</v>
      </c>
      <c r="E3754" s="1" t="s">
        <v>11076</v>
      </c>
      <c r="F3754" s="1" t="str">
        <f>IFERROR(__xludf.DUMMYFUNCTION("GOOGLETRANSLATE(A3754, ""zh-CN"", ""ko"")"),"소멸")</f>
        <v>소멸</v>
      </c>
    </row>
    <row r="3755" ht="15.75" customHeight="1">
      <c r="A3755" s="1" t="s">
        <v>11077</v>
      </c>
      <c r="B3755" s="1">
        <v>6.0</v>
      </c>
      <c r="C3755" s="1" t="s">
        <v>11078</v>
      </c>
      <c r="D3755" s="1" t="s">
        <v>16</v>
      </c>
      <c r="E3755" s="1" t="s">
        <v>11079</v>
      </c>
      <c r="F3755" s="1" t="str">
        <f>IFERROR(__xludf.DUMMYFUNCTION("GOOGLETRANSLATE(A3755, ""zh-CN"", ""ko"")"),"사람들")</f>
        <v>사람들</v>
      </c>
    </row>
    <row r="3756" ht="15.75" customHeight="1">
      <c r="A3756" s="1" t="s">
        <v>11080</v>
      </c>
      <c r="B3756" s="1">
        <v>6.0</v>
      </c>
      <c r="C3756" s="1" t="s">
        <v>11081</v>
      </c>
      <c r="D3756" s="1" t="s">
        <v>52</v>
      </c>
      <c r="E3756" s="1" t="s">
        <v>11082</v>
      </c>
      <c r="F3756" s="1" t="str">
        <f>IFERROR(__xludf.DUMMYFUNCTION("GOOGLETRANSLATE(A3756, ""zh-CN"", ""ko"")"),"민주주의")</f>
        <v>민주주의</v>
      </c>
    </row>
    <row r="3757" ht="15.75" customHeight="1">
      <c r="A3757" s="1" t="s">
        <v>11083</v>
      </c>
      <c r="B3757" s="1">
        <v>6.0</v>
      </c>
      <c r="C3757" s="1" t="s">
        <v>11084</v>
      </c>
      <c r="D3757" s="1" t="s">
        <v>52</v>
      </c>
      <c r="E3757" s="1" t="s">
        <v>11085</v>
      </c>
      <c r="F3757" s="1" t="str">
        <f>IFERROR(__xludf.DUMMYFUNCTION("GOOGLETRANSLATE(A3757, ""zh-CN"", ""ko"")"),"기민한")</f>
        <v>기민한</v>
      </c>
    </row>
    <row r="3758" ht="15.75" customHeight="1">
      <c r="A3758" s="1" t="s">
        <v>11086</v>
      </c>
      <c r="B3758" s="1">
        <v>6.0</v>
      </c>
      <c r="C3758" s="1" t="s">
        <v>11087</v>
      </c>
      <c r="D3758" s="1" t="s">
        <v>52</v>
      </c>
      <c r="E3758" s="1" t="s">
        <v>11088</v>
      </c>
      <c r="F3758" s="1" t="str">
        <f>IFERROR(__xludf.DUMMYFUNCTION("GOOGLETRANSLATE(A3758, ""zh-CN"", ""ko"")"),"날카로운")</f>
        <v>날카로운</v>
      </c>
    </row>
    <row r="3759" ht="15.75" customHeight="1">
      <c r="A3759" s="1" t="s">
        <v>11089</v>
      </c>
      <c r="B3759" s="1">
        <v>6.0</v>
      </c>
      <c r="C3759" s="1" t="s">
        <v>11090</v>
      </c>
      <c r="D3759" s="1" t="s">
        <v>16</v>
      </c>
      <c r="E3759" s="1" t="s">
        <v>11091</v>
      </c>
      <c r="F3759" s="1" t="str">
        <f>IFERROR(__xludf.DUMMYFUNCTION("GOOGLETRANSLATE(A3759, ""zh-CN"", ""ko"")"),"계급")</f>
        <v>계급</v>
      </c>
    </row>
    <row r="3760" ht="15.75" customHeight="1">
      <c r="A3760" s="1" t="s">
        <v>11092</v>
      </c>
      <c r="B3760" s="1">
        <v>6.0</v>
      </c>
      <c r="C3760" s="1" t="s">
        <v>11093</v>
      </c>
      <c r="D3760" s="1" t="s">
        <v>16</v>
      </c>
      <c r="E3760" s="1" t="s">
        <v>11094</v>
      </c>
      <c r="F3760" s="1" t="str">
        <f>IFERROR(__xludf.DUMMYFUNCTION("GOOGLETRANSLATE(A3760, ""zh-CN"", ""ko"")"),"몫")</f>
        <v>몫</v>
      </c>
    </row>
    <row r="3761" ht="15.75" customHeight="1">
      <c r="A3761" s="1" t="s">
        <v>11095</v>
      </c>
      <c r="B3761" s="1">
        <v>6.0</v>
      </c>
      <c r="C3761" s="1" t="s">
        <v>11096</v>
      </c>
      <c r="E3761" s="1" t="s">
        <v>11097</v>
      </c>
      <c r="F3761" s="1" t="str">
        <f>IFERROR(__xludf.DUMMYFUNCTION("GOOGLETRANSLATE(A3761, ""zh-CN"", ""ko"")"),"이름에 걸맞은 곳입니다")</f>
        <v>이름에 걸맞은 곳입니다</v>
      </c>
    </row>
    <row r="3762" ht="15.75" customHeight="1">
      <c r="A3762" s="1" t="s">
        <v>11098</v>
      </c>
      <c r="B3762" s="1">
        <v>6.0</v>
      </c>
      <c r="C3762" s="1" t="s">
        <v>11099</v>
      </c>
      <c r="D3762" s="1" t="s">
        <v>33</v>
      </c>
      <c r="E3762" s="1" t="s">
        <v>11100</v>
      </c>
      <c r="F3762" s="1" t="str">
        <f>IFERROR(__xludf.DUMMYFUNCTION("GOOGLETRANSLATE(A3762, ""zh-CN"", ""ko"")"),"밍밍")</f>
        <v>밍밍</v>
      </c>
    </row>
    <row r="3763" ht="15.75" customHeight="1">
      <c r="A3763" s="1" t="s">
        <v>11101</v>
      </c>
      <c r="B3763" s="1">
        <v>6.0</v>
      </c>
      <c r="C3763" s="1" t="s">
        <v>11102</v>
      </c>
      <c r="D3763" s="1" t="s">
        <v>16</v>
      </c>
      <c r="E3763" s="1" t="s">
        <v>11103</v>
      </c>
      <c r="F3763" s="1" t="str">
        <f>IFERROR(__xludf.DUMMYFUNCTION("GOOGLETRANSLATE(A3763, ""zh-CN"", ""ko"")"),"평판")</f>
        <v>평판</v>
      </c>
    </row>
    <row r="3764" ht="15.75" customHeight="1">
      <c r="A3764" s="1" t="s">
        <v>11104</v>
      </c>
      <c r="B3764" s="1">
        <v>6.0</v>
      </c>
      <c r="C3764" s="1" t="s">
        <v>11105</v>
      </c>
      <c r="D3764" s="1" t="s">
        <v>52</v>
      </c>
      <c r="E3764" s="1" t="s">
        <v>11106</v>
      </c>
      <c r="F3764" s="1" t="str">
        <f>IFERROR(__xludf.DUMMYFUNCTION("GOOGLETRANSLATE(A3764, ""zh-CN"", ""ko"")"),"지혜로운")</f>
        <v>지혜로운</v>
      </c>
    </row>
    <row r="3765" ht="15.75" customHeight="1">
      <c r="A3765" s="1" t="s">
        <v>11107</v>
      </c>
      <c r="B3765" s="1">
        <v>6.0</v>
      </c>
      <c r="C3765" s="1" t="s">
        <v>11108</v>
      </c>
      <c r="D3765" s="1" t="s">
        <v>8</v>
      </c>
      <c r="E3765" s="1" t="s">
        <v>11109</v>
      </c>
      <c r="F3765" s="1" t="str">
        <f>IFERROR(__xludf.DUMMYFUNCTION("GOOGLETRANSLATE(A3765, ""zh-CN"", ""ko"")"),"이름")</f>
        <v>이름</v>
      </c>
    </row>
    <row r="3766" ht="15.75" customHeight="1">
      <c r="A3766" s="1" t="s">
        <v>11110</v>
      </c>
      <c r="B3766" s="1">
        <v>6.0</v>
      </c>
      <c r="C3766" s="1" t="s">
        <v>11111</v>
      </c>
      <c r="D3766" s="1" t="s">
        <v>8</v>
      </c>
      <c r="E3766" s="1" t="s">
        <v>11112</v>
      </c>
      <c r="F3766" s="1" t="str">
        <f>IFERROR(__xludf.DUMMYFUNCTION("GOOGLETRANSLATE(A3766, ""zh-CN"", ""ko"")"),"탐구하다")</f>
        <v>탐구하다</v>
      </c>
    </row>
    <row r="3767" ht="15.75" customHeight="1">
      <c r="A3767" s="1" t="s">
        <v>11113</v>
      </c>
      <c r="B3767" s="1">
        <v>6.0</v>
      </c>
      <c r="C3767" s="1" t="s">
        <v>11114</v>
      </c>
      <c r="D3767" s="1" t="s">
        <v>16</v>
      </c>
      <c r="E3767" s="1" t="s">
        <v>11115</v>
      </c>
      <c r="F3767" s="1" t="str">
        <f>IFERROR(__xludf.DUMMYFUNCTION("GOOGLETRANSLATE(A3767, ""zh-CN"", ""ko"")"),"막")</f>
        <v>막</v>
      </c>
    </row>
    <row r="3768" ht="15.75" customHeight="1">
      <c r="A3768" s="1" t="s">
        <v>11116</v>
      </c>
      <c r="B3768" s="1">
        <v>6.0</v>
      </c>
      <c r="C3768" s="1" t="s">
        <v>11117</v>
      </c>
      <c r="D3768" s="1" t="s">
        <v>8</v>
      </c>
      <c r="E3768" s="1" t="s">
        <v>11118</v>
      </c>
      <c r="F3768" s="1" t="str">
        <f>IFERROR(__xludf.DUMMYFUNCTION("GOOGLETRANSLATE(A3768, ""zh-CN"", ""ko"")"),"마찰")</f>
        <v>마찰</v>
      </c>
    </row>
    <row r="3769" ht="15.75" customHeight="1">
      <c r="A3769" s="1" t="s">
        <v>11119</v>
      </c>
      <c r="B3769" s="1">
        <v>6.0</v>
      </c>
      <c r="C3769" s="1" t="s">
        <v>11120</v>
      </c>
      <c r="D3769" s="1" t="s">
        <v>52</v>
      </c>
      <c r="E3769" s="1" t="s">
        <v>11121</v>
      </c>
      <c r="F3769" s="1" t="str">
        <f>IFERROR(__xludf.DUMMYFUNCTION("GOOGLETRANSLATE(A3769, ""zh-CN"", ""ko"")"),"모델")</f>
        <v>모델</v>
      </c>
    </row>
    <row r="3770" ht="15.75" customHeight="1">
      <c r="A3770" s="1" t="s">
        <v>11122</v>
      </c>
      <c r="B3770" s="1">
        <v>6.0</v>
      </c>
      <c r="C3770" s="1" t="s">
        <v>11123</v>
      </c>
      <c r="D3770" s="1" t="s">
        <v>16</v>
      </c>
      <c r="E3770" s="1" t="s">
        <v>11124</v>
      </c>
      <c r="F3770" s="1" t="str">
        <f>IFERROR(__xludf.DUMMYFUNCTION("GOOGLETRANSLATE(A3770, ""zh-CN"", ""ko"")"),"악마")</f>
        <v>악마</v>
      </c>
    </row>
    <row r="3771" ht="15.75" customHeight="1">
      <c r="A3771" s="1" t="s">
        <v>11125</v>
      </c>
      <c r="B3771" s="1">
        <v>6.0</v>
      </c>
      <c r="C3771" s="1" t="s">
        <v>11126</v>
      </c>
      <c r="D3771" s="1" t="s">
        <v>8</v>
      </c>
      <c r="E3771" s="1" t="s">
        <v>11127</v>
      </c>
      <c r="F3771" s="1" t="str">
        <f>IFERROR(__xludf.DUMMYFUNCTION("GOOGLETRANSLATE(A3771, ""zh-CN"", ""ko"")"),"침입")</f>
        <v>침입</v>
      </c>
    </row>
    <row r="3772" ht="15.75" customHeight="1">
      <c r="A3772" s="1" t="s">
        <v>11128</v>
      </c>
      <c r="B3772" s="1">
        <v>6.0</v>
      </c>
      <c r="C3772" s="1" t="s">
        <v>11129</v>
      </c>
      <c r="D3772" s="1" t="s">
        <v>16</v>
      </c>
      <c r="E3772" s="1" t="s">
        <v>11130</v>
      </c>
      <c r="F3772" s="1" t="str">
        <f>IFERROR(__xludf.DUMMYFUNCTION("GOOGLETRANSLATE(A3772, ""zh-CN"", ""ko"")"),"모델")</f>
        <v>모델</v>
      </c>
    </row>
    <row r="3773" ht="15.75" customHeight="1">
      <c r="A3773" s="1" t="s">
        <v>11131</v>
      </c>
      <c r="B3773" s="1">
        <v>6.0</v>
      </c>
      <c r="C3773" s="1" t="s">
        <v>11132</v>
      </c>
      <c r="D3773" s="1" t="s">
        <v>16</v>
      </c>
      <c r="E3773" s="1" t="s">
        <v>11133</v>
      </c>
      <c r="F3773" s="1" t="str">
        <f>IFERROR(__xludf.DUMMYFUNCTION("GOOGLETRANSLATE(A3773, ""zh-CN"", ""ko"")"),"마법")</f>
        <v>마법</v>
      </c>
    </row>
    <row r="3774" ht="15.75" customHeight="1">
      <c r="A3774" s="1" t="s">
        <v>11134</v>
      </c>
      <c r="B3774" s="1">
        <v>6.0</v>
      </c>
      <c r="C3774" s="1" t="s">
        <v>11135</v>
      </c>
      <c r="D3774" s="1" t="s">
        <v>16</v>
      </c>
      <c r="E3774" s="1" t="s">
        <v>11136</v>
      </c>
      <c r="F3774" s="1" t="str">
        <f>IFERROR(__xludf.DUMMYFUNCTION("GOOGLETRANSLATE(A3774, ""zh-CN"", ""ko"")"),"모델")</f>
        <v>모델</v>
      </c>
    </row>
    <row r="3775" ht="15.75" customHeight="1">
      <c r="A3775" s="1" t="s">
        <v>11137</v>
      </c>
      <c r="B3775" s="1">
        <v>6.0</v>
      </c>
      <c r="C3775" s="1" t="s">
        <v>11138</v>
      </c>
      <c r="D3775" s="1" t="s">
        <v>8</v>
      </c>
      <c r="E3775" s="1" t="s">
        <v>11139</v>
      </c>
      <c r="F3775" s="1" t="str">
        <f>IFERROR(__xludf.DUMMYFUNCTION("GOOGLETRANSLATE(A3775, ""zh-CN"", ""ko"")"),"전멸")</f>
        <v>전멸</v>
      </c>
    </row>
    <row r="3776" ht="15.75" customHeight="1">
      <c r="A3776" s="1" t="s">
        <v>11140</v>
      </c>
      <c r="B3776" s="1">
        <v>6.0</v>
      </c>
      <c r="C3776" s="1" t="s">
        <v>11141</v>
      </c>
      <c r="E3776" s="1" t="s">
        <v>11142</v>
      </c>
      <c r="F3776" s="1" t="str">
        <f>IFERROR(__xludf.DUMMYFUNCTION("GOOGLETRANSLATE(A3776, ""zh-CN"", ""ko"")"),"이해할 수 없는")</f>
        <v>이해할 수 없는</v>
      </c>
    </row>
    <row r="3777" ht="15.75" customHeight="1">
      <c r="A3777" s="1" t="s">
        <v>11143</v>
      </c>
      <c r="B3777" s="1">
        <v>6.0</v>
      </c>
      <c r="C3777" s="1" t="s">
        <v>11144</v>
      </c>
      <c r="D3777" s="1" t="s">
        <v>33</v>
      </c>
      <c r="E3777" s="1" t="s">
        <v>11145</v>
      </c>
      <c r="F3777" s="1" t="str">
        <f>IFERROR(__xludf.DUMMYFUNCTION("GOOGLETRANSLATE(A3777, ""zh-CN"", ""ko"")"),"아무 말 않고")</f>
        <v>아무 말 않고</v>
      </c>
    </row>
    <row r="3778" ht="15.75" customHeight="1">
      <c r="A3778" s="1" t="s">
        <v>11146</v>
      </c>
      <c r="B3778" s="1">
        <v>6.0</v>
      </c>
      <c r="C3778" s="1" t="s">
        <v>11147</v>
      </c>
      <c r="E3778" s="1" t="s">
        <v>11148</v>
      </c>
      <c r="F3778" s="1" t="str">
        <f>IFERROR(__xludf.DUMMYFUNCTION("GOOGLETRANSLATE(A3778, ""zh-CN"", ""ko"")"),"잉크")</f>
        <v>잉크</v>
      </c>
    </row>
    <row r="3779" ht="15.75" customHeight="1">
      <c r="A3779" s="1" t="s">
        <v>11149</v>
      </c>
      <c r="B3779" s="1">
        <v>6.0</v>
      </c>
      <c r="C3779" s="1" t="s">
        <v>11150</v>
      </c>
      <c r="D3779" s="1" t="s">
        <v>8</v>
      </c>
      <c r="E3779" s="1" t="s">
        <v>11151</v>
      </c>
      <c r="F3779" s="1" t="str">
        <f>IFERROR(__xludf.DUMMYFUNCTION("GOOGLETRANSLATE(A3779, ""zh-CN"", ""ko"")"),"구하다")</f>
        <v>구하다</v>
      </c>
    </row>
    <row r="3780" ht="15.75" customHeight="1">
      <c r="A3780" s="1" t="s">
        <v>11152</v>
      </c>
      <c r="B3780" s="1">
        <v>6.0</v>
      </c>
      <c r="C3780" s="1" t="s">
        <v>11153</v>
      </c>
      <c r="D3780" s="1" t="s">
        <v>16</v>
      </c>
      <c r="E3780" s="1" t="s">
        <v>11154</v>
      </c>
      <c r="F3780" s="1" t="str">
        <f>IFERROR(__xludf.DUMMYFUNCTION("GOOGLETRANSLATE(A3780, ""zh-CN"", ""ko"")"),"모습")</f>
        <v>모습</v>
      </c>
    </row>
    <row r="3781" ht="15.75" customHeight="1">
      <c r="A3781" s="1" t="s">
        <v>11155</v>
      </c>
      <c r="B3781" s="1">
        <v>6.0</v>
      </c>
      <c r="C3781" s="1" t="s">
        <v>11156</v>
      </c>
      <c r="D3781" s="1" t="s">
        <v>16</v>
      </c>
      <c r="E3781" s="1" t="s">
        <v>11157</v>
      </c>
      <c r="F3781" s="1" t="str">
        <f>IFERROR(__xludf.DUMMYFUNCTION("GOOGLETRANSLATE(A3781, ""zh-CN"", ""ko"")"),"모국어")</f>
        <v>모국어</v>
      </c>
    </row>
    <row r="3782" ht="15.75" customHeight="1">
      <c r="A3782" s="1" t="s">
        <v>11158</v>
      </c>
      <c r="B3782" s="1">
        <v>6.0</v>
      </c>
      <c r="C3782" s="1" t="s">
        <v>11159</v>
      </c>
      <c r="D3782" s="1" t="s">
        <v>8</v>
      </c>
      <c r="E3782" s="1" t="s">
        <v>11160</v>
      </c>
      <c r="F3782" s="1" t="str">
        <f>IFERROR(__xludf.DUMMYFUNCTION("GOOGLETRANSLATE(A3782, ""zh-CN"", ""ko"")"),"증인")</f>
        <v>증인</v>
      </c>
    </row>
    <row r="3783" ht="15.75" customHeight="1">
      <c r="A3783" s="1" t="s">
        <v>11161</v>
      </c>
      <c r="B3783" s="1">
        <v>6.0</v>
      </c>
      <c r="C3783" s="1" t="s">
        <v>11162</v>
      </c>
      <c r="D3783" s="1" t="s">
        <v>16</v>
      </c>
      <c r="E3783" s="1" t="s">
        <v>11163</v>
      </c>
      <c r="F3783" s="1" t="str">
        <f>IFERROR(__xludf.DUMMYFUNCTION("GOOGLETRANSLATE(A3783, ""zh-CN"", ""ko"")"),"바라보다")</f>
        <v>바라보다</v>
      </c>
    </row>
    <row r="3784" ht="15.75" customHeight="1">
      <c r="A3784" s="1" t="s">
        <v>11164</v>
      </c>
      <c r="B3784" s="1">
        <v>6.0</v>
      </c>
      <c r="C3784" s="1" t="s">
        <v>11165</v>
      </c>
      <c r="D3784" s="1" t="s">
        <v>8</v>
      </c>
      <c r="E3784" s="1" t="s">
        <v>11166</v>
      </c>
      <c r="F3784" s="1" t="str">
        <f>IFERROR(__xludf.DUMMYFUNCTION("GOOGLETRANSLATE(A3784, ""zh-CN"", ""ko"")"),"입욕")</f>
        <v>입욕</v>
      </c>
    </row>
    <row r="3785" ht="15.75" customHeight="1">
      <c r="A3785" s="1" t="s">
        <v>11167</v>
      </c>
      <c r="B3785" s="1">
        <v>6.0</v>
      </c>
      <c r="C3785" s="1" t="s">
        <v>11168</v>
      </c>
      <c r="D3785" s="1" t="s">
        <v>52</v>
      </c>
      <c r="E3785" s="1" t="s">
        <v>11169</v>
      </c>
      <c r="F3785" s="1" t="str">
        <f>IFERROR(__xludf.DUMMYFUNCTION("GOOGLETRANSLATE(A3785, ""zh-CN"", ""ko"")"),"좋은")</f>
        <v>좋은</v>
      </c>
    </row>
    <row r="3786" ht="15.75" customHeight="1">
      <c r="A3786" s="1" t="s">
        <v>11170</v>
      </c>
      <c r="B3786" s="1">
        <v>6.0</v>
      </c>
      <c r="C3786" s="1" t="s">
        <v>11171</v>
      </c>
      <c r="D3786" s="1" t="s">
        <v>8</v>
      </c>
      <c r="E3786" s="1" t="s">
        <v>11172</v>
      </c>
      <c r="F3786" s="1" t="str">
        <f>IFERROR(__xludf.DUMMYFUNCTION("GOOGLETRANSLATE(A3786, ""zh-CN"", ""ko"")"),"어찌할 바를 모르는")</f>
        <v>어찌할 바를 모르는</v>
      </c>
    </row>
    <row r="3787" ht="15.75" customHeight="1">
      <c r="A3787" s="1" t="s">
        <v>11173</v>
      </c>
      <c r="B3787" s="1">
        <v>6.0</v>
      </c>
      <c r="C3787" s="1" t="s">
        <v>11174</v>
      </c>
      <c r="D3787" s="1" t="s">
        <v>52</v>
      </c>
      <c r="E3787" s="1" t="s">
        <v>11175</v>
      </c>
      <c r="F3787" s="1" t="str">
        <f>IFERROR(__xludf.DUMMYFUNCTION("GOOGLETRANSLATE(A3787, ""zh-CN"", ""ko"")"),"튼튼한")</f>
        <v>튼튼한</v>
      </c>
    </row>
    <row r="3788" ht="15.75" customHeight="1">
      <c r="A3788" s="1" t="s">
        <v>11176</v>
      </c>
      <c r="B3788" s="1">
        <v>6.0</v>
      </c>
      <c r="C3788" s="1" t="s">
        <v>11177</v>
      </c>
      <c r="D3788" s="1" t="s">
        <v>52</v>
      </c>
      <c r="E3788" s="1" t="s">
        <v>11178</v>
      </c>
      <c r="F3788" s="1" t="str">
        <f>IFERROR(__xludf.DUMMYFUNCTION("GOOGLETRANSLATE(A3788, ""zh-CN"", ""ko"")"),"희귀한")</f>
        <v>희귀한</v>
      </c>
    </row>
    <row r="3789" ht="15.75" customHeight="1">
      <c r="A3789" s="1" t="s">
        <v>11179</v>
      </c>
      <c r="B3789" s="1">
        <v>6.0</v>
      </c>
      <c r="C3789" s="1" t="s">
        <v>11180</v>
      </c>
      <c r="D3789" s="1" t="s">
        <v>52</v>
      </c>
      <c r="E3789" s="1" t="s">
        <v>11181</v>
      </c>
      <c r="F3789" s="1" t="str">
        <f>IFERROR(__xludf.DUMMYFUNCTION("GOOGLETRANSLATE(A3789, ""zh-CN"", ""ko"")"),"당혹스러운")</f>
        <v>당혹스러운</v>
      </c>
    </row>
    <row r="3790" ht="15.75" customHeight="1">
      <c r="A3790" s="1" t="s">
        <v>11182</v>
      </c>
      <c r="B3790" s="1">
        <v>6.0</v>
      </c>
      <c r="C3790" s="1" t="s">
        <v>11183</v>
      </c>
      <c r="E3790" s="1" t="s">
        <v>11184</v>
      </c>
      <c r="F3790" s="1" t="str">
        <f>IFERROR(__xludf.DUMMYFUNCTION("GOOGLETRANSLATE(A3790, ""zh-CN"", ""ko"")"),"희귀하고 귀중한")</f>
        <v>희귀하고 귀중한</v>
      </c>
    </row>
    <row r="3791" ht="15.75" customHeight="1">
      <c r="A3791" s="1" t="s">
        <v>11185</v>
      </c>
      <c r="B3791" s="1">
        <v>6.0</v>
      </c>
      <c r="C3791" s="1" t="s">
        <v>11186</v>
      </c>
      <c r="E3791" s="1" t="s">
        <v>11187</v>
      </c>
      <c r="F3791" s="1" t="str">
        <f>IFERROR(__xludf.DUMMYFUNCTION("GOOGLETRANSLATE(A3791, ""zh-CN"", ""ko"")"),"북쪽으로 향하면서 남쪽으로 가고 있습니다.")</f>
        <v>북쪽으로 향하면서 남쪽으로 가고 있습니다.</v>
      </c>
    </row>
    <row r="3792" ht="15.75" customHeight="1">
      <c r="A3792" s="1" t="s">
        <v>11188</v>
      </c>
      <c r="B3792" s="1">
        <v>6.0</v>
      </c>
      <c r="C3792" s="1" t="s">
        <v>11189</v>
      </c>
      <c r="D3792" s="1" t="s">
        <v>52</v>
      </c>
      <c r="E3792" s="1" t="s">
        <v>11190</v>
      </c>
      <c r="F3792" s="1" t="str">
        <f>IFERROR(__xludf.DUMMYFUNCTION("GOOGLETRANSLATE(A3792, ""zh-CN"", ""ko"")"),"짜증이 난")</f>
        <v>짜증이 난</v>
      </c>
    </row>
    <row r="3793" ht="15.75" customHeight="1">
      <c r="A3793" s="1" t="s">
        <v>11191</v>
      </c>
      <c r="B3793" s="1">
        <v>6.0</v>
      </c>
      <c r="C3793" s="1" t="s">
        <v>11192</v>
      </c>
      <c r="D3793" s="1" t="s">
        <v>16</v>
      </c>
      <c r="E3793" s="1" t="s">
        <v>11193</v>
      </c>
      <c r="F3793" s="1" t="str">
        <f>IFERROR(__xludf.DUMMYFUNCTION("GOOGLETRANSLATE(A3793, ""zh-CN"", ""ko"")"),"내포")</f>
        <v>내포</v>
      </c>
    </row>
    <row r="3794" ht="15.75" customHeight="1">
      <c r="A3794" s="1" t="s">
        <v>11194</v>
      </c>
      <c r="B3794" s="1">
        <v>6.0</v>
      </c>
      <c r="C3794" s="1" t="s">
        <v>11195</v>
      </c>
      <c r="D3794" s="1" t="s">
        <v>16</v>
      </c>
      <c r="E3794" s="1" t="s">
        <v>11196</v>
      </c>
      <c r="F3794" s="1" t="str">
        <f>IFERROR(__xludf.DUMMYFUNCTION("GOOGLETRANSLATE(A3794, ""zh-CN"", ""ko"")"),"내부 정보")</f>
        <v>내부 정보</v>
      </c>
    </row>
    <row r="3795" ht="15.75" customHeight="1">
      <c r="A3795" s="1" t="s">
        <v>11197</v>
      </c>
      <c r="B3795" s="1">
        <v>6.0</v>
      </c>
      <c r="C3795" s="1" t="s">
        <v>11198</v>
      </c>
      <c r="D3795" s="1" t="s">
        <v>52</v>
      </c>
      <c r="E3795" s="1" t="s">
        <v>11199</v>
      </c>
      <c r="F3795" s="1" t="str">
        <f>IFERROR(__xludf.DUMMYFUNCTION("GOOGLETRANSLATE(A3795, ""zh-CN"", ""ko"")"),"내부")</f>
        <v>내부</v>
      </c>
    </row>
    <row r="3796" ht="15.75" customHeight="1">
      <c r="A3796" s="1" t="s">
        <v>11200</v>
      </c>
      <c r="B3796" s="1">
        <v>6.0</v>
      </c>
      <c r="C3796" s="1" t="s">
        <v>11201</v>
      </c>
      <c r="D3796" s="1" t="s">
        <v>16</v>
      </c>
      <c r="E3796" s="1" t="s">
        <v>11202</v>
      </c>
      <c r="F3796" s="1" t="str">
        <f>IFERROR(__xludf.DUMMYFUNCTION("GOOGLETRANSLATE(A3796, ""zh-CN"", ""ko"")"),"에너지")</f>
        <v>에너지</v>
      </c>
    </row>
    <row r="3797" ht="15.75" customHeight="1">
      <c r="A3797" s="1" t="s">
        <v>11203</v>
      </c>
      <c r="B3797" s="1">
        <v>6.0</v>
      </c>
      <c r="C3797" s="1" t="s">
        <v>11204</v>
      </c>
      <c r="D3797" s="1" t="s">
        <v>8</v>
      </c>
      <c r="E3797" s="1" t="s">
        <v>11205</v>
      </c>
      <c r="F3797" s="1" t="str">
        <f>IFERROR(__xludf.DUMMYFUNCTION("GOOGLETRANSLATE(A3797, ""zh-CN"", ""ko"")"),"초안")</f>
        <v>초안</v>
      </c>
    </row>
    <row r="3798" ht="15.75" customHeight="1">
      <c r="A3798" s="1" t="s">
        <v>11206</v>
      </c>
      <c r="B3798" s="1">
        <v>6.0</v>
      </c>
      <c r="C3798" s="1" t="s">
        <v>11207</v>
      </c>
      <c r="D3798" s="1" t="s">
        <v>8</v>
      </c>
      <c r="E3798" s="1" t="s">
        <v>11208</v>
      </c>
      <c r="F3798" s="1" t="str">
        <f>IFERROR(__xludf.DUMMYFUNCTION("GOOGLETRANSLATE(A3798, ""zh-CN"", ""ko"")"),"흐름에 역행하다")</f>
        <v>흐름에 역행하다</v>
      </c>
    </row>
    <row r="3799" ht="15.75" customHeight="1">
      <c r="A3799" s="1" t="s">
        <v>11209</v>
      </c>
      <c r="B3799" s="1">
        <v>6.0</v>
      </c>
      <c r="C3799" s="1" t="s">
        <v>11210</v>
      </c>
      <c r="D3799" s="1" t="s">
        <v>16</v>
      </c>
      <c r="E3799" s="1" t="s">
        <v>241</v>
      </c>
      <c r="F3799" s="1" t="str">
        <f>IFERROR(__xludf.DUMMYFUNCTION("GOOGLETRANSLATE(A3799, ""zh-CN"", ""ko"")"),"년도")</f>
        <v>년도</v>
      </c>
    </row>
    <row r="3800" ht="15.75" customHeight="1">
      <c r="A3800" s="1" t="s">
        <v>11211</v>
      </c>
      <c r="B3800" s="1">
        <v>6.0</v>
      </c>
      <c r="C3800" s="1" t="s">
        <v>11212</v>
      </c>
      <c r="D3800" s="1" t="s">
        <v>8</v>
      </c>
      <c r="E3800" s="1" t="s">
        <v>11213</v>
      </c>
      <c r="F3800" s="1" t="str">
        <f>IFERROR(__xludf.DUMMYFUNCTION("GOOGLETRANSLATE(A3800, ""zh-CN"", ""ko"")"),"꼬집다")</f>
        <v>꼬집다</v>
      </c>
    </row>
    <row r="3801" ht="15.75" customHeight="1">
      <c r="A3801" s="1" t="s">
        <v>11214</v>
      </c>
      <c r="B3801" s="1">
        <v>6.0</v>
      </c>
      <c r="C3801" s="1" t="s">
        <v>11215</v>
      </c>
      <c r="D3801" s="1" t="s">
        <v>8</v>
      </c>
      <c r="E3801" s="1" t="s">
        <v>11216</v>
      </c>
      <c r="F3801" s="1" t="str">
        <f>IFERROR(__xludf.DUMMYFUNCTION("GOOGLETRANSLATE(A3801, ""zh-CN"", ""ko"")"),"나사")</f>
        <v>나사</v>
      </c>
    </row>
    <row r="3802" ht="15.75" customHeight="1">
      <c r="A3802" s="1" t="s">
        <v>11217</v>
      </c>
      <c r="B3802" s="1">
        <v>6.0</v>
      </c>
      <c r="C3802" s="1" t="s">
        <v>11218</v>
      </c>
      <c r="D3802" s="1" t="s">
        <v>8</v>
      </c>
      <c r="E3802" s="1" t="s">
        <v>11219</v>
      </c>
      <c r="F3802" s="1" t="str">
        <f>IFERROR(__xludf.DUMMYFUNCTION("GOOGLETRANSLATE(A3802, ""zh-CN"", ""ko"")"),"응고")</f>
        <v>응고</v>
      </c>
    </row>
    <row r="3803" ht="15.75" customHeight="1">
      <c r="A3803" s="1" t="s">
        <v>11220</v>
      </c>
      <c r="B3803" s="1">
        <v>6.0</v>
      </c>
      <c r="C3803" s="1" t="s">
        <v>11221</v>
      </c>
      <c r="D3803" s="1" t="s">
        <v>8</v>
      </c>
      <c r="E3803" s="1" t="s">
        <v>11222</v>
      </c>
      <c r="F3803" s="1" t="str">
        <f>IFERROR(__xludf.DUMMYFUNCTION("GOOGLETRANSLATE(A3803, ""zh-CN"", ""ko"")"),"응집력")</f>
        <v>응집력</v>
      </c>
    </row>
    <row r="3804" ht="15.75" customHeight="1">
      <c r="A3804" s="1" t="s">
        <v>11223</v>
      </c>
      <c r="B3804" s="1">
        <v>6.0</v>
      </c>
      <c r="C3804" s="1" t="s">
        <v>11224</v>
      </c>
      <c r="D3804" s="1" t="s">
        <v>8</v>
      </c>
      <c r="E3804" s="1" t="s">
        <v>11225</v>
      </c>
      <c r="F3804" s="1" t="str">
        <f>IFERROR(__xludf.DUMMYFUNCTION("GOOGLETRANSLATE(A3804, ""zh-CN"", ""ko"")"),"시선")</f>
        <v>시선</v>
      </c>
    </row>
    <row r="3805" ht="15.75" customHeight="1">
      <c r="A3805" s="1" t="s">
        <v>11226</v>
      </c>
      <c r="B3805" s="1">
        <v>6.0</v>
      </c>
      <c r="C3805" s="1" t="s">
        <v>11227</v>
      </c>
      <c r="D3805" s="1" t="s">
        <v>33</v>
      </c>
      <c r="E3805" s="1" t="s">
        <v>11228</v>
      </c>
      <c r="F3805" s="1" t="str">
        <f>IFERROR(__xludf.DUMMYFUNCTION("GOOGLETRANSLATE(A3805, ""zh-CN"", ""ko"")"),"꽤")</f>
        <v>꽤</v>
      </c>
    </row>
    <row r="3806" ht="15.75" customHeight="1">
      <c r="A3806" s="1" t="s">
        <v>11229</v>
      </c>
      <c r="B3806" s="1">
        <v>6.0</v>
      </c>
      <c r="C3806" s="1" t="s">
        <v>11230</v>
      </c>
      <c r="D3806" s="1" t="s">
        <v>33</v>
      </c>
      <c r="E3806" s="1" t="s">
        <v>5546</v>
      </c>
      <c r="F3806" s="1" t="str">
        <f>IFERROR(__xludf.DUMMYFUNCTION("GOOGLETRANSLATE(A3806, ""zh-CN"", ""ko"")"),"차라리")</f>
        <v>차라리</v>
      </c>
    </row>
    <row r="3807" ht="15.75" customHeight="1">
      <c r="A3807" s="1" t="s">
        <v>11231</v>
      </c>
      <c r="B3807" s="1">
        <v>6.0</v>
      </c>
      <c r="C3807" s="1" t="s">
        <v>11232</v>
      </c>
      <c r="E3807" s="1" t="s">
        <v>11233</v>
      </c>
      <c r="F3807" s="1" t="str">
        <f>IFERROR(__xludf.DUMMYFUNCTION("GOOGLETRANSLATE(A3807, ""zh-CN"", ""ko"")"),"버튼")</f>
        <v>버튼</v>
      </c>
    </row>
    <row r="3808" ht="15.75" customHeight="1">
      <c r="A3808" s="1" t="s">
        <v>11234</v>
      </c>
      <c r="B3808" s="1">
        <v>6.0</v>
      </c>
      <c r="C3808" s="1" t="s">
        <v>11235</v>
      </c>
      <c r="D3808" s="1" t="s">
        <v>8</v>
      </c>
      <c r="E3808" s="1" t="s">
        <v>11236</v>
      </c>
      <c r="F3808" s="1" t="str">
        <f>IFERROR(__xludf.DUMMYFUNCTION("GOOGLETRANSLATE(A3808, ""zh-CN"", ""ko"")"),"트위스트")</f>
        <v>트위스트</v>
      </c>
    </row>
    <row r="3809" ht="15.75" customHeight="1">
      <c r="A3809" s="1" t="s">
        <v>11237</v>
      </c>
      <c r="B3809" s="1">
        <v>6.0</v>
      </c>
      <c r="C3809" s="1" t="s">
        <v>11238</v>
      </c>
      <c r="D3809" s="1" t="s">
        <v>52</v>
      </c>
      <c r="E3809" s="1" t="s">
        <v>11239</v>
      </c>
      <c r="F3809" s="1" t="str">
        <f>IFERROR(__xludf.DUMMYFUNCTION("GOOGLETRANSLATE(A3809, ""zh-CN"", ""ko"")"),"강한")</f>
        <v>강한</v>
      </c>
    </row>
    <row r="3810" ht="15.75" customHeight="1">
      <c r="A3810" s="1" t="s">
        <v>11240</v>
      </c>
      <c r="B3810" s="1">
        <v>6.0</v>
      </c>
      <c r="C3810" s="1" t="s">
        <v>11241</v>
      </c>
      <c r="D3810" s="1" t="s">
        <v>16</v>
      </c>
      <c r="E3810" s="1" t="s">
        <v>11242</v>
      </c>
      <c r="F3810" s="1" t="str">
        <f>IFERROR(__xludf.DUMMYFUNCTION("GOOGLETRANSLATE(A3810, ""zh-CN"", ""ko"")"),"음력")</f>
        <v>음력</v>
      </c>
    </row>
    <row r="3811" ht="15.75" customHeight="1">
      <c r="A3811" s="1" t="s">
        <v>11243</v>
      </c>
      <c r="B3811" s="1">
        <v>6.0</v>
      </c>
      <c r="C3811" s="1" t="s">
        <v>11244</v>
      </c>
      <c r="D3811" s="1" t="s">
        <v>16</v>
      </c>
      <c r="E3811" s="1" t="s">
        <v>11245</v>
      </c>
      <c r="F3811" s="1" t="str">
        <f>IFERROR(__xludf.DUMMYFUNCTION("GOOGLETRANSLATE(A3811, ""zh-CN"", ""ko"")"),"노예")</f>
        <v>노예</v>
      </c>
    </row>
    <row r="3812" ht="15.75" customHeight="1">
      <c r="A3812" s="1" t="s">
        <v>11246</v>
      </c>
      <c r="B3812" s="1">
        <v>6.0</v>
      </c>
      <c r="C3812" s="1" t="s">
        <v>11247</v>
      </c>
      <c r="D3812" s="1" t="s">
        <v>8</v>
      </c>
      <c r="E3812" s="1" t="s">
        <v>11248</v>
      </c>
      <c r="F3812" s="1" t="str">
        <f>IFERROR(__xludf.DUMMYFUNCTION("GOOGLETRANSLATE(A3812, ""zh-CN"", ""ko"")"),"이동하다")</f>
        <v>이동하다</v>
      </c>
    </row>
    <row r="3813" ht="15.75" customHeight="1">
      <c r="A3813" s="1" t="s">
        <v>11249</v>
      </c>
      <c r="B3813" s="1">
        <v>6.0</v>
      </c>
      <c r="C3813" s="1" t="s">
        <v>11250</v>
      </c>
      <c r="D3813" s="1" t="s">
        <v>8</v>
      </c>
      <c r="E3813" s="1" t="s">
        <v>11251</v>
      </c>
      <c r="F3813" s="1" t="str">
        <f>IFERROR(__xludf.DUMMYFUNCTION("GOOGLETRANSLATE(A3813, ""zh-CN"", ""ko"")"),"남용")</f>
        <v>남용</v>
      </c>
    </row>
    <row r="3814" ht="15.75" customHeight="1">
      <c r="A3814" s="1" t="s">
        <v>11252</v>
      </c>
      <c r="B3814" s="1">
        <v>6.0</v>
      </c>
      <c r="C3814" s="1" t="s">
        <v>11253</v>
      </c>
      <c r="D3814" s="1" t="s">
        <v>3541</v>
      </c>
      <c r="E3814" s="1" t="s">
        <v>11254</v>
      </c>
      <c r="F3814" s="1" t="str">
        <f>IFERROR(__xludf.DUMMYFUNCTION("GOOGLETRANSLATE(A3814, ""zh-CN"", ""ko"")"),"오")</f>
        <v>오</v>
      </c>
    </row>
    <row r="3815" ht="15.75" customHeight="1">
      <c r="A3815" s="1" t="s">
        <v>11255</v>
      </c>
      <c r="B3815" s="1">
        <v>6.0</v>
      </c>
      <c r="C3815" s="1" t="s">
        <v>11256</v>
      </c>
      <c r="D3815" s="1" t="s">
        <v>8</v>
      </c>
      <c r="E3815" s="1" t="s">
        <v>11257</v>
      </c>
      <c r="F3815" s="1" t="str">
        <f>IFERROR(__xludf.DUMMYFUNCTION("GOOGLETRANSLATE(A3815, ""zh-CN"", ""ko"")"),"고동")</f>
        <v>고동</v>
      </c>
    </row>
    <row r="3816" ht="15.75" customHeight="1">
      <c r="A3816" s="1" t="s">
        <v>11258</v>
      </c>
      <c r="B3816" s="1">
        <v>6.0</v>
      </c>
      <c r="C3816" s="1" t="s">
        <v>11259</v>
      </c>
      <c r="D3816" s="1" t="s">
        <v>8</v>
      </c>
      <c r="E3816" s="1" t="s">
        <v>11260</v>
      </c>
      <c r="F3816" s="1" t="str">
        <f>IFERROR(__xludf.DUMMYFUNCTION("GOOGLETRANSLATE(A3816, ""zh-CN"", ""ko"")"),"토하다")</f>
        <v>토하다</v>
      </c>
    </row>
    <row r="3817" ht="15.75" customHeight="1">
      <c r="A3817" s="1" t="s">
        <v>11261</v>
      </c>
      <c r="B3817" s="1">
        <v>6.0</v>
      </c>
      <c r="C3817" s="1" t="s">
        <v>11262</v>
      </c>
      <c r="D3817" s="1" t="s">
        <v>8</v>
      </c>
      <c r="E3817" s="1" t="s">
        <v>11263</v>
      </c>
      <c r="F3817" s="1" t="str">
        <f>IFERROR(__xludf.DUMMYFUNCTION("GOOGLETRANSLATE(A3817, ""zh-CN"", ""ko"")"),"거짓말하다")</f>
        <v>거짓말하다</v>
      </c>
    </row>
    <row r="3818" ht="15.75" customHeight="1">
      <c r="A3818" s="1" t="s">
        <v>11264</v>
      </c>
      <c r="B3818" s="1">
        <v>6.0</v>
      </c>
      <c r="C3818" s="1" t="s">
        <v>11265</v>
      </c>
      <c r="D3818" s="1" t="s">
        <v>8</v>
      </c>
      <c r="E3818" s="1" t="s">
        <v>11266</v>
      </c>
      <c r="F3818" s="1" t="str">
        <f>IFERROR(__xludf.DUMMYFUNCTION("GOOGLETRANSLATE(A3818, ""zh-CN"", ""ko"")"),"배제")</f>
        <v>배제</v>
      </c>
    </row>
    <row r="3819" ht="15.75" customHeight="1">
      <c r="A3819" s="1" t="s">
        <v>11267</v>
      </c>
      <c r="B3819" s="1">
        <v>6.0</v>
      </c>
      <c r="C3819" s="1" t="s">
        <v>11268</v>
      </c>
      <c r="D3819" s="1" t="s">
        <v>8</v>
      </c>
      <c r="E3819" s="1" t="s">
        <v>11269</v>
      </c>
      <c r="F3819" s="1" t="str">
        <f>IFERROR(__xludf.DUMMYFUNCTION("GOOGLETRANSLATE(A3819, ""zh-CN"", ""ko"")"),"들어오지 못하게 하다")</f>
        <v>들어오지 못하게 하다</v>
      </c>
    </row>
    <row r="3820" ht="15.75" customHeight="1">
      <c r="A3820" s="1" t="s">
        <v>11270</v>
      </c>
      <c r="B3820" s="1">
        <v>6.0</v>
      </c>
      <c r="C3820" s="1" t="s">
        <v>11271</v>
      </c>
      <c r="D3820" s="1" t="s">
        <v>8</v>
      </c>
      <c r="E3820" s="1" t="s">
        <v>11272</v>
      </c>
      <c r="F3820" s="1" t="str">
        <f>IFERROR(__xludf.DUMMYFUNCTION("GOOGLETRANSLATE(A3820, ""zh-CN"", ""ko"")"),"방사")</f>
        <v>방사</v>
      </c>
    </row>
    <row r="3821" ht="15.75" customHeight="1">
      <c r="A3821" s="1" t="s">
        <v>11273</v>
      </c>
      <c r="B3821" s="1">
        <v>6.0</v>
      </c>
      <c r="C3821" s="1" t="s">
        <v>11274</v>
      </c>
      <c r="D3821" s="1" t="s">
        <v>8</v>
      </c>
      <c r="E3821" s="1" t="s">
        <v>11275</v>
      </c>
      <c r="F3821" s="1" t="str">
        <f>IFERROR(__xludf.DUMMYFUNCTION("GOOGLETRANSLATE(A3821, ""zh-CN"", ""ko"")"),"떠돌다")</f>
        <v>떠돌다</v>
      </c>
    </row>
    <row r="3822" ht="15.75" customHeight="1">
      <c r="A3822" s="1" t="s">
        <v>11276</v>
      </c>
      <c r="B3822" s="1">
        <v>6.0</v>
      </c>
      <c r="C3822" s="1" t="s">
        <v>11277</v>
      </c>
      <c r="D3822" s="1" t="s">
        <v>8</v>
      </c>
      <c r="E3822" s="1" t="s">
        <v>11278</v>
      </c>
      <c r="F3822" s="1" t="str">
        <f>IFERROR(__xludf.DUMMYFUNCTION("GOOGLETRANSLATE(A3822, ""zh-CN"", ""ko"")"),"리허설하다")</f>
        <v>리허설하다</v>
      </c>
    </row>
    <row r="3823" ht="15.75" customHeight="1">
      <c r="A3823" s="1" t="s">
        <v>11279</v>
      </c>
      <c r="B3823" s="1">
        <v>6.0</v>
      </c>
      <c r="C3823" s="1" t="s">
        <v>11280</v>
      </c>
      <c r="D3823" s="1" t="s">
        <v>16</v>
      </c>
      <c r="E3823" s="1" t="s">
        <v>11281</v>
      </c>
      <c r="F3823" s="1" t="str">
        <f>IFERROR(__xludf.DUMMYFUNCTION("GOOGLETRANSLATE(A3823, ""zh-CN"", ""ko"")"),"당파")</f>
        <v>당파</v>
      </c>
    </row>
    <row r="3824" ht="15.75" customHeight="1">
      <c r="A3824" s="1" t="s">
        <v>11282</v>
      </c>
      <c r="B3824" s="1">
        <v>6.0</v>
      </c>
      <c r="C3824" s="1" t="s">
        <v>11283</v>
      </c>
      <c r="D3824" s="1" t="s">
        <v>8</v>
      </c>
      <c r="E3824" s="1" t="s">
        <v>11284</v>
      </c>
      <c r="F3824" s="1" t="str">
        <f>IFERROR(__xludf.DUMMYFUNCTION("GOOGLETRANSLATE(A3824, ""zh-CN"", ""ko"")"),"보내다")</f>
        <v>보내다</v>
      </c>
    </row>
    <row r="3825" ht="15.75" customHeight="1">
      <c r="A3825" s="1" t="s">
        <v>11285</v>
      </c>
      <c r="B3825" s="1">
        <v>6.0</v>
      </c>
      <c r="C3825" s="1" t="s">
        <v>11286</v>
      </c>
      <c r="D3825" s="1" t="s">
        <v>8</v>
      </c>
      <c r="E3825" s="1" t="s">
        <v>11287</v>
      </c>
      <c r="F3825" s="1" t="str">
        <f>IFERROR(__xludf.DUMMYFUNCTION("GOOGLETRANSLATE(A3825, ""zh-CN"", ""ko"")"),"등반")</f>
        <v>등반</v>
      </c>
    </row>
    <row r="3826" ht="15.75" customHeight="1">
      <c r="A3826" s="1" t="s">
        <v>11288</v>
      </c>
      <c r="B3826" s="1">
        <v>6.0</v>
      </c>
      <c r="C3826" s="1" t="s">
        <v>11289</v>
      </c>
      <c r="D3826" s="1" t="s">
        <v>8</v>
      </c>
      <c r="E3826" s="1" t="s">
        <v>11290</v>
      </c>
      <c r="F3826" s="1" t="str">
        <f>IFERROR(__xludf.DUMMYFUNCTION("GOOGLETRANSLATE(A3826, ""zh-CN"", ""ko"")"),"떠 있는")</f>
        <v>떠 있는</v>
      </c>
    </row>
    <row r="3827" ht="15.75" customHeight="1">
      <c r="A3827" s="1" t="s">
        <v>11291</v>
      </c>
      <c r="B3827" s="1">
        <v>6.0</v>
      </c>
      <c r="C3827" s="1" t="s">
        <v>11292</v>
      </c>
      <c r="D3827" s="1" t="s">
        <v>16</v>
      </c>
      <c r="E3827" s="1" t="s">
        <v>11293</v>
      </c>
      <c r="F3827" s="1" t="str">
        <f>IFERROR(__xludf.DUMMYFUNCTION("GOOGLETRANSLATE(A3827, ""zh-CN"", ""ko"")"),"은행")</f>
        <v>은행</v>
      </c>
    </row>
    <row r="3828" ht="15.75" customHeight="1">
      <c r="A3828" s="1" t="s">
        <v>11294</v>
      </c>
      <c r="B3828" s="1">
        <v>6.0</v>
      </c>
      <c r="C3828" s="1" t="s">
        <v>11295</v>
      </c>
      <c r="D3828" s="1" t="s">
        <v>8</v>
      </c>
      <c r="E3828" s="1" t="s">
        <v>11296</v>
      </c>
      <c r="F3828" s="1" t="str">
        <f>IFERROR(__xludf.DUMMYFUNCTION("GOOGLETRANSLATE(A3828, ""zh-CN"", ""ko"")"),"심판")</f>
        <v>심판</v>
      </c>
    </row>
    <row r="3829" ht="15.75" customHeight="1">
      <c r="A3829" s="1" t="s">
        <v>11297</v>
      </c>
      <c r="B3829" s="1">
        <v>6.0</v>
      </c>
      <c r="C3829" s="1" t="s">
        <v>11298</v>
      </c>
      <c r="D3829" s="1" t="s">
        <v>52</v>
      </c>
      <c r="E3829" s="1" t="s">
        <v>11299</v>
      </c>
      <c r="F3829" s="1" t="str">
        <f>IFERROR(__xludf.DUMMYFUNCTION("GOOGLETRANSLATE(A3829, ""zh-CN"", ""ko"")"),"거대한")</f>
        <v>거대한</v>
      </c>
    </row>
    <row r="3830" ht="15.75" customHeight="1">
      <c r="A3830" s="1" t="s">
        <v>11300</v>
      </c>
      <c r="B3830" s="1">
        <v>6.0</v>
      </c>
      <c r="C3830" s="1" t="s">
        <v>11301</v>
      </c>
      <c r="D3830" s="1" t="s">
        <v>8</v>
      </c>
      <c r="E3830" s="1" t="s">
        <v>11302</v>
      </c>
      <c r="F3830" s="1" t="str">
        <f>IFERROR(__xludf.DUMMYFUNCTION("GOOGLETRANSLATE(A3830, ""zh-CN"", ""ko"")"),"버리다")</f>
        <v>버리다</v>
      </c>
    </row>
    <row r="3831" ht="15.75" customHeight="1">
      <c r="A3831" s="1" t="s">
        <v>11303</v>
      </c>
      <c r="B3831" s="1">
        <v>6.0</v>
      </c>
      <c r="C3831" s="1" t="s">
        <v>11304</v>
      </c>
      <c r="D3831" s="1" t="s">
        <v>16</v>
      </c>
      <c r="E3831" s="1" t="s">
        <v>11305</v>
      </c>
      <c r="F3831" s="1" t="str">
        <f>IFERROR(__xludf.DUMMYFUNCTION("GOOGLETRANSLATE(A3831, ""zh-CN"", ""ko"")"),"거품")</f>
        <v>거품</v>
      </c>
    </row>
    <row r="3832" ht="15.75" customHeight="1">
      <c r="A3832" s="1" t="s">
        <v>11306</v>
      </c>
      <c r="B3832" s="1">
        <v>6.0</v>
      </c>
      <c r="C3832" s="1" t="s">
        <v>11307</v>
      </c>
      <c r="D3832" s="1" t="s">
        <v>8</v>
      </c>
      <c r="E3832" s="1" t="s">
        <v>11308</v>
      </c>
      <c r="F3832" s="1" t="str">
        <f>IFERROR(__xludf.DUMMYFUNCTION("GOOGLETRANSLATE(A3832, ""zh-CN"", ""ko"")"),"경작")</f>
        <v>경작</v>
      </c>
    </row>
    <row r="3833" ht="15.75" customHeight="1">
      <c r="A3833" s="1" t="s">
        <v>11309</v>
      </c>
      <c r="B3833" s="1">
        <v>6.0</v>
      </c>
      <c r="C3833" s="1" t="s">
        <v>11310</v>
      </c>
      <c r="D3833" s="1" t="s">
        <v>8</v>
      </c>
      <c r="E3833" s="1" t="s">
        <v>11311</v>
      </c>
      <c r="F3833" s="1" t="str">
        <f>IFERROR(__xludf.DUMMYFUNCTION("GOOGLETRANSLATE(A3833, ""zh-CN"", ""ko"")"),"갖추게 하는")</f>
        <v>갖추게 하는</v>
      </c>
    </row>
    <row r="3834" ht="15.75" customHeight="1">
      <c r="A3834" s="1" t="s">
        <v>11312</v>
      </c>
      <c r="B3834" s="1">
        <v>6.0</v>
      </c>
      <c r="C3834" s="1" t="s">
        <v>11313</v>
      </c>
      <c r="D3834" s="1" t="s">
        <v>16</v>
      </c>
      <c r="E3834" s="1" t="s">
        <v>11314</v>
      </c>
      <c r="F3834" s="1" t="str">
        <f>IFERROR(__xludf.DUMMYFUNCTION("GOOGLETRANSLATE(A3834, ""zh-CN"", ""ko"")"),"배우자")</f>
        <v>배우자</v>
      </c>
    </row>
    <row r="3835" ht="15.75" customHeight="1">
      <c r="A3835" s="1" t="s">
        <v>11315</v>
      </c>
      <c r="B3835" s="1">
        <v>6.0</v>
      </c>
      <c r="C3835" s="1" t="s">
        <v>11316</v>
      </c>
      <c r="D3835" s="1" t="s">
        <v>8</v>
      </c>
      <c r="E3835" s="1" t="s">
        <v>11317</v>
      </c>
      <c r="F3835" s="1" t="str">
        <f>IFERROR(__xludf.DUMMYFUNCTION("GOOGLETRANSLATE(A3835, ""zh-CN"", ""ko"")"),"지원")</f>
        <v>지원</v>
      </c>
    </row>
    <row r="3836" ht="15.75" customHeight="1">
      <c r="A3836" s="1" t="s">
        <v>11318</v>
      </c>
      <c r="B3836" s="1">
        <v>6.0</v>
      </c>
      <c r="C3836" s="1" t="s">
        <v>11319</v>
      </c>
      <c r="D3836" s="1" t="s">
        <v>16</v>
      </c>
      <c r="E3836" s="1" t="s">
        <v>11320</v>
      </c>
      <c r="F3836" s="1" t="str">
        <f>IFERROR(__xludf.DUMMYFUNCTION("GOOGLETRANSLATE(A3836, ""zh-CN"", ""ko"")"),"분지")</f>
        <v>분지</v>
      </c>
    </row>
    <row r="3837" ht="15.75" customHeight="1">
      <c r="A3837" s="1" t="s">
        <v>11321</v>
      </c>
      <c r="B3837" s="1">
        <v>6.0</v>
      </c>
      <c r="C3837" s="1" t="s">
        <v>11322</v>
      </c>
      <c r="D3837" s="1" t="s">
        <v>8</v>
      </c>
      <c r="E3837" s="1" t="s">
        <v>11323</v>
      </c>
      <c r="F3837" s="1" t="str">
        <f>IFERROR(__xludf.DUMMYFUNCTION("GOOGLETRANSLATE(A3837, ""zh-CN"", ""ko"")"),"요리")</f>
        <v>요리</v>
      </c>
    </row>
    <row r="3838" ht="15.75" customHeight="1">
      <c r="A3838" s="1" t="s">
        <v>11324</v>
      </c>
      <c r="B3838" s="1">
        <v>6.0</v>
      </c>
      <c r="C3838" s="1" t="s">
        <v>11325</v>
      </c>
      <c r="D3838" s="1" t="s">
        <v>8</v>
      </c>
      <c r="E3838" s="1" t="s">
        <v>11326</v>
      </c>
      <c r="F3838" s="1" t="str">
        <f>IFERROR(__xludf.DUMMYFUNCTION("GOOGLETRANSLATE(A3838, ""zh-CN"", ""ko"")"),"보유")</f>
        <v>보유</v>
      </c>
    </row>
    <row r="3839" ht="15.75" customHeight="1">
      <c r="A3839" s="1" t="s">
        <v>11327</v>
      </c>
      <c r="B3839" s="1">
        <v>6.0</v>
      </c>
      <c r="C3839" s="1" t="s">
        <v>5602</v>
      </c>
      <c r="D3839" s="1" t="s">
        <v>8</v>
      </c>
      <c r="E3839" s="1" t="s">
        <v>11328</v>
      </c>
      <c r="F3839" s="1" t="str">
        <f>IFERROR(__xludf.DUMMYFUNCTION("GOOGLETRANSLATE(A3839, ""zh-CN"", ""ko"")"),"마구 자르기")</f>
        <v>마구 자르기</v>
      </c>
    </row>
    <row r="3840" ht="15.75" customHeight="1">
      <c r="A3840" s="1" t="s">
        <v>11329</v>
      </c>
      <c r="B3840" s="1">
        <v>6.0</v>
      </c>
      <c r="C3840" s="1" t="s">
        <v>11330</v>
      </c>
      <c r="D3840" s="1" t="s">
        <v>8</v>
      </c>
      <c r="E3840" s="1" t="s">
        <v>11331</v>
      </c>
      <c r="F3840" s="1" t="str">
        <f>IFERROR(__xludf.DUMMYFUNCTION("GOOGLETRANSLATE(A3840, ""zh-CN"", ""ko"")"),"모조리")</f>
        <v>모조리</v>
      </c>
    </row>
    <row r="3841" ht="15.75" customHeight="1">
      <c r="A3841" s="1" t="s">
        <v>11332</v>
      </c>
      <c r="B3841" s="1">
        <v>6.0</v>
      </c>
      <c r="C3841" s="1" t="s">
        <v>11333</v>
      </c>
      <c r="D3841" s="1" t="s">
        <v>8</v>
      </c>
      <c r="E3841" s="1" t="s">
        <v>11334</v>
      </c>
      <c r="F3841" s="1" t="str">
        <f>IFERROR(__xludf.DUMMYFUNCTION("GOOGLETRANSLATE(A3841, ""zh-CN"", ""ko"")"),"비판")</f>
        <v>비판</v>
      </c>
    </row>
    <row r="3842" ht="15.75" customHeight="1">
      <c r="A3842" s="1" t="s">
        <v>11335</v>
      </c>
      <c r="B3842" s="1">
        <v>6.0</v>
      </c>
      <c r="C3842" s="1" t="s">
        <v>11336</v>
      </c>
      <c r="D3842" s="1" t="s">
        <v>52</v>
      </c>
      <c r="E3842" s="1" t="s">
        <v>11337</v>
      </c>
      <c r="F3842" s="1" t="str">
        <f>IFERROR(__xludf.DUMMYFUNCTION("GOOGLETRANSLATE(A3842, ""zh-CN"", ""ko"")"),"탈진한")</f>
        <v>탈진한</v>
      </c>
    </row>
    <row r="3843" ht="15.75" customHeight="1">
      <c r="A3843" s="1" t="s">
        <v>11338</v>
      </c>
      <c r="B3843" s="1">
        <v>6.0</v>
      </c>
      <c r="C3843" s="1" t="s">
        <v>11339</v>
      </c>
      <c r="D3843" s="1" t="s">
        <v>16</v>
      </c>
      <c r="E3843" s="1" t="s">
        <v>11340</v>
      </c>
      <c r="F3843" s="1" t="str">
        <f>IFERROR(__xludf.DUMMYFUNCTION("GOOGLETRANSLATE(A3843, ""zh-CN"", ""ko"")"),"가죽")</f>
        <v>가죽</v>
      </c>
    </row>
    <row r="3844" ht="15.75" customHeight="1">
      <c r="A3844" s="1" t="s">
        <v>11341</v>
      </c>
      <c r="B3844" s="1">
        <v>6.0</v>
      </c>
      <c r="C3844" s="1" t="s">
        <v>11342</v>
      </c>
      <c r="D3844" s="1" t="s">
        <v>52</v>
      </c>
      <c r="E3844" s="1" t="s">
        <v>11343</v>
      </c>
      <c r="F3844" s="1" t="str">
        <f>IFERROR(__xludf.DUMMYFUNCTION("GOOGLETRANSLATE(A3844, ""zh-CN"", ""ko"")"),"피곤한")</f>
        <v>피곤한</v>
      </c>
    </row>
    <row r="3845" ht="15.75" customHeight="1">
      <c r="A3845" s="1" t="s">
        <v>11344</v>
      </c>
      <c r="B3845" s="1">
        <v>6.0</v>
      </c>
      <c r="C3845" s="1" t="s">
        <v>11345</v>
      </c>
      <c r="D3845" s="1" t="s">
        <v>16</v>
      </c>
      <c r="E3845" s="1" t="s">
        <v>11346</v>
      </c>
      <c r="F3845" s="1" t="str">
        <f>IFERROR(__xludf.DUMMYFUNCTION("GOOGLETRANSLATE(A3845, ""zh-CN"", ""ko"")"),"대상")</f>
        <v>대상</v>
      </c>
    </row>
    <row r="3846" ht="15.75" customHeight="1">
      <c r="A3846" s="1" t="s">
        <v>11347</v>
      </c>
      <c r="B3846" s="1">
        <v>6.0</v>
      </c>
      <c r="C3846" s="1" t="s">
        <v>11348</v>
      </c>
      <c r="D3846" s="1" t="s">
        <v>8</v>
      </c>
      <c r="E3846" s="1" t="s">
        <v>1833</v>
      </c>
      <c r="F3846" s="1" t="str">
        <f>IFERROR(__xludf.DUMMYFUNCTION("GOOGLETRANSLATE(A3846, ""zh-CN"", ""ko"")"),"예를 들어")</f>
        <v>예를 들어</v>
      </c>
    </row>
    <row r="3847" ht="15.75" customHeight="1">
      <c r="A3847" s="1" t="s">
        <v>11349</v>
      </c>
      <c r="B3847" s="1">
        <v>6.0</v>
      </c>
      <c r="C3847" s="1" t="s">
        <v>11350</v>
      </c>
      <c r="D3847" s="1" t="s">
        <v>16</v>
      </c>
      <c r="E3847" s="1" t="s">
        <v>11351</v>
      </c>
      <c r="F3847" s="1" t="str">
        <f>IFERROR(__xludf.DUMMYFUNCTION("GOOGLETRANSLATE(A3847, ""zh-CN"", ""ko"")"),"편차")</f>
        <v>편차</v>
      </c>
    </row>
    <row r="3848" ht="15.75" customHeight="1">
      <c r="A3848" s="1" t="s">
        <v>11352</v>
      </c>
      <c r="B3848" s="1">
        <v>6.0</v>
      </c>
      <c r="C3848" s="1" t="s">
        <v>11353</v>
      </c>
      <c r="D3848" s="1" t="s">
        <v>16</v>
      </c>
      <c r="E3848" s="1" t="s">
        <v>11354</v>
      </c>
      <c r="F3848" s="1" t="str">
        <f>IFERROR(__xludf.DUMMYFUNCTION("GOOGLETRANSLATE(A3848, ""zh-CN"", ""ko"")"),"편견")</f>
        <v>편견</v>
      </c>
    </row>
    <row r="3849" ht="15.75" customHeight="1">
      <c r="A3849" s="1" t="s">
        <v>11355</v>
      </c>
      <c r="B3849" s="1">
        <v>6.0</v>
      </c>
      <c r="C3849" s="1" t="s">
        <v>11356</v>
      </c>
      <c r="D3849" s="1" t="s">
        <v>52</v>
      </c>
      <c r="E3849" s="1" t="s">
        <v>11357</v>
      </c>
      <c r="F3849" s="1" t="str">
        <f>IFERROR(__xludf.DUMMYFUNCTION("GOOGLETRANSLATE(A3849, ""zh-CN"", ""ko"")"),"원격")</f>
        <v>원격</v>
      </c>
    </row>
    <row r="3850" ht="15.75" customHeight="1">
      <c r="A3850" s="1" t="s">
        <v>11358</v>
      </c>
      <c r="B3850" s="1">
        <v>6.0</v>
      </c>
      <c r="C3850" s="1" t="s">
        <v>11359</v>
      </c>
      <c r="D3850" s="1" t="s">
        <v>33</v>
      </c>
      <c r="E3850" s="1" t="s">
        <v>11360</v>
      </c>
      <c r="F3850" s="1" t="str">
        <f>IFERROR(__xludf.DUMMYFUNCTION("GOOGLETRANSLATE(A3850, ""zh-CN"", ""ko"")"),"하지만")</f>
        <v>하지만</v>
      </c>
    </row>
    <row r="3851" ht="15.75" customHeight="1">
      <c r="A3851" s="1" t="s">
        <v>11361</v>
      </c>
      <c r="B3851" s="1">
        <v>6.0</v>
      </c>
      <c r="C3851" s="1" t="s">
        <v>11362</v>
      </c>
      <c r="D3851" s="1" t="s">
        <v>16</v>
      </c>
      <c r="E3851" s="1" t="s">
        <v>11363</v>
      </c>
      <c r="F3851" s="1" t="str">
        <f>IFERROR(__xludf.DUMMYFUNCTION("GOOGLETRANSLATE(A3851, ""zh-CN"", ""ko"")"),"파편")</f>
        <v>파편</v>
      </c>
    </row>
    <row r="3852" ht="15.75" customHeight="1">
      <c r="A3852" s="1" t="s">
        <v>11364</v>
      </c>
      <c r="B3852" s="1">
        <v>6.0</v>
      </c>
      <c r="C3852" s="1" t="s">
        <v>11365</v>
      </c>
      <c r="D3852" s="1" t="s">
        <v>16</v>
      </c>
      <c r="E3852" s="1" t="s">
        <v>11366</v>
      </c>
      <c r="F3852" s="1" t="str">
        <f>IFERROR(__xludf.DUMMYFUNCTION("GOOGLETRANSLATE(A3852, ""zh-CN"", ""ko"")"),"순간")</f>
        <v>순간</v>
      </c>
    </row>
    <row r="3853" ht="15.75" customHeight="1">
      <c r="A3853" s="1" t="s">
        <v>11367</v>
      </c>
      <c r="B3853" s="1">
        <v>6.0</v>
      </c>
      <c r="C3853" s="1" t="s">
        <v>11368</v>
      </c>
      <c r="D3853" s="1" t="s">
        <v>8</v>
      </c>
      <c r="E3853" s="1" t="s">
        <v>11369</v>
      </c>
      <c r="F3853" s="1" t="str">
        <f>IFERROR(__xludf.DUMMYFUNCTION("GOOGLETRANSLATE(A3853, ""zh-CN"", ""ko"")"),"뜨다")</f>
        <v>뜨다</v>
      </c>
    </row>
    <row r="3854" ht="15.75" customHeight="1">
      <c r="A3854" s="1" t="s">
        <v>11370</v>
      </c>
      <c r="B3854" s="1">
        <v>6.0</v>
      </c>
      <c r="C3854" s="1" t="s">
        <v>11371</v>
      </c>
      <c r="D3854" s="1" t="s">
        <v>8</v>
      </c>
      <c r="E3854" s="1" t="s">
        <v>11372</v>
      </c>
      <c r="F3854" s="1" t="str">
        <f>IFERROR(__xludf.DUMMYFUNCTION("GOOGLETRANSLATE(A3854, ""zh-CN"", ""ko"")"),"펄럭이는")</f>
        <v>펄럭이는</v>
      </c>
    </row>
    <row r="3855" ht="15.75" customHeight="1">
      <c r="A3855" s="1" t="s">
        <v>11373</v>
      </c>
      <c r="B3855" s="1">
        <v>6.0</v>
      </c>
      <c r="C3855" s="1" t="s">
        <v>11374</v>
      </c>
      <c r="D3855" s="1" t="s">
        <v>16</v>
      </c>
      <c r="E3855" s="1" t="s">
        <v>2834</v>
      </c>
      <c r="F3855" s="1" t="str">
        <f>IFERROR(__xludf.DUMMYFUNCTION("GOOGLETRANSLATE(A3855, ""zh-CN"", ""ko"")"),"왼쪽으로 떨어지는 스트로크")</f>
        <v>왼쪽으로 떨어지는 스트로크</v>
      </c>
    </row>
    <row r="3856" ht="15.75" customHeight="1">
      <c r="A3856" s="1" t="s">
        <v>11375</v>
      </c>
      <c r="B3856" s="1">
        <v>6.0</v>
      </c>
      <c r="C3856" s="1" t="s">
        <v>11376</v>
      </c>
      <c r="D3856" s="1" t="s">
        <v>8</v>
      </c>
      <c r="E3856" s="1" t="s">
        <v>11377</v>
      </c>
      <c r="F3856" s="1" t="str">
        <f>IFERROR(__xludf.DUMMYFUNCTION("GOOGLETRANSLATE(A3856, ""zh-CN"", ""ko"")"),"애쓰다")</f>
        <v>애쓰다</v>
      </c>
    </row>
    <row r="3857" ht="15.75" customHeight="1">
      <c r="A3857" s="1" t="s">
        <v>11378</v>
      </c>
      <c r="B3857" s="1">
        <v>6.0</v>
      </c>
      <c r="C3857" s="1" t="s">
        <v>11379</v>
      </c>
      <c r="D3857" s="1" t="s">
        <v>8</v>
      </c>
      <c r="E3857" s="1" t="s">
        <v>11380</v>
      </c>
      <c r="F3857" s="1" t="str">
        <f>IFERROR(__xludf.DUMMYFUNCTION("GOOGLETRANSLATE(A3857, ""zh-CN"", ""ko"")"),"자포자기한")</f>
        <v>자포자기한</v>
      </c>
    </row>
    <row r="3858" ht="15.75" customHeight="1">
      <c r="A3858" s="1" t="s">
        <v>11381</v>
      </c>
      <c r="B3858" s="1">
        <v>6.0</v>
      </c>
      <c r="C3858" s="1" t="s">
        <v>11382</v>
      </c>
      <c r="D3858" s="1" t="s">
        <v>52</v>
      </c>
      <c r="E3858" s="1" t="s">
        <v>11383</v>
      </c>
      <c r="F3858" s="1" t="str">
        <f>IFERROR(__xludf.DUMMYFUNCTION("GOOGLETRANSLATE(A3858, ""zh-CN"", ""ko"")"),"가난한")</f>
        <v>가난한</v>
      </c>
    </row>
    <row r="3859" ht="15.75" customHeight="1">
      <c r="A3859" s="1" t="s">
        <v>11384</v>
      </c>
      <c r="B3859" s="1">
        <v>6.0</v>
      </c>
      <c r="C3859" s="1" t="s">
        <v>11385</v>
      </c>
      <c r="D3859" s="1" t="s">
        <v>52</v>
      </c>
      <c r="E3859" s="1" t="s">
        <v>11386</v>
      </c>
      <c r="F3859" s="1" t="str">
        <f>IFERROR(__xludf.DUMMYFUNCTION("GOOGLETRANSLATE(A3859, ""zh-CN"", ""ko"")"),"자주")</f>
        <v>자주</v>
      </c>
    </row>
    <row r="3860" ht="15.75" customHeight="1">
      <c r="A3860" s="1" t="s">
        <v>11387</v>
      </c>
      <c r="B3860" s="1">
        <v>6.0</v>
      </c>
      <c r="C3860" s="1" t="s">
        <v>11388</v>
      </c>
      <c r="D3860" s="1" t="s">
        <v>52</v>
      </c>
      <c r="E3860" s="1" t="s">
        <v>11389</v>
      </c>
      <c r="F3860" s="1" t="str">
        <f>IFERROR(__xludf.DUMMYFUNCTION("GOOGLETRANSLATE(A3860, ""zh-CN"", ""ko"")"),"가난한")</f>
        <v>가난한</v>
      </c>
    </row>
    <row r="3861" ht="15.75" customHeight="1">
      <c r="A3861" s="1" t="s">
        <v>11390</v>
      </c>
      <c r="B3861" s="1">
        <v>6.0</v>
      </c>
      <c r="C3861" s="1" t="s">
        <v>11391</v>
      </c>
      <c r="D3861" s="1" t="s">
        <v>16</v>
      </c>
      <c r="E3861" s="1" t="s">
        <v>11392</v>
      </c>
      <c r="F3861" s="1" t="str">
        <f>IFERROR(__xludf.DUMMYFUNCTION("GOOGLETRANSLATE(A3861, ""zh-CN"", ""ko"")"),"빈도")</f>
        <v>빈도</v>
      </c>
    </row>
    <row r="3862" ht="15.75" customHeight="1">
      <c r="A3862" s="1" t="s">
        <v>11393</v>
      </c>
      <c r="B3862" s="1">
        <v>6.0</v>
      </c>
      <c r="C3862" s="1" t="s">
        <v>11394</v>
      </c>
      <c r="D3862" s="1" t="s">
        <v>8</v>
      </c>
      <c r="E3862" s="1" t="s">
        <v>11395</v>
      </c>
      <c r="F3862" s="1" t="str">
        <f>IFERROR(__xludf.DUMMYFUNCTION("GOOGLETRANSLATE(A3862, ""zh-CN"", ""ko"")"),"맛")</f>
        <v>맛</v>
      </c>
    </row>
    <row r="3863" ht="15.75" customHeight="1">
      <c r="A3863" s="1" t="s">
        <v>11396</v>
      </c>
      <c r="B3863" s="1">
        <v>6.0</v>
      </c>
      <c r="C3863" s="1" t="s">
        <v>11397</v>
      </c>
      <c r="D3863" s="1" t="s">
        <v>16</v>
      </c>
      <c r="E3863" s="1" t="s">
        <v>11398</v>
      </c>
      <c r="F3863" s="1" t="str">
        <f>IFERROR(__xludf.DUMMYFUNCTION("GOOGLETRANSLATE(A3863, ""zh-CN"", ""ko"")"),"도덕")</f>
        <v>도덕</v>
      </c>
    </row>
    <row r="3864" ht="15.75" customHeight="1">
      <c r="A3864" s="1" t="s">
        <v>11399</v>
      </c>
      <c r="B3864" s="1">
        <v>6.0</v>
      </c>
      <c r="C3864" s="1" t="s">
        <v>11400</v>
      </c>
      <c r="D3864" s="1" t="s">
        <v>16</v>
      </c>
      <c r="E3864" s="1" t="s">
        <v>11401</v>
      </c>
      <c r="F3864" s="1" t="str">
        <f>IFERROR(__xludf.DUMMYFUNCTION("GOOGLETRANSLATE(A3864, ""zh-CN"", ""ko"")"),"품질")</f>
        <v>품질</v>
      </c>
    </row>
    <row r="3865" ht="15.75" customHeight="1">
      <c r="A3865" s="1" t="s">
        <v>11402</v>
      </c>
      <c r="B3865" s="1">
        <v>6.0</v>
      </c>
      <c r="C3865" s="1" t="s">
        <v>11403</v>
      </c>
      <c r="D3865" s="1" t="s">
        <v>16</v>
      </c>
      <c r="E3865" s="1" t="s">
        <v>11404</v>
      </c>
      <c r="F3865" s="1" t="str">
        <f>IFERROR(__xludf.DUMMYFUNCTION("GOOGLETRANSLATE(A3865, ""zh-CN"", ""ko"")"),"다양성")</f>
        <v>다양성</v>
      </c>
    </row>
    <row r="3866" ht="15.75" customHeight="1">
      <c r="A3866" s="1" t="s">
        <v>11405</v>
      </c>
      <c r="B3866" s="1">
        <v>6.0</v>
      </c>
      <c r="C3866" s="1" t="s">
        <v>11406</v>
      </c>
      <c r="D3866" s="1" t="s">
        <v>52</v>
      </c>
      <c r="E3866" s="1" t="s">
        <v>11407</v>
      </c>
      <c r="F3866" s="1" t="str">
        <f>IFERROR(__xludf.DUMMYFUNCTION("GOOGLETRANSLATE(A3866, ""zh-CN"", ""ko"")"),"평범한")</f>
        <v>평범한</v>
      </c>
    </row>
    <row r="3867" ht="15.75" customHeight="1">
      <c r="A3867" s="1" t="s">
        <v>11408</v>
      </c>
      <c r="B3867" s="1">
        <v>6.0</v>
      </c>
      <c r="C3867" s="1" t="s">
        <v>11409</v>
      </c>
      <c r="D3867" s="1" t="s">
        <v>8</v>
      </c>
      <c r="E3867" s="1" t="s">
        <v>11410</v>
      </c>
      <c r="F3867" s="1" t="str">
        <f>IFERROR(__xludf.DUMMYFUNCTION("GOOGLETRANSLATE(A3867, ""zh-CN"", ""ko"")"),"평가하다")</f>
        <v>평가하다</v>
      </c>
    </row>
    <row r="3868" ht="15.75" customHeight="1">
      <c r="A3868" s="1" t="s">
        <v>11411</v>
      </c>
      <c r="B3868" s="1">
        <v>6.0</v>
      </c>
      <c r="C3868" s="1" t="s">
        <v>11412</v>
      </c>
      <c r="D3868" s="1" t="s">
        <v>875</v>
      </c>
      <c r="E3868" s="1" t="s">
        <v>11413</v>
      </c>
      <c r="F3868" s="1" t="str">
        <f>IFERROR(__xludf.DUMMYFUNCTION("GOOGLETRANSLATE(A3868, ""zh-CN"", ""ko"")"),"논평")</f>
        <v>논평</v>
      </c>
    </row>
    <row r="3869" ht="15.75" customHeight="1">
      <c r="A3869" s="1" t="s">
        <v>11414</v>
      </c>
      <c r="B3869" s="1">
        <v>6.0</v>
      </c>
      <c r="C3869" s="1" t="s">
        <v>11415</v>
      </c>
      <c r="D3869" s="1" t="s">
        <v>16</v>
      </c>
      <c r="E3869" s="1" t="s">
        <v>11416</v>
      </c>
      <c r="F3869" s="1" t="str">
        <f>IFERROR(__xludf.DUMMYFUNCTION("GOOGLETRANSLATE(A3869, ""zh-CN"", ""ko"")"),"평평한")</f>
        <v>평평한</v>
      </c>
    </row>
    <row r="3870" ht="15.75" customHeight="1">
      <c r="A3870" s="1" t="s">
        <v>11417</v>
      </c>
      <c r="B3870" s="1">
        <v>6.0</v>
      </c>
      <c r="C3870" s="1" t="s">
        <v>11418</v>
      </c>
      <c r="D3870" s="1" t="s">
        <v>16</v>
      </c>
      <c r="E3870" s="1" t="s">
        <v>11419</v>
      </c>
      <c r="F3870" s="1" t="str">
        <f>IFERROR(__xludf.DUMMYFUNCTION("GOOGLETRANSLATE(A3870, ""zh-CN"", ""ko"")"),"화면")</f>
        <v>화면</v>
      </c>
    </row>
    <row r="3871" ht="15.75" customHeight="1">
      <c r="A3871" s="1" t="s">
        <v>11420</v>
      </c>
      <c r="B3871" s="1">
        <v>6.0</v>
      </c>
      <c r="C3871" s="1" t="s">
        <v>11421</v>
      </c>
      <c r="D3871" s="1" t="s">
        <v>52</v>
      </c>
      <c r="E3871" s="1" t="s">
        <v>11422</v>
      </c>
      <c r="F3871" s="1" t="str">
        <f>IFERROR(__xludf.DUMMYFUNCTION("GOOGLETRANSLATE(A3871, ""zh-CN"", ""ko"")"),"평평한")</f>
        <v>평평한</v>
      </c>
    </row>
    <row r="3872" ht="15.75" customHeight="1">
      <c r="A3872" s="1" t="s">
        <v>11423</v>
      </c>
      <c r="B3872" s="1">
        <v>6.0</v>
      </c>
      <c r="C3872" s="1" t="s">
        <v>11424</v>
      </c>
      <c r="D3872" s="1" t="s">
        <v>52</v>
      </c>
      <c r="E3872" s="1" t="s">
        <v>11425</v>
      </c>
      <c r="F3872" s="1" t="str">
        <f>IFERROR(__xludf.DUMMYFUNCTION("GOOGLETRANSLATE(A3872, ""zh-CN"", ""ko"")"),"평행한")</f>
        <v>평행한</v>
      </c>
    </row>
    <row r="3873" ht="15.75" customHeight="1">
      <c r="A3873" s="1" t="s">
        <v>11426</v>
      </c>
      <c r="B3873" s="1">
        <v>6.0</v>
      </c>
      <c r="C3873" s="1" t="s">
        <v>11427</v>
      </c>
      <c r="D3873" s="1" t="s">
        <v>52</v>
      </c>
      <c r="E3873" s="1" t="s">
        <v>11428</v>
      </c>
      <c r="F3873" s="1" t="str">
        <f>IFERROR(__xludf.DUMMYFUNCTION("GOOGLETRANSLATE(A3873, ""zh-CN"", ""ko"")"),"평범한")</f>
        <v>평범한</v>
      </c>
    </row>
    <row r="3874" ht="15.75" customHeight="1">
      <c r="A3874" s="1" t="s">
        <v>11429</v>
      </c>
      <c r="B3874" s="1">
        <v>6.0</v>
      </c>
      <c r="C3874" s="1" t="s">
        <v>11430</v>
      </c>
      <c r="D3874" s="1" t="s">
        <v>16</v>
      </c>
      <c r="E3874" s="1" t="s">
        <v>11431</v>
      </c>
      <c r="F3874" s="1" t="str">
        <f>IFERROR(__xludf.DUMMYFUNCTION("GOOGLETRANSLATE(A3874, ""zh-CN"", ""ko"")"),"평원")</f>
        <v>평원</v>
      </c>
    </row>
    <row r="3875" ht="15.75" customHeight="1">
      <c r="A3875" s="1" t="s">
        <v>11432</v>
      </c>
      <c r="B3875" s="1">
        <v>6.0</v>
      </c>
      <c r="C3875" s="1" t="s">
        <v>11433</v>
      </c>
      <c r="D3875" s="1" t="s">
        <v>16</v>
      </c>
      <c r="E3875" s="1" t="s">
        <v>11434</v>
      </c>
      <c r="F3875" s="1" t="str">
        <f>IFERROR(__xludf.DUMMYFUNCTION("GOOGLETRANSLATE(A3875, ""zh-CN"", ""ko"")"),"장벽")</f>
        <v>장벽</v>
      </c>
    </row>
    <row r="3876" ht="15.75" customHeight="1">
      <c r="A3876" s="1" t="s">
        <v>11435</v>
      </c>
      <c r="B3876" s="1">
        <v>6.0</v>
      </c>
      <c r="C3876" s="1" t="s">
        <v>11436</v>
      </c>
      <c r="D3876" s="1" t="s">
        <v>16</v>
      </c>
      <c r="E3876" s="1" t="s">
        <v>11437</v>
      </c>
      <c r="F3876" s="1" t="str">
        <f>IFERROR(__xludf.DUMMYFUNCTION("GOOGLETRANSLATE(A3876, ""zh-CN"", ""ko"")"),"경사")</f>
        <v>경사</v>
      </c>
    </row>
    <row r="3877" ht="15.75" customHeight="1">
      <c r="A3877" s="1" t="s">
        <v>11438</v>
      </c>
      <c r="B3877" s="1">
        <v>6.0</v>
      </c>
      <c r="C3877" s="1" t="s">
        <v>11436</v>
      </c>
      <c r="D3877" s="1" t="s">
        <v>16</v>
      </c>
      <c r="E3877" s="1" t="s">
        <v>11439</v>
      </c>
      <c r="F3877" s="1" t="str">
        <f>IFERROR(__xludf.DUMMYFUNCTION("GOOGLETRANSLATE(A3877, ""zh-CN"", ""ko"")"),"튀김")</f>
        <v>튀김</v>
      </c>
    </row>
    <row r="3878" ht="15.75" customHeight="1">
      <c r="A3878" s="1" t="s">
        <v>11440</v>
      </c>
      <c r="B3878" s="1">
        <v>6.0</v>
      </c>
      <c r="C3878" s="1" t="s">
        <v>11436</v>
      </c>
      <c r="D3878" s="1" t="s">
        <v>33</v>
      </c>
      <c r="E3878" s="1" t="s">
        <v>11441</v>
      </c>
      <c r="F3878" s="1" t="str">
        <f>IFERROR(__xludf.DUMMYFUNCTION("GOOGLETRANSLATE(A3878, ""zh-CN"", ""ko"")"),"상당히")</f>
        <v>상당히</v>
      </c>
    </row>
    <row r="3879" ht="15.75" customHeight="1">
      <c r="A3879" s="1" t="s">
        <v>11442</v>
      </c>
      <c r="B3879" s="1">
        <v>6.0</v>
      </c>
      <c r="C3879" s="1" t="s">
        <v>11443</v>
      </c>
      <c r="E3879" s="1" t="s">
        <v>11444</v>
      </c>
      <c r="F3879" s="1" t="str">
        <f>IFERROR(__xludf.DUMMYFUNCTION("GOOGLETRANSLATE(A3879, ""zh-CN"", ""ko"")"),"너무 기대돼요")</f>
        <v>너무 기대돼요</v>
      </c>
    </row>
    <row r="3880" ht="15.75" customHeight="1">
      <c r="A3880" s="1" t="s">
        <v>11445</v>
      </c>
      <c r="B3880" s="1">
        <v>6.0</v>
      </c>
      <c r="C3880" s="1" t="s">
        <v>11446</v>
      </c>
      <c r="D3880" s="1" t="s">
        <v>8</v>
      </c>
      <c r="E3880" s="1" t="s">
        <v>11447</v>
      </c>
      <c r="F3880" s="1" t="str">
        <f>IFERROR(__xludf.DUMMYFUNCTION("GOOGLETRANSLATE(A3880, ""zh-CN"", ""ko"")"),"박해")</f>
        <v>박해</v>
      </c>
    </row>
    <row r="3881" ht="15.75" customHeight="1">
      <c r="A3881" s="1" t="s">
        <v>11448</v>
      </c>
      <c r="B3881" s="1">
        <v>6.0</v>
      </c>
      <c r="C3881" s="1" t="s">
        <v>11449</v>
      </c>
      <c r="D3881" s="1" t="s">
        <v>16</v>
      </c>
      <c r="E3881" s="1" t="s">
        <v>11450</v>
      </c>
      <c r="F3881" s="1" t="str">
        <f>IFERROR(__xludf.DUMMYFUNCTION("GOOGLETRANSLATE(A3881, ""zh-CN"", ""ko"")"),"용기")</f>
        <v>용기</v>
      </c>
    </row>
    <row r="3882" ht="15.75" customHeight="1">
      <c r="A3882" s="1" t="s">
        <v>11451</v>
      </c>
      <c r="B3882" s="1">
        <v>6.0</v>
      </c>
      <c r="C3882" s="1" t="s">
        <v>11449</v>
      </c>
      <c r="D3882" s="1" t="s">
        <v>8</v>
      </c>
      <c r="E3882" s="1" t="s">
        <v>11452</v>
      </c>
      <c r="F3882" s="1" t="str">
        <f>IFERROR(__xludf.DUMMYFUNCTION("GOOGLETRANSLATE(A3882, ""zh-CN"", ""ko"")"),"예외")</f>
        <v>예외</v>
      </c>
    </row>
    <row r="3883" ht="15.75" customHeight="1">
      <c r="A3883" s="1" t="s">
        <v>11453</v>
      </c>
      <c r="B3883" s="1">
        <v>6.0</v>
      </c>
      <c r="C3883" s="1" t="s">
        <v>11454</v>
      </c>
      <c r="D3883" s="1" t="s">
        <v>8</v>
      </c>
      <c r="E3883" s="1" t="s">
        <v>11455</v>
      </c>
      <c r="F3883" s="1" t="str">
        <f>IFERROR(__xludf.DUMMYFUNCTION("GOOGLETRANSLATE(A3883, ""zh-CN"", ""ko"")"),"설레다")</f>
        <v>설레다</v>
      </c>
    </row>
    <row r="3884" ht="15.75" customHeight="1">
      <c r="A3884" s="1" t="s">
        <v>11456</v>
      </c>
      <c r="B3884" s="1">
        <v>6.0</v>
      </c>
      <c r="C3884" s="1" t="s">
        <v>11454</v>
      </c>
      <c r="D3884" s="1" t="s">
        <v>8</v>
      </c>
      <c r="E3884" s="1" t="s">
        <v>11457</v>
      </c>
      <c r="F3884" s="1" t="str">
        <f>IFERROR(__xludf.DUMMYFUNCTION("GOOGLETRANSLATE(A3884, ""zh-CN"", ""ko"")"),"가게")</f>
        <v>가게</v>
      </c>
    </row>
    <row r="3885" ht="15.75" customHeight="1">
      <c r="A3885" s="1" t="s">
        <v>11458</v>
      </c>
      <c r="B3885" s="1">
        <v>6.0</v>
      </c>
      <c r="C3885" s="1" t="s">
        <v>11459</v>
      </c>
      <c r="D3885" s="1" t="s">
        <v>8</v>
      </c>
      <c r="E3885" s="1" t="s">
        <v>11460</v>
      </c>
      <c r="F3885" s="1" t="str">
        <f>IFERROR(__xludf.DUMMYFUNCTION("GOOGLETRANSLATE(A3885, ""zh-CN"", ""ko"")"),"만능인")</f>
        <v>만능인</v>
      </c>
    </row>
    <row r="3886" ht="15.75" customHeight="1">
      <c r="A3886" s="1" t="s">
        <v>11461</v>
      </c>
      <c r="B3886" s="1">
        <v>6.0</v>
      </c>
      <c r="C3886" s="1" t="s">
        <v>11462</v>
      </c>
      <c r="D3886" s="1" t="s">
        <v>52</v>
      </c>
      <c r="E3886" s="1" t="s">
        <v>11463</v>
      </c>
      <c r="F3886" s="1" t="str">
        <f>IFERROR(__xludf.DUMMYFUNCTION("GOOGLETRANSLATE(A3886, ""zh-CN"", ""ko"")"),"단순한")</f>
        <v>단순한</v>
      </c>
    </row>
    <row r="3887" ht="15.75" customHeight="1">
      <c r="A3887" s="1" t="s">
        <v>11464</v>
      </c>
      <c r="B3887" s="1">
        <v>6.0</v>
      </c>
      <c r="C3887" s="1" t="s">
        <v>11465</v>
      </c>
      <c r="D3887" s="1" t="s">
        <v>52</v>
      </c>
      <c r="E3887" s="1" t="s">
        <v>11463</v>
      </c>
      <c r="F3887" s="1" t="str">
        <f>IFERROR(__xludf.DUMMYFUNCTION("GOOGLETRANSLATE(A3887, ""zh-CN"", ""ko"")"),"단순한")</f>
        <v>단순한</v>
      </c>
    </row>
    <row r="3888" ht="15.75" customHeight="1">
      <c r="A3888" s="1" t="s">
        <v>11466</v>
      </c>
      <c r="B3888" s="1">
        <v>6.0</v>
      </c>
      <c r="C3888" s="1" t="s">
        <v>11467</v>
      </c>
      <c r="D3888" s="1" t="s">
        <v>16</v>
      </c>
      <c r="E3888" s="1" t="s">
        <v>11468</v>
      </c>
      <c r="F3888" s="1" t="str">
        <f>IFERROR(__xludf.DUMMYFUNCTION("GOOGLETRANSLATE(A3888, ""zh-CN"", ""ko"")"),"떨어지다")</f>
        <v>떨어지다</v>
      </c>
    </row>
    <row r="3889" ht="15.75" customHeight="1">
      <c r="A3889" s="1" t="s">
        <v>11469</v>
      </c>
      <c r="B3889" s="1">
        <v>6.0</v>
      </c>
      <c r="C3889" s="1" t="s">
        <v>11470</v>
      </c>
      <c r="D3889" s="1" t="s">
        <v>8</v>
      </c>
      <c r="E3889" s="1" t="s">
        <v>11471</v>
      </c>
      <c r="F3889" s="1" t="str">
        <f>IFERROR(__xludf.DUMMYFUNCTION("GOOGLETRANSLATE(A3889, ""zh-CN"", ""ko"")"),"괴롭히는 사람")</f>
        <v>괴롭히는 사람</v>
      </c>
    </row>
    <row r="3890" ht="15.75" customHeight="1">
      <c r="A3890" s="1" t="s">
        <v>11472</v>
      </c>
      <c r="B3890" s="1">
        <v>6.0</v>
      </c>
      <c r="C3890" s="1" t="s">
        <v>11473</v>
      </c>
      <c r="D3890" s="1" t="s">
        <v>52</v>
      </c>
      <c r="E3890" s="1" t="s">
        <v>11474</v>
      </c>
      <c r="F3890" s="1" t="str">
        <f>IFERROR(__xludf.DUMMYFUNCTION("GOOGLETRANSLATE(A3890, ""zh-CN"", ""ko"")"),"황량한")</f>
        <v>황량한</v>
      </c>
    </row>
    <row r="3891" ht="15.75" customHeight="1">
      <c r="A3891" s="1" t="s">
        <v>11475</v>
      </c>
      <c r="B3891" s="1">
        <v>6.0</v>
      </c>
      <c r="C3891" s="1" t="s">
        <v>11476</v>
      </c>
      <c r="D3891" s="1" t="s">
        <v>8</v>
      </c>
      <c r="E3891" s="1" t="s">
        <v>11477</v>
      </c>
      <c r="F3891" s="1" t="str">
        <f>IFERROR(__xludf.DUMMYFUNCTION("GOOGLETRANSLATE(A3891, ""zh-CN"", ""ko"")"),"속이다")</f>
        <v>속이다</v>
      </c>
    </row>
    <row r="3892" ht="15.75" customHeight="1">
      <c r="A3892" s="1" t="s">
        <v>11478</v>
      </c>
      <c r="B3892" s="1">
        <v>6.0</v>
      </c>
      <c r="C3892" s="1" t="s">
        <v>11479</v>
      </c>
      <c r="D3892" s="1" t="s">
        <v>8</v>
      </c>
      <c r="E3892" s="1" t="s">
        <v>11480</v>
      </c>
      <c r="F3892" s="1" t="str">
        <f>IFERROR(__xludf.DUMMYFUNCTION("GOOGLETRANSLATE(A3892, ""zh-CN"", ""ko"")"),"예상하다")</f>
        <v>예상하다</v>
      </c>
    </row>
    <row r="3893" ht="15.75" customHeight="1">
      <c r="A3893" s="1" t="s">
        <v>11481</v>
      </c>
      <c r="B3893" s="1">
        <v>6.0</v>
      </c>
      <c r="C3893" s="1" t="s">
        <v>11482</v>
      </c>
      <c r="D3893" s="1" t="s">
        <v>16</v>
      </c>
      <c r="E3893" s="1" t="s">
        <v>11483</v>
      </c>
      <c r="F3893" s="1" t="str">
        <f>IFERROR(__xludf.DUMMYFUNCTION("GOOGLETRANSLATE(A3893, ""zh-CN"", ""ko"")"),"용어")</f>
        <v>용어</v>
      </c>
    </row>
    <row r="3894" ht="15.75" customHeight="1">
      <c r="A3894" s="1" t="s">
        <v>11484</v>
      </c>
      <c r="B3894" s="1">
        <v>6.0</v>
      </c>
      <c r="C3894" s="1" t="s">
        <v>11485</v>
      </c>
      <c r="D3894" s="1" t="s">
        <v>52</v>
      </c>
      <c r="E3894" s="1" t="s">
        <v>11486</v>
      </c>
      <c r="F3894" s="1" t="str">
        <f>IFERROR(__xludf.DUMMYFUNCTION("GOOGLETRANSLATE(A3894, ""zh-CN"", ""ko"")"),"아주 멋진")</f>
        <v>아주 멋진</v>
      </c>
    </row>
    <row r="3895" ht="15.75" customHeight="1">
      <c r="A3895" s="1" t="s">
        <v>11487</v>
      </c>
      <c r="B3895" s="1">
        <v>6.0</v>
      </c>
      <c r="C3895" s="1" t="s">
        <v>11488</v>
      </c>
      <c r="D3895" s="1" t="s">
        <v>16</v>
      </c>
      <c r="E3895" s="1" t="s">
        <v>11489</v>
      </c>
      <c r="F3895" s="1" t="str">
        <f>IFERROR(__xludf.DUMMYFUNCTION("GOOGLETRANSLATE(A3895, ""zh-CN"", ""ko"")"),"치파오")</f>
        <v>치파오</v>
      </c>
    </row>
    <row r="3896" ht="15.75" customHeight="1">
      <c r="A3896" s="1" t="s">
        <v>11490</v>
      </c>
      <c r="B3896" s="1">
        <v>6.0</v>
      </c>
      <c r="C3896" s="1" t="s">
        <v>11491</v>
      </c>
      <c r="D3896" s="1" t="s">
        <v>52</v>
      </c>
      <c r="E3896" s="1" t="s">
        <v>11492</v>
      </c>
      <c r="F3896" s="1" t="str">
        <f>IFERROR(__xludf.DUMMYFUNCTION("GOOGLETRANSLATE(A3896, ""zh-CN"", ""ko"")"),"완벽한")</f>
        <v>완벽한</v>
      </c>
    </row>
    <row r="3897" ht="15.75" customHeight="1">
      <c r="A3897" s="1" t="s">
        <v>11493</v>
      </c>
      <c r="B3897" s="1">
        <v>6.0</v>
      </c>
      <c r="C3897" s="1" t="s">
        <v>11494</v>
      </c>
      <c r="D3897" s="1" t="s">
        <v>8</v>
      </c>
      <c r="E3897" s="1" t="s">
        <v>11495</v>
      </c>
      <c r="F3897" s="1" t="str">
        <f>IFERROR(__xludf.DUMMYFUNCTION("GOOGLETRANSLATE(A3897, ""zh-CN"", ""ko"")"),"차별하다")</f>
        <v>차별하다</v>
      </c>
    </row>
    <row r="3898" ht="15.75" customHeight="1">
      <c r="A3898" s="1" t="s">
        <v>11496</v>
      </c>
      <c r="B3898" s="1">
        <v>6.0</v>
      </c>
      <c r="C3898" s="1" t="s">
        <v>11497</v>
      </c>
      <c r="E3898" s="1" t="s">
        <v>11498</v>
      </c>
      <c r="F3898" s="1" t="str">
        <f>IFERROR(__xludf.DUMMYFUNCTION("GOOGLETRANSLATE(A3898, ""zh-CN"", ""ko"")"),"함께 일하다")</f>
        <v>함께 일하다</v>
      </c>
    </row>
    <row r="3899" ht="15.75" customHeight="1">
      <c r="A3899" s="1" t="s">
        <v>11499</v>
      </c>
      <c r="B3899" s="1">
        <v>6.0</v>
      </c>
      <c r="C3899" s="1" t="s">
        <v>11500</v>
      </c>
      <c r="D3899" s="1" t="s">
        <v>16</v>
      </c>
      <c r="E3899" s="1" t="s">
        <v>11501</v>
      </c>
      <c r="F3899" s="1" t="str">
        <f>IFERROR(__xludf.DUMMYFUNCTION("GOOGLETRANSLATE(A3899, ""zh-CN"", ""ko"")"),"기치")</f>
        <v>기치</v>
      </c>
    </row>
    <row r="3900" ht="15.75" customHeight="1">
      <c r="A3900" s="1" t="s">
        <v>11502</v>
      </c>
      <c r="B3900" s="1">
        <v>6.0</v>
      </c>
      <c r="C3900" s="1" t="s">
        <v>11503</v>
      </c>
      <c r="D3900" s="1" t="s">
        <v>8</v>
      </c>
      <c r="E3900" s="1" t="s">
        <v>11504</v>
      </c>
      <c r="F3900" s="1" t="str">
        <f>IFERROR(__xludf.DUMMYFUNCTION("GOOGLETRANSLATE(A3900, ""zh-CN"", ""ko"")"),"제도")</f>
        <v>제도</v>
      </c>
    </row>
    <row r="3901" ht="15.75" customHeight="1">
      <c r="A3901" s="1" t="s">
        <v>11505</v>
      </c>
      <c r="B3901" s="1">
        <v>6.0</v>
      </c>
      <c r="C3901" s="1" t="s">
        <v>11506</v>
      </c>
      <c r="D3901" s="1" t="s">
        <v>16</v>
      </c>
      <c r="E3901" s="1" t="s">
        <v>11507</v>
      </c>
      <c r="F3901" s="1" t="str">
        <f>IFERROR(__xludf.DUMMYFUNCTION("GOOGLETRANSLATE(A3901, ""zh-CN"", ""ko"")"),"출발")</f>
        <v>출발</v>
      </c>
    </row>
    <row r="3902" ht="15.75" customHeight="1">
      <c r="A3902" s="1" t="s">
        <v>11508</v>
      </c>
      <c r="B3902" s="1">
        <v>6.0</v>
      </c>
      <c r="C3902" s="1" t="s">
        <v>11509</v>
      </c>
      <c r="D3902" s="1" t="s">
        <v>16</v>
      </c>
      <c r="E3902" s="1" t="s">
        <v>11510</v>
      </c>
      <c r="F3902" s="1" t="str">
        <f>IFERROR(__xludf.DUMMYFUNCTION("GOOGLETRANSLATE(A3902, ""zh-CN"", ""ko"")"),"처음에는")</f>
        <v>처음에는</v>
      </c>
    </row>
    <row r="3903" ht="15.75" customHeight="1">
      <c r="A3903" s="1" t="s">
        <v>11511</v>
      </c>
      <c r="B3903" s="1">
        <v>6.0</v>
      </c>
      <c r="C3903" s="1" t="s">
        <v>11512</v>
      </c>
      <c r="D3903" s="1" t="s">
        <v>8</v>
      </c>
      <c r="E3903" s="1" t="s">
        <v>11513</v>
      </c>
      <c r="F3903" s="1" t="str">
        <f>IFERROR(__xludf.DUMMYFUNCTION("GOOGLETRANSLATE(A3903, ""zh-CN"", ""ko"")"),"기복")</f>
        <v>기복</v>
      </c>
    </row>
    <row r="3904" ht="15.75" customHeight="1">
      <c r="A3904" s="1" t="s">
        <v>11514</v>
      </c>
      <c r="B3904" s="1">
        <v>6.0</v>
      </c>
      <c r="C3904" s="1" t="s">
        <v>11515</v>
      </c>
      <c r="D3904" s="1" t="s">
        <v>16</v>
      </c>
      <c r="E3904" s="1" t="s">
        <v>11516</v>
      </c>
      <c r="F3904" s="1" t="str">
        <f>IFERROR(__xludf.DUMMYFUNCTION("GOOGLETRANSLATE(A3904, ""zh-CN"", ""ko"")"),"거지")</f>
        <v>거지</v>
      </c>
    </row>
    <row r="3905" ht="15.75" customHeight="1">
      <c r="A3905" s="1" t="s">
        <v>11517</v>
      </c>
      <c r="B3905" s="1">
        <v>6.0</v>
      </c>
      <c r="C3905" s="1" t="s">
        <v>11518</v>
      </c>
      <c r="D3905" s="1" t="s">
        <v>8</v>
      </c>
      <c r="E3905" s="1" t="s">
        <v>11519</v>
      </c>
      <c r="F3905" s="1" t="str">
        <f>IFERROR(__xludf.DUMMYFUNCTION("GOOGLETRANSLATE(A3905, ""zh-CN"", ""ko"")"),"야유")</f>
        <v>야유</v>
      </c>
    </row>
    <row r="3906" ht="15.75" customHeight="1">
      <c r="A3906" s="1" t="s">
        <v>11520</v>
      </c>
      <c r="B3906" s="1">
        <v>6.0</v>
      </c>
      <c r="C3906" s="1" t="s">
        <v>11521</v>
      </c>
      <c r="D3906" s="1" t="s">
        <v>16</v>
      </c>
      <c r="E3906" s="1" t="s">
        <v>11522</v>
      </c>
      <c r="F3906" s="1" t="str">
        <f>IFERROR(__xludf.DUMMYFUNCTION("GOOGLETRANSLATE(A3906, ""zh-CN"", ""ko"")"),"적어도")</f>
        <v>적어도</v>
      </c>
    </row>
    <row r="3907" ht="15.75" customHeight="1">
      <c r="A3907" s="1" t="s">
        <v>11523</v>
      </c>
      <c r="B3907" s="1">
        <v>6.0</v>
      </c>
      <c r="C3907" s="1" t="s">
        <v>11524</v>
      </c>
      <c r="D3907" s="1" t="s">
        <v>8</v>
      </c>
      <c r="E3907" s="1" t="s">
        <v>11525</v>
      </c>
      <c r="F3907" s="1" t="str">
        <f>IFERROR(__xludf.DUMMYFUNCTION("GOOGLETRANSLATE(A3907, ""zh-CN"", ""ko"")"),"계발")</f>
        <v>계발</v>
      </c>
    </row>
    <row r="3908" ht="15.75" customHeight="1">
      <c r="A3908" s="1" t="s">
        <v>11526</v>
      </c>
      <c r="B3908" s="1">
        <v>6.0</v>
      </c>
      <c r="C3908" s="1" t="s">
        <v>11527</v>
      </c>
      <c r="D3908" s="1" t="s">
        <v>16</v>
      </c>
      <c r="E3908" s="1" t="s">
        <v>11528</v>
      </c>
      <c r="F3908" s="1" t="str">
        <f>IFERROR(__xludf.DUMMYFUNCTION("GOOGLETRANSLATE(A3908, ""zh-CN"", ""ko"")"),"알아채다")</f>
        <v>알아채다</v>
      </c>
    </row>
    <row r="3909" ht="15.75" customHeight="1">
      <c r="A3909" s="1" t="s">
        <v>11529</v>
      </c>
      <c r="B3909" s="1">
        <v>6.0</v>
      </c>
      <c r="C3909" s="1" t="s">
        <v>11527</v>
      </c>
      <c r="D3909" s="1" t="s">
        <v>875</v>
      </c>
      <c r="E3909" s="1" t="s">
        <v>11530</v>
      </c>
      <c r="F3909" s="1" t="str">
        <f>IFERROR(__xludf.DUMMYFUNCTION("GOOGLETRANSLATE(A3909, ""zh-CN"", ""ko"")"),"시현")</f>
        <v>시현</v>
      </c>
    </row>
    <row r="3910" ht="15.75" customHeight="1">
      <c r="A3910" s="1" t="s">
        <v>11531</v>
      </c>
      <c r="B3910" s="1">
        <v>6.0</v>
      </c>
      <c r="C3910" s="1" t="s">
        <v>11532</v>
      </c>
      <c r="D3910" s="1" t="s">
        <v>875</v>
      </c>
      <c r="E3910" s="1" t="s">
        <v>11533</v>
      </c>
      <c r="F3910" s="1" t="str">
        <f>IFERROR(__xludf.DUMMYFUNCTION("GOOGLETRANSLATE(A3910, ""zh-CN"", ""ko"")"),"시도")</f>
        <v>시도</v>
      </c>
    </row>
    <row r="3911" ht="15.75" customHeight="1">
      <c r="A3911" s="1" t="s">
        <v>11534</v>
      </c>
      <c r="B3911" s="1">
        <v>6.0</v>
      </c>
      <c r="C3911" s="1" t="s">
        <v>11535</v>
      </c>
      <c r="E3911" s="1" t="s">
        <v>11536</v>
      </c>
      <c r="F3911" s="1" t="str">
        <f>IFERROR(__xludf.DUMMYFUNCTION("GOOGLETRANSLATE(A3911, ""zh-CN"", ""ko"")"),"이건 말도 안 돼!")</f>
        <v>이건 말도 안 돼!</v>
      </c>
    </row>
    <row r="3912" ht="15.75" customHeight="1">
      <c r="A3912" s="1" t="s">
        <v>11537</v>
      </c>
      <c r="B3912" s="1">
        <v>6.0</v>
      </c>
      <c r="C3912" s="1" t="s">
        <v>11538</v>
      </c>
      <c r="D3912" s="1" t="s">
        <v>16</v>
      </c>
      <c r="E3912" s="1" t="s">
        <v>11539</v>
      </c>
      <c r="F3912" s="1" t="str">
        <f>IFERROR(__xludf.DUMMYFUNCTION("GOOGLETRANSLATE(A3912, ""zh-CN"", ""ko"")"),"기원")</f>
        <v>기원</v>
      </c>
    </row>
    <row r="3913" ht="15.75" customHeight="1">
      <c r="A3913" s="1" t="s">
        <v>11540</v>
      </c>
      <c r="B3913" s="1">
        <v>6.0</v>
      </c>
      <c r="C3913" s="1" t="s">
        <v>11541</v>
      </c>
      <c r="D3913" s="1" t="s">
        <v>16</v>
      </c>
      <c r="E3913" s="1" t="s">
        <v>11542</v>
      </c>
      <c r="F3913" s="1" t="str">
        <f>IFERROR(__xludf.DUMMYFUNCTION("GOOGLETRANSLATE(A3913, ""zh-CN"", ""ko"")"),"장비")</f>
        <v>장비</v>
      </c>
    </row>
    <row r="3914" ht="15.75" customHeight="1">
      <c r="A3914" s="1" t="s">
        <v>11543</v>
      </c>
      <c r="B3914" s="1">
        <v>6.0</v>
      </c>
      <c r="C3914" s="1" t="s">
        <v>11544</v>
      </c>
      <c r="D3914" s="1" t="s">
        <v>16</v>
      </c>
      <c r="E3914" s="1" t="s">
        <v>11545</v>
      </c>
      <c r="F3914" s="1" t="str">
        <f>IFERROR(__xludf.DUMMYFUNCTION("GOOGLETRANSLATE(A3914, ""zh-CN"", ""ko"")"),"영혼")</f>
        <v>영혼</v>
      </c>
    </row>
    <row r="3915" ht="15.75" customHeight="1">
      <c r="A3915" s="1" t="s">
        <v>11546</v>
      </c>
      <c r="B3915" s="1">
        <v>6.0</v>
      </c>
      <c r="C3915" s="1" t="s">
        <v>11547</v>
      </c>
      <c r="D3915" s="1" t="s">
        <v>16</v>
      </c>
      <c r="E3915" s="1" t="s">
        <v>11548</v>
      </c>
      <c r="F3915" s="1" t="str">
        <f>IFERROR(__xludf.DUMMYFUNCTION("GOOGLETRANSLATE(A3915, ""zh-CN"", ""ko"")"),"기공")</f>
        <v>기공</v>
      </c>
    </row>
    <row r="3916" ht="15.75" customHeight="1">
      <c r="A3916" s="1" t="s">
        <v>11549</v>
      </c>
      <c r="B3916" s="1">
        <v>6.0</v>
      </c>
      <c r="C3916" s="1" t="s">
        <v>11550</v>
      </c>
      <c r="D3916" s="1" t="s">
        <v>16</v>
      </c>
      <c r="E3916" s="1" t="s">
        <v>11551</v>
      </c>
      <c r="F3916" s="1" t="str">
        <f>IFERROR(__xludf.DUMMYFUNCTION("GOOGLETRANSLATE(A3916, ""zh-CN"", ""ko"")"),"오르간")</f>
        <v>오르간</v>
      </c>
    </row>
    <row r="3917" ht="15.75" customHeight="1">
      <c r="A3917" s="1" t="s">
        <v>11552</v>
      </c>
      <c r="B3917" s="1">
        <v>6.0</v>
      </c>
      <c r="C3917" s="1" t="s">
        <v>11553</v>
      </c>
      <c r="E3917" s="1" t="s">
        <v>11554</v>
      </c>
      <c r="F3917" s="1" t="str">
        <f>IFERROR(__xludf.DUMMYFUNCTION("GOOGLETRANSLATE(A3917, ""zh-CN"", ""ko"")"),"현재까지")</f>
        <v>현재까지</v>
      </c>
    </row>
    <row r="3918" ht="15.75" customHeight="1">
      <c r="A3918" s="1" t="s">
        <v>11555</v>
      </c>
      <c r="B3918" s="1">
        <v>6.0</v>
      </c>
      <c r="C3918" s="1" t="s">
        <v>11556</v>
      </c>
      <c r="D3918" s="1" t="s">
        <v>16</v>
      </c>
      <c r="E3918" s="1" t="s">
        <v>11557</v>
      </c>
      <c r="F3918" s="1" t="str">
        <f>IFERROR(__xludf.DUMMYFUNCTION("GOOGLETRANSLATE(A3918, ""zh-CN"", ""ko"")"),"영혼")</f>
        <v>영혼</v>
      </c>
    </row>
    <row r="3919" ht="15.75" customHeight="1">
      <c r="A3919" s="1" t="s">
        <v>11558</v>
      </c>
      <c r="B3919" s="1">
        <v>6.0</v>
      </c>
      <c r="C3919" s="1" t="s">
        <v>11559</v>
      </c>
      <c r="D3919" s="1" t="s">
        <v>16</v>
      </c>
      <c r="E3919" s="1" t="s">
        <v>11560</v>
      </c>
      <c r="F3919" s="1" t="str">
        <f>IFERROR(__xludf.DUMMYFUNCTION("GOOGLETRANSLATE(A3919, ""zh-CN"", ""ko"")"),"안색")</f>
        <v>안색</v>
      </c>
    </row>
    <row r="3920" ht="15.75" customHeight="1">
      <c r="A3920" s="1" t="s">
        <v>11561</v>
      </c>
      <c r="B3920" s="1">
        <v>6.0</v>
      </c>
      <c r="C3920" s="1" t="s">
        <v>11562</v>
      </c>
      <c r="D3920" s="1" t="s">
        <v>16</v>
      </c>
      <c r="E3920" s="1" t="s">
        <v>11563</v>
      </c>
      <c r="F3920" s="1" t="str">
        <f>IFERROR(__xludf.DUMMYFUNCTION("GOOGLETRANSLATE(A3920, ""zh-CN"", ""ko"")"),"기세")</f>
        <v>기세</v>
      </c>
    </row>
    <row r="3921" ht="15.75" customHeight="1">
      <c r="A3921" s="1" t="s">
        <v>11564</v>
      </c>
      <c r="B3921" s="1">
        <v>6.0</v>
      </c>
      <c r="C3921" s="1" t="s">
        <v>11565</v>
      </c>
      <c r="D3921" s="1" t="s">
        <v>16</v>
      </c>
      <c r="E3921" s="1" t="s">
        <v>11566</v>
      </c>
      <c r="F3921" s="1" t="str">
        <f>IFERROR(__xludf.DUMMYFUNCTION("GOOGLETRANSLATE(A3921, ""zh-CN"", ""ko"")"),"냄새")</f>
        <v>냄새</v>
      </c>
    </row>
    <row r="3922" ht="15.75" customHeight="1">
      <c r="A3922" s="1" t="s">
        <v>11567</v>
      </c>
      <c r="B3922" s="1">
        <v>6.0</v>
      </c>
      <c r="C3922" s="1" t="s">
        <v>11568</v>
      </c>
      <c r="D3922" s="1" t="s">
        <v>16</v>
      </c>
      <c r="E3922" s="1" t="s">
        <v>11569</v>
      </c>
      <c r="F3922" s="1" t="str">
        <f>IFERROR(__xludf.DUMMYFUNCTION("GOOGLETRANSLATE(A3922, ""zh-CN"", ""ko"")"),"기상")</f>
        <v>기상</v>
      </c>
    </row>
    <row r="3923" ht="15.75" customHeight="1">
      <c r="A3923" s="1" t="s">
        <v>11570</v>
      </c>
      <c r="B3923" s="1">
        <v>6.0</v>
      </c>
      <c r="C3923" s="1" t="s">
        <v>11571</v>
      </c>
      <c r="D3923" s="1" t="s">
        <v>16</v>
      </c>
      <c r="E3923" s="1" t="s">
        <v>11572</v>
      </c>
      <c r="F3923" s="1" t="str">
        <f>IFERROR(__xludf.DUMMYFUNCTION("GOOGLETRANSLATE(A3923, ""zh-CN"", ""ko"")"),"기압")</f>
        <v>기압</v>
      </c>
    </row>
    <row r="3924" ht="15.75" customHeight="1">
      <c r="A3924" s="1" t="s">
        <v>11573</v>
      </c>
      <c r="B3924" s="1">
        <v>6.0</v>
      </c>
      <c r="C3924" s="1" t="s">
        <v>11574</v>
      </c>
      <c r="D3924" s="1" t="s">
        <v>16</v>
      </c>
      <c r="E3924" s="1" t="s">
        <v>11575</v>
      </c>
      <c r="F3924" s="1" t="str">
        <f>IFERROR(__xludf.DUMMYFUNCTION("GOOGLETRANSLATE(A3924, ""zh-CN"", ""ko"")"),"기질")</f>
        <v>기질</v>
      </c>
    </row>
    <row r="3925" ht="15.75" customHeight="1">
      <c r="A3925" s="1" t="s">
        <v>11576</v>
      </c>
      <c r="B3925" s="1">
        <v>6.0</v>
      </c>
      <c r="C3925" s="1" t="s">
        <v>11577</v>
      </c>
      <c r="D3925" s="1" t="s">
        <v>8</v>
      </c>
      <c r="E3925" s="1" t="s">
        <v>11578</v>
      </c>
      <c r="F3925" s="1" t="str">
        <f>IFERROR(__xludf.DUMMYFUNCTION("GOOGLETRANSLATE(A3925, ""zh-CN"", ""ko"")"),"꼬집다")</f>
        <v>꼬집다</v>
      </c>
    </row>
    <row r="3926" ht="15.75" customHeight="1">
      <c r="A3926" s="1" t="s">
        <v>11579</v>
      </c>
      <c r="B3926" s="1">
        <v>6.0</v>
      </c>
      <c r="C3926" s="1" t="s">
        <v>11580</v>
      </c>
      <c r="D3926" s="1" t="s">
        <v>52</v>
      </c>
      <c r="E3926" s="1" t="s">
        <v>11581</v>
      </c>
      <c r="F3926" s="1" t="str">
        <f>IFERROR(__xludf.DUMMYFUNCTION("GOOGLETRANSLATE(A3926, ""zh-CN"", ""ko"")"),"적절한")</f>
        <v>적절한</v>
      </c>
    </row>
    <row r="3927" ht="15.75" customHeight="1">
      <c r="A3927" s="1" t="s">
        <v>11582</v>
      </c>
      <c r="B3927" s="1">
        <v>6.0</v>
      </c>
      <c r="C3927" s="1" t="s">
        <v>11583</v>
      </c>
      <c r="D3927" s="1" t="s">
        <v>33</v>
      </c>
      <c r="E3927" s="1" t="s">
        <v>11584</v>
      </c>
      <c r="F3927" s="1" t="str">
        <f>IFERROR(__xludf.DUMMYFUNCTION("GOOGLETRANSLATE(A3927, ""zh-CN"", ""ko"")"),"딱 맞아요")</f>
        <v>딱 맞아요</v>
      </c>
    </row>
    <row r="3928" ht="15.75" customHeight="1">
      <c r="A3928" s="1" t="s">
        <v>11585</v>
      </c>
      <c r="B3928" s="1">
        <v>6.0</v>
      </c>
      <c r="C3928" s="1" t="s">
        <v>11586</v>
      </c>
      <c r="D3928" s="1" t="s">
        <v>33</v>
      </c>
      <c r="E3928" s="1" t="s">
        <v>11587</v>
      </c>
      <c r="F3928" s="1" t="str">
        <f>IFERROR(__xludf.DUMMYFUNCTION("GOOGLETRANSLATE(A3928, ""zh-CN"", ""ko"")"),"바로 그대로")</f>
        <v>바로 그대로</v>
      </c>
    </row>
    <row r="3929" ht="15.75" customHeight="1">
      <c r="A3929" s="1" t="s">
        <v>11588</v>
      </c>
      <c r="B3929" s="1">
        <v>6.0</v>
      </c>
      <c r="C3929" s="1" t="s">
        <v>11589</v>
      </c>
      <c r="D3929" s="1" t="s">
        <v>8</v>
      </c>
      <c r="E3929" s="1" t="s">
        <v>11590</v>
      </c>
      <c r="F3929" s="1" t="str">
        <f>IFERROR(__xludf.DUMMYFUNCTION("GOOGLETRANSLATE(A3929, ""zh-CN"", ""ko"")"),"협상")</f>
        <v>협상</v>
      </c>
    </row>
    <row r="3930" ht="15.75" customHeight="1">
      <c r="A3930" s="1" t="s">
        <v>11591</v>
      </c>
      <c r="B3930" s="1">
        <v>6.0</v>
      </c>
      <c r="C3930" s="1" t="s">
        <v>716</v>
      </c>
      <c r="D3930" s="1" t="s">
        <v>8</v>
      </c>
      <c r="E3930" s="1" t="s">
        <v>11592</v>
      </c>
      <c r="F3930" s="1" t="str">
        <f>IFERROR(__xludf.DUMMYFUNCTION("GOOGLETRANSLATE(A3930, ""zh-CN"", ""ko"")"),"당기다")</f>
        <v>당기다</v>
      </c>
    </row>
    <row r="3931" ht="15.75" customHeight="1">
      <c r="A3931" s="1" t="s">
        <v>11593</v>
      </c>
      <c r="B3931" s="1">
        <v>6.0</v>
      </c>
      <c r="C3931" s="1" t="s">
        <v>11594</v>
      </c>
      <c r="D3931" s="1" t="s">
        <v>8</v>
      </c>
      <c r="E3931" s="1" t="s">
        <v>11595</v>
      </c>
      <c r="F3931" s="1" t="str">
        <f>IFERROR(__xludf.DUMMYFUNCTION("GOOGLETRANSLATE(A3931, ""zh-CN"", ""ko"")"),"관련시키다")</f>
        <v>관련시키다</v>
      </c>
    </row>
    <row r="3932" ht="15.75" customHeight="1">
      <c r="A3932" s="1" t="s">
        <v>11596</v>
      </c>
      <c r="B3932" s="1">
        <v>6.0</v>
      </c>
      <c r="C3932" s="1" t="s">
        <v>11597</v>
      </c>
      <c r="E3932" s="1" t="s">
        <v>11598</v>
      </c>
      <c r="F3932" s="1" t="str">
        <f>IFERROR(__xludf.DUMMYFUNCTION("GOOGLETRANSLATE(A3932, ""zh-CN"", ""ko"")"),"물론입니다")</f>
        <v>물론입니다</v>
      </c>
    </row>
    <row r="3933" ht="15.75" customHeight="1">
      <c r="A3933" s="1" t="s">
        <v>11599</v>
      </c>
      <c r="B3933" s="1">
        <v>6.0</v>
      </c>
      <c r="C3933" s="1" t="s">
        <v>11600</v>
      </c>
      <c r="D3933" s="1" t="s">
        <v>8</v>
      </c>
      <c r="E3933" s="1" t="s">
        <v>11601</v>
      </c>
      <c r="F3933" s="1" t="str">
        <f>IFERROR(__xludf.DUMMYFUNCTION("GOOGLETRANSLATE(A3933, ""zh-CN"", ""ko"")"),"수용하다")</f>
        <v>수용하다</v>
      </c>
    </row>
    <row r="3934" ht="15.75" customHeight="1">
      <c r="A3934" s="1" t="s">
        <v>11602</v>
      </c>
      <c r="B3934" s="1">
        <v>6.0</v>
      </c>
      <c r="C3934" s="1" t="s">
        <v>11603</v>
      </c>
      <c r="D3934" s="1" t="s">
        <v>8</v>
      </c>
      <c r="E3934" s="1" t="s">
        <v>11604</v>
      </c>
      <c r="F3934" s="1" t="str">
        <f>IFERROR(__xludf.DUMMYFUNCTION("GOOGLETRANSLATE(A3934, ""zh-CN"", ""ko"")"),"징후")</f>
        <v>징후</v>
      </c>
    </row>
    <row r="3935" ht="15.75" customHeight="1">
      <c r="A3935" s="1" t="s">
        <v>11605</v>
      </c>
      <c r="B3935" s="1">
        <v>6.0</v>
      </c>
      <c r="C3935" s="1" t="s">
        <v>11606</v>
      </c>
      <c r="D3935" s="1" t="s">
        <v>8</v>
      </c>
      <c r="E3935" s="1" t="s">
        <v>11607</v>
      </c>
      <c r="F3935" s="1" t="str">
        <f>IFERROR(__xludf.DUMMYFUNCTION("GOOGLETRANSLATE(A3935, ""zh-CN"", ""ko"")"),"이주")</f>
        <v>이주</v>
      </c>
    </row>
    <row r="3936" ht="15.75" customHeight="1">
      <c r="A3936" s="1" t="s">
        <v>11608</v>
      </c>
      <c r="B3936" s="1">
        <v>6.0</v>
      </c>
      <c r="C3936" s="1" t="s">
        <v>11609</v>
      </c>
      <c r="D3936" s="1" t="s">
        <v>52</v>
      </c>
      <c r="E3936" s="1" t="s">
        <v>11610</v>
      </c>
      <c r="F3936" s="1" t="str">
        <f>IFERROR(__xludf.DUMMYFUNCTION("GOOGLETRANSLATE(A3936, ""zh-CN"", ""ko"")"),"겸손한")</f>
        <v>겸손한</v>
      </c>
    </row>
    <row r="3937" ht="15.75" customHeight="1">
      <c r="A3937" s="1" t="s">
        <v>11611</v>
      </c>
      <c r="B3937" s="1">
        <v>6.0</v>
      </c>
      <c r="C3937" s="1" t="s">
        <v>11612</v>
      </c>
      <c r="D3937" s="1" t="s">
        <v>8</v>
      </c>
      <c r="E3937" s="1" t="s">
        <v>11613</v>
      </c>
      <c r="F3937" s="1" t="str">
        <f>IFERROR(__xludf.DUMMYFUNCTION("GOOGLETRANSLATE(A3937, ""zh-CN"", ""ko"")"),"포함하다")</f>
        <v>포함하다</v>
      </c>
    </row>
    <row r="3938" ht="15.75" customHeight="1">
      <c r="A3938" s="1" t="s">
        <v>11614</v>
      </c>
      <c r="B3938" s="1">
        <v>6.0</v>
      </c>
      <c r="C3938" s="1" t="s">
        <v>11615</v>
      </c>
      <c r="D3938" s="1" t="s">
        <v>16</v>
      </c>
      <c r="E3938" s="1" t="s">
        <v>11616</v>
      </c>
      <c r="F3938" s="1" t="str">
        <f>IFERROR(__xludf.DUMMYFUNCTION("GOOGLETRANSLATE(A3938, ""zh-CN"", ""ko"")"),"전망")</f>
        <v>전망</v>
      </c>
    </row>
    <row r="3939" ht="15.75" customHeight="1">
      <c r="A3939" s="1" t="s">
        <v>11617</v>
      </c>
      <c r="B3939" s="1">
        <v>6.0</v>
      </c>
      <c r="C3939" s="1" t="s">
        <v>11618</v>
      </c>
      <c r="D3939" s="1" t="s">
        <v>8</v>
      </c>
      <c r="E3939" s="1" t="s">
        <v>11619</v>
      </c>
      <c r="F3939" s="1" t="str">
        <f>IFERROR(__xludf.DUMMYFUNCTION("GOOGLETRANSLATE(A3939, ""zh-CN"", ""ko"")"),"잠재적인")</f>
        <v>잠재적인</v>
      </c>
    </row>
    <row r="3940" ht="15.75" customHeight="1">
      <c r="A3940" s="1" t="s">
        <v>11620</v>
      </c>
      <c r="B3940" s="1">
        <v>6.0</v>
      </c>
      <c r="C3940" s="1" t="s">
        <v>11621</v>
      </c>
      <c r="D3940" s="1" t="s">
        <v>8</v>
      </c>
      <c r="E3940" s="1" t="s">
        <v>11622</v>
      </c>
      <c r="F3940" s="1" t="str">
        <f>IFERROR(__xludf.DUMMYFUNCTION("GOOGLETRANSLATE(A3940, ""zh-CN"", ""ko"")"),"다이빙")</f>
        <v>다이빙</v>
      </c>
    </row>
    <row r="3941" ht="15.75" customHeight="1">
      <c r="A3941" s="1" t="s">
        <v>11623</v>
      </c>
      <c r="B3941" s="1">
        <v>6.0</v>
      </c>
      <c r="C3941" s="1" t="s">
        <v>11624</v>
      </c>
      <c r="D3941" s="1" t="s">
        <v>16</v>
      </c>
      <c r="E3941" s="1" t="s">
        <v>11625</v>
      </c>
      <c r="F3941" s="1" t="str">
        <f>IFERROR(__xludf.DUMMYFUNCTION("GOOGLETRANSLATE(A3941, ""zh-CN"", ""ko"")"),"전제")</f>
        <v>전제</v>
      </c>
    </row>
    <row r="3942" ht="15.75" customHeight="1">
      <c r="A3942" s="1" t="s">
        <v>11626</v>
      </c>
      <c r="B3942" s="1">
        <v>6.0</v>
      </c>
      <c r="C3942" s="1" t="s">
        <v>11627</v>
      </c>
      <c r="E3942" s="1" t="s">
        <v>11628</v>
      </c>
      <c r="F3942" s="1" t="str">
        <f>IFERROR(__xludf.DUMMYFUNCTION("GOOGLETRANSLATE(A3942, ""zh-CN"", ""ko"")"),"미묘한 영향")</f>
        <v>미묘한 영향</v>
      </c>
    </row>
    <row r="3943" ht="15.75" customHeight="1">
      <c r="A3943" s="1" t="s">
        <v>11629</v>
      </c>
      <c r="B3943" s="1">
        <v>6.0</v>
      </c>
      <c r="C3943" s="1" t="s">
        <v>11630</v>
      </c>
      <c r="D3943" s="1" t="s">
        <v>8</v>
      </c>
      <c r="E3943" s="1" t="s">
        <v>11631</v>
      </c>
      <c r="F3943" s="1" t="str">
        <f>IFERROR(__xludf.DUMMYFUNCTION("GOOGLETRANSLATE(A3943, ""zh-CN"", ""ko"")"),"비난하다")</f>
        <v>비난하다</v>
      </c>
    </row>
    <row r="3944" ht="15.75" customHeight="1">
      <c r="A3944" s="1" t="s">
        <v>11632</v>
      </c>
      <c r="B3944" s="1">
        <v>6.0</v>
      </c>
      <c r="C3944" s="1" t="s">
        <v>11633</v>
      </c>
      <c r="D3944" s="1" t="s">
        <v>8</v>
      </c>
      <c r="E3944" s="1" t="s">
        <v>11634</v>
      </c>
      <c r="F3944" s="1" t="str">
        <f>IFERROR(__xludf.DUMMYFUNCTION("GOOGLETRANSLATE(A3944, ""zh-CN"", ""ko"")"),"강도")</f>
        <v>강도</v>
      </c>
    </row>
    <row r="3945" ht="15.75" customHeight="1">
      <c r="A3945" s="1" t="s">
        <v>11635</v>
      </c>
      <c r="B3945" s="1">
        <v>6.0</v>
      </c>
      <c r="C3945" s="1" t="s">
        <v>11636</v>
      </c>
      <c r="D3945" s="1" t="s">
        <v>8</v>
      </c>
      <c r="E3945" s="1" t="s">
        <v>7633</v>
      </c>
      <c r="F3945" s="1" t="str">
        <f>IFERROR(__xludf.DUMMYFUNCTION("GOOGLETRANSLATE(A3945, ""zh-CN"", ""ko"")"),"강요된")</f>
        <v>강요된</v>
      </c>
    </row>
    <row r="3946" ht="15.75" customHeight="1">
      <c r="A3946" s="1" t="s">
        <v>11637</v>
      </c>
      <c r="B3946" s="1">
        <v>6.0</v>
      </c>
      <c r="C3946" s="1" t="s">
        <v>11638</v>
      </c>
      <c r="D3946" s="1" t="s">
        <v>8</v>
      </c>
      <c r="E3946" s="1" t="s">
        <v>11639</v>
      </c>
      <c r="F3946" s="1" t="str">
        <f>IFERROR(__xludf.DUMMYFUNCTION("GOOGLETRANSLATE(A3946, ""zh-CN"", ""ko"")"),"구조하다")</f>
        <v>구조하다</v>
      </c>
    </row>
    <row r="3947" ht="15.75" customHeight="1">
      <c r="A3947" s="1" t="s">
        <v>11640</v>
      </c>
      <c r="B3947" s="1">
        <v>6.0</v>
      </c>
      <c r="C3947" s="1" t="s">
        <v>11641</v>
      </c>
      <c r="D3947" s="1" t="s">
        <v>8</v>
      </c>
      <c r="E3947" s="1" t="s">
        <v>11642</v>
      </c>
      <c r="F3947" s="1" t="str">
        <f>IFERROR(__xludf.DUMMYFUNCTION("GOOGLETRANSLATE(A3947, ""zh-CN"", ""ko"")"),"힘")</f>
        <v>힘</v>
      </c>
    </row>
    <row r="3948" ht="15.75" customHeight="1">
      <c r="A3948" s="1" t="s">
        <v>11643</v>
      </c>
      <c r="B3948" s="1">
        <v>6.0</v>
      </c>
      <c r="C3948" s="1" t="s">
        <v>11644</v>
      </c>
      <c r="D3948" s="1" t="s">
        <v>16</v>
      </c>
      <c r="E3948" s="1" t="s">
        <v>11645</v>
      </c>
      <c r="F3948" s="1" t="str">
        <f>IFERROR(__xludf.DUMMYFUNCTION("GOOGLETRANSLATE(A3948, ""zh-CN"", ""ko"")"),"다리")</f>
        <v>다리</v>
      </c>
    </row>
    <row r="3949" ht="15.75" customHeight="1">
      <c r="A3949" s="1" t="s">
        <v>11646</v>
      </c>
      <c r="B3949" s="1">
        <v>6.0</v>
      </c>
      <c r="C3949" s="1" t="s">
        <v>11647</v>
      </c>
      <c r="D3949" s="1" t="s">
        <v>8</v>
      </c>
      <c r="E3949" s="1" t="s">
        <v>11648</v>
      </c>
      <c r="F3949" s="1" t="str">
        <f>IFERROR(__xludf.DUMMYFUNCTION("GOOGLETRANSLATE(A3949, ""zh-CN"", ""ko"")"),"뒤집힌")</f>
        <v>뒤집힌</v>
      </c>
    </row>
    <row r="3950" ht="15.75" customHeight="1">
      <c r="A3950" s="1" t="s">
        <v>11649</v>
      </c>
      <c r="B3950" s="1">
        <v>6.0</v>
      </c>
      <c r="C3950" s="1" t="s">
        <v>11650</v>
      </c>
      <c r="D3950" s="1" t="s">
        <v>16</v>
      </c>
      <c r="E3950" s="1" t="s">
        <v>11651</v>
      </c>
      <c r="F3950" s="1" t="str">
        <f>IFERROR(__xludf.DUMMYFUNCTION("GOOGLETRANSLATE(A3950, ""zh-CN"", ""ko"")"),"팁")</f>
        <v>팁</v>
      </c>
    </row>
    <row r="3951" ht="15.75" customHeight="1">
      <c r="A3951" s="1" t="s">
        <v>11652</v>
      </c>
      <c r="B3951" s="1">
        <v>6.0</v>
      </c>
      <c r="C3951" s="1" t="s">
        <v>11653</v>
      </c>
      <c r="E3951" s="1" t="s">
        <v>11654</v>
      </c>
      <c r="F3951" s="1" t="str">
        <f>IFERROR(__xludf.DUMMYFUNCTION("GOOGLETRANSLATE(A3951, ""zh-CN"", ""ko"")"),"인내")</f>
        <v>인내</v>
      </c>
    </row>
    <row r="3952" ht="15.75" customHeight="1">
      <c r="A3952" s="1" t="s">
        <v>11655</v>
      </c>
      <c r="B3952" s="1">
        <v>6.0</v>
      </c>
      <c r="C3952" s="1" t="s">
        <v>11656</v>
      </c>
      <c r="D3952" s="1" t="s">
        <v>52</v>
      </c>
      <c r="E3952" s="1" t="s">
        <v>11657</v>
      </c>
      <c r="F3952" s="1" t="str">
        <f>IFERROR(__xludf.DUMMYFUNCTION("GOOGLETRANSLATE(A3952, ""zh-CN"", ""ko"")"),"현실적인")</f>
        <v>현실적인</v>
      </c>
    </row>
    <row r="3953" ht="15.75" customHeight="1">
      <c r="A3953" s="1" t="s">
        <v>11658</v>
      </c>
      <c r="B3953" s="1">
        <v>6.0</v>
      </c>
      <c r="C3953" s="1" t="s">
        <v>11659</v>
      </c>
      <c r="D3953" s="1" t="s">
        <v>8</v>
      </c>
      <c r="E3953" s="1" t="s">
        <v>11660</v>
      </c>
      <c r="F3953" s="1" t="str">
        <f>IFERROR(__xludf.DUMMYFUNCTION("GOOGLETRANSLATE(A3953, ""zh-CN"", ""ko"")"),"위반")</f>
        <v>위반</v>
      </c>
    </row>
    <row r="3954" ht="15.75" customHeight="1">
      <c r="A3954" s="1" t="s">
        <v>11661</v>
      </c>
      <c r="B3954" s="1">
        <v>6.0</v>
      </c>
      <c r="C3954" s="1" t="s">
        <v>11662</v>
      </c>
      <c r="D3954" s="1" t="s">
        <v>8</v>
      </c>
      <c r="E3954" s="1" t="s">
        <v>11663</v>
      </c>
      <c r="F3954" s="1" t="str">
        <f>IFERROR(__xludf.DUMMYFUNCTION("GOOGLETRANSLATE(A3954, ""zh-CN"", ""ko"")"),"침략")</f>
        <v>침략</v>
      </c>
    </row>
    <row r="3955" ht="15.75" customHeight="1">
      <c r="A3955" s="1" t="s">
        <v>11664</v>
      </c>
      <c r="B3955" s="1">
        <v>6.0</v>
      </c>
      <c r="C3955" s="1" t="s">
        <v>11665</v>
      </c>
      <c r="D3955" s="1" t="s">
        <v>52</v>
      </c>
      <c r="E3955" s="1" t="s">
        <v>11666</v>
      </c>
      <c r="F3955" s="1" t="str">
        <f>IFERROR(__xludf.DUMMYFUNCTION("GOOGLETRANSLATE(A3955, ""zh-CN"", ""ko"")"),"닫다")</f>
        <v>닫다</v>
      </c>
    </row>
    <row r="3956" ht="15.75" customHeight="1">
      <c r="A3956" s="1" t="s">
        <v>11667</v>
      </c>
      <c r="B3956" s="1">
        <v>6.0</v>
      </c>
      <c r="C3956" s="1" t="s">
        <v>11668</v>
      </c>
      <c r="D3956" s="1" t="s">
        <v>8</v>
      </c>
      <c r="E3956" s="1" t="s">
        <v>11669</v>
      </c>
      <c r="F3956" s="1" t="str">
        <f>IFERROR(__xludf.DUMMYFUNCTION("GOOGLETRANSLATE(A3956, ""zh-CN"", ""ko"")"),"감탄")</f>
        <v>감탄</v>
      </c>
    </row>
    <row r="3957" ht="15.75" customHeight="1">
      <c r="A3957" s="1" t="s">
        <v>11670</v>
      </c>
      <c r="B3957" s="1">
        <v>6.0</v>
      </c>
      <c r="C3957" s="1" t="s">
        <v>11671</v>
      </c>
      <c r="D3957" s="1" t="s">
        <v>1003</v>
      </c>
      <c r="E3957" s="1" t="s">
        <v>11672</v>
      </c>
      <c r="F3957" s="1" t="str">
        <f>IFERROR(__xludf.DUMMYFUNCTION("GOOGLETRANSLATE(A3957, ""zh-CN"", ""ko"")"),"애정 어린")</f>
        <v>애정 어린</v>
      </c>
    </row>
    <row r="3958" ht="15.75" customHeight="1">
      <c r="A3958" s="1" t="s">
        <v>11673</v>
      </c>
      <c r="B3958" s="1">
        <v>6.0</v>
      </c>
      <c r="C3958" s="1" t="s">
        <v>11674</v>
      </c>
      <c r="D3958" s="1" t="s">
        <v>52</v>
      </c>
      <c r="E3958" s="1" t="s">
        <v>11675</v>
      </c>
      <c r="F3958" s="1" t="str">
        <f>IFERROR(__xludf.DUMMYFUNCTION("GOOGLETRANSLATE(A3958, ""zh-CN"", ""ko"")"),"절약")</f>
        <v>절약</v>
      </c>
    </row>
    <row r="3959" ht="15.75" customHeight="1">
      <c r="A3959" s="1" t="s">
        <v>11676</v>
      </c>
      <c r="B3959" s="1">
        <v>6.0</v>
      </c>
      <c r="C3959" s="1" t="s">
        <v>11677</v>
      </c>
      <c r="D3959" s="1" t="s">
        <v>52</v>
      </c>
      <c r="E3959" s="1" t="s">
        <v>11678</v>
      </c>
      <c r="F3959" s="1" t="str">
        <f>IFERROR(__xludf.DUMMYFUNCTION("GOOGLETRANSLATE(A3959, ""zh-CN"", ""ko"")"),"성실한")</f>
        <v>성실한</v>
      </c>
    </row>
    <row r="3960" ht="15.75" customHeight="1">
      <c r="A3960" s="1" t="s">
        <v>11679</v>
      </c>
      <c r="B3960" s="1">
        <v>6.0</v>
      </c>
      <c r="C3960" s="1" t="s">
        <v>11680</v>
      </c>
      <c r="D3960" s="1" t="s">
        <v>52</v>
      </c>
      <c r="E3960" s="1" t="s">
        <v>11681</v>
      </c>
      <c r="F3960" s="1" t="str">
        <f>IFERROR(__xludf.DUMMYFUNCTION("GOOGLETRANSLATE(A3960, ""zh-CN"", ""ko"")"),"분명한")</f>
        <v>분명한</v>
      </c>
    </row>
    <row r="3961" ht="15.75" customHeight="1">
      <c r="A3961" s="1" t="s">
        <v>11682</v>
      </c>
      <c r="B3961" s="1">
        <v>6.0</v>
      </c>
      <c r="C3961" s="1" t="s">
        <v>11683</v>
      </c>
      <c r="D3961" s="1" t="s">
        <v>16</v>
      </c>
      <c r="E3961" s="1" t="s">
        <v>881</v>
      </c>
      <c r="F3961" s="1" t="str">
        <f>IFERROR(__xludf.DUMMYFUNCTION("GOOGLETRANSLATE(A3961, ""zh-CN"", ""ko"")"),"이른 아침")</f>
        <v>이른 아침</v>
      </c>
    </row>
    <row r="3962" ht="15.75" customHeight="1">
      <c r="A3962" s="1" t="s">
        <v>11684</v>
      </c>
      <c r="B3962" s="1">
        <v>6.0</v>
      </c>
      <c r="C3962" s="1" t="s">
        <v>11685</v>
      </c>
      <c r="D3962" s="1" t="s">
        <v>8</v>
      </c>
      <c r="E3962" s="1" t="s">
        <v>11686</v>
      </c>
      <c r="F3962" s="1" t="str">
        <f>IFERROR(__xludf.DUMMYFUNCTION("GOOGLETRANSLATE(A3962, ""zh-CN"", ""ko"")"),"분명한")</f>
        <v>분명한</v>
      </c>
    </row>
    <row r="3963" ht="15.75" customHeight="1">
      <c r="A3963" s="1" t="s">
        <v>11687</v>
      </c>
      <c r="B3963" s="1">
        <v>6.0</v>
      </c>
      <c r="C3963" s="1" t="s">
        <v>11688</v>
      </c>
      <c r="D3963" s="1" t="s">
        <v>52</v>
      </c>
      <c r="E3963" s="1" t="s">
        <v>1131</v>
      </c>
      <c r="F3963" s="1" t="str">
        <f>IFERROR(__xludf.DUMMYFUNCTION("GOOGLETRANSLATE(A3963, ""zh-CN"", ""ko"")"),"깨끗한")</f>
        <v>깨끗한</v>
      </c>
    </row>
    <row r="3964" ht="15.75" customHeight="1">
      <c r="A3964" s="1" t="s">
        <v>11689</v>
      </c>
      <c r="B3964" s="1">
        <v>6.0</v>
      </c>
      <c r="C3964" s="1" t="s">
        <v>11690</v>
      </c>
      <c r="D3964" s="1" t="s">
        <v>8</v>
      </c>
      <c r="E3964" s="1" t="s">
        <v>11691</v>
      </c>
      <c r="F3964" s="1" t="str">
        <f>IFERROR(__xludf.DUMMYFUNCTION("GOOGLETRANSLATE(A3964, ""zh-CN"", ""ko"")"),"청소")</f>
        <v>청소</v>
      </c>
    </row>
    <row r="3965" ht="15.75" customHeight="1">
      <c r="A3965" s="1" t="s">
        <v>11692</v>
      </c>
      <c r="B3965" s="1">
        <v>6.0</v>
      </c>
      <c r="C3965" s="1" t="s">
        <v>11693</v>
      </c>
      <c r="D3965" s="1" t="s">
        <v>8</v>
      </c>
      <c r="E3965" s="1" t="s">
        <v>11694</v>
      </c>
      <c r="F3965" s="1" t="str">
        <f>IFERROR(__xludf.DUMMYFUNCTION("GOOGLETRANSLATE(A3965, ""zh-CN"", ""ko"")"),"듣다")</f>
        <v>듣다</v>
      </c>
    </row>
    <row r="3966" ht="15.75" customHeight="1">
      <c r="A3966" s="1" t="s">
        <v>11695</v>
      </c>
      <c r="B3966" s="1">
        <v>6.0</v>
      </c>
      <c r="C3966" s="1" t="s">
        <v>11696</v>
      </c>
      <c r="D3966" s="1" t="s">
        <v>52</v>
      </c>
      <c r="E3966" s="1" t="s">
        <v>11697</v>
      </c>
      <c r="F3966" s="1" t="str">
        <f>IFERROR(__xludf.DUMMYFUNCTION("GOOGLETRANSLATE(A3966, ""zh-CN"", ""ko"")"),"분명한")</f>
        <v>분명한</v>
      </c>
    </row>
    <row r="3967" ht="15.75" customHeight="1">
      <c r="A3967" s="1" t="s">
        <v>11698</v>
      </c>
      <c r="B3967" s="1">
        <v>6.0</v>
      </c>
      <c r="C3967" s="1" t="s">
        <v>11699</v>
      </c>
      <c r="D3967" s="1" t="s">
        <v>875</v>
      </c>
      <c r="E3967" s="1" t="s">
        <v>11700</v>
      </c>
      <c r="F3967" s="1" t="str">
        <f>IFERROR(__xludf.DUMMYFUNCTION("GOOGLETRANSLATE(A3967, ""zh-CN"", ""ko"")"),"성향")</f>
        <v>성향</v>
      </c>
    </row>
    <row r="3968" ht="15.75" customHeight="1">
      <c r="A3968" s="1" t="s">
        <v>11701</v>
      </c>
      <c r="B3968" s="1">
        <v>6.0</v>
      </c>
      <c r="C3968" s="1" t="s">
        <v>11702</v>
      </c>
      <c r="D3968" s="1" t="s">
        <v>8</v>
      </c>
      <c r="E3968" s="1" t="s">
        <v>11703</v>
      </c>
      <c r="F3968" s="1" t="str">
        <f>IFERROR(__xludf.DUMMYFUNCTION("GOOGLETRANSLATE(A3968, ""zh-CN"", ""ko"")"),"경사")</f>
        <v>경사</v>
      </c>
    </row>
    <row r="3969" ht="15.75" customHeight="1">
      <c r="A3969" s="1" t="s">
        <v>11704</v>
      </c>
      <c r="B3969" s="1">
        <v>6.0</v>
      </c>
      <c r="C3969" s="1" t="s">
        <v>11705</v>
      </c>
      <c r="D3969" s="1" t="s">
        <v>52</v>
      </c>
      <c r="E3969" s="1" t="s">
        <v>11706</v>
      </c>
      <c r="F3969" s="1" t="str">
        <f>IFERROR(__xludf.DUMMYFUNCTION("GOOGLETRANSLATE(A3969, ""zh-CN"", ""ko"")"),"완전히 깨어있는")</f>
        <v>완전히 깨어있는</v>
      </c>
    </row>
    <row r="3970" ht="15.75" customHeight="1">
      <c r="A3970" s="1" t="s">
        <v>11707</v>
      </c>
      <c r="B3970" s="1">
        <v>6.0</v>
      </c>
      <c r="C3970" s="1" t="s">
        <v>11708</v>
      </c>
      <c r="D3970" s="1" t="s">
        <v>52</v>
      </c>
      <c r="E3970" s="1" t="s">
        <v>11709</v>
      </c>
      <c r="F3970" s="1" t="str">
        <f>IFERROR(__xludf.DUMMYFUNCTION("GOOGLETRANSLATE(A3970, ""zh-CN"", ""ko"")"),"무슬림")</f>
        <v>무슬림</v>
      </c>
    </row>
    <row r="3971" ht="15.75" customHeight="1">
      <c r="A3971" s="1" t="s">
        <v>11710</v>
      </c>
      <c r="B3971" s="1">
        <v>6.0</v>
      </c>
      <c r="C3971" s="1" t="s">
        <v>11711</v>
      </c>
      <c r="D3971" s="1" t="s">
        <v>16</v>
      </c>
      <c r="E3971" s="1" t="s">
        <v>11712</v>
      </c>
      <c r="F3971" s="1" t="str">
        <f>IFERROR(__xludf.DUMMYFUNCTION("GOOGLETRANSLATE(A3971, ""zh-CN"", ""ko"")"),"지능")</f>
        <v>지능</v>
      </c>
    </row>
    <row r="3972" ht="15.75" customHeight="1">
      <c r="A3972" s="1" t="s">
        <v>11713</v>
      </c>
      <c r="B3972" s="1">
        <v>6.0</v>
      </c>
      <c r="C3972" s="1" t="s">
        <v>11714</v>
      </c>
      <c r="D3972" s="1" t="s">
        <v>16</v>
      </c>
      <c r="E3972" s="1" t="s">
        <v>11715</v>
      </c>
      <c r="F3972" s="1" t="str">
        <f>IFERROR(__xludf.DUMMYFUNCTION("GOOGLETRANSLATE(A3972, ""zh-CN"", ""ko"")"),"구성")</f>
        <v>구성</v>
      </c>
    </row>
    <row r="3973" ht="15.75" customHeight="1">
      <c r="A3973" s="1" t="s">
        <v>11716</v>
      </c>
      <c r="B3973" s="1">
        <v>6.0</v>
      </c>
      <c r="C3973" s="1" t="s">
        <v>11717</v>
      </c>
      <c r="D3973" s="1" t="s">
        <v>52</v>
      </c>
      <c r="E3973" s="1" t="s">
        <v>11718</v>
      </c>
      <c r="F3973" s="1" t="str">
        <f>IFERROR(__xludf.DUMMYFUNCTION("GOOGLETRANSLATE(A3973, ""zh-CN"", ""ko"")"),"화창한")</f>
        <v>화창한</v>
      </c>
    </row>
    <row r="3974" ht="15.75" customHeight="1">
      <c r="A3974" s="1" t="s">
        <v>11719</v>
      </c>
      <c r="B3974" s="1">
        <v>6.0</v>
      </c>
      <c r="C3974" s="1" t="s">
        <v>11720</v>
      </c>
      <c r="D3974" s="1" t="s">
        <v>16</v>
      </c>
      <c r="E3974" s="1" t="s">
        <v>11721</v>
      </c>
      <c r="F3974" s="1" t="str">
        <f>IFERROR(__xludf.DUMMYFUNCTION("GOOGLETRANSLATE(A3974, ""zh-CN"", ""ko"")"),"감각")</f>
        <v>감각</v>
      </c>
    </row>
    <row r="3975" ht="15.75" customHeight="1">
      <c r="A3975" s="1" t="s">
        <v>11722</v>
      </c>
      <c r="B3975" s="1">
        <v>6.0</v>
      </c>
      <c r="C3975" s="1" t="s">
        <v>11723</v>
      </c>
      <c r="D3975" s="1" t="s">
        <v>16</v>
      </c>
      <c r="E3975" s="1" t="s">
        <v>11724</v>
      </c>
      <c r="F3975" s="1" t="str">
        <f>IFERROR(__xludf.DUMMYFUNCTION("GOOGLETRANSLATE(A3975, ""zh-CN"", ""ko"")"),"상황")</f>
        <v>상황</v>
      </c>
    </row>
    <row r="3976" ht="15.75" customHeight="1">
      <c r="A3976" s="1" t="s">
        <v>11725</v>
      </c>
      <c r="B3976" s="1">
        <v>6.0</v>
      </c>
      <c r="C3976" s="1" t="s">
        <v>11726</v>
      </c>
      <c r="D3976" s="1" t="s">
        <v>16</v>
      </c>
      <c r="E3976" s="1" t="s">
        <v>11727</v>
      </c>
      <c r="F3976" s="1" t="str">
        <f>IFERROR(__xludf.DUMMYFUNCTION("GOOGLETRANSLATE(A3976, ""zh-CN"", ""ko"")"),"초대")</f>
        <v>초대</v>
      </c>
    </row>
    <row r="3977" ht="15.75" customHeight="1">
      <c r="A3977" s="1" t="s">
        <v>11728</v>
      </c>
      <c r="B3977" s="1">
        <v>6.0</v>
      </c>
      <c r="C3977" s="1" t="s">
        <v>11729</v>
      </c>
      <c r="D3977" s="1" t="s">
        <v>8</v>
      </c>
      <c r="E3977" s="1" t="s">
        <v>11730</v>
      </c>
      <c r="F3977" s="1" t="str">
        <f>IFERROR(__xludf.DUMMYFUNCTION("GOOGLETRANSLATE(A3977, ""zh-CN"", ""ko"")"),"찾다")</f>
        <v>찾다</v>
      </c>
    </row>
    <row r="3978" ht="15.75" customHeight="1">
      <c r="A3978" s="1" t="s">
        <v>11731</v>
      </c>
      <c r="B3978" s="1">
        <v>6.0</v>
      </c>
      <c r="C3978" s="1" t="s">
        <v>11732</v>
      </c>
      <c r="D3978" s="1" t="s">
        <v>8</v>
      </c>
      <c r="E3978" s="1" t="s">
        <v>11733</v>
      </c>
      <c r="F3978" s="1" t="str">
        <f>IFERROR(__xludf.DUMMYFUNCTION("GOOGLETRANSLATE(A3978, ""zh-CN"", ""ko"")"),"요구")</f>
        <v>요구</v>
      </c>
    </row>
    <row r="3979" ht="15.75" customHeight="1">
      <c r="A3979" s="1" t="s">
        <v>11734</v>
      </c>
      <c r="B3979" s="1">
        <v>6.0</v>
      </c>
      <c r="C3979" s="1" t="s">
        <v>11735</v>
      </c>
      <c r="D3979" s="1" t="s">
        <v>16</v>
      </c>
      <c r="E3979" s="1" t="s">
        <v>11736</v>
      </c>
      <c r="F3979" s="1" t="str">
        <f>IFERROR(__xludf.DUMMYFUNCTION("GOOGLETRANSLATE(A3979, ""zh-CN"", ""ko"")"),"초대")</f>
        <v>초대</v>
      </c>
    </row>
    <row r="3980" ht="15.75" customHeight="1">
      <c r="A3980" s="1" t="s">
        <v>11737</v>
      </c>
      <c r="B3980" s="1">
        <v>6.0</v>
      </c>
      <c r="C3980" s="1" t="s">
        <v>11738</v>
      </c>
      <c r="D3980" s="1" t="s">
        <v>16</v>
      </c>
      <c r="E3980" s="1" t="s">
        <v>11739</v>
      </c>
      <c r="F3980" s="1" t="str">
        <f>IFERROR(__xludf.DUMMYFUNCTION("GOOGLETRANSLATE(A3980, ""zh-CN"", ""ko"")"),"언덕")</f>
        <v>언덕</v>
      </c>
    </row>
    <row r="3981" ht="15.75" customHeight="1">
      <c r="A3981" s="1" t="s">
        <v>11740</v>
      </c>
      <c r="B3981" s="1">
        <v>6.0</v>
      </c>
      <c r="C3981" s="1" t="s">
        <v>11741</v>
      </c>
      <c r="D3981" s="1" t="s">
        <v>8</v>
      </c>
      <c r="E3981" s="1" t="s">
        <v>11742</v>
      </c>
      <c r="F3981" s="1" t="str">
        <f>IFERROR(__xludf.DUMMYFUNCTION("GOOGLETRANSLATE(A3981, ""zh-CN"", ""ko"")"),"구별하다")</f>
        <v>구별하다</v>
      </c>
    </row>
    <row r="3982" ht="15.75" customHeight="1">
      <c r="A3982" s="1" t="s">
        <v>11743</v>
      </c>
      <c r="B3982" s="1">
        <v>6.0</v>
      </c>
      <c r="C3982" s="1" t="s">
        <v>11744</v>
      </c>
      <c r="D3982" s="1" t="s">
        <v>8</v>
      </c>
      <c r="E3982" s="1" t="s">
        <v>11745</v>
      </c>
      <c r="F3982" s="1" t="str">
        <f>IFERROR(__xludf.DUMMYFUNCTION("GOOGLETRANSLATE(A3982, ""zh-CN"", ""ko"")"),"생산하다")</f>
        <v>생산하다</v>
      </c>
    </row>
    <row r="3983" ht="15.75" customHeight="1">
      <c r="A3983" s="1" t="s">
        <v>11746</v>
      </c>
      <c r="B3983" s="1">
        <v>6.0</v>
      </c>
      <c r="C3983" s="1" t="s">
        <v>11747</v>
      </c>
      <c r="D3983" s="1" t="s">
        <v>16</v>
      </c>
      <c r="E3983" s="1" t="s">
        <v>11748</v>
      </c>
      <c r="F3983" s="1" t="str">
        <f>IFERROR(__xludf.DUMMYFUNCTION("GOOGLETRANSLATE(A3983, ""zh-CN"", ""ko"")"),"영역")</f>
        <v>영역</v>
      </c>
    </row>
    <row r="3984" ht="15.75" customHeight="1">
      <c r="A3984" s="1" t="s">
        <v>11749</v>
      </c>
      <c r="B3984" s="1">
        <v>6.0</v>
      </c>
      <c r="C3984" s="1" t="s">
        <v>11750</v>
      </c>
      <c r="D3984" s="1" t="s">
        <v>52</v>
      </c>
      <c r="E3984" s="1" t="s">
        <v>11751</v>
      </c>
      <c r="F3984" s="1" t="str">
        <f>IFERROR(__xludf.DUMMYFUNCTION("GOOGLETRANSLATE(A3984, ""zh-CN"", ""ko"")"),"비뚤어진")</f>
        <v>비뚤어진</v>
      </c>
    </row>
    <row r="3985" ht="15.75" customHeight="1">
      <c r="A3985" s="1" t="s">
        <v>11752</v>
      </c>
      <c r="B3985" s="1">
        <v>6.0</v>
      </c>
      <c r="C3985" s="1" t="s">
        <v>11753</v>
      </c>
      <c r="D3985" s="1" t="s">
        <v>8</v>
      </c>
      <c r="E3985" s="1" t="s">
        <v>11754</v>
      </c>
      <c r="F3985" s="1" t="str">
        <f>IFERROR(__xludf.DUMMYFUNCTION("GOOGLETRANSLATE(A3985, ""zh-CN"", ""ko"")"),"제명")</f>
        <v>제명</v>
      </c>
    </row>
    <row r="3986" ht="15.75" customHeight="1">
      <c r="A3986" s="1" t="s">
        <v>11755</v>
      </c>
      <c r="B3986" s="1">
        <v>6.0</v>
      </c>
      <c r="C3986" s="1" t="s">
        <v>11756</v>
      </c>
      <c r="D3986" s="1" t="s">
        <v>16</v>
      </c>
      <c r="E3986" s="1" t="s">
        <v>11757</v>
      </c>
      <c r="F3986" s="1" t="str">
        <f>IFERROR(__xludf.DUMMYFUNCTION("GOOGLETRANSLATE(A3986, ""zh-CN"", ""ko"")"),"채널")</f>
        <v>채널</v>
      </c>
    </row>
    <row r="3987" ht="15.75" customHeight="1">
      <c r="A3987" s="1" t="s">
        <v>11758</v>
      </c>
      <c r="B3987" s="1">
        <v>6.0</v>
      </c>
      <c r="C3987" s="1" t="s">
        <v>11759</v>
      </c>
      <c r="D3987" s="1" t="s">
        <v>8</v>
      </c>
      <c r="E3987" s="1" t="s">
        <v>11760</v>
      </c>
      <c r="F3987" s="1" t="str">
        <f>IFERROR(__xludf.DUMMYFUNCTION("GOOGLETRANSLATE(A3987, ""zh-CN"", ""ko"")"),"반")</f>
        <v>반</v>
      </c>
    </row>
    <row r="3988" ht="15.75" customHeight="1">
      <c r="A3988" s="1" t="s">
        <v>11761</v>
      </c>
      <c r="B3988" s="1">
        <v>6.0</v>
      </c>
      <c r="C3988" s="1" t="s">
        <v>11762</v>
      </c>
      <c r="D3988" s="1" t="s">
        <v>16</v>
      </c>
      <c r="E3988" s="1" t="s">
        <v>11763</v>
      </c>
      <c r="F3988" s="1" t="str">
        <f>IFERROR(__xludf.DUMMYFUNCTION("GOOGLETRANSLATE(A3988, ""zh-CN"", ""ko"")"),"노래")</f>
        <v>노래</v>
      </c>
    </row>
    <row r="3989" ht="15.75" customHeight="1">
      <c r="A3989" s="1" t="s">
        <v>11764</v>
      </c>
      <c r="B3989" s="1">
        <v>6.0</v>
      </c>
      <c r="C3989" s="1" t="s">
        <v>11765</v>
      </c>
      <c r="D3989" s="1" t="s">
        <v>16</v>
      </c>
      <c r="E3989" s="1" t="s">
        <v>11766</v>
      </c>
      <c r="F3989" s="1" t="str">
        <f>IFERROR(__xludf.DUMMYFUNCTION("GOOGLETRANSLATE(A3989, ""zh-CN"", ""ko"")"),"맛")</f>
        <v>맛</v>
      </c>
    </row>
    <row r="3990" ht="15.75" customHeight="1">
      <c r="A3990" s="1" t="s">
        <v>11767</v>
      </c>
      <c r="B3990" s="1">
        <v>6.0</v>
      </c>
      <c r="C3990" s="1" t="s">
        <v>11768</v>
      </c>
      <c r="D3990" s="1" t="s">
        <v>16</v>
      </c>
      <c r="E3990" s="1" t="s">
        <v>11769</v>
      </c>
      <c r="F3990" s="1" t="str">
        <f>IFERROR(__xludf.DUMMYFUNCTION("GOOGLETRANSLATE(A3990, ""zh-CN"", ""ko"")"),"덫")</f>
        <v>덫</v>
      </c>
    </row>
    <row r="3991" ht="15.75" customHeight="1">
      <c r="A3991" s="1" t="s">
        <v>11770</v>
      </c>
      <c r="B3991" s="1">
        <v>6.0</v>
      </c>
      <c r="C3991" s="1" t="s">
        <v>11771</v>
      </c>
      <c r="D3991" s="1" t="s">
        <v>8</v>
      </c>
      <c r="E3991" s="1" t="s">
        <v>11772</v>
      </c>
      <c r="F3991" s="1" t="str">
        <f>IFERROR(__xludf.DUMMYFUNCTION("GOOGLETRANSLATE(A3991, ""zh-CN"", ""ko"")"),"절충")</f>
        <v>절충</v>
      </c>
    </row>
    <row r="3992" ht="15.75" customHeight="1">
      <c r="A3992" s="1" t="s">
        <v>11773</v>
      </c>
      <c r="B3992" s="1">
        <v>6.0</v>
      </c>
      <c r="C3992" s="1" t="s">
        <v>11774</v>
      </c>
      <c r="D3992" s="1" t="s">
        <v>16</v>
      </c>
      <c r="E3992" s="1" t="s">
        <v>11775</v>
      </c>
      <c r="F3992" s="1" t="str">
        <f>IFERROR(__xludf.DUMMYFUNCTION("GOOGLETRANSLATE(A3992, ""zh-CN"", ""ko"")"),"글로벌")</f>
        <v>글로벌</v>
      </c>
    </row>
    <row r="3993" ht="15.75" customHeight="1">
      <c r="A3993" s="1" t="s">
        <v>11776</v>
      </c>
      <c r="B3993" s="1">
        <v>6.0</v>
      </c>
      <c r="C3993" s="1" t="s">
        <v>11777</v>
      </c>
      <c r="E3993" s="1" t="s">
        <v>11778</v>
      </c>
      <c r="F3993" s="1" t="str">
        <f>IFERROR(__xludf.DUMMYFUNCTION("GOOGLETRANSLATE(A3993, ""zh-CN"", ""ko"")"),"모든 힘을 다해라")</f>
        <v>모든 힘을 다해라</v>
      </c>
    </row>
    <row r="3994" ht="15.75" customHeight="1">
      <c r="A3994" s="1" t="s">
        <v>11779</v>
      </c>
      <c r="B3994" s="1">
        <v>6.0</v>
      </c>
      <c r="C3994" s="1" t="s">
        <v>11780</v>
      </c>
      <c r="D3994" s="1" t="s">
        <v>16</v>
      </c>
      <c r="E3994" s="1" t="s">
        <v>11781</v>
      </c>
      <c r="F3994" s="1" t="str">
        <f>IFERROR(__xludf.DUMMYFUNCTION("GOOGLETRANSLATE(A3994, ""zh-CN"", ""ko"")"),"주먹")</f>
        <v>주먹</v>
      </c>
    </row>
    <row r="3995" ht="15.75" customHeight="1">
      <c r="A3995" s="1" t="s">
        <v>11782</v>
      </c>
      <c r="B3995" s="1">
        <v>6.0</v>
      </c>
      <c r="C3995" s="1" t="s">
        <v>11783</v>
      </c>
      <c r="D3995" s="1" t="s">
        <v>16</v>
      </c>
      <c r="E3995" s="1" t="s">
        <v>11784</v>
      </c>
      <c r="F3995" s="1" t="str">
        <f>IFERROR(__xludf.DUMMYFUNCTION("GOOGLETRANSLATE(A3995, ""zh-CN"", ""ko"")"),"권한")</f>
        <v>권한</v>
      </c>
    </row>
    <row r="3996" ht="15.75" customHeight="1">
      <c r="A3996" s="1" t="s">
        <v>11785</v>
      </c>
      <c r="B3996" s="1">
        <v>6.0</v>
      </c>
      <c r="C3996" s="1" t="s">
        <v>11786</v>
      </c>
      <c r="D3996" s="1" t="s">
        <v>16</v>
      </c>
      <c r="E3996" s="1" t="s">
        <v>117</v>
      </c>
      <c r="F3996" s="1" t="str">
        <f>IFERROR(__xludf.DUMMYFUNCTION("GOOGLETRANSLATE(A3996, ""zh-CN"", ""ko"")"),"개")</f>
        <v>개</v>
      </c>
    </row>
    <row r="3997" ht="15.75" customHeight="1">
      <c r="A3997" s="1" t="s">
        <v>11787</v>
      </c>
      <c r="B3997" s="1">
        <v>6.0</v>
      </c>
      <c r="C3997" s="1" t="s">
        <v>11788</v>
      </c>
      <c r="D3997" s="1" t="s">
        <v>16</v>
      </c>
      <c r="E3997" s="1" t="s">
        <v>11789</v>
      </c>
      <c r="F3997" s="1" t="str">
        <f>IFERROR(__xludf.DUMMYFUNCTION("GOOGLETRANSLATE(A3997, ""zh-CN"", ""ko"")"),"갭")</f>
        <v>갭</v>
      </c>
    </row>
    <row r="3998" ht="15.75" customHeight="1">
      <c r="A3998" s="1" t="s">
        <v>11790</v>
      </c>
      <c r="B3998" s="1">
        <v>6.0</v>
      </c>
      <c r="C3998" s="1" t="s">
        <v>11791</v>
      </c>
      <c r="D3998" s="1" t="s">
        <v>8</v>
      </c>
      <c r="E3998" s="1" t="s">
        <v>11792</v>
      </c>
      <c r="F3998" s="1" t="str">
        <f>IFERROR(__xludf.DUMMYFUNCTION("GOOGLETRANSLATE(A3998, ""zh-CN"", ""ko"")"),"결석한")</f>
        <v>결석한</v>
      </c>
    </row>
    <row r="3999" ht="15.75" customHeight="1">
      <c r="A3999" s="1" t="s">
        <v>11793</v>
      </c>
      <c r="B3999" s="1">
        <v>6.0</v>
      </c>
      <c r="C3999" s="1" t="s">
        <v>11794</v>
      </c>
      <c r="D3999" s="1" t="s">
        <v>16</v>
      </c>
      <c r="E3999" s="1" t="s">
        <v>11795</v>
      </c>
      <c r="F3999" s="1" t="str">
        <f>IFERROR(__xludf.DUMMYFUNCTION("GOOGLETRANSLATE(A3999, ""zh-CN"", ""ko"")"),"결함")</f>
        <v>결함</v>
      </c>
    </row>
    <row r="4000" ht="15.75" customHeight="1">
      <c r="A4000" s="1" t="s">
        <v>11796</v>
      </c>
      <c r="B4000" s="1">
        <v>6.0</v>
      </c>
      <c r="C4000" s="1" t="s">
        <v>11797</v>
      </c>
      <c r="D4000" s="1" t="s">
        <v>8</v>
      </c>
      <c r="E4000" s="1" t="s">
        <v>11798</v>
      </c>
      <c r="F4000" s="1" t="str">
        <f>IFERROR(__xludf.DUMMYFUNCTION("GOOGLETRANSLATE(A4000, ""zh-CN"", ""ko"")"),"절뚝거리는")</f>
        <v>절뚝거리는</v>
      </c>
    </row>
    <row r="4001" ht="15.75" customHeight="1">
      <c r="A4001" s="1" t="s">
        <v>11799</v>
      </c>
      <c r="B4001" s="1">
        <v>6.0</v>
      </c>
      <c r="C4001" s="1" t="s">
        <v>11800</v>
      </c>
      <c r="D4001" s="1" t="s">
        <v>8</v>
      </c>
      <c r="E4001" s="1" t="s">
        <v>11801</v>
      </c>
      <c r="F4001" s="1" t="str">
        <f>IFERROR(__xludf.DUMMYFUNCTION("GOOGLETRANSLATE(A4001, ""zh-CN"", ""ko"")"),"확실하게 하다")</f>
        <v>확실하게 하다</v>
      </c>
    </row>
    <row r="4002" ht="15.75" customHeight="1">
      <c r="A4002" s="1" t="s">
        <v>11802</v>
      </c>
      <c r="B4002" s="1">
        <v>6.0</v>
      </c>
      <c r="C4002" s="1" t="s">
        <v>11803</v>
      </c>
      <c r="D4002" s="1" t="s">
        <v>8</v>
      </c>
      <c r="E4002" s="1" t="s">
        <v>11804</v>
      </c>
      <c r="F4002" s="1" t="str">
        <f>IFERROR(__xludf.DUMMYFUNCTION("GOOGLETRANSLATE(A4002, ""zh-CN"", ""ko"")"),"설립하다")</f>
        <v>설립하다</v>
      </c>
    </row>
    <row r="4003" ht="15.75" customHeight="1">
      <c r="A4003" s="1" t="s">
        <v>11805</v>
      </c>
      <c r="B4003" s="1">
        <v>6.0</v>
      </c>
      <c r="C4003" s="1" t="s">
        <v>11806</v>
      </c>
      <c r="D4003" s="1" t="s">
        <v>52</v>
      </c>
      <c r="E4003" s="1" t="s">
        <v>11807</v>
      </c>
      <c r="F4003" s="1" t="str">
        <f>IFERROR(__xludf.DUMMYFUNCTION("GOOGLETRANSLATE(A4003, ""zh-CN"", ""ko"")"),"정확한")</f>
        <v>정확한</v>
      </c>
    </row>
    <row r="4004" ht="15.75" customHeight="1">
      <c r="A4004" s="1" t="s">
        <v>11808</v>
      </c>
      <c r="B4004" s="1">
        <v>6.0</v>
      </c>
      <c r="C4004" s="1" t="s">
        <v>11809</v>
      </c>
      <c r="D4004" s="1" t="s">
        <v>8</v>
      </c>
      <c r="E4004" s="1" t="s">
        <v>11810</v>
      </c>
      <c r="F4004" s="1" t="str">
        <f>IFERROR(__xludf.DUMMYFUNCTION("GOOGLETRANSLATE(A4004, ""zh-CN"", ""ko"")"),"확인하다")</f>
        <v>확인하다</v>
      </c>
    </row>
    <row r="4005" ht="15.75" customHeight="1">
      <c r="A4005" s="1" t="s">
        <v>11811</v>
      </c>
      <c r="B4005" s="1">
        <v>6.0</v>
      </c>
      <c r="C4005" s="1" t="s">
        <v>11812</v>
      </c>
      <c r="D4005" s="1" t="s">
        <v>16</v>
      </c>
      <c r="E4005" s="1" t="s">
        <v>11813</v>
      </c>
      <c r="F4005" s="1" t="str">
        <f>IFERROR(__xludf.DUMMYFUNCTION("GOOGLETRANSLATE(A4005, ""zh-CN"", ""ko"")"),"대중")</f>
        <v>대중</v>
      </c>
    </row>
    <row r="4006" ht="15.75" customHeight="1">
      <c r="A4006" s="1" t="s">
        <v>11814</v>
      </c>
      <c r="B4006" s="1">
        <v>6.0</v>
      </c>
      <c r="C4006" s="1" t="s">
        <v>11815</v>
      </c>
      <c r="D4006" s="1" t="s">
        <v>8</v>
      </c>
      <c r="E4006" s="1" t="s">
        <v>11816</v>
      </c>
      <c r="F4006" s="1" t="str">
        <f>IFERROR(__xludf.DUMMYFUNCTION("GOOGLETRANSLATE(A4006, ""zh-CN"", ""ko"")"),"먹이다")</f>
        <v>먹이다</v>
      </c>
    </row>
    <row r="4007" ht="15.75" customHeight="1">
      <c r="A4007" s="1" t="s">
        <v>11817</v>
      </c>
      <c r="B4007" s="1">
        <v>6.0</v>
      </c>
      <c r="C4007" s="1" t="s">
        <v>11818</v>
      </c>
      <c r="D4007" s="1" t="s">
        <v>8</v>
      </c>
      <c r="E4007" s="1" t="s">
        <v>11819</v>
      </c>
      <c r="F4007" s="1" t="str">
        <f>IFERROR(__xludf.DUMMYFUNCTION("GOOGLETRANSLATE(A4007, ""zh-CN"", ""ko"")"),"외침")</f>
        <v>외침</v>
      </c>
    </row>
    <row r="4008" ht="15.75" customHeight="1">
      <c r="A4008" s="1" t="s">
        <v>11820</v>
      </c>
      <c r="B4008" s="1">
        <v>6.0</v>
      </c>
      <c r="C4008" s="1" t="s">
        <v>11821</v>
      </c>
      <c r="D4008" s="1" t="s">
        <v>8</v>
      </c>
      <c r="E4008" s="1" t="s">
        <v>11822</v>
      </c>
      <c r="F4008" s="1" t="str">
        <f>IFERROR(__xludf.DUMMYFUNCTION("GOOGLETRANSLATE(A4008, ""zh-CN"", ""ko"")"),"양보")</f>
        <v>양보</v>
      </c>
    </row>
    <row r="4009" ht="15.75" customHeight="1">
      <c r="A4009" s="1" t="s">
        <v>11823</v>
      </c>
      <c r="B4009" s="1">
        <v>6.0</v>
      </c>
      <c r="C4009" s="1" t="s">
        <v>11824</v>
      </c>
      <c r="D4009" s="1" t="s">
        <v>8</v>
      </c>
      <c r="E4009" s="1" t="s">
        <v>11825</v>
      </c>
      <c r="F4009" s="1" t="str">
        <f>IFERROR(__xludf.DUMMYFUNCTION("GOOGLETRANSLATE(A4009, ""zh-CN"", ""ko"")"),"용서하다")</f>
        <v>용서하다</v>
      </c>
    </row>
    <row r="4010" ht="15.75" customHeight="1">
      <c r="A4010" s="1" t="s">
        <v>11826</v>
      </c>
      <c r="B4010" s="1">
        <v>6.0</v>
      </c>
      <c r="C4010" s="1" t="s">
        <v>11827</v>
      </c>
      <c r="D4010" s="1" t="s">
        <v>8</v>
      </c>
      <c r="E4010" s="1" t="s">
        <v>11828</v>
      </c>
      <c r="F4010" s="1" t="str">
        <f>IFERROR(__xludf.DUMMYFUNCTION("GOOGLETRANSLATE(A4010, ""zh-CN"", ""ko"")"),"방해하다")</f>
        <v>방해하다</v>
      </c>
    </row>
    <row r="4011" ht="15.75" customHeight="1">
      <c r="A4011" s="1" t="s">
        <v>11829</v>
      </c>
      <c r="B4011" s="1">
        <v>6.0</v>
      </c>
      <c r="C4011" s="1" t="s">
        <v>11830</v>
      </c>
      <c r="D4011" s="1" t="s">
        <v>8</v>
      </c>
      <c r="E4011" s="1" t="s">
        <v>11831</v>
      </c>
      <c r="F4011" s="1" t="str">
        <f>IFERROR(__xludf.DUMMYFUNCTION("GOOGLETRANSLATE(A4011, ""zh-CN"", ""ko"")"),"법정 참사")</f>
        <v>법정 참사</v>
      </c>
    </row>
    <row r="4012" ht="15.75" customHeight="1">
      <c r="A4012" s="1" t="s">
        <v>11832</v>
      </c>
      <c r="B4012" s="1">
        <v>6.0</v>
      </c>
      <c r="C4012" s="1" t="s">
        <v>11833</v>
      </c>
      <c r="E4012" s="1" t="s">
        <v>11834</v>
      </c>
      <c r="F4012" s="1" t="str">
        <f>IFERROR(__xludf.DUMMYFUNCTION("GOOGLETRANSLATE(A4012, ""zh-CN"", ""ko"")"),"눈물이 왈칵 쏟아졌다.")</f>
        <v>눈물이 왈칵 쏟아졌다.</v>
      </c>
    </row>
    <row r="4013" ht="15.75" customHeight="1">
      <c r="A4013" s="1" t="s">
        <v>11835</v>
      </c>
      <c r="B4013" s="1">
        <v>6.0</v>
      </c>
      <c r="C4013" s="1" t="s">
        <v>11836</v>
      </c>
      <c r="D4013" s="1" t="s">
        <v>16</v>
      </c>
      <c r="E4013" s="1" t="s">
        <v>11837</v>
      </c>
      <c r="F4013" s="1" t="str">
        <f>IFERROR(__xludf.DUMMYFUNCTION("GOOGLETRANSLATE(A4013, ""zh-CN"", ""ko"")"),"인기 있는")</f>
        <v>인기 있는</v>
      </c>
    </row>
    <row r="4014" ht="15.75" customHeight="1">
      <c r="A4014" s="1" t="s">
        <v>11838</v>
      </c>
      <c r="B4014" s="1">
        <v>6.0</v>
      </c>
      <c r="C4014" s="1" t="s">
        <v>11839</v>
      </c>
      <c r="D4014" s="1" t="s">
        <v>52</v>
      </c>
      <c r="E4014" s="1" t="s">
        <v>11840</v>
      </c>
      <c r="F4014" s="1" t="str">
        <f>IFERROR(__xludf.DUMMYFUNCTION("GOOGLETRANSLATE(A4014, ""zh-CN"", ""ko"")"),"친절")</f>
        <v>친절</v>
      </c>
    </row>
    <row r="4015" ht="15.75" customHeight="1">
      <c r="A4015" s="1" t="s">
        <v>11841</v>
      </c>
      <c r="B4015" s="1">
        <v>6.0</v>
      </c>
      <c r="C4015" s="1" t="s">
        <v>11842</v>
      </c>
      <c r="D4015" s="1" t="s">
        <v>16</v>
      </c>
      <c r="E4015" s="1" t="s">
        <v>11843</v>
      </c>
      <c r="F4015" s="1" t="str">
        <f>IFERROR(__xludf.DUMMYFUNCTION("GOOGLETRANSLATE(A4015, ""zh-CN"", ""ko"")"),"인도적인")</f>
        <v>인도적인</v>
      </c>
    </row>
    <row r="4016" ht="15.75" customHeight="1">
      <c r="A4016" s="1" t="s">
        <v>11844</v>
      </c>
      <c r="B4016" s="1">
        <v>6.0</v>
      </c>
      <c r="C4016" s="1" t="s">
        <v>11845</v>
      </c>
      <c r="D4016" s="1" t="s">
        <v>16</v>
      </c>
      <c r="E4016" s="1" t="s">
        <v>11846</v>
      </c>
      <c r="F4016" s="1" t="str">
        <f>IFERROR(__xludf.DUMMYFUNCTION("GOOGLETRANSLATE(A4016, ""zh-CN"", ""ko"")"),"성격")</f>
        <v>성격</v>
      </c>
    </row>
    <row r="4017" ht="15.75" customHeight="1">
      <c r="A4017" s="1" t="s">
        <v>11847</v>
      </c>
      <c r="B4017" s="1">
        <v>6.0</v>
      </c>
      <c r="C4017" s="1" t="s">
        <v>11848</v>
      </c>
      <c r="D4017" s="1" t="s">
        <v>52</v>
      </c>
      <c r="E4017" s="1" t="s">
        <v>11849</v>
      </c>
      <c r="F4017" s="1" t="str">
        <f>IFERROR(__xludf.DUMMYFUNCTION("GOOGLETRANSLATE(A4017, ""zh-CN"", ""ko"")"),"인공의")</f>
        <v>인공의</v>
      </c>
    </row>
    <row r="4018" ht="15.75" customHeight="1">
      <c r="A4018" s="1" t="s">
        <v>11850</v>
      </c>
      <c r="B4018" s="1">
        <v>6.0</v>
      </c>
      <c r="C4018" s="1" t="s">
        <v>11851</v>
      </c>
      <c r="D4018" s="1" t="s">
        <v>88</v>
      </c>
      <c r="E4018" s="1" t="s">
        <v>11852</v>
      </c>
      <c r="F4018" s="1" t="str">
        <f>IFERROR(__xludf.DUMMYFUNCTION("GOOGLETRANSLATE(A4018, ""zh-CN"", ""ko"")"),"다른 사람들")</f>
        <v>다른 사람들</v>
      </c>
    </row>
    <row r="4019" ht="15.75" customHeight="1">
      <c r="A4019" s="1" t="s">
        <v>11853</v>
      </c>
      <c r="B4019" s="1">
        <v>6.0</v>
      </c>
      <c r="C4019" s="1" t="s">
        <v>11854</v>
      </c>
      <c r="D4019" s="1" t="s">
        <v>16</v>
      </c>
      <c r="E4019" s="1" t="s">
        <v>11855</v>
      </c>
      <c r="F4019" s="1" t="str">
        <f>IFERROR(__xludf.DUMMYFUNCTION("GOOGLETRANSLATE(A4019, ""zh-CN"", ""ko"")"),"세계")</f>
        <v>세계</v>
      </c>
    </row>
    <row r="4020" ht="15.75" customHeight="1">
      <c r="A4020" s="1" t="s">
        <v>11856</v>
      </c>
      <c r="B4020" s="1">
        <v>6.0</v>
      </c>
      <c r="C4020" s="1" t="s">
        <v>5842</v>
      </c>
      <c r="D4020" s="1" t="s">
        <v>16</v>
      </c>
      <c r="E4020" s="1" t="s">
        <v>11857</v>
      </c>
      <c r="F4020" s="1" t="str">
        <f>IFERROR(__xludf.DUMMYFUNCTION("GOOGLETRANSLATE(A4020, ""zh-CN"", ""ko"")"),"사람")</f>
        <v>사람</v>
      </c>
    </row>
    <row r="4021" ht="15.75" customHeight="1">
      <c r="A4021" s="1" t="s">
        <v>11858</v>
      </c>
      <c r="B4021" s="1">
        <v>6.0</v>
      </c>
      <c r="C4021" s="1" t="s">
        <v>11859</v>
      </c>
      <c r="D4021" s="1" t="s">
        <v>52</v>
      </c>
      <c r="E4021" s="1" t="s">
        <v>11860</v>
      </c>
      <c r="F4021" s="1" t="str">
        <f>IFERROR(__xludf.DUMMYFUNCTION("GOOGLETRANSLATE(A4021, ""zh-CN"", ""ko"")"),"인간")</f>
        <v>인간</v>
      </c>
    </row>
    <row r="4022" ht="15.75" customHeight="1">
      <c r="A4022" s="1" t="s">
        <v>11861</v>
      </c>
      <c r="B4022" s="1">
        <v>6.0</v>
      </c>
      <c r="C4022" s="1" t="s">
        <v>11862</v>
      </c>
      <c r="D4022" s="1" t="s">
        <v>16</v>
      </c>
      <c r="E4022" s="1" t="s">
        <v>11863</v>
      </c>
      <c r="F4022" s="1" t="str">
        <f>IFERROR(__xludf.DUMMYFUNCTION("GOOGLETRANSLATE(A4022, ""zh-CN"", ""ko"")"),"인간성")</f>
        <v>인간성</v>
      </c>
    </row>
    <row r="4023" ht="15.75" customHeight="1">
      <c r="A4023" s="1" t="s">
        <v>11864</v>
      </c>
      <c r="B4023" s="1">
        <v>6.0</v>
      </c>
      <c r="C4023" s="1" t="s">
        <v>11865</v>
      </c>
      <c r="D4023" s="1" t="s">
        <v>16</v>
      </c>
      <c r="E4023" s="1" t="s">
        <v>11866</v>
      </c>
      <c r="F4023" s="1" t="str">
        <f>IFERROR(__xludf.DUMMYFUNCTION("GOOGLETRANSLATE(A4023, ""zh-CN"", ""ko"")"),"인질")</f>
        <v>인질</v>
      </c>
    </row>
    <row r="4024" ht="15.75" customHeight="1">
      <c r="A4024" s="1" t="s">
        <v>11867</v>
      </c>
      <c r="B4024" s="1">
        <v>6.0</v>
      </c>
      <c r="C4024" s="1" t="s">
        <v>11868</v>
      </c>
      <c r="D4024" s="1" t="s">
        <v>8</v>
      </c>
      <c r="E4024" s="1" t="s">
        <v>11869</v>
      </c>
      <c r="F4024" s="1" t="str">
        <f>IFERROR(__xludf.DUMMYFUNCTION("GOOGLETRANSLATE(A4024, ""zh-CN"", ""ko"")"),"견디다")</f>
        <v>견디다</v>
      </c>
    </row>
    <row r="4025" ht="15.75" customHeight="1">
      <c r="A4025" s="1" t="s">
        <v>11870</v>
      </c>
      <c r="B4025" s="1">
        <v>6.0</v>
      </c>
      <c r="C4025" s="1" t="s">
        <v>11871</v>
      </c>
      <c r="D4025" s="1" t="s">
        <v>8</v>
      </c>
      <c r="E4025" s="1" t="s">
        <v>11872</v>
      </c>
      <c r="F4025" s="1" t="str">
        <f>IFERROR(__xludf.DUMMYFUNCTION("GOOGLETRANSLATE(A4025, ""zh-CN"", ""ko"")"),"곰")</f>
        <v>곰</v>
      </c>
    </row>
    <row r="4026" ht="15.75" customHeight="1">
      <c r="A4026" s="1" t="s">
        <v>11873</v>
      </c>
      <c r="B4026" s="1">
        <v>6.0</v>
      </c>
      <c r="C4026" s="1" t="s">
        <v>11874</v>
      </c>
      <c r="D4026" s="1" t="s">
        <v>8</v>
      </c>
      <c r="E4026" s="1" t="s">
        <v>11875</v>
      </c>
      <c r="F4026" s="1" t="str">
        <f>IFERROR(__xludf.DUMMYFUNCTION("GOOGLETRANSLATE(A4026, ""zh-CN"", ""ko"")"),"결정")</f>
        <v>결정</v>
      </c>
    </row>
    <row r="4027" ht="15.75" customHeight="1">
      <c r="A4027" s="1" t="s">
        <v>11876</v>
      </c>
      <c r="B4027" s="1">
        <v>6.0</v>
      </c>
      <c r="C4027" s="1" t="s">
        <v>11877</v>
      </c>
      <c r="D4027" s="1" t="s">
        <v>8</v>
      </c>
      <c r="E4027" s="1" t="s">
        <v>11878</v>
      </c>
      <c r="F4027" s="1" t="str">
        <f>IFERROR(__xludf.DUMMYFUNCTION("GOOGLETRANSLATE(A4027, ""zh-CN"", ""ko"")"),"승인")</f>
        <v>승인</v>
      </c>
    </row>
    <row r="4028" ht="15.75" customHeight="1">
      <c r="A4028" s="1" t="s">
        <v>11879</v>
      </c>
      <c r="B4028" s="1">
        <v>6.0</v>
      </c>
      <c r="C4028" s="1" t="s">
        <v>11880</v>
      </c>
      <c r="D4028" s="1" t="s">
        <v>8</v>
      </c>
      <c r="E4028" s="1" t="s">
        <v>11881</v>
      </c>
      <c r="F4028" s="1" t="str">
        <f>IFERROR(__xludf.DUMMYFUNCTION("GOOGLETRANSLATE(A4028, ""zh-CN"", ""ko"")"),"약속")</f>
        <v>약속</v>
      </c>
    </row>
    <row r="4029" ht="15.75" customHeight="1">
      <c r="A4029" s="1" t="s">
        <v>11882</v>
      </c>
      <c r="B4029" s="1">
        <v>6.0</v>
      </c>
      <c r="C4029" s="1" t="s">
        <v>11883</v>
      </c>
      <c r="D4029" s="1" t="s">
        <v>52</v>
      </c>
      <c r="E4029" s="1" t="s">
        <v>11884</v>
      </c>
      <c r="F4029" s="1" t="str">
        <f>IFERROR(__xludf.DUMMYFUNCTION("GOOGLETRANSLATE(A4029, ""zh-CN"", ""ko"")"),"변덕스러운")</f>
        <v>변덕스러운</v>
      </c>
    </row>
    <row r="4030" ht="15.75" customHeight="1">
      <c r="A4030" s="1" t="s">
        <v>11885</v>
      </c>
      <c r="B4030" s="1">
        <v>6.0</v>
      </c>
      <c r="C4030" s="1" t="s">
        <v>11886</v>
      </c>
      <c r="D4030" s="1" t="s">
        <v>33</v>
      </c>
      <c r="E4030" s="1" t="s">
        <v>11887</v>
      </c>
      <c r="F4030" s="1" t="str">
        <f>IFERROR(__xludf.DUMMYFUNCTION("GOOGLETRANSLATE(A4030, ""zh-CN"", ""ko"")"),"어느")</f>
        <v>어느</v>
      </c>
    </row>
    <row r="4031" ht="15.75" customHeight="1">
      <c r="A4031" s="1" t="s">
        <v>11888</v>
      </c>
      <c r="B4031" s="1">
        <v>6.0</v>
      </c>
      <c r="C4031" s="1" t="s">
        <v>11889</v>
      </c>
      <c r="E4031" s="1" t="s">
        <v>11890</v>
      </c>
      <c r="F4031" s="1" t="str">
        <f>IFERROR(__xludf.DUMMYFUNCTION("GOOGLETRANSLATE(A4031, ""zh-CN"", ""ko"")"),"이 일은 고되고 갈 길은 멀다.")</f>
        <v>이 일은 고되고 갈 길은 멀다.</v>
      </c>
    </row>
    <row r="4032" ht="15.75" customHeight="1">
      <c r="A4032" s="1" t="s">
        <v>11891</v>
      </c>
      <c r="B4032" s="1">
        <v>6.0</v>
      </c>
      <c r="C4032" s="1" t="s">
        <v>11892</v>
      </c>
      <c r="D4032" s="1" t="s">
        <v>33</v>
      </c>
      <c r="E4032" s="1" t="s">
        <v>11893</v>
      </c>
      <c r="F4032" s="1" t="str">
        <f>IFERROR(__xludf.DUMMYFUNCTION("GOOGLETRANSLATE(A4032, ""zh-CN"", ""ko"")"),"아직")</f>
        <v>아직</v>
      </c>
    </row>
    <row r="4033" ht="15.75" customHeight="1">
      <c r="A4033" s="1" t="s">
        <v>11894</v>
      </c>
      <c r="B4033" s="1">
        <v>6.0</v>
      </c>
      <c r="C4033" s="1" t="s">
        <v>11895</v>
      </c>
      <c r="E4033" s="1" t="s">
        <v>11896</v>
      </c>
      <c r="F4033" s="1" t="str">
        <f>IFERROR(__xludf.DUMMYFUNCTION("GOOGLETRANSLATE(A4033, ""zh-CN"", ""ko"")"),"빠르게 변화하는")</f>
        <v>빠르게 변화하는</v>
      </c>
    </row>
    <row r="4034" ht="15.75" customHeight="1">
      <c r="A4034" s="1" t="s">
        <v>11897</v>
      </c>
      <c r="B4034" s="1">
        <v>6.0</v>
      </c>
      <c r="C4034" s="1" t="s">
        <v>11898</v>
      </c>
      <c r="D4034" s="1" t="s">
        <v>33</v>
      </c>
      <c r="E4034" s="1" t="s">
        <v>11899</v>
      </c>
      <c r="F4034" s="1" t="str">
        <f>IFERROR(__xludf.DUMMYFUNCTION("GOOGLETRANSLATE(A4034, ""zh-CN"", ""ko"")"),"더욱 더")</f>
        <v>더욱 더</v>
      </c>
    </row>
    <row r="4035" ht="15.75" customHeight="1">
      <c r="A4035" s="1" t="s">
        <v>11900</v>
      </c>
      <c r="B4035" s="1">
        <v>6.0</v>
      </c>
      <c r="C4035" s="1" t="s">
        <v>11901</v>
      </c>
      <c r="D4035" s="1" t="s">
        <v>8</v>
      </c>
      <c r="E4035" s="1" t="s">
        <v>11902</v>
      </c>
      <c r="F4035" s="1" t="str">
        <f>IFERROR(__xludf.DUMMYFUNCTION("GOOGLETRANSLATE(A4035, ""zh-CN"", ""ko"")"),"녹다")</f>
        <v>녹다</v>
      </c>
    </row>
    <row r="4036" ht="15.75" customHeight="1">
      <c r="A4036" s="1" t="s">
        <v>11903</v>
      </c>
      <c r="B4036" s="1">
        <v>6.0</v>
      </c>
      <c r="C4036" s="1" t="s">
        <v>11904</v>
      </c>
      <c r="D4036" s="1" t="s">
        <v>8</v>
      </c>
      <c r="E4036" s="1" t="s">
        <v>11905</v>
      </c>
      <c r="F4036" s="1" t="str">
        <f>IFERROR(__xludf.DUMMYFUNCTION("GOOGLETRANSLATE(A4036, ""zh-CN"", ""ko"")"),"디졸브")</f>
        <v>디졸브</v>
      </c>
    </row>
    <row r="4037" ht="15.75" customHeight="1">
      <c r="A4037" s="1" t="s">
        <v>11906</v>
      </c>
      <c r="B4037" s="1">
        <v>6.0</v>
      </c>
      <c r="C4037" s="1" t="s">
        <v>11907</v>
      </c>
      <c r="D4037" s="1" t="s">
        <v>16</v>
      </c>
      <c r="E4037" s="1" t="s">
        <v>11908</v>
      </c>
      <c r="F4037" s="1" t="str">
        <f>IFERROR(__xludf.DUMMYFUNCTION("GOOGLETRANSLATE(A4037, ""zh-CN"", ""ko"")"),"모습")</f>
        <v>모습</v>
      </c>
    </row>
    <row r="4038" ht="15.75" customHeight="1">
      <c r="A4038" s="1" t="s">
        <v>11909</v>
      </c>
      <c r="B4038" s="1">
        <v>6.0</v>
      </c>
      <c r="C4038" s="1" t="s">
        <v>11910</v>
      </c>
      <c r="D4038" s="1" t="s">
        <v>8</v>
      </c>
      <c r="E4038" s="1" t="s">
        <v>11911</v>
      </c>
      <c r="F4038" s="1" t="str">
        <f>IFERROR(__xludf.DUMMYFUNCTION("GOOGLETRANSLATE(A4038, ""zh-CN"", ""ko"")"),"수용하다")</f>
        <v>수용하다</v>
      </c>
    </row>
    <row r="4039" ht="15.75" customHeight="1">
      <c r="A4039" s="1" t="s">
        <v>11912</v>
      </c>
      <c r="B4039" s="1">
        <v>6.0</v>
      </c>
      <c r="C4039" s="1" t="s">
        <v>11913</v>
      </c>
      <c r="D4039" s="1" t="s">
        <v>16</v>
      </c>
      <c r="E4039" s="1" t="s">
        <v>11914</v>
      </c>
      <c r="F4039" s="1" t="str">
        <f>IFERROR(__xludf.DUMMYFUNCTION("GOOGLETRANSLATE(A4039, ""zh-CN"", ""ko"")"),"컨테이너")</f>
        <v>컨테이너</v>
      </c>
    </row>
    <row r="4040" ht="15.75" customHeight="1">
      <c r="A4040" s="1" t="s">
        <v>11915</v>
      </c>
      <c r="B4040" s="1">
        <v>6.0</v>
      </c>
      <c r="C4040" s="1" t="s">
        <v>11916</v>
      </c>
      <c r="D4040" s="1" t="s">
        <v>52</v>
      </c>
      <c r="E4040" s="1" t="s">
        <v>11917</v>
      </c>
      <c r="F4040" s="1" t="str">
        <f>IFERROR(__xludf.DUMMYFUNCTION("GOOGLETRANSLATE(A4040, ""zh-CN"", ""ko"")"),"조화")</f>
        <v>조화</v>
      </c>
    </row>
    <row r="4041" ht="15.75" customHeight="1">
      <c r="A4041" s="1" t="s">
        <v>11918</v>
      </c>
      <c r="B4041" s="1">
        <v>6.0</v>
      </c>
      <c r="C4041" s="1" t="s">
        <v>11919</v>
      </c>
      <c r="D4041" s="1" t="s">
        <v>8</v>
      </c>
      <c r="E4041" s="1" t="s">
        <v>11920</v>
      </c>
      <c r="F4041" s="1" t="str">
        <f>IFERROR(__xludf.DUMMYFUNCTION("GOOGLETRANSLATE(A4041, ""zh-CN"", ""ko"")"),"참다")</f>
        <v>참다</v>
      </c>
    </row>
    <row r="4042" ht="15.75" customHeight="1">
      <c r="A4042" s="1" t="s">
        <v>11921</v>
      </c>
      <c r="B4042" s="1">
        <v>6.0</v>
      </c>
      <c r="C4042" s="1" t="s">
        <v>11922</v>
      </c>
      <c r="D4042" s="1" t="s">
        <v>52</v>
      </c>
      <c r="E4042" s="1" t="s">
        <v>11923</v>
      </c>
      <c r="F4042" s="1" t="str">
        <f>IFERROR(__xludf.DUMMYFUNCTION("GOOGLETRANSLATE(A4042, ""zh-CN"", ""ko"")"),"기쁨")</f>
        <v>기쁨</v>
      </c>
    </row>
    <row r="4043" ht="15.75" customHeight="1">
      <c r="A4043" s="1" t="s">
        <v>11924</v>
      </c>
      <c r="B4043" s="1">
        <v>6.0</v>
      </c>
      <c r="C4043" s="1" t="s">
        <v>11925</v>
      </c>
      <c r="D4043" s="1" t="s">
        <v>16</v>
      </c>
      <c r="E4043" s="1" t="s">
        <v>11926</v>
      </c>
      <c r="F4043" s="1" t="str">
        <f>IFERROR(__xludf.DUMMYFUNCTION("GOOGLETRANSLATE(A4043, ""zh-CN"", ""ko"")"),"명예")</f>
        <v>명예</v>
      </c>
    </row>
    <row r="4044" ht="15.75" customHeight="1">
      <c r="A4044" s="1" t="s">
        <v>11927</v>
      </c>
      <c r="B4044" s="1">
        <v>6.0</v>
      </c>
      <c r="C4044" s="1" t="s">
        <v>11928</v>
      </c>
      <c r="D4044" s="1" t="s">
        <v>8</v>
      </c>
      <c r="E4044" s="1" t="s">
        <v>1880</v>
      </c>
      <c r="F4044" s="1" t="str">
        <f>IFERROR(__xludf.DUMMYFUNCTION("GOOGLETRANSLATE(A4044, ""zh-CN"", ""ko"")"),"장애")</f>
        <v>장애</v>
      </c>
    </row>
    <row r="4045" ht="15.75" customHeight="1">
      <c r="A4045" s="1" t="s">
        <v>11929</v>
      </c>
      <c r="B4045" s="1">
        <v>6.0</v>
      </c>
      <c r="C4045" s="1" t="s">
        <v>11930</v>
      </c>
      <c r="D4045" s="1" t="s">
        <v>52</v>
      </c>
      <c r="E4045" s="1" t="s">
        <v>11931</v>
      </c>
      <c r="F4045" s="1" t="str">
        <f>IFERROR(__xludf.DUMMYFUNCTION("GOOGLETRANSLATE(A4045, ""zh-CN"", ""ko"")"),"부드러운")</f>
        <v>부드러운</v>
      </c>
    </row>
    <row r="4046" ht="15.75" customHeight="1">
      <c r="A4046" s="1" t="s">
        <v>11932</v>
      </c>
      <c r="B4046" s="1">
        <v>6.0</v>
      </c>
      <c r="C4046" s="1" t="s">
        <v>11933</v>
      </c>
      <c r="D4046" s="1" t="s">
        <v>16</v>
      </c>
      <c r="E4046" s="1" t="s">
        <v>11934</v>
      </c>
      <c r="F4046" s="1" t="str">
        <f>IFERROR(__xludf.DUMMYFUNCTION("GOOGLETRANSLATE(A4046, ""zh-CN"", ""ko"")"),"유도")</f>
        <v>유도</v>
      </c>
    </row>
    <row r="4047" ht="15.75" customHeight="1">
      <c r="A4047" s="1" t="s">
        <v>11935</v>
      </c>
      <c r="B4047" s="1">
        <v>6.0</v>
      </c>
      <c r="C4047" s="1" t="s">
        <v>11936</v>
      </c>
      <c r="D4047" s="1" t="s">
        <v>16</v>
      </c>
      <c r="E4047" s="1" t="s">
        <v>11937</v>
      </c>
      <c r="F4047" s="1" t="str">
        <f>IFERROR(__xludf.DUMMYFUNCTION("GOOGLETRANSLATE(A4047, ""zh-CN"", ""ko"")"),"약점")</f>
        <v>약점</v>
      </c>
    </row>
    <row r="4048" ht="15.75" customHeight="1">
      <c r="A4048" s="1" t="s">
        <v>11938</v>
      </c>
      <c r="B4048" s="1">
        <v>6.0</v>
      </c>
      <c r="C4048" s="1" t="s">
        <v>11939</v>
      </c>
      <c r="D4048" s="1" t="s">
        <v>88</v>
      </c>
      <c r="E4048" s="1" t="s">
        <v>11940</v>
      </c>
      <c r="F4048" s="1" t="str">
        <f>IFERROR(__xludf.DUMMYFUNCTION("GOOGLETRANSLATE(A4048, ""zh-CN"", ""ko"")"),"여러 개의")</f>
        <v>여러 개의</v>
      </c>
    </row>
    <row r="4049" ht="15.75" customHeight="1">
      <c r="A4049" s="1" t="s">
        <v>11941</v>
      </c>
      <c r="B4049" s="1">
        <v>6.0</v>
      </c>
      <c r="C4049" s="1" t="s">
        <v>11942</v>
      </c>
      <c r="D4049" s="1" t="s">
        <v>8</v>
      </c>
      <c r="E4049" s="1" t="s">
        <v>11943</v>
      </c>
      <c r="F4049" s="1" t="str">
        <f>IFERROR(__xludf.DUMMYFUNCTION("GOOGLETRANSLATE(A4049, ""zh-CN"", ""ko"")"),"거짓말하다")</f>
        <v>거짓말하다</v>
      </c>
    </row>
    <row r="4050" ht="15.75" customHeight="1">
      <c r="A4050" s="1" t="s">
        <v>11944</v>
      </c>
      <c r="B4050" s="1">
        <v>6.0</v>
      </c>
      <c r="C4050" s="1" t="s">
        <v>11945</v>
      </c>
      <c r="D4050" s="1" t="s">
        <v>16</v>
      </c>
      <c r="E4050" s="1" t="s">
        <v>11946</v>
      </c>
      <c r="F4050" s="1" t="str">
        <f>IFERROR(__xludf.DUMMYFUNCTION("GOOGLETRANSLATE(A4050, ""zh-CN"", ""ko"")"),"산문")</f>
        <v>산문</v>
      </c>
    </row>
    <row r="4051" ht="15.75" customHeight="1">
      <c r="A4051" s="1" t="s">
        <v>11947</v>
      </c>
      <c r="B4051" s="1">
        <v>6.0</v>
      </c>
      <c r="C4051" s="1" t="s">
        <v>2845</v>
      </c>
      <c r="D4051" s="1" t="s">
        <v>8</v>
      </c>
      <c r="E4051" s="1" t="s">
        <v>11948</v>
      </c>
      <c r="F4051" s="1" t="str">
        <f>IFERROR(__xludf.DUMMYFUNCTION("GOOGLETRANSLATE(A4051, ""zh-CN"", ""ko"")"),"확산")</f>
        <v>확산</v>
      </c>
    </row>
    <row r="4052" ht="15.75" customHeight="1">
      <c r="A4052" s="1" t="s">
        <v>11949</v>
      </c>
      <c r="B4052" s="1">
        <v>6.0</v>
      </c>
      <c r="C4052" s="1" t="s">
        <v>11950</v>
      </c>
      <c r="D4052" s="1" t="s">
        <v>8</v>
      </c>
      <c r="E4052" s="1" t="s">
        <v>11951</v>
      </c>
      <c r="F4052" s="1" t="str">
        <f>IFERROR(__xludf.DUMMYFUNCTION("GOOGLETRANSLATE(A4052, ""zh-CN"", ""ko"")"),"분산시키다")</f>
        <v>분산시키다</v>
      </c>
    </row>
    <row r="4053" ht="15.75" customHeight="1">
      <c r="A4053" s="1" t="s">
        <v>11952</v>
      </c>
      <c r="B4053" s="1">
        <v>6.0</v>
      </c>
      <c r="C4053" s="1" t="s">
        <v>11953</v>
      </c>
      <c r="D4053" s="1" t="s">
        <v>8</v>
      </c>
      <c r="E4053" s="1" t="s">
        <v>11954</v>
      </c>
      <c r="F4053" s="1" t="str">
        <f>IFERROR(__xludf.DUMMYFUNCTION("GOOGLETRANSLATE(A4053, ""zh-CN"", ""ko"")"),"손실")</f>
        <v>손실</v>
      </c>
    </row>
    <row r="4054" ht="15.75" customHeight="1">
      <c r="A4054" s="1" t="s">
        <v>11955</v>
      </c>
      <c r="B4054" s="1">
        <v>6.0</v>
      </c>
      <c r="C4054" s="1" t="s">
        <v>11956</v>
      </c>
      <c r="D4054" s="1" t="s">
        <v>8</v>
      </c>
      <c r="E4054" s="1" t="s">
        <v>11957</v>
      </c>
      <c r="F4054" s="1" t="str">
        <f>IFERROR(__xludf.DUMMYFUNCTION("GOOGLETRANSLATE(A4054, ""zh-CN"", ""ko"")"),"괴롭힘")</f>
        <v>괴롭힘</v>
      </c>
    </row>
    <row r="4055" ht="15.75" customHeight="1">
      <c r="A4055" s="1" t="s">
        <v>11958</v>
      </c>
      <c r="B4055" s="1">
        <v>6.0</v>
      </c>
      <c r="C4055" s="1" t="s">
        <v>11959</v>
      </c>
      <c r="D4055" s="1" t="s">
        <v>16</v>
      </c>
      <c r="E4055" s="1" t="s">
        <v>11960</v>
      </c>
      <c r="F4055" s="1" t="str">
        <f>IFERROR(__xludf.DUMMYFUNCTION("GOOGLETRANSLATE(A4055, ""zh-CN"", ""ko"")"),"시누이")</f>
        <v>시누이</v>
      </c>
    </row>
    <row r="4056" ht="15.75" customHeight="1">
      <c r="A4056" s="1" t="s">
        <v>11961</v>
      </c>
      <c r="B4056" s="1">
        <v>6.0</v>
      </c>
      <c r="C4056" s="1" t="s">
        <v>11962</v>
      </c>
      <c r="D4056" s="1" t="s">
        <v>875</v>
      </c>
      <c r="E4056" s="1" t="s">
        <v>11963</v>
      </c>
      <c r="F4056" s="1" t="str">
        <f>IFERROR(__xludf.DUMMYFUNCTION("GOOGLETRANSLATE(A4056, ""zh-CN"", ""ko"")"),"브레이크")</f>
        <v>브레이크</v>
      </c>
    </row>
    <row r="4057" ht="15.75" customHeight="1">
      <c r="A4057" s="1" t="s">
        <v>11964</v>
      </c>
      <c r="B4057" s="1">
        <v>6.0</v>
      </c>
      <c r="C4057" s="1" t="s">
        <v>11965</v>
      </c>
      <c r="D4057" s="1" t="s">
        <v>88</v>
      </c>
      <c r="E4057" s="1" t="s">
        <v>11966</v>
      </c>
      <c r="F4057" s="1" t="str">
        <f>IFERROR(__xludf.DUMMYFUNCTION("GOOGLETRANSLATE(A4057, ""zh-CN"", ""ko"")"),"무엇")</f>
        <v>무엇</v>
      </c>
    </row>
    <row r="4058" ht="15.75" customHeight="1">
      <c r="A4058" s="1" t="s">
        <v>11967</v>
      </c>
      <c r="B4058" s="1">
        <v>6.0</v>
      </c>
      <c r="C4058" s="1" t="s">
        <v>11968</v>
      </c>
      <c r="D4058" s="1" t="s">
        <v>8</v>
      </c>
      <c r="E4058" s="1" t="s">
        <v>11969</v>
      </c>
      <c r="F4058" s="1" t="str">
        <f>IFERROR(__xludf.DUMMYFUNCTION("GOOGLETRANSLATE(A4058, ""zh-CN"", ""ko"")"),"필터")</f>
        <v>필터</v>
      </c>
    </row>
    <row r="4059" ht="15.75" customHeight="1">
      <c r="A4059" s="1" t="s">
        <v>11970</v>
      </c>
      <c r="B4059" s="1">
        <v>6.0</v>
      </c>
      <c r="C4059" s="1" t="s">
        <v>11971</v>
      </c>
      <c r="D4059" s="1" t="s">
        <v>16</v>
      </c>
      <c r="E4059" s="1" t="s">
        <v>11972</v>
      </c>
      <c r="F4059" s="1" t="str">
        <f>IFERROR(__xludf.DUMMYFUNCTION("GOOGLETRANSLATE(A4059, ""zh-CN"", ""ko"")"),"산맥")</f>
        <v>산맥</v>
      </c>
    </row>
    <row r="4060" ht="15.75" customHeight="1">
      <c r="A4060" s="1" t="s">
        <v>11973</v>
      </c>
      <c r="B4060" s="1">
        <v>6.0</v>
      </c>
      <c r="C4060" s="1" t="s">
        <v>11974</v>
      </c>
      <c r="D4060" s="1" t="s">
        <v>8</v>
      </c>
      <c r="E4060" s="1" t="s">
        <v>11975</v>
      </c>
      <c r="F4060" s="1" t="str">
        <f>IFERROR(__xludf.DUMMYFUNCTION("GOOGLETRANSLATE(A4060, ""zh-CN"", ""ko"")"),"깜빡임")</f>
        <v>깜빡임</v>
      </c>
    </row>
    <row r="4061" ht="15.75" customHeight="1">
      <c r="A4061" s="1" t="s">
        <v>11976</v>
      </c>
      <c r="B4061" s="1">
        <v>6.0</v>
      </c>
      <c r="C4061" s="1" t="s">
        <v>11977</v>
      </c>
      <c r="D4061" s="1" t="s">
        <v>8</v>
      </c>
      <c r="E4061" s="1" t="s">
        <v>11978</v>
      </c>
      <c r="F4061" s="1" t="str">
        <f>IFERROR(__xludf.DUMMYFUNCTION("GOOGLETRANSLATE(A4061, ""zh-CN"", ""ko"")"),"숙련된")</f>
        <v>숙련된</v>
      </c>
    </row>
    <row r="4062" ht="15.75" customHeight="1">
      <c r="A4062" s="1" t="s">
        <v>11979</v>
      </c>
      <c r="B4062" s="1">
        <v>6.0</v>
      </c>
      <c r="C4062" s="1" t="s">
        <v>11980</v>
      </c>
      <c r="D4062" s="1" t="s">
        <v>33</v>
      </c>
      <c r="E4062" s="1" t="s">
        <v>11981</v>
      </c>
      <c r="F4062" s="1" t="str">
        <f>IFERROR(__xludf.DUMMYFUNCTION("GOOGLETRANSLATE(A4062, ""zh-CN"", ""ko"")"),"무단")</f>
        <v>무단</v>
      </c>
    </row>
    <row r="4063" ht="15.75" customHeight="1">
      <c r="A4063" s="1" t="s">
        <v>11982</v>
      </c>
      <c r="B4063" s="1">
        <v>6.0</v>
      </c>
      <c r="C4063" s="1" t="s">
        <v>11983</v>
      </c>
      <c r="D4063" s="1" t="s">
        <v>16</v>
      </c>
      <c r="E4063" s="1" t="s">
        <v>11984</v>
      </c>
      <c r="F4063" s="1" t="str">
        <f>IFERROR(__xludf.DUMMYFUNCTION("GOOGLETRANSLATE(A4063, ""zh-CN"", ""ko"")"),"등록 상표")</f>
        <v>등록 상표</v>
      </c>
    </row>
    <row r="4064" ht="15.75" customHeight="1">
      <c r="A4064" s="1" t="s">
        <v>11985</v>
      </c>
      <c r="B4064" s="1">
        <v>6.0</v>
      </c>
      <c r="C4064" s="1" t="s">
        <v>11986</v>
      </c>
      <c r="E4064" s="1" t="s">
        <v>11987</v>
      </c>
      <c r="F4064" s="1" t="str">
        <f>IFERROR(__xludf.DUMMYFUNCTION("GOOGLETRANSLATE(A4064, ""zh-CN"", ""ko"")"),"귀찮은")</f>
        <v>귀찮은</v>
      </c>
    </row>
    <row r="4065" ht="15.75" customHeight="1">
      <c r="A4065" s="1" t="s">
        <v>11988</v>
      </c>
      <c r="B4065" s="1">
        <v>6.0</v>
      </c>
      <c r="C4065" s="1" t="s">
        <v>11989</v>
      </c>
      <c r="D4065" s="1" t="s">
        <v>16</v>
      </c>
      <c r="E4065" s="1" t="s">
        <v>11990</v>
      </c>
      <c r="F4065" s="1" t="str">
        <f>IFERROR(__xludf.DUMMYFUNCTION("GOOGLETRANSLATE(A4065, ""zh-CN"", ""ko"")"),"우수한")</f>
        <v>우수한</v>
      </c>
    </row>
    <row r="4066" ht="15.75" customHeight="1">
      <c r="A4066" s="1" t="s">
        <v>11991</v>
      </c>
      <c r="B4066" s="1">
        <v>6.0</v>
      </c>
      <c r="C4066" s="1" t="s">
        <v>11992</v>
      </c>
      <c r="D4066" s="1" t="s">
        <v>52</v>
      </c>
      <c r="E4066" s="1" t="s">
        <v>11993</v>
      </c>
      <c r="F4066" s="1" t="str">
        <f>IFERROR(__xludf.DUMMYFUNCTION("GOOGLETRANSLATE(A4066, ""zh-CN"", ""ko"")"),"거창한")</f>
        <v>거창한</v>
      </c>
    </row>
    <row r="4067" ht="15.75" customHeight="1">
      <c r="A4067" s="1" t="s">
        <v>11994</v>
      </c>
      <c r="B4067" s="1">
        <v>6.0</v>
      </c>
      <c r="C4067" s="1" t="s">
        <v>11995</v>
      </c>
      <c r="D4067" s="1" t="s">
        <v>33</v>
      </c>
      <c r="E4067" s="1" t="s">
        <v>11996</v>
      </c>
      <c r="F4067" s="1" t="str">
        <f>IFERROR(__xludf.DUMMYFUNCTION("GOOGLETRANSLATE(A4067, ""zh-CN"", ""ko"")"),"아직")</f>
        <v>아직</v>
      </c>
    </row>
    <row r="4068" ht="15.75" customHeight="1">
      <c r="A4068" s="1" t="s">
        <v>11997</v>
      </c>
      <c r="B4068" s="1">
        <v>6.0</v>
      </c>
      <c r="C4068" s="1" t="s">
        <v>11998</v>
      </c>
      <c r="D4068" s="1" t="s">
        <v>8</v>
      </c>
      <c r="E4068" s="1" t="s">
        <v>11999</v>
      </c>
      <c r="F4068" s="1" t="str">
        <f>IFERROR(__xludf.DUMMYFUNCTION("GOOGLETRANSLATE(A4068, ""zh-CN"", ""ko"")"),"취임하다")</f>
        <v>취임하다</v>
      </c>
    </row>
    <row r="4069" ht="15.75" customHeight="1">
      <c r="A4069" s="1" t="s">
        <v>12000</v>
      </c>
      <c r="B4069" s="1">
        <v>6.0</v>
      </c>
      <c r="C4069" s="1" t="s">
        <v>12001</v>
      </c>
      <c r="D4069" s="1" t="s">
        <v>8</v>
      </c>
      <c r="E4069" s="1" t="s">
        <v>12002</v>
      </c>
      <c r="F4069" s="1" t="str">
        <f>IFERROR(__xludf.DUMMYFUNCTION("GOOGLETRANSLATE(A4069, ""zh-CN"", ""ko"")"),"탐닉")</f>
        <v>탐닉</v>
      </c>
    </row>
    <row r="4070" ht="15.75" customHeight="1">
      <c r="A4070" s="1" t="s">
        <v>12003</v>
      </c>
      <c r="B4070" s="1">
        <v>6.0</v>
      </c>
      <c r="C4070" s="1" t="s">
        <v>12004</v>
      </c>
      <c r="D4070" s="1" t="s">
        <v>16</v>
      </c>
      <c r="E4070" s="1" t="s">
        <v>12005</v>
      </c>
      <c r="F4070" s="1" t="str">
        <f>IFERROR(__xludf.DUMMYFUNCTION("GOOGLETRANSLATE(A4070, ""zh-CN"", ""ko"")"),"상류")</f>
        <v>상류</v>
      </c>
    </row>
    <row r="4071" ht="15.75" customHeight="1">
      <c r="A4071" s="1" t="s">
        <v>12006</v>
      </c>
      <c r="B4071" s="1">
        <v>6.0</v>
      </c>
      <c r="C4071" s="1" t="s">
        <v>12007</v>
      </c>
      <c r="D4071" s="1" t="s">
        <v>16</v>
      </c>
      <c r="E4071" s="1" t="s">
        <v>12008</v>
      </c>
      <c r="F4071" s="1" t="str">
        <f>IFERROR(__xludf.DUMMYFUNCTION("GOOGLETRANSLATE(A4071, ""zh-CN"", ""ko"")"),"팁")</f>
        <v>팁</v>
      </c>
    </row>
    <row r="4072" ht="15.75" customHeight="1">
      <c r="A4072" s="1" t="s">
        <v>12009</v>
      </c>
      <c r="B4072" s="1">
        <v>6.0</v>
      </c>
      <c r="C4072" s="1" t="s">
        <v>12007</v>
      </c>
      <c r="D4072" s="1" t="s">
        <v>8</v>
      </c>
      <c r="E4072" s="1" t="s">
        <v>12010</v>
      </c>
      <c r="F4072" s="1" t="str">
        <f>IFERROR(__xludf.DUMMYFUNCTION("GOOGLETRANSLATE(A4072, ""zh-CN"", ""ko"")"),"가져가세요")</f>
        <v>가져가세요</v>
      </c>
    </row>
    <row r="4073" ht="15.75" customHeight="1">
      <c r="A4073" s="1" t="s">
        <v>12011</v>
      </c>
      <c r="B4073" s="1">
        <v>6.0</v>
      </c>
      <c r="C4073" s="1" t="s">
        <v>12012</v>
      </c>
      <c r="D4073" s="1" t="s">
        <v>16</v>
      </c>
      <c r="E4073" s="1" t="s">
        <v>12013</v>
      </c>
      <c r="F4073" s="1" t="str">
        <f>IFERROR(__xludf.DUMMYFUNCTION("GOOGLETRANSLATE(A4073, ""zh-CN"", ""ko"")"),"우편")</f>
        <v>우편</v>
      </c>
    </row>
    <row r="4074" ht="15.75" customHeight="1">
      <c r="A4074" s="1" t="s">
        <v>12014</v>
      </c>
      <c r="B4074" s="1">
        <v>6.0</v>
      </c>
      <c r="C4074" s="1" t="s">
        <v>12015</v>
      </c>
      <c r="D4074" s="1" t="s">
        <v>52</v>
      </c>
      <c r="E4074" s="1" t="s">
        <v>12016</v>
      </c>
      <c r="F4074" s="1" t="str">
        <f>IFERROR(__xludf.DUMMYFUNCTION("GOOGLETRANSLATE(A4074, ""zh-CN"", ""ko"")"),"사치")</f>
        <v>사치</v>
      </c>
    </row>
    <row r="4075" ht="15.75" customHeight="1">
      <c r="A4075" s="1" t="s">
        <v>12017</v>
      </c>
      <c r="B4075" s="1">
        <v>6.0</v>
      </c>
      <c r="C4075" s="1" t="s">
        <v>12018</v>
      </c>
      <c r="D4075" s="1" t="s">
        <v>16</v>
      </c>
      <c r="E4075" s="1" t="s">
        <v>12019</v>
      </c>
      <c r="F4075" s="1" t="str">
        <f>IFERROR(__xludf.DUMMYFUNCTION("GOOGLETRANSLATE(A4075, ""zh-CN"", ""ko"")"),"혀")</f>
        <v>혀</v>
      </c>
    </row>
    <row r="4076" ht="15.75" customHeight="1">
      <c r="A4076" s="1" t="s">
        <v>12020</v>
      </c>
      <c r="B4076" s="1">
        <v>6.0</v>
      </c>
      <c r="C4076" s="1" t="s">
        <v>12021</v>
      </c>
      <c r="D4076" s="1" t="s">
        <v>8</v>
      </c>
      <c r="E4076" s="1" t="s">
        <v>12022</v>
      </c>
      <c r="F4076" s="1" t="str">
        <f>IFERROR(__xludf.DUMMYFUNCTION("GOOGLETRANSLATE(A4076, ""zh-CN"", ""ko"")"),"포함하다")</f>
        <v>포함하다</v>
      </c>
    </row>
    <row r="4077" ht="15.75" customHeight="1">
      <c r="A4077" s="1" t="s">
        <v>12023</v>
      </c>
      <c r="B4077" s="1">
        <v>6.0</v>
      </c>
      <c r="C4077" s="1" t="s">
        <v>12024</v>
      </c>
      <c r="D4077" s="1" t="s">
        <v>8</v>
      </c>
      <c r="E4077" s="1" t="s">
        <v>12025</v>
      </c>
      <c r="F4077" s="1" t="str">
        <f>IFERROR(__xludf.DUMMYFUNCTION("GOOGLETRANSLATE(A4077, ""zh-CN"", ""ko"")"),"설정")</f>
        <v>설정</v>
      </c>
    </row>
    <row r="4078" ht="15.75" customHeight="1">
      <c r="A4078" s="1" t="s">
        <v>12026</v>
      </c>
      <c r="B4078" s="1">
        <v>6.0</v>
      </c>
      <c r="C4078" s="1" t="s">
        <v>12027</v>
      </c>
      <c r="D4078" s="1" t="s">
        <v>16</v>
      </c>
      <c r="E4078" s="1" t="s">
        <v>12028</v>
      </c>
      <c r="F4078" s="1" t="str">
        <f>IFERROR(__xludf.DUMMYFUNCTION("GOOGLETRANSLATE(A4078, ""zh-CN"", ""ko"")"),"지역 사회")</f>
        <v>지역 사회</v>
      </c>
    </row>
    <row r="4079" ht="15.75" customHeight="1">
      <c r="A4079" s="1" t="s">
        <v>12029</v>
      </c>
      <c r="B4079" s="1">
        <v>6.0</v>
      </c>
      <c r="C4079" s="1" t="s">
        <v>12030</v>
      </c>
      <c r="D4079" s="1" t="s">
        <v>26</v>
      </c>
      <c r="E4079" s="1" t="s">
        <v>12031</v>
      </c>
      <c r="F4079" s="1" t="str">
        <f>IFERROR(__xludf.DUMMYFUNCTION("GOOGLETRANSLATE(A4079, ""zh-CN"", ""ko"")"),"섭씨")</f>
        <v>섭씨</v>
      </c>
    </row>
    <row r="4080" ht="15.75" customHeight="1">
      <c r="A4080" s="1" t="s">
        <v>12032</v>
      </c>
      <c r="B4080" s="1">
        <v>6.0</v>
      </c>
      <c r="C4080" s="1" t="s">
        <v>12033</v>
      </c>
      <c r="D4080" s="1" t="s">
        <v>8</v>
      </c>
      <c r="E4080" s="1" t="s">
        <v>12034</v>
      </c>
      <c r="F4080" s="1" t="str">
        <f>IFERROR(__xludf.DUMMYFUNCTION("GOOGLETRANSLATE(A4080, ""zh-CN"", ""ko"")"),"상상하다")</f>
        <v>상상하다</v>
      </c>
    </row>
    <row r="4081" ht="15.75" customHeight="1">
      <c r="A4081" s="1" t="s">
        <v>12035</v>
      </c>
      <c r="B4081" s="1">
        <v>6.0</v>
      </c>
      <c r="C4081" s="1" t="s">
        <v>12036</v>
      </c>
      <c r="D4081" s="1" t="s">
        <v>8</v>
      </c>
      <c r="E4081" s="1" t="s">
        <v>12037</v>
      </c>
      <c r="F4081" s="1" t="str">
        <f>IFERROR(__xludf.DUMMYFUNCTION("GOOGLETRANSLATE(A4081, ""zh-CN"", ""ko"")"),"설정")</f>
        <v>설정</v>
      </c>
    </row>
    <row r="4082" ht="15.75" customHeight="1">
      <c r="A4082" s="1" t="s">
        <v>12038</v>
      </c>
      <c r="B4082" s="1">
        <v>6.0</v>
      </c>
      <c r="C4082" s="1" t="s">
        <v>12039</v>
      </c>
      <c r="D4082" s="1" t="s">
        <v>52</v>
      </c>
      <c r="E4082" s="1" t="s">
        <v>12040</v>
      </c>
      <c r="F4082" s="1" t="str">
        <f>IFERROR(__xludf.DUMMYFUNCTION("GOOGLETRANSLATE(A4082, ""zh-CN"", ""ko"")"),"심오한")</f>
        <v>심오한</v>
      </c>
    </row>
    <row r="4083" ht="15.75" customHeight="1">
      <c r="A4083" s="1" t="s">
        <v>12041</v>
      </c>
      <c r="B4083" s="1">
        <v>6.0</v>
      </c>
      <c r="C4083" s="1" t="s">
        <v>12042</v>
      </c>
      <c r="D4083" s="1" t="s">
        <v>8</v>
      </c>
      <c r="E4083" s="1" t="s">
        <v>12043</v>
      </c>
      <c r="F4083" s="1" t="str">
        <f>IFERROR(__xludf.DUMMYFUNCTION("GOOGLETRANSLATE(A4083, ""zh-CN"", ""ko"")"),"선언하다")</f>
        <v>선언하다</v>
      </c>
    </row>
    <row r="4084" ht="15.75" customHeight="1">
      <c r="A4084" s="1" t="s">
        <v>12044</v>
      </c>
      <c r="B4084" s="1">
        <v>6.0</v>
      </c>
      <c r="C4084" s="1" t="s">
        <v>12045</v>
      </c>
      <c r="D4084" s="1" t="s">
        <v>52</v>
      </c>
      <c r="E4084" s="1" t="s">
        <v>12046</v>
      </c>
      <c r="F4084" s="1" t="str">
        <f>IFERROR(__xludf.DUMMYFUNCTION("GOOGLETRANSLATE(A4084, ""zh-CN"", ""ko"")"),"깊은")</f>
        <v>깊은</v>
      </c>
    </row>
    <row r="4085" ht="15.75" customHeight="1">
      <c r="A4085" s="1" t="s">
        <v>12047</v>
      </c>
      <c r="B4085" s="1">
        <v>6.0</v>
      </c>
      <c r="C4085" s="1" t="s">
        <v>12048</v>
      </c>
      <c r="E4085" s="1" t="s">
        <v>12049</v>
      </c>
      <c r="F4085" s="1" t="str">
        <f>IFERROR(__xludf.DUMMYFUNCTION("GOOGLETRANSLATE(A4085, ""zh-CN"", ""ko"")"),"깊은 애정")</f>
        <v>깊은 애정</v>
      </c>
    </row>
    <row r="4086" ht="15.75" customHeight="1">
      <c r="A4086" s="1" t="s">
        <v>12050</v>
      </c>
      <c r="B4086" s="1">
        <v>6.0</v>
      </c>
      <c r="C4086" s="1" t="s">
        <v>12051</v>
      </c>
      <c r="D4086" s="1" t="s">
        <v>16</v>
      </c>
      <c r="E4086" s="1" t="s">
        <v>12052</v>
      </c>
      <c r="F4086" s="1" t="str">
        <f>IFERROR(__xludf.DUMMYFUNCTION("GOOGLETRANSLATE(A4086, ""zh-CN"", ""ko"")"),"신사")</f>
        <v>신사</v>
      </c>
    </row>
    <row r="4087" ht="15.75" customHeight="1">
      <c r="A4087" s="1" t="s">
        <v>12053</v>
      </c>
      <c r="B4087" s="1">
        <v>6.0</v>
      </c>
      <c r="C4087" s="1" t="s">
        <v>12054</v>
      </c>
      <c r="D4087" s="1" t="s">
        <v>8</v>
      </c>
      <c r="E4087" s="1" t="s">
        <v>12055</v>
      </c>
      <c r="F4087" s="1" t="str">
        <f>IFERROR(__xludf.DUMMYFUNCTION("GOOGLETRANSLATE(A4087, ""zh-CN"", ""ko"")"),"신음 소리")</f>
        <v>신음 소리</v>
      </c>
    </row>
    <row r="4088" ht="15.75" customHeight="1">
      <c r="A4088" s="1" t="s">
        <v>12056</v>
      </c>
      <c r="B4088" s="1">
        <v>6.0</v>
      </c>
      <c r="C4088" s="1" t="s">
        <v>12057</v>
      </c>
      <c r="D4088" s="1" t="s">
        <v>16</v>
      </c>
      <c r="E4088" s="1" t="s">
        <v>12058</v>
      </c>
      <c r="F4088" s="1" t="str">
        <f>IFERROR(__xludf.DUMMYFUNCTION("GOOGLETRANSLATE(A4088, ""zh-CN"", ""ko"")"),"신경 이상")</f>
        <v>신경 이상</v>
      </c>
    </row>
    <row r="4089" ht="15.75" customHeight="1">
      <c r="A4089" s="1" t="s">
        <v>12059</v>
      </c>
      <c r="B4089" s="1">
        <v>6.0</v>
      </c>
      <c r="C4089" s="1" t="s">
        <v>12060</v>
      </c>
      <c r="D4089" s="1" t="s">
        <v>52</v>
      </c>
      <c r="E4089" s="1" t="s">
        <v>12061</v>
      </c>
      <c r="F4089" s="1" t="str">
        <f>IFERROR(__xludf.DUMMYFUNCTION("GOOGLETRANSLATE(A4089, ""zh-CN"", ""ko"")"),"마법")</f>
        <v>마법</v>
      </c>
    </row>
    <row r="4090" ht="15.75" customHeight="1">
      <c r="A4090" s="1" t="s">
        <v>12062</v>
      </c>
      <c r="B4090" s="1">
        <v>6.0</v>
      </c>
      <c r="C4090" s="1" t="s">
        <v>12063</v>
      </c>
      <c r="D4090" s="1" t="s">
        <v>16</v>
      </c>
      <c r="E4090" s="1" t="s">
        <v>12064</v>
      </c>
      <c r="F4090" s="1" t="str">
        <f>IFERROR(__xludf.DUMMYFUNCTION("GOOGLETRANSLATE(A4090, ""zh-CN"", ""ko"")"),"공기")</f>
        <v>공기</v>
      </c>
    </row>
    <row r="4091" ht="15.75" customHeight="1">
      <c r="A4091" s="1" t="s">
        <v>12065</v>
      </c>
      <c r="B4091" s="1">
        <v>6.0</v>
      </c>
      <c r="C4091" s="1" t="s">
        <v>12066</v>
      </c>
      <c r="D4091" s="1" t="s">
        <v>52</v>
      </c>
      <c r="E4091" s="1" t="s">
        <v>12067</v>
      </c>
      <c r="F4091" s="1" t="str">
        <f>IFERROR(__xludf.DUMMYFUNCTION("GOOGLETRANSLATE(A4091, ""zh-CN"", ""ko"")"),"신성한")</f>
        <v>신성한</v>
      </c>
    </row>
    <row r="4092" ht="15.75" customHeight="1">
      <c r="A4092" s="1" t="s">
        <v>12068</v>
      </c>
      <c r="B4092" s="1">
        <v>6.0</v>
      </c>
      <c r="C4092" s="1" t="s">
        <v>12069</v>
      </c>
      <c r="D4092" s="1" t="s">
        <v>16</v>
      </c>
      <c r="E4092" s="1" t="s">
        <v>12070</v>
      </c>
      <c r="F4092" s="1" t="str">
        <f>IFERROR(__xludf.DUMMYFUNCTION("GOOGLETRANSLATE(A4092, ""zh-CN"", ""ko"")"),"표현")</f>
        <v>표현</v>
      </c>
    </row>
    <row r="4093" ht="15.75" customHeight="1">
      <c r="A4093" s="1" t="s">
        <v>12071</v>
      </c>
      <c r="B4093" s="1">
        <v>6.0</v>
      </c>
      <c r="C4093" s="1" t="s">
        <v>12072</v>
      </c>
      <c r="D4093" s="1" t="s">
        <v>16</v>
      </c>
      <c r="E4093" s="1" t="s">
        <v>12073</v>
      </c>
      <c r="F4093" s="1" t="str">
        <f>IFERROR(__xludf.DUMMYFUNCTION("GOOGLETRANSLATE(A4093, ""zh-CN"", ""ko"")"),"죽지 않는")</f>
        <v>죽지 않는</v>
      </c>
    </row>
    <row r="4094" ht="15.75" customHeight="1">
      <c r="A4094" s="1" t="s">
        <v>12074</v>
      </c>
      <c r="B4094" s="1">
        <v>6.0</v>
      </c>
      <c r="C4094" s="1" t="s">
        <v>12075</v>
      </c>
      <c r="D4094" s="1" t="s">
        <v>8</v>
      </c>
      <c r="E4094" s="1" t="s">
        <v>12076</v>
      </c>
      <c r="F4094" s="1" t="str">
        <f>IFERROR(__xludf.DUMMYFUNCTION("GOOGLETRANSLATE(A4094, ""zh-CN"", ""ko"")"),"검토")</f>
        <v>검토</v>
      </c>
    </row>
    <row r="4095" ht="15.75" customHeight="1">
      <c r="A4095" s="1" t="s">
        <v>12077</v>
      </c>
      <c r="B4095" s="1">
        <v>6.0</v>
      </c>
      <c r="C4095" s="1" t="s">
        <v>12078</v>
      </c>
      <c r="D4095" s="1" t="s">
        <v>8</v>
      </c>
      <c r="E4095" s="1" t="s">
        <v>12079</v>
      </c>
      <c r="F4095" s="1" t="str">
        <f>IFERROR(__xludf.DUMMYFUNCTION("GOOGLETRANSLATE(A4095, ""zh-CN"", ""ko"")"),"재판")</f>
        <v>재판</v>
      </c>
    </row>
    <row r="4096" ht="15.75" customHeight="1">
      <c r="A4096" s="1" t="s">
        <v>12080</v>
      </c>
      <c r="B4096" s="1">
        <v>6.0</v>
      </c>
      <c r="C4096" s="1" t="s">
        <v>12081</v>
      </c>
      <c r="D4096" s="1" t="s">
        <v>8</v>
      </c>
      <c r="E4096" s="1" t="s">
        <v>12082</v>
      </c>
      <c r="F4096" s="1" t="str">
        <f>IFERROR(__xludf.DUMMYFUNCTION("GOOGLETRANSLATE(A4096, ""zh-CN"", ""ko"")"),"미학")</f>
        <v>미학</v>
      </c>
    </row>
    <row r="4097" ht="15.75" customHeight="1">
      <c r="A4097" s="1" t="s">
        <v>12083</v>
      </c>
      <c r="B4097" s="1">
        <v>6.0</v>
      </c>
      <c r="C4097" s="1" t="s">
        <v>12084</v>
      </c>
      <c r="D4097" s="1" t="s">
        <v>8</v>
      </c>
      <c r="E4097" s="1" t="s">
        <v>12085</v>
      </c>
      <c r="F4097" s="1" t="str">
        <f>IFERROR(__xludf.DUMMYFUNCTION("GOOGLETRANSLATE(A4097, ""zh-CN"", ""ko"")"),"재판")</f>
        <v>재판</v>
      </c>
    </row>
    <row r="4098" ht="15.75" customHeight="1">
      <c r="A4098" s="1" t="s">
        <v>12086</v>
      </c>
      <c r="B4098" s="1">
        <v>6.0</v>
      </c>
      <c r="C4098" s="1" t="s">
        <v>12087</v>
      </c>
      <c r="D4098" s="1" t="s">
        <v>8</v>
      </c>
      <c r="E4098" s="1" t="s">
        <v>12088</v>
      </c>
      <c r="F4098" s="1" t="str">
        <f>IFERROR(__xludf.DUMMYFUNCTION("GOOGLETRANSLATE(A4098, ""zh-CN"", ""ko"")"),"침투")</f>
        <v>침투</v>
      </c>
    </row>
    <row r="4099" ht="15.75" customHeight="1">
      <c r="A4099" s="1" t="s">
        <v>12089</v>
      </c>
      <c r="B4099" s="1">
        <v>6.0</v>
      </c>
      <c r="C4099" s="1" t="s">
        <v>12090</v>
      </c>
      <c r="D4099" s="1" t="s">
        <v>8</v>
      </c>
      <c r="E4099" s="1" t="s">
        <v>12091</v>
      </c>
      <c r="F4099" s="1" t="str">
        <f>IFERROR(__xludf.DUMMYFUNCTION("GOOGLETRANSLATE(A4099, ""zh-CN"", ""ko"")"),"주의 깊은")</f>
        <v>주의 깊은</v>
      </c>
    </row>
    <row r="4100" ht="15.75" customHeight="1">
      <c r="A4100" s="1" t="s">
        <v>12092</v>
      </c>
      <c r="B4100" s="1">
        <v>6.0</v>
      </c>
      <c r="C4100" s="1" t="s">
        <v>12093</v>
      </c>
      <c r="D4100" s="1" t="s">
        <v>16</v>
      </c>
      <c r="E4100" s="1" t="s">
        <v>12094</v>
      </c>
      <c r="F4100" s="1" t="str">
        <f>IFERROR(__xludf.DUMMYFUNCTION("GOOGLETRANSLATE(A4100, ""zh-CN"", ""ko"")"),"가축")</f>
        <v>가축</v>
      </c>
    </row>
    <row r="4101" ht="15.75" customHeight="1">
      <c r="A4101" s="1" t="s">
        <v>12095</v>
      </c>
      <c r="B4101" s="1">
        <v>6.0</v>
      </c>
      <c r="C4101" s="1" t="s">
        <v>12096</v>
      </c>
      <c r="D4101" s="1" t="s">
        <v>8</v>
      </c>
      <c r="E4101" s="1" t="s">
        <v>12097</v>
      </c>
      <c r="F4101" s="1" t="str">
        <f>IFERROR(__xludf.DUMMYFUNCTION("GOOGLETRANSLATE(A4101, ""zh-CN"", ""ko"")"),"생존하다")</f>
        <v>생존하다</v>
      </c>
    </row>
    <row r="4102" ht="15.75" customHeight="1">
      <c r="A4102" s="1" t="s">
        <v>12098</v>
      </c>
      <c r="B4102" s="1">
        <v>6.0</v>
      </c>
      <c r="C4102" s="1" t="s">
        <v>12099</v>
      </c>
      <c r="D4102" s="1" t="s">
        <v>16</v>
      </c>
      <c r="E4102" s="1" t="s">
        <v>12100</v>
      </c>
      <c r="F4102" s="1" t="str">
        <f>IFERROR(__xludf.DUMMYFUNCTION("GOOGLETRANSLATE(A4102, ""zh-CN"", ""ko"")"),"활력")</f>
        <v>활력</v>
      </c>
    </row>
    <row r="4103" ht="15.75" customHeight="1">
      <c r="A4103" s="1" t="s">
        <v>12101</v>
      </c>
      <c r="B4103" s="1">
        <v>6.0</v>
      </c>
      <c r="C4103" s="1" t="s">
        <v>12102</v>
      </c>
      <c r="D4103" s="1" t="s">
        <v>16</v>
      </c>
      <c r="E4103" s="1" t="s">
        <v>12103</v>
      </c>
      <c r="F4103" s="1" t="str">
        <f>IFERROR(__xludf.DUMMYFUNCTION("GOOGLETRANSLATE(A4103, ""zh-CN"", ""ko"")"),"생리적")</f>
        <v>생리적</v>
      </c>
    </row>
    <row r="4104" ht="15.75" customHeight="1">
      <c r="A4104" s="1" t="s">
        <v>12104</v>
      </c>
      <c r="B4104" s="1">
        <v>6.0</v>
      </c>
      <c r="C4104" s="1" t="s">
        <v>12105</v>
      </c>
      <c r="D4104" s="1" t="s">
        <v>8</v>
      </c>
      <c r="E4104" s="1" t="s">
        <v>12106</v>
      </c>
      <c r="F4104" s="1" t="str">
        <f>IFERROR(__xludf.DUMMYFUNCTION("GOOGLETRANSLATE(A4104, ""zh-CN"", ""ko"")"),"성명")</f>
        <v>성명</v>
      </c>
    </row>
    <row r="4105" ht="15.75" customHeight="1">
      <c r="A4105" s="1" t="s">
        <v>12107</v>
      </c>
      <c r="B4105" s="1">
        <v>6.0</v>
      </c>
      <c r="C4105" s="1" t="s">
        <v>12108</v>
      </c>
      <c r="D4105" s="1" t="s">
        <v>16</v>
      </c>
      <c r="E4105" s="1" t="s">
        <v>12109</v>
      </c>
      <c r="F4105" s="1" t="str">
        <f>IFERROR(__xludf.DUMMYFUNCTION("GOOGLETRANSLATE(A4105, ""zh-CN"", ""ko"")"),"기세")</f>
        <v>기세</v>
      </c>
    </row>
    <row r="4106" ht="15.75" customHeight="1">
      <c r="A4106" s="1" t="s">
        <v>12110</v>
      </c>
      <c r="B4106" s="1">
        <v>6.0</v>
      </c>
      <c r="C4106" s="1" t="s">
        <v>12111</v>
      </c>
      <c r="D4106" s="1" t="s">
        <v>52</v>
      </c>
      <c r="E4106" s="1" t="s">
        <v>12112</v>
      </c>
      <c r="F4106" s="1" t="str">
        <f>IFERROR(__xludf.DUMMYFUNCTION("GOOGLETRANSLATE(A4106, ""zh-CN"", ""ko"")"),"녹슨")</f>
        <v>녹슨</v>
      </c>
    </row>
    <row r="4107" ht="15.75" customHeight="1">
      <c r="A4107" s="1" t="s">
        <v>12113</v>
      </c>
      <c r="B4107" s="1">
        <v>6.0</v>
      </c>
      <c r="C4107" s="1" t="s">
        <v>12114</v>
      </c>
      <c r="D4107" s="1" t="s">
        <v>16</v>
      </c>
      <c r="E4107" s="1" t="s">
        <v>12115</v>
      </c>
      <c r="F4107" s="1" t="str">
        <f>IFERROR(__xludf.DUMMYFUNCTION("GOOGLETRANSLATE(A4107, ""zh-CN"", ""ko"")"),"생태학")</f>
        <v>생태학</v>
      </c>
    </row>
    <row r="4108" ht="15.75" customHeight="1">
      <c r="A4108" s="1" t="s">
        <v>12116</v>
      </c>
      <c r="B4108" s="1">
        <v>6.0</v>
      </c>
      <c r="C4108" s="1" t="s">
        <v>12117</v>
      </c>
      <c r="D4108" s="1" t="s">
        <v>16</v>
      </c>
      <c r="E4108" s="1" t="s">
        <v>12118</v>
      </c>
      <c r="F4108" s="1" t="str">
        <f>IFERROR(__xludf.DUMMYFUNCTION("GOOGLETRANSLATE(A4108, ""zh-CN"", ""ko"")"),"생물학")</f>
        <v>생물학</v>
      </c>
    </row>
    <row r="4109" ht="15.75" customHeight="1">
      <c r="A4109" s="1" t="s">
        <v>12119</v>
      </c>
      <c r="B4109" s="1">
        <v>6.0</v>
      </c>
      <c r="C4109" s="1" t="s">
        <v>12120</v>
      </c>
      <c r="D4109" s="1" t="s">
        <v>16</v>
      </c>
      <c r="E4109" s="1" t="s">
        <v>12121</v>
      </c>
      <c r="F4109" s="1" t="str">
        <f>IFERROR(__xludf.DUMMYFUNCTION("GOOGLETRANSLATE(A4109, ""zh-CN"", ""ko"")"),"중국 십이지신")</f>
        <v>중국 십이지신</v>
      </c>
    </row>
    <row r="4110" ht="15.75" customHeight="1">
      <c r="A4110" s="1" t="s">
        <v>12122</v>
      </c>
      <c r="B4110" s="1">
        <v>6.0</v>
      </c>
      <c r="C4110" s="1" t="s">
        <v>12120</v>
      </c>
      <c r="D4110" s="1" t="s">
        <v>52</v>
      </c>
      <c r="E4110" s="1" t="s">
        <v>12123</v>
      </c>
      <c r="F4110" s="1" t="str">
        <f>IFERROR(__xludf.DUMMYFUNCTION("GOOGLETRANSLATE(A4110, ""zh-CN"", ""ko"")"),"효과적인")</f>
        <v>효과적인</v>
      </c>
    </row>
    <row r="4111" ht="15.75" customHeight="1">
      <c r="A4111" s="1" t="s">
        <v>12124</v>
      </c>
      <c r="B4111" s="1">
        <v>6.0</v>
      </c>
      <c r="C4111" s="1" t="s">
        <v>12125</v>
      </c>
      <c r="D4111" s="1" t="s">
        <v>8</v>
      </c>
      <c r="E4111" s="1" t="s">
        <v>12126</v>
      </c>
      <c r="F4111" s="1" t="str">
        <f>IFERROR(__xludf.DUMMYFUNCTION("GOOGLETRANSLATE(A4111, ""zh-CN"", ""ko"")"),"녹")</f>
        <v>녹</v>
      </c>
    </row>
    <row r="4112" ht="15.75" customHeight="1">
      <c r="A4112" s="1" t="s">
        <v>12127</v>
      </c>
      <c r="B4112" s="1">
        <v>6.0</v>
      </c>
      <c r="C4112" s="1" t="s">
        <v>12128</v>
      </c>
      <c r="D4112" s="1" t="s">
        <v>16</v>
      </c>
      <c r="E4112" s="1" t="s">
        <v>12129</v>
      </c>
      <c r="F4112" s="1" t="str">
        <f>IFERROR(__xludf.DUMMYFUNCTION("GOOGLETRANSLATE(A4112, ""zh-CN"", ""ko"")"),"평판")</f>
        <v>평판</v>
      </c>
    </row>
    <row r="4113" ht="15.75" customHeight="1">
      <c r="A4113" s="1" t="s">
        <v>12130</v>
      </c>
      <c r="B4113" s="1">
        <v>6.0</v>
      </c>
      <c r="C4113" s="1" t="s">
        <v>12128</v>
      </c>
      <c r="D4113" s="1" t="s">
        <v>8</v>
      </c>
      <c r="E4113" s="1" t="s">
        <v>12131</v>
      </c>
      <c r="F4113" s="1" t="str">
        <f>IFERROR(__xludf.DUMMYFUNCTION("GOOGLETRANSLATE(A4113, ""zh-CN"", ""ko"")"),"출산")</f>
        <v>출산</v>
      </c>
    </row>
    <row r="4114" ht="15.75" customHeight="1">
      <c r="A4114" s="1" t="s">
        <v>12132</v>
      </c>
      <c r="B4114" s="1">
        <v>6.0</v>
      </c>
      <c r="C4114" s="1" t="s">
        <v>12133</v>
      </c>
      <c r="D4114" s="1" t="s">
        <v>16</v>
      </c>
      <c r="E4114" s="1" t="s">
        <v>12134</v>
      </c>
      <c r="F4114" s="1" t="str">
        <f>IFERROR(__xludf.DUMMYFUNCTION("GOOGLETRANSLATE(A4114, ""zh-CN"", ""ko"")"),"주도")</f>
        <v>주도</v>
      </c>
    </row>
    <row r="4115" ht="15.75" customHeight="1">
      <c r="A4115" s="1" t="s">
        <v>12135</v>
      </c>
      <c r="B4115" s="1">
        <v>6.0</v>
      </c>
      <c r="C4115" s="1" t="s">
        <v>12136</v>
      </c>
      <c r="D4115" s="1" t="s">
        <v>8</v>
      </c>
      <c r="E4115" s="1" t="s">
        <v>12137</v>
      </c>
      <c r="F4115" s="1" t="str">
        <f>IFERROR(__xludf.DUMMYFUNCTION("GOOGLETRANSLATE(A4115, ""zh-CN"", ""ko"")"),"부자")</f>
        <v>부자</v>
      </c>
    </row>
    <row r="4116" ht="15.75" customHeight="1">
      <c r="A4116" s="1" t="s">
        <v>12138</v>
      </c>
      <c r="B4116" s="1">
        <v>6.0</v>
      </c>
      <c r="C4116" s="1" t="s">
        <v>12139</v>
      </c>
      <c r="D4116" s="1" t="s">
        <v>16</v>
      </c>
      <c r="E4116" s="1" t="s">
        <v>12140</v>
      </c>
      <c r="F4116" s="1" t="str">
        <f>IFERROR(__xludf.DUMMYFUNCTION("GOOGLETRANSLATE(A4116, ""zh-CN"", ""ko"")"),"승리냐 패배냐")</f>
        <v>승리냐 패배냐</v>
      </c>
    </row>
    <row r="4117" ht="15.75" customHeight="1">
      <c r="A4117" s="1" t="s">
        <v>12141</v>
      </c>
      <c r="B4117" s="1">
        <v>6.0</v>
      </c>
      <c r="C4117" s="1" t="s">
        <v>12142</v>
      </c>
      <c r="D4117" s="1" t="s">
        <v>8</v>
      </c>
      <c r="E4117" s="1" t="s">
        <v>12143</v>
      </c>
      <c r="F4117" s="1" t="str">
        <f>IFERROR(__xludf.DUMMYFUNCTION("GOOGLETRANSLATE(A4117, ""zh-CN"", ""ko"")"),"꽃")</f>
        <v>꽃</v>
      </c>
    </row>
    <row r="4118" ht="15.75" customHeight="1">
      <c r="A4118" s="1" t="s">
        <v>12144</v>
      </c>
      <c r="B4118" s="1">
        <v>6.0</v>
      </c>
      <c r="C4118" s="1" t="s">
        <v>12145</v>
      </c>
      <c r="D4118" s="1" t="s">
        <v>16</v>
      </c>
      <c r="E4118" s="1" t="s">
        <v>12146</v>
      </c>
      <c r="F4118" s="1" t="str">
        <f>IFERROR(__xludf.DUMMYFUNCTION("GOOGLETRANSLATE(A4118, ""zh-CN"", ""ko"")"),"따뜻한 환대")</f>
        <v>따뜻한 환대</v>
      </c>
    </row>
    <row r="4119" ht="15.75" customHeight="1">
      <c r="A4119" s="1" t="s">
        <v>12147</v>
      </c>
      <c r="B4119" s="1">
        <v>6.0</v>
      </c>
      <c r="C4119" s="1" t="s">
        <v>12148</v>
      </c>
      <c r="D4119" s="1" t="s">
        <v>8</v>
      </c>
      <c r="E4119" s="1" t="s">
        <v>12149</v>
      </c>
      <c r="F4119" s="1" t="str">
        <f>IFERROR(__xludf.DUMMYFUNCTION("GOOGLETRANSLATE(A4119, ""zh-CN"", ""ko"")"),"널리 퍼져 있는")</f>
        <v>널리 퍼져 있는</v>
      </c>
    </row>
    <row r="4120" ht="15.75" customHeight="1">
      <c r="A4120" s="1" t="s">
        <v>12150</v>
      </c>
      <c r="B4120" s="1">
        <v>6.0</v>
      </c>
      <c r="C4120" s="1" t="s">
        <v>12151</v>
      </c>
      <c r="D4120" s="1" t="s">
        <v>16</v>
      </c>
      <c r="E4120" s="1" t="s">
        <v>12152</v>
      </c>
      <c r="F4120" s="1" t="str">
        <f>IFERROR(__xludf.DUMMYFUNCTION("GOOGLETRANSLATE(A4120, ""zh-CN"", ""ko"")"),"교사 연수")</f>
        <v>교사 연수</v>
      </c>
    </row>
    <row r="4121" ht="15.75" customHeight="1">
      <c r="A4121" s="1" t="s">
        <v>12153</v>
      </c>
      <c r="B4121" s="1">
        <v>6.0</v>
      </c>
      <c r="C4121" s="1" t="s">
        <v>12154</v>
      </c>
      <c r="D4121" s="1" t="s">
        <v>8</v>
      </c>
      <c r="E4121" s="1" t="s">
        <v>12155</v>
      </c>
      <c r="F4121" s="1" t="str">
        <f>IFERROR(__xludf.DUMMYFUNCTION("GOOGLETRANSLATE(A4121, ""zh-CN"", ""ko"")"),"적용하다")</f>
        <v>적용하다</v>
      </c>
    </row>
    <row r="4122" ht="15.75" customHeight="1">
      <c r="A4122" s="1" t="s">
        <v>12156</v>
      </c>
      <c r="B4122" s="1">
        <v>6.0</v>
      </c>
      <c r="C4122" s="1" t="s">
        <v>12157</v>
      </c>
      <c r="D4122" s="1" t="s">
        <v>8</v>
      </c>
      <c r="E4122" s="1" t="s">
        <v>12158</v>
      </c>
      <c r="F4122" s="1" t="str">
        <f>IFERROR(__xludf.DUMMYFUNCTION("GOOGLETRANSLATE(A4122, ""zh-CN"", ""ko"")"),"충돌")</f>
        <v>충돌</v>
      </c>
    </row>
    <row r="4123" ht="15.75" customHeight="1">
      <c r="A4123" s="1" t="s">
        <v>12159</v>
      </c>
      <c r="B4123" s="1">
        <v>6.0</v>
      </c>
      <c r="C4123" s="1" t="s">
        <v>12160</v>
      </c>
      <c r="D4123" s="1" t="s">
        <v>16</v>
      </c>
      <c r="E4123" s="1" t="s">
        <v>12161</v>
      </c>
      <c r="F4123" s="1" t="str">
        <f>IFERROR(__xludf.DUMMYFUNCTION("GOOGLETRANSLATE(A4123, ""zh-CN"", ""ko"")"),"시체")</f>
        <v>시체</v>
      </c>
    </row>
    <row r="4124" ht="15.75" customHeight="1">
      <c r="A4124" s="1" t="s">
        <v>12162</v>
      </c>
      <c r="B4124" s="1">
        <v>6.0</v>
      </c>
      <c r="C4124" s="1" t="s">
        <v>12163</v>
      </c>
      <c r="D4124" s="1" t="s">
        <v>16</v>
      </c>
      <c r="E4124" s="1" t="s">
        <v>12164</v>
      </c>
      <c r="F4124" s="1" t="str">
        <f>IFERROR(__xludf.DUMMYFUNCTION("GOOGLETRANSLATE(A4124, ""zh-CN"", ""ko"")"),"실수")</f>
        <v>실수</v>
      </c>
    </row>
    <row r="4125" ht="15.75" customHeight="1">
      <c r="A4125" s="1" t="s">
        <v>12165</v>
      </c>
      <c r="B4125" s="1">
        <v>6.0</v>
      </c>
      <c r="C4125" s="1" t="s">
        <v>12166</v>
      </c>
      <c r="D4125" s="1" t="s">
        <v>8</v>
      </c>
      <c r="E4125" s="1" t="s">
        <v>12167</v>
      </c>
      <c r="F4125" s="1" t="str">
        <f>IFERROR(__xludf.DUMMYFUNCTION("GOOGLETRANSLATE(A4125, ""zh-CN"", ""ko"")"),"보여주다")</f>
        <v>보여주다</v>
      </c>
    </row>
    <row r="4126" ht="15.75" customHeight="1">
      <c r="A4126" s="1" t="s">
        <v>12168</v>
      </c>
      <c r="B4126" s="1">
        <v>6.0</v>
      </c>
      <c r="C4126" s="1" t="s">
        <v>12169</v>
      </c>
      <c r="D4126" s="1" t="s">
        <v>8</v>
      </c>
      <c r="E4126" s="1" t="s">
        <v>12170</v>
      </c>
      <c r="F4126" s="1" t="str">
        <f>IFERROR(__xludf.DUMMYFUNCTION("GOOGLETRANSLATE(A4126, ""zh-CN"", ""ko"")"),"없어진")</f>
        <v>없어진</v>
      </c>
    </row>
    <row r="4127" ht="15.75" customHeight="1">
      <c r="A4127" s="1" t="s">
        <v>12171</v>
      </c>
      <c r="B4127" s="1">
        <v>6.0</v>
      </c>
      <c r="C4127" s="1" t="s">
        <v>300</v>
      </c>
      <c r="D4127" s="1" t="s">
        <v>8</v>
      </c>
      <c r="E4127" s="1" t="s">
        <v>12172</v>
      </c>
      <c r="F4127" s="1" t="str">
        <f>IFERROR(__xludf.DUMMYFUNCTION("GOOGLETRANSLATE(A4127, ""zh-CN"", ""ko"")"),"찾다")</f>
        <v>찾다</v>
      </c>
    </row>
    <row r="4128" ht="15.75" customHeight="1">
      <c r="A4128" s="1" t="s">
        <v>12173</v>
      </c>
      <c r="B4128" s="1">
        <v>6.0</v>
      </c>
      <c r="C4128" s="1" t="s">
        <v>12174</v>
      </c>
      <c r="D4128" s="1" t="s">
        <v>8</v>
      </c>
      <c r="E4128" s="1" t="s">
        <v>12175</v>
      </c>
      <c r="F4128" s="1" t="str">
        <f>IFERROR(__xludf.DUMMYFUNCTION("GOOGLETRANSLATE(A4128, ""zh-CN"", ""ko"")"),"신분증")</f>
        <v>신분증</v>
      </c>
    </row>
    <row r="4129" ht="15.75" customHeight="1">
      <c r="A4129" s="1" t="s">
        <v>12176</v>
      </c>
      <c r="B4129" s="1">
        <v>6.0</v>
      </c>
      <c r="C4129" s="1" t="s">
        <v>12177</v>
      </c>
      <c r="D4129" s="1" t="s">
        <v>33</v>
      </c>
      <c r="E4129" s="1" t="s">
        <v>12178</v>
      </c>
      <c r="F4129" s="1" t="str">
        <f>IFERROR(__xludf.DUMMYFUNCTION("GOOGLETRANSLATE(A4129, ""zh-CN"", ""ko"")"),"자주")</f>
        <v>자주</v>
      </c>
    </row>
    <row r="4130" ht="15.75" customHeight="1">
      <c r="A4130" s="1" t="s">
        <v>12179</v>
      </c>
      <c r="B4130" s="1">
        <v>6.0</v>
      </c>
      <c r="C4130" s="1" t="s">
        <v>12180</v>
      </c>
      <c r="D4130" s="1" t="s">
        <v>33</v>
      </c>
      <c r="E4130" s="1" t="s">
        <v>12181</v>
      </c>
      <c r="F4130" s="1" t="str">
        <f>IFERROR(__xludf.DUMMYFUNCTION("GOOGLETRANSLATE(A4130, ""zh-CN"", ""ko"")"),"때때로")</f>
        <v>때때로</v>
      </c>
    </row>
    <row r="4131" ht="15.75" customHeight="1">
      <c r="A4131" s="1" t="s">
        <v>12182</v>
      </c>
      <c r="B4131" s="1">
        <v>6.0</v>
      </c>
      <c r="C4131" s="1" t="s">
        <v>12183</v>
      </c>
      <c r="D4131" s="1" t="s">
        <v>16</v>
      </c>
      <c r="E4131" s="1" t="s">
        <v>508</v>
      </c>
      <c r="F4131" s="1" t="str">
        <f>IFERROR(__xludf.DUMMYFUNCTION("GOOGLETRANSLATE(A4131, ""zh-CN"", ""ko"")"),"시간")</f>
        <v>시간</v>
      </c>
    </row>
    <row r="4132" ht="15.75" customHeight="1">
      <c r="A4132" s="1" t="s">
        <v>12184</v>
      </c>
      <c r="B4132" s="1">
        <v>6.0</v>
      </c>
      <c r="C4132" s="1" t="s">
        <v>12185</v>
      </c>
      <c r="D4132" s="1" t="s">
        <v>1842</v>
      </c>
      <c r="E4132" s="1" t="s">
        <v>12186</v>
      </c>
      <c r="F4132" s="1" t="str">
        <f>IFERROR(__xludf.DUMMYFUNCTION("GOOGLETRANSLATE(A4132, ""zh-CN"", ""ko"")"),"입수 가능한")</f>
        <v>입수 가능한</v>
      </c>
    </row>
    <row r="4133" ht="15.75" customHeight="1">
      <c r="A4133" s="1" t="s">
        <v>12187</v>
      </c>
      <c r="B4133" s="1">
        <v>6.0</v>
      </c>
      <c r="C4133" s="1" t="s">
        <v>12188</v>
      </c>
      <c r="D4133" s="1" t="s">
        <v>16</v>
      </c>
      <c r="E4133" s="1" t="s">
        <v>12189</v>
      </c>
      <c r="F4133" s="1" t="str">
        <f>IFERROR(__xludf.DUMMYFUNCTION("GOOGLETRANSLATE(A4133, ""zh-CN"", ""ko"")"),"기회")</f>
        <v>기회</v>
      </c>
    </row>
    <row r="4134" ht="15.75" customHeight="1">
      <c r="A4134" s="1" t="s">
        <v>12190</v>
      </c>
      <c r="B4134" s="1">
        <v>6.0</v>
      </c>
      <c r="C4134" s="1" t="s">
        <v>12191</v>
      </c>
      <c r="D4134" s="1" t="s">
        <v>16</v>
      </c>
      <c r="E4134" s="1" t="s">
        <v>12192</v>
      </c>
      <c r="F4134" s="1" t="str">
        <f>IFERROR(__xludf.DUMMYFUNCTION("GOOGLETRANSLATE(A4134, ""zh-CN"", ""ko"")"),"힘")</f>
        <v>힘</v>
      </c>
    </row>
    <row r="4135" ht="15.75" customHeight="1">
      <c r="A4135" s="1" t="s">
        <v>12193</v>
      </c>
      <c r="B4135" s="1">
        <v>6.0</v>
      </c>
      <c r="C4135" s="1" t="s">
        <v>12194</v>
      </c>
      <c r="D4135" s="1" t="s">
        <v>8</v>
      </c>
      <c r="E4135" s="1" t="s">
        <v>12195</v>
      </c>
      <c r="F4135" s="1" t="str">
        <f>IFERROR(__xludf.DUMMYFUNCTION("GOOGLETRANSLATE(A4135, ""zh-CN"", ""ko"")"),"구현")</f>
        <v>구현</v>
      </c>
    </row>
    <row r="4136" ht="15.75" customHeight="1">
      <c r="A4136" s="1" t="s">
        <v>12196</v>
      </c>
      <c r="B4136" s="1">
        <v>6.0</v>
      </c>
      <c r="C4136" s="1" t="s">
        <v>12197</v>
      </c>
      <c r="D4136" s="1" t="s">
        <v>16</v>
      </c>
      <c r="E4136" s="1" t="s">
        <v>12198</v>
      </c>
      <c r="F4136" s="1" t="str">
        <f>IFERROR(__xludf.DUMMYFUNCTION("GOOGLETRANSLATE(A4136, ""zh-CN"", ""ko"")"),"현재 사건")</f>
        <v>현재 사건</v>
      </c>
    </row>
    <row r="4137" ht="15.75" customHeight="1">
      <c r="A4137" s="1" t="s">
        <v>12199</v>
      </c>
      <c r="B4137" s="1">
        <v>6.0</v>
      </c>
      <c r="C4137" s="1" t="s">
        <v>12200</v>
      </c>
      <c r="E4137" s="1" t="s">
        <v>12201</v>
      </c>
      <c r="F4137" s="1" t="str">
        <f>IFERROR(__xludf.DUMMYFUNCTION("GOOGLETRANSLATE(A4137, ""zh-CN"", ""ko"")"),"사실로부터 진실을 찾다")</f>
        <v>사실로부터 진실을 찾다</v>
      </c>
    </row>
    <row r="4138" ht="15.75" customHeight="1">
      <c r="A4138" s="1" t="s">
        <v>12202</v>
      </c>
      <c r="B4138" s="1">
        <v>6.0</v>
      </c>
      <c r="C4138" s="1" t="s">
        <v>12203</v>
      </c>
      <c r="D4138" s="1" t="s">
        <v>8</v>
      </c>
      <c r="E4138" s="1" t="s">
        <v>12204</v>
      </c>
      <c r="F4138" s="1" t="str">
        <f>IFERROR(__xludf.DUMMYFUNCTION("GOOGLETRANSLATE(A4138, ""zh-CN"", ""ko"")"),"구현")</f>
        <v>구현</v>
      </c>
    </row>
    <row r="4139" ht="15.75" customHeight="1">
      <c r="A4139" s="1" t="s">
        <v>12205</v>
      </c>
      <c r="B4139" s="1">
        <v>6.0</v>
      </c>
      <c r="C4139" s="1" t="s">
        <v>12206</v>
      </c>
      <c r="D4139" s="1" t="s">
        <v>16</v>
      </c>
      <c r="E4139" s="1" t="s">
        <v>12207</v>
      </c>
      <c r="F4139" s="1" t="str">
        <f>IFERROR(__xludf.DUMMYFUNCTION("GOOGLETRANSLATE(A4139, ""zh-CN"", ""ko"")"),"기름")</f>
        <v>기름</v>
      </c>
    </row>
    <row r="4140" ht="15.75" customHeight="1">
      <c r="A4140" s="1" t="s">
        <v>12208</v>
      </c>
      <c r="B4140" s="1">
        <v>6.0</v>
      </c>
      <c r="C4140" s="1" t="s">
        <v>12209</v>
      </c>
      <c r="D4140" s="1" t="s">
        <v>16</v>
      </c>
      <c r="E4140" s="1" t="s">
        <v>12210</v>
      </c>
      <c r="F4140" s="1" t="str">
        <f>IFERROR(__xludf.DUMMYFUNCTION("GOOGLETRANSLATE(A4140, ""zh-CN"", ""ko"")"),"물질")</f>
        <v>물질</v>
      </c>
    </row>
    <row r="4141" ht="15.75" customHeight="1">
      <c r="A4141" s="1" t="s">
        <v>12211</v>
      </c>
      <c r="B4141" s="1">
        <v>6.0</v>
      </c>
      <c r="C4141" s="1" t="s">
        <v>12212</v>
      </c>
      <c r="D4141" s="1" t="s">
        <v>33</v>
      </c>
      <c r="E4141" s="1" t="s">
        <v>12213</v>
      </c>
      <c r="F4141" s="1" t="str">
        <f>IFERROR(__xludf.DUMMYFUNCTION("GOOGLETRANSLATE(A4141, ""zh-CN"", ""ko"")"),"가득한")</f>
        <v>가득한</v>
      </c>
    </row>
    <row r="4142" ht="15.75" customHeight="1">
      <c r="A4142" s="1" t="s">
        <v>12214</v>
      </c>
      <c r="B4142" s="1">
        <v>6.0</v>
      </c>
      <c r="C4142" s="1" t="s">
        <v>12215</v>
      </c>
      <c r="D4142" s="1" t="s">
        <v>16</v>
      </c>
      <c r="E4142" s="1" t="s">
        <v>12216</v>
      </c>
      <c r="F4142" s="1" t="str">
        <f>IFERROR(__xludf.DUMMYFUNCTION("GOOGLETRANSLATE(A4142, ""zh-CN"", ""ko"")"),"사명")</f>
        <v>사명</v>
      </c>
    </row>
    <row r="4143" ht="15.75" customHeight="1">
      <c r="A4143" s="1" t="s">
        <v>12217</v>
      </c>
      <c r="B4143" s="1">
        <v>6.0</v>
      </c>
      <c r="C4143" s="1" t="s">
        <v>12218</v>
      </c>
      <c r="D4143" s="1" t="s">
        <v>33</v>
      </c>
      <c r="E4143" s="1" t="s">
        <v>12219</v>
      </c>
      <c r="F4143" s="1" t="str">
        <f>IFERROR(__xludf.DUMMYFUNCTION("GOOGLETRANSLATE(A4143, ""zh-CN"", ""ko"")"),"필연적으로")</f>
        <v>필연적으로</v>
      </c>
    </row>
    <row r="4144" ht="15.75" customHeight="1">
      <c r="A4144" s="1" t="s">
        <v>12220</v>
      </c>
      <c r="B4144" s="1">
        <v>6.0</v>
      </c>
      <c r="C4144" s="1" t="s">
        <v>12221</v>
      </c>
      <c r="D4144" s="1" t="s">
        <v>16</v>
      </c>
      <c r="E4144" s="1" t="s">
        <v>12222</v>
      </c>
      <c r="F4144" s="1" t="str">
        <f>IFERROR(__xludf.DUMMYFUNCTION("GOOGLETRANSLATE(A4144, ""zh-CN"", ""ko"")"),"세대")</f>
        <v>세대</v>
      </c>
    </row>
    <row r="4145" ht="15.75" customHeight="1">
      <c r="A4145" s="1" t="s">
        <v>12223</v>
      </c>
      <c r="B4145" s="1">
        <v>6.0</v>
      </c>
      <c r="C4145" s="1" t="s">
        <v>12224</v>
      </c>
      <c r="D4145" s="1" t="s">
        <v>8</v>
      </c>
      <c r="E4145" s="1" t="s">
        <v>12225</v>
      </c>
      <c r="F4145" s="1" t="str">
        <f>IFERROR(__xludf.DUMMYFUNCTION("GOOGLETRANSLATE(A4145, ""zh-CN"", ""ko"")"),"데모")</f>
        <v>데모</v>
      </c>
    </row>
    <row r="4146" ht="15.75" customHeight="1">
      <c r="A4146" s="1" t="s">
        <v>12226</v>
      </c>
      <c r="B4146" s="1">
        <v>6.0</v>
      </c>
      <c r="C4146" s="1" t="s">
        <v>12227</v>
      </c>
      <c r="D4146" s="1" t="s">
        <v>8</v>
      </c>
      <c r="E4146" s="1" t="s">
        <v>12228</v>
      </c>
      <c r="F4146" s="1" t="str">
        <f>IFERROR(__xludf.DUMMYFUNCTION("GOOGLETRANSLATE(A4146, ""zh-CN"", ""ko"")"),"풀어 주다")</f>
        <v>풀어 주다</v>
      </c>
    </row>
    <row r="4147" ht="15.75" customHeight="1">
      <c r="A4147" s="1" t="s">
        <v>12229</v>
      </c>
      <c r="B4147" s="1">
        <v>6.0</v>
      </c>
      <c r="C4147" s="1" t="s">
        <v>12230</v>
      </c>
      <c r="D4147" s="1" t="s">
        <v>16</v>
      </c>
      <c r="E4147" s="1" t="s">
        <v>12231</v>
      </c>
      <c r="F4147" s="1" t="str">
        <f>IFERROR(__xludf.DUMMYFUNCTION("GOOGLETRANSLATE(A4147, ""zh-CN"", ""ko"")"),"사정")</f>
        <v>사정</v>
      </c>
    </row>
    <row r="4148" ht="15.75" customHeight="1">
      <c r="A4148" s="1" t="s">
        <v>12232</v>
      </c>
      <c r="B4148" s="1">
        <v>6.0</v>
      </c>
      <c r="C4148" s="1" t="s">
        <v>12233</v>
      </c>
      <c r="D4148" s="1" t="s">
        <v>16</v>
      </c>
      <c r="E4148" s="1" t="s">
        <v>12234</v>
      </c>
      <c r="F4148" s="1" t="str">
        <f>IFERROR(__xludf.DUMMYFUNCTION("GOOGLETRANSLATE(A4148, ""zh-CN"", ""ko"")"),"사고")</f>
        <v>사고</v>
      </c>
    </row>
    <row r="4149" ht="15.75" customHeight="1">
      <c r="A4149" s="1" t="s">
        <v>12235</v>
      </c>
      <c r="B4149" s="1">
        <v>6.0</v>
      </c>
      <c r="C4149" s="1" t="s">
        <v>2922</v>
      </c>
      <c r="D4149" s="1" t="s">
        <v>16</v>
      </c>
      <c r="E4149" s="1" t="s">
        <v>12236</v>
      </c>
      <c r="F4149" s="1" t="str">
        <f>IFERROR(__xludf.DUMMYFUNCTION("GOOGLETRANSLATE(A4149, ""zh-CN"", ""ko"")"),"증서")</f>
        <v>증서</v>
      </c>
    </row>
    <row r="4150" ht="15.75" customHeight="1">
      <c r="A4150" s="1" t="s">
        <v>12237</v>
      </c>
      <c r="B4150" s="1">
        <v>6.0</v>
      </c>
      <c r="C4150" s="1" t="s">
        <v>12238</v>
      </c>
      <c r="D4150" s="1" t="s">
        <v>16</v>
      </c>
      <c r="E4150" s="1" t="s">
        <v>12239</v>
      </c>
      <c r="F4150" s="1" t="str">
        <f>IFERROR(__xludf.DUMMYFUNCTION("GOOGLETRANSLATE(A4150, ""zh-CN"", ""ko"")"),"이벤트")</f>
        <v>이벤트</v>
      </c>
    </row>
    <row r="4151" ht="15.75" customHeight="1">
      <c r="A4151" s="1" t="s">
        <v>12240</v>
      </c>
      <c r="B4151" s="1">
        <v>6.0</v>
      </c>
      <c r="C4151" s="1" t="s">
        <v>12241</v>
      </c>
      <c r="D4151" s="1" t="s">
        <v>16</v>
      </c>
      <c r="E4151" s="1" t="s">
        <v>12242</v>
      </c>
      <c r="F4151" s="1" t="str">
        <f>IFERROR(__xludf.DUMMYFUNCTION("GOOGLETRANSLATE(A4151, ""zh-CN"", ""ko"")"),"비전")</f>
        <v>비전</v>
      </c>
    </row>
    <row r="4152" ht="15.75" customHeight="1">
      <c r="A4152" s="1" t="s">
        <v>12243</v>
      </c>
      <c r="B4152" s="1">
        <v>6.0</v>
      </c>
      <c r="C4152" s="1" t="s">
        <v>12244</v>
      </c>
      <c r="D4152" s="1" t="s">
        <v>16</v>
      </c>
      <c r="E4152" s="1" t="s">
        <v>12245</v>
      </c>
      <c r="F4152" s="1" t="str">
        <f>IFERROR(__xludf.DUMMYFUNCTION("GOOGLETRANSLATE(A4152, ""zh-CN"", ""ko"")"),"힘")</f>
        <v>힘</v>
      </c>
    </row>
    <row r="4153" ht="15.75" customHeight="1">
      <c r="A4153" s="1" t="s">
        <v>12246</v>
      </c>
      <c r="B4153" s="1">
        <v>6.0</v>
      </c>
      <c r="C4153" s="1" t="s">
        <v>12247</v>
      </c>
      <c r="D4153" s="1" t="s">
        <v>16</v>
      </c>
      <c r="E4153" s="1" t="s">
        <v>12248</v>
      </c>
      <c r="F4153" s="1" t="str">
        <f>IFERROR(__xludf.DUMMYFUNCTION("GOOGLETRANSLATE(A4153, ""zh-CN"", ""ko"")"),"동영상")</f>
        <v>동영상</v>
      </c>
    </row>
    <row r="4154" ht="15.75" customHeight="1">
      <c r="A4154" s="1" t="s">
        <v>12249</v>
      </c>
      <c r="B4154" s="1">
        <v>6.0</v>
      </c>
      <c r="C4154" s="1" t="s">
        <v>12250</v>
      </c>
      <c r="D4154" s="1" t="s">
        <v>8</v>
      </c>
      <c r="E4154" s="1" t="s">
        <v>12251</v>
      </c>
      <c r="F4154" s="1" t="str">
        <f>IFERROR(__xludf.DUMMYFUNCTION("GOOGLETRANSLATE(A4154, ""zh-CN"", ""ko"")"),"세상을 떠났습니다")</f>
        <v>세상을 떠났습니다</v>
      </c>
    </row>
    <row r="4155" ht="15.75" customHeight="1">
      <c r="A4155" s="1" t="s">
        <v>12252</v>
      </c>
      <c r="B4155" s="1">
        <v>6.0</v>
      </c>
      <c r="C4155" s="1" t="s">
        <v>12253</v>
      </c>
      <c r="D4155" s="1" t="s">
        <v>16</v>
      </c>
      <c r="E4155" s="1" t="s">
        <v>12254</v>
      </c>
      <c r="F4155" s="1" t="str">
        <f>IFERROR(__xludf.DUMMYFUNCTION("GOOGLETRANSLATE(A4155, ""zh-CN"", ""ko"")"),"상황")</f>
        <v>상황</v>
      </c>
    </row>
    <row r="4156" ht="15.75" customHeight="1">
      <c r="A4156" s="1" t="s">
        <v>12255</v>
      </c>
      <c r="B4156" s="1">
        <v>6.0</v>
      </c>
      <c r="C4156" s="1" t="s">
        <v>12256</v>
      </c>
      <c r="D4156" s="1" t="s">
        <v>8</v>
      </c>
      <c r="E4156" s="1" t="s">
        <v>12257</v>
      </c>
      <c r="F4156" s="1" t="str">
        <f>IFERROR(__xludf.DUMMYFUNCTION("GOOGLETRANSLATE(A4156, ""zh-CN"", ""ko"")"),"시도")</f>
        <v>시도</v>
      </c>
    </row>
    <row r="4157" ht="15.75" customHeight="1">
      <c r="A4157" s="1" t="s">
        <v>12258</v>
      </c>
      <c r="B4157" s="1">
        <v>6.0</v>
      </c>
      <c r="C4157" s="1" t="s">
        <v>12259</v>
      </c>
      <c r="D4157" s="1" t="s">
        <v>8</v>
      </c>
      <c r="E4157" s="1" t="s">
        <v>12260</v>
      </c>
      <c r="F4157" s="1" t="str">
        <f>IFERROR(__xludf.DUMMYFUNCTION("GOOGLETRANSLATE(A4157, ""zh-CN"", ""ko"")"),"데모")</f>
        <v>데모</v>
      </c>
    </row>
    <row r="4158" ht="15.75" customHeight="1">
      <c r="A4158" s="1" t="s">
        <v>12261</v>
      </c>
      <c r="B4158" s="1">
        <v>6.0</v>
      </c>
      <c r="C4158" s="1" t="s">
        <v>6081</v>
      </c>
      <c r="D4158" s="1" t="s">
        <v>16</v>
      </c>
      <c r="E4158" s="1" t="s">
        <v>12262</v>
      </c>
      <c r="F4158" s="1" t="str">
        <f>IFERROR(__xludf.DUMMYFUNCTION("GOOGLETRANSLATE(A4158, ""zh-CN"", ""ko"")"),"업무")</f>
        <v>업무</v>
      </c>
    </row>
    <row r="4159" ht="15.75" customHeight="1">
      <c r="A4159" s="1" t="s">
        <v>12263</v>
      </c>
      <c r="B4159" s="1">
        <v>6.0</v>
      </c>
      <c r="C4159" s="1" t="s">
        <v>12264</v>
      </c>
      <c r="D4159" s="1" t="s">
        <v>16</v>
      </c>
      <c r="E4159" s="1" t="s">
        <v>12265</v>
      </c>
      <c r="F4159" s="1" t="str">
        <f>IFERROR(__xludf.DUMMYFUNCTION("GOOGLETRANSLATE(A4159, ""zh-CN"", ""ko"")"),"시야")</f>
        <v>시야</v>
      </c>
    </row>
    <row r="4160" ht="15.75" customHeight="1">
      <c r="A4160" s="1" t="s">
        <v>12266</v>
      </c>
      <c r="B4160" s="1">
        <v>6.0</v>
      </c>
      <c r="C4160" s="1" t="s">
        <v>12267</v>
      </c>
      <c r="D4160" s="1" t="s">
        <v>16</v>
      </c>
      <c r="E4160" s="1" t="s">
        <v>12268</v>
      </c>
      <c r="F4160" s="1" t="str">
        <f>IFERROR(__xludf.DUMMYFUNCTION("GOOGLETRANSLATE(A4160, ""zh-CN"", ""ko"")"),"문제")</f>
        <v>문제</v>
      </c>
    </row>
    <row r="4161" ht="15.75" customHeight="1">
      <c r="A4161" s="1" t="s">
        <v>12269</v>
      </c>
      <c r="B4161" s="1">
        <v>6.0</v>
      </c>
      <c r="C4161" s="1" t="s">
        <v>12270</v>
      </c>
      <c r="D4161" s="1" t="s">
        <v>8</v>
      </c>
      <c r="E4161" s="1" t="s">
        <v>12271</v>
      </c>
      <c r="F4161" s="1" t="str">
        <f>IFERROR(__xludf.DUMMYFUNCTION("GOOGLETRANSLATE(A4161, ""zh-CN"", ""ko"")"),"시험")</f>
        <v>시험</v>
      </c>
    </row>
    <row r="4162" ht="15.75" customHeight="1">
      <c r="A4162" s="1" t="s">
        <v>12272</v>
      </c>
      <c r="B4162" s="1">
        <v>6.0</v>
      </c>
      <c r="C4162" s="1" t="s">
        <v>12273</v>
      </c>
      <c r="D4162" s="1" t="s">
        <v>16</v>
      </c>
      <c r="E4162" s="1" t="s">
        <v>12274</v>
      </c>
      <c r="F4162" s="1" t="str">
        <f>IFERROR(__xludf.DUMMYFUNCTION("GOOGLETRANSLATE(A4162, ""zh-CN"", ""ko"")"),"시야")</f>
        <v>시야</v>
      </c>
    </row>
    <row r="4163" ht="15.75" customHeight="1">
      <c r="A4163" s="1" t="s">
        <v>12275</v>
      </c>
      <c r="B4163" s="1">
        <v>6.0</v>
      </c>
      <c r="C4163" s="1" t="s">
        <v>12276</v>
      </c>
      <c r="D4163" s="1" t="s">
        <v>16</v>
      </c>
      <c r="E4163" s="1" t="s">
        <v>12277</v>
      </c>
      <c r="F4163" s="1" t="str">
        <f>IFERROR(__xludf.DUMMYFUNCTION("GOOGLETRANSLATE(A4163, ""zh-CN"", ""ko"")"),"원인")</f>
        <v>원인</v>
      </c>
    </row>
    <row r="4164" ht="15.75" customHeight="1">
      <c r="A4164" s="1" t="s">
        <v>12278</v>
      </c>
      <c r="B4164" s="1">
        <v>6.0</v>
      </c>
      <c r="C4164" s="1" t="s">
        <v>12279</v>
      </c>
      <c r="D4164" s="1" t="s">
        <v>8</v>
      </c>
      <c r="E4164" s="1" t="s">
        <v>12280</v>
      </c>
      <c r="F4164" s="1" t="str">
        <f>IFERROR(__xludf.DUMMYFUNCTION("GOOGLETRANSLATE(A4164, ""zh-CN"", ""ko"")"),"적합한")</f>
        <v>적합한</v>
      </c>
    </row>
    <row r="4165" ht="15.75" customHeight="1">
      <c r="A4165" s="1" t="s">
        <v>12281</v>
      </c>
      <c r="B4165" s="1">
        <v>6.0</v>
      </c>
      <c r="C4165" s="1" t="s">
        <v>12282</v>
      </c>
      <c r="D4165" s="1" t="s">
        <v>8</v>
      </c>
      <c r="E4165" s="1" t="s">
        <v>12283</v>
      </c>
      <c r="F4165" s="1" t="str">
        <f>IFERROR(__xludf.DUMMYFUNCTION("GOOGLETRANSLATE(A4165, ""zh-CN"", ""ko"")"),"표시")</f>
        <v>표시</v>
      </c>
    </row>
    <row r="4166" ht="15.75" customHeight="1">
      <c r="A4166" s="1" t="s">
        <v>12284</v>
      </c>
      <c r="B4166" s="1">
        <v>6.0</v>
      </c>
      <c r="C4166" s="1" t="s">
        <v>12285</v>
      </c>
      <c r="D4166" s="1" t="s">
        <v>8</v>
      </c>
      <c r="E4166" s="1" t="s">
        <v>12286</v>
      </c>
      <c r="F4166" s="1" t="str">
        <f>IFERROR(__xludf.DUMMYFUNCTION("GOOGLETRANSLATE(A4166, ""zh-CN"", ""ko"")"),"모으다")</f>
        <v>모으다</v>
      </c>
    </row>
    <row r="4167" ht="15.75" customHeight="1">
      <c r="A4167" s="1" t="s">
        <v>12287</v>
      </c>
      <c r="B4167" s="1">
        <v>6.0</v>
      </c>
      <c r="C4167" s="1" t="s">
        <v>12288</v>
      </c>
      <c r="D4167" s="1" t="s">
        <v>8</v>
      </c>
      <c r="E4167" s="1" t="s">
        <v>12289</v>
      </c>
      <c r="F4167" s="1" t="str">
        <f>IFERROR(__xludf.DUMMYFUNCTION("GOOGLETRANSLATE(A4167, ""zh-CN"", ""ko"")"),"수축")</f>
        <v>수축</v>
      </c>
    </row>
    <row r="4168" ht="15.75" customHeight="1">
      <c r="A4168" s="1" t="s">
        <v>12290</v>
      </c>
      <c r="B4168" s="1">
        <v>6.0</v>
      </c>
      <c r="C4168" s="1" t="s">
        <v>12291</v>
      </c>
      <c r="D4168" s="1" t="s">
        <v>16</v>
      </c>
      <c r="E4168" s="1" t="s">
        <v>12292</v>
      </c>
      <c r="F4168" s="1" t="str">
        <f>IFERROR(__xludf.DUMMYFUNCTION("GOOGLETRANSLATE(A4168, ""zh-CN"", ""ko"")"),"소득")</f>
        <v>소득</v>
      </c>
    </row>
    <row r="4169" ht="15.75" customHeight="1">
      <c r="A4169" s="1" t="s">
        <v>12293</v>
      </c>
      <c r="B4169" s="1">
        <v>6.0</v>
      </c>
      <c r="C4169" s="1" t="s">
        <v>12294</v>
      </c>
      <c r="D4169" s="1" t="s">
        <v>16</v>
      </c>
      <c r="E4169" s="1" t="s">
        <v>12295</v>
      </c>
      <c r="F4169" s="1" t="str">
        <f>IFERROR(__xludf.DUMMYFUNCTION("GOOGLETRANSLATE(A4169, ""zh-CN"", ""ko"")"),"라디오")</f>
        <v>라디오</v>
      </c>
    </row>
    <row r="4170" ht="15.75" customHeight="1">
      <c r="A4170" s="1" t="s">
        <v>12296</v>
      </c>
      <c r="B4170" s="1">
        <v>6.0</v>
      </c>
      <c r="C4170" s="1" t="s">
        <v>12297</v>
      </c>
      <c r="D4170" s="1" t="s">
        <v>16</v>
      </c>
      <c r="E4170" s="1" t="s">
        <v>9938</v>
      </c>
      <c r="F4170" s="1" t="str">
        <f>IFERROR(__xludf.DUMMYFUNCTION("GOOGLETRANSLATE(A4170, ""zh-CN"", ""ko"")"),"기술")</f>
        <v>기술</v>
      </c>
    </row>
    <row r="4171" ht="15.75" customHeight="1">
      <c r="A4171" s="1" t="s">
        <v>12298</v>
      </c>
      <c r="B4171" s="1">
        <v>6.0</v>
      </c>
      <c r="C4171" s="1" t="s">
        <v>12299</v>
      </c>
      <c r="D4171" s="1" t="s">
        <v>8</v>
      </c>
      <c r="E4171" s="1" t="s">
        <v>12300</v>
      </c>
      <c r="F4171" s="1" t="str">
        <f>IFERROR(__xludf.DUMMYFUNCTION("GOOGLETRANSLATE(A4171, ""zh-CN"", ""ko"")"),"경비원")</f>
        <v>경비원</v>
      </c>
    </row>
    <row r="4172" ht="15.75" customHeight="1">
      <c r="A4172" s="1" t="s">
        <v>12301</v>
      </c>
      <c r="B4172" s="1">
        <v>6.0</v>
      </c>
      <c r="C4172" s="1" t="s">
        <v>12302</v>
      </c>
      <c r="D4172" s="1" t="s">
        <v>16</v>
      </c>
      <c r="E4172" s="1" t="s">
        <v>12303</v>
      </c>
      <c r="F4172" s="1" t="str">
        <f>IFERROR(__xludf.DUMMYFUNCTION("GOOGLETRANSLATE(A4172, ""zh-CN"", ""ko"")"),"몸짓")</f>
        <v>몸짓</v>
      </c>
    </row>
    <row r="4173" ht="15.75" customHeight="1">
      <c r="A4173" s="1" t="s">
        <v>12304</v>
      </c>
      <c r="B4173" s="1">
        <v>6.0</v>
      </c>
      <c r="C4173" s="1" t="s">
        <v>12302</v>
      </c>
      <c r="D4173" s="1" t="s">
        <v>16</v>
      </c>
      <c r="E4173" s="1" t="s">
        <v>12305</v>
      </c>
      <c r="F4173" s="1" t="str">
        <f>IFERROR(__xludf.DUMMYFUNCTION("GOOGLETRANSLATE(A4173, ""zh-CN"", ""ko"")"),"보석류")</f>
        <v>보석류</v>
      </c>
    </row>
    <row r="4174" ht="15.75" customHeight="1">
      <c r="A4174" s="1" t="s">
        <v>12306</v>
      </c>
      <c r="B4174" s="1">
        <v>6.0</v>
      </c>
      <c r="C4174" s="1" t="s">
        <v>12307</v>
      </c>
      <c r="D4174" s="1" t="s">
        <v>52</v>
      </c>
      <c r="E4174" s="1" t="s">
        <v>12308</v>
      </c>
      <c r="F4174" s="1" t="str">
        <f>IFERROR(__xludf.DUMMYFUNCTION("GOOGLETRANSLATE(A4174, ""zh-CN"", ""ko"")"),"첫 번째")</f>
        <v>첫 번째</v>
      </c>
    </row>
    <row r="4175" ht="15.75" customHeight="1">
      <c r="A4175" s="1" t="s">
        <v>12309</v>
      </c>
      <c r="B4175" s="1">
        <v>6.0</v>
      </c>
      <c r="C4175" s="1" t="s">
        <v>12310</v>
      </c>
      <c r="D4175" s="1" t="s">
        <v>16</v>
      </c>
      <c r="E4175" s="1" t="s">
        <v>12311</v>
      </c>
      <c r="F4175" s="1" t="str">
        <f>IFERROR(__xludf.DUMMYFUNCTION("GOOGLETRANSLATE(A4175, ""zh-CN"", ""ko"")"),"선박")</f>
        <v>선박</v>
      </c>
    </row>
    <row r="4176" ht="15.75" customHeight="1">
      <c r="A4176" s="1" t="s">
        <v>12312</v>
      </c>
      <c r="B4176" s="1">
        <v>6.0</v>
      </c>
      <c r="C4176" s="1" t="s">
        <v>12313</v>
      </c>
      <c r="D4176" s="1" t="s">
        <v>8</v>
      </c>
      <c r="E4176" s="1" t="s">
        <v>12314</v>
      </c>
      <c r="F4176" s="1" t="str">
        <f>IFERROR(__xludf.DUMMYFUNCTION("GOOGLETRANSLATE(A4176, ""zh-CN"", ""ko"")"),"승인하다")</f>
        <v>승인하다</v>
      </c>
    </row>
    <row r="4177" ht="15.75" customHeight="1">
      <c r="A4177" s="1" t="s">
        <v>12315</v>
      </c>
      <c r="B4177" s="1">
        <v>6.0</v>
      </c>
      <c r="C4177" s="1" t="s">
        <v>12316</v>
      </c>
      <c r="D4177" s="1" t="s">
        <v>8</v>
      </c>
      <c r="E4177" s="1" t="s">
        <v>12317</v>
      </c>
      <c r="F4177" s="1" t="str">
        <f>IFERROR(__xludf.DUMMYFUNCTION("GOOGLETRANSLATE(A4177, ""zh-CN"", ""ko"")"),"고통")</f>
        <v>고통</v>
      </c>
    </row>
    <row r="4178" ht="15.75" customHeight="1">
      <c r="A4178" s="1" t="s">
        <v>12318</v>
      </c>
      <c r="B4178" s="1">
        <v>6.0</v>
      </c>
      <c r="C4178" s="1" t="s">
        <v>12319</v>
      </c>
      <c r="D4178" s="1" t="s">
        <v>52</v>
      </c>
      <c r="E4178" s="1" t="s">
        <v>12320</v>
      </c>
      <c r="F4178" s="1" t="str">
        <f>IFERROR(__xludf.DUMMYFUNCTION("GOOGLETRANSLATE(A4178, ""zh-CN"", ""ko"")"),"편안한")</f>
        <v>편안한</v>
      </c>
    </row>
    <row r="4179" ht="15.75" customHeight="1">
      <c r="A4179" s="1" t="s">
        <v>12321</v>
      </c>
      <c r="B4179" s="1">
        <v>6.0</v>
      </c>
      <c r="C4179" s="1" t="s">
        <v>12322</v>
      </c>
      <c r="D4179" s="1" t="s">
        <v>16</v>
      </c>
      <c r="E4179" s="1" t="s">
        <v>12323</v>
      </c>
      <c r="F4179" s="1" t="str">
        <f>IFERROR(__xludf.DUMMYFUNCTION("GOOGLETRANSLATE(A4179, ""zh-CN"", ""ko"")"),"달필")</f>
        <v>달필</v>
      </c>
    </row>
    <row r="4180" ht="15.75" customHeight="1">
      <c r="A4180" s="1" t="s">
        <v>12324</v>
      </c>
      <c r="B4180" s="1">
        <v>6.0</v>
      </c>
      <c r="C4180" s="1" t="s">
        <v>12325</v>
      </c>
      <c r="D4180" s="1" t="s">
        <v>8</v>
      </c>
      <c r="E4180" s="1" t="s">
        <v>12326</v>
      </c>
      <c r="F4180" s="1" t="str">
        <f>IFERROR(__xludf.DUMMYFUNCTION("GOOGLETRANSLATE(A4180, ""zh-CN"", ""ko"")"),"과실")</f>
        <v>과실</v>
      </c>
    </row>
    <row r="4181" ht="15.75" customHeight="1">
      <c r="A4181" s="1" t="s">
        <v>12327</v>
      </c>
      <c r="B4181" s="1">
        <v>6.0</v>
      </c>
      <c r="C4181" s="1" t="s">
        <v>12328</v>
      </c>
      <c r="D4181" s="1" t="s">
        <v>16</v>
      </c>
      <c r="E4181" s="1" t="s">
        <v>12329</v>
      </c>
      <c r="F4181" s="1" t="str">
        <f>IFERROR(__xludf.DUMMYFUNCTION("GOOGLETRANSLATE(A4181, ""zh-CN"", ""ko"")"),"서적")</f>
        <v>서적</v>
      </c>
    </row>
    <row r="4182" ht="15.75" customHeight="1">
      <c r="A4182" s="1" t="s">
        <v>12330</v>
      </c>
      <c r="B4182" s="1">
        <v>6.0</v>
      </c>
      <c r="C4182" s="1" t="s">
        <v>12331</v>
      </c>
      <c r="D4182" s="1" t="s">
        <v>16</v>
      </c>
      <c r="E4182" s="1" t="s">
        <v>12332</v>
      </c>
      <c r="F4182" s="1" t="str">
        <f>IFERROR(__xludf.DUMMYFUNCTION("GOOGLETRANSLATE(A4182, ""zh-CN"", ""ko"")"),"비서")</f>
        <v>비서</v>
      </c>
    </row>
    <row r="4183" ht="15.75" customHeight="1">
      <c r="A4183" s="1" t="s">
        <v>12333</v>
      </c>
      <c r="B4183" s="1">
        <v>6.0</v>
      </c>
      <c r="C4183" s="1" t="s">
        <v>12334</v>
      </c>
      <c r="D4183" s="1" t="s">
        <v>52</v>
      </c>
      <c r="E4183" s="1" t="s">
        <v>12335</v>
      </c>
      <c r="F4183" s="1" t="str">
        <f>IFERROR(__xludf.DUMMYFUNCTION("GOOGLETRANSLATE(A4183, ""zh-CN"", ""ko"")"),"쓴")</f>
        <v>쓴</v>
      </c>
    </row>
    <row r="4184" ht="15.75" customHeight="1">
      <c r="A4184" s="1" t="s">
        <v>12336</v>
      </c>
      <c r="B4184" s="1">
        <v>6.0</v>
      </c>
      <c r="C4184" s="1" t="s">
        <v>12337</v>
      </c>
      <c r="D4184" s="1" t="s">
        <v>52</v>
      </c>
      <c r="E4184" s="1" t="s">
        <v>12338</v>
      </c>
      <c r="F4184" s="1" t="str">
        <f>IFERROR(__xludf.DUMMYFUNCTION("GOOGLETRANSLATE(A4184, ""zh-CN"", ""ko"")"),"소원")</f>
        <v>소원</v>
      </c>
    </row>
    <row r="4185" ht="15.75" customHeight="1">
      <c r="A4185" s="1" t="s">
        <v>12339</v>
      </c>
      <c r="B4185" s="1">
        <v>6.0</v>
      </c>
      <c r="C4185" s="1" t="s">
        <v>1517</v>
      </c>
      <c r="D4185" s="1" t="s">
        <v>1624</v>
      </c>
      <c r="E4185" s="1" t="s">
        <v>12340</v>
      </c>
      <c r="F4185" s="1" t="str">
        <f>IFERROR(__xludf.DUMMYFUNCTION("GOOGLETRANSLATE(A4185, ""zh-CN"", ""ko"")"),"수직의")</f>
        <v>수직의</v>
      </c>
    </row>
    <row r="4186" ht="15.75" customHeight="1">
      <c r="A4186" s="1" t="s">
        <v>12341</v>
      </c>
      <c r="B4186" s="1">
        <v>6.0</v>
      </c>
      <c r="C4186" s="1" t="s">
        <v>1517</v>
      </c>
      <c r="D4186" s="1" t="s">
        <v>26</v>
      </c>
      <c r="E4186" s="1" t="s">
        <v>12342</v>
      </c>
      <c r="F4186" s="1" t="str">
        <f>IFERROR(__xludf.DUMMYFUNCTION("GOOGLETRANSLATE(A4186, ""zh-CN"", ""ko"")"),"묶음")</f>
        <v>묶음</v>
      </c>
    </row>
    <row r="4187" ht="15.75" customHeight="1">
      <c r="A4187" s="1" t="s">
        <v>12343</v>
      </c>
      <c r="B4187" s="1">
        <v>6.0</v>
      </c>
      <c r="C4187" s="1" t="s">
        <v>12344</v>
      </c>
      <c r="D4187" s="1" t="s">
        <v>16</v>
      </c>
      <c r="E4187" s="1" t="s">
        <v>12345</v>
      </c>
      <c r="F4187" s="1" t="str">
        <f>IFERROR(__xludf.DUMMYFUNCTION("GOOGLETRANSLATE(A4187, ""zh-CN"", ""ko"")"),"양")</f>
        <v>양</v>
      </c>
    </row>
    <row r="4188" ht="15.75" customHeight="1">
      <c r="A4188" s="1" t="s">
        <v>12346</v>
      </c>
      <c r="B4188" s="1">
        <v>6.0</v>
      </c>
      <c r="C4188" s="1" t="s">
        <v>12347</v>
      </c>
      <c r="D4188" s="1" t="s">
        <v>8</v>
      </c>
      <c r="E4188" s="1" t="s">
        <v>12348</v>
      </c>
      <c r="F4188" s="1" t="str">
        <f>IFERROR(__xludf.DUMMYFUNCTION("GOOGLETRANSLATE(A4188, ""zh-CN"", ""ko"")"),"제지")</f>
        <v>제지</v>
      </c>
    </row>
    <row r="4189" ht="15.75" customHeight="1">
      <c r="A4189" s="1" t="s">
        <v>12349</v>
      </c>
      <c r="B4189" s="1">
        <v>6.0</v>
      </c>
      <c r="C4189" s="1" t="s">
        <v>12350</v>
      </c>
      <c r="D4189" s="1" t="s">
        <v>8</v>
      </c>
      <c r="E4189" s="1" t="s">
        <v>12351</v>
      </c>
      <c r="F4189" s="1" t="str">
        <f>IFERROR(__xludf.DUMMYFUNCTION("GOOGLETRANSLATE(A4189, ""zh-CN"", ""ko"")"),"설립하다")</f>
        <v>설립하다</v>
      </c>
    </row>
    <row r="4190" ht="15.75" customHeight="1">
      <c r="A4190" s="1" t="s">
        <v>12352</v>
      </c>
      <c r="B4190" s="1">
        <v>6.0</v>
      </c>
      <c r="C4190" s="1" t="s">
        <v>12353</v>
      </c>
      <c r="D4190" s="1" t="s">
        <v>8</v>
      </c>
      <c r="E4190" s="1" t="s">
        <v>12354</v>
      </c>
      <c r="F4190" s="1" t="str">
        <f>IFERROR(__xludf.DUMMYFUNCTION("GOOGLETRANSLATE(A4190, ""zh-CN"", ""ko"")"),"놀다")</f>
        <v>놀다</v>
      </c>
    </row>
    <row r="4191" ht="15.75" customHeight="1">
      <c r="A4191" s="1" t="s">
        <v>12355</v>
      </c>
      <c r="B4191" s="1">
        <v>6.0</v>
      </c>
      <c r="C4191" s="1" t="s">
        <v>12356</v>
      </c>
      <c r="D4191" s="1" t="s">
        <v>52</v>
      </c>
      <c r="E4191" s="1" t="s">
        <v>12357</v>
      </c>
      <c r="F4191" s="1" t="str">
        <f>IFERROR(__xludf.DUMMYFUNCTION("GOOGLETRANSLATE(A4191, ""zh-CN"", ""ko"")"),"노화")</f>
        <v>노화</v>
      </c>
    </row>
    <row r="4192" ht="15.75" customHeight="1">
      <c r="A4192" s="1" t="s">
        <v>12358</v>
      </c>
      <c r="B4192" s="1">
        <v>6.0</v>
      </c>
      <c r="C4192" s="1" t="s">
        <v>12359</v>
      </c>
      <c r="D4192" s="1" t="s">
        <v>8</v>
      </c>
      <c r="E4192" s="1" t="s">
        <v>12360</v>
      </c>
      <c r="F4192" s="1" t="str">
        <f>IFERROR(__xludf.DUMMYFUNCTION("GOOGLETRANSLATE(A4192, ""zh-CN"", ""ko"")"),"감소")</f>
        <v>감소</v>
      </c>
    </row>
    <row r="4193" ht="15.75" customHeight="1">
      <c r="A4193" s="1" t="s">
        <v>12361</v>
      </c>
      <c r="B4193" s="1">
        <v>6.0</v>
      </c>
      <c r="C4193" s="1" t="s">
        <v>12362</v>
      </c>
      <c r="D4193" s="1" t="s">
        <v>8</v>
      </c>
      <c r="E4193" s="1" t="s">
        <v>12363</v>
      </c>
      <c r="F4193" s="1" t="str">
        <f>IFERROR(__xludf.DUMMYFUNCTION("GOOGLETRANSLATE(A4193, ""zh-CN"", ""ko"")"),"선두")</f>
        <v>선두</v>
      </c>
    </row>
    <row r="4194" ht="15.75" customHeight="1">
      <c r="A4194" s="1" t="s">
        <v>12364</v>
      </c>
      <c r="B4194" s="1">
        <v>6.0</v>
      </c>
      <c r="C4194" s="1" t="s">
        <v>12365</v>
      </c>
      <c r="E4194" s="1" t="s">
        <v>12366</v>
      </c>
      <c r="F4194" s="1" t="str">
        <f>IFERROR(__xludf.DUMMYFUNCTION("GOOGLETRANSLATE(A4194, ""zh-CN"", ""ko"")"),"훠궈")</f>
        <v>훠궈</v>
      </c>
    </row>
    <row r="4195" ht="15.75" customHeight="1">
      <c r="A4195" s="1" t="s">
        <v>12367</v>
      </c>
      <c r="B4195" s="1">
        <v>6.0</v>
      </c>
      <c r="C4195" s="1" t="s">
        <v>12368</v>
      </c>
      <c r="D4195" s="1" t="s">
        <v>16</v>
      </c>
      <c r="E4195" s="1" t="s">
        <v>12369</v>
      </c>
      <c r="F4195" s="1" t="str">
        <f>IFERROR(__xludf.DUMMYFUNCTION("GOOGLETRANSLATE(A4195, ""zh-CN"", ""ko"")"),"쌍")</f>
        <v>쌍</v>
      </c>
    </row>
    <row r="4196" ht="15.75" customHeight="1">
      <c r="A4196" s="1" t="s">
        <v>12370</v>
      </c>
      <c r="B4196" s="1">
        <v>6.0</v>
      </c>
      <c r="C4196" s="1" t="s">
        <v>12371</v>
      </c>
      <c r="D4196" s="1" t="s">
        <v>52</v>
      </c>
      <c r="E4196" s="1" t="s">
        <v>12372</v>
      </c>
      <c r="F4196" s="1" t="str">
        <f>IFERROR(__xludf.DUMMYFUNCTION("GOOGLETRANSLATE(A4196, ""zh-CN"", ""ko"")"),"손쉽게")</f>
        <v>손쉽게</v>
      </c>
    </row>
    <row r="4197" ht="15.75" customHeight="1">
      <c r="A4197" s="1" t="s">
        <v>12373</v>
      </c>
      <c r="B4197" s="1">
        <v>6.0</v>
      </c>
      <c r="C4197" s="1" t="s">
        <v>12374</v>
      </c>
      <c r="D4197" s="1" t="s">
        <v>16</v>
      </c>
      <c r="E4197" s="1" t="s">
        <v>12375</v>
      </c>
      <c r="F4197" s="1" t="str">
        <f>IFERROR(__xludf.DUMMYFUNCTION("GOOGLETRANSLATE(A4197, ""zh-CN"", ""ko"")"),"수자원 보존")</f>
        <v>수자원 보존</v>
      </c>
    </row>
    <row r="4198" ht="15.75" customHeight="1">
      <c r="A4198" s="1" t="s">
        <v>12376</v>
      </c>
      <c r="B4198" s="1">
        <v>6.0</v>
      </c>
      <c r="C4198" s="1" t="s">
        <v>12377</v>
      </c>
      <c r="D4198" s="1" t="s">
        <v>16</v>
      </c>
      <c r="E4198" s="1" t="s">
        <v>12378</v>
      </c>
      <c r="F4198" s="1" t="str">
        <f>IFERROR(__xludf.DUMMYFUNCTION("GOOGLETRANSLATE(A4198, ""zh-CN"", ""ko"")"),"수도꼭지")</f>
        <v>수도꼭지</v>
      </c>
    </row>
    <row r="4199" ht="15.75" customHeight="1">
      <c r="A4199" s="1" t="s">
        <v>12379</v>
      </c>
      <c r="B4199" s="1">
        <v>6.0</v>
      </c>
      <c r="C4199" s="1" t="s">
        <v>12380</v>
      </c>
      <c r="D4199" s="1" t="s">
        <v>16</v>
      </c>
      <c r="E4199" s="1" t="s">
        <v>12381</v>
      </c>
      <c r="F4199" s="1" t="str">
        <f>IFERROR(__xludf.DUMMYFUNCTION("GOOGLETRANSLATE(A4199, ""zh-CN"", ""ko"")"),"시멘트")</f>
        <v>시멘트</v>
      </c>
    </row>
    <row r="4200" ht="15.75" customHeight="1">
      <c r="A4200" s="1" t="s">
        <v>12382</v>
      </c>
      <c r="B4200" s="1">
        <v>6.0</v>
      </c>
      <c r="C4200" s="1" t="s">
        <v>12383</v>
      </c>
      <c r="D4200" s="1" t="s">
        <v>16</v>
      </c>
      <c r="E4200" s="1" t="s">
        <v>12384</v>
      </c>
      <c r="F4200" s="1" t="str">
        <f>IFERROR(__xludf.DUMMYFUNCTION("GOOGLETRANSLATE(A4200, ""zh-CN"", ""ko"")"),"순간")</f>
        <v>순간</v>
      </c>
    </row>
    <row r="4201" ht="15.75" customHeight="1">
      <c r="A4201" s="1" t="s">
        <v>12385</v>
      </c>
      <c r="B4201" s="1">
        <v>6.0</v>
      </c>
      <c r="C4201" s="1" t="s">
        <v>12386</v>
      </c>
      <c r="D4201" s="1" t="s">
        <v>8</v>
      </c>
      <c r="E4201" s="1" t="s">
        <v>12387</v>
      </c>
      <c r="F4201" s="1" t="str">
        <f>IFERROR(__xludf.DUMMYFUNCTION("GOOGLETRANSLATE(A4201, ""zh-CN"", ""ko"")"),"사법")</f>
        <v>사법</v>
      </c>
    </row>
    <row r="4202" ht="15.75" customHeight="1">
      <c r="A4202" s="1" t="s">
        <v>12388</v>
      </c>
      <c r="B4202" s="1">
        <v>6.0</v>
      </c>
      <c r="C4202" s="1" t="s">
        <v>12389</v>
      </c>
      <c r="D4202" s="1" t="s">
        <v>16</v>
      </c>
      <c r="E4202" s="1" t="s">
        <v>12390</v>
      </c>
      <c r="F4202" s="1" t="str">
        <f>IFERROR(__xludf.DUMMYFUNCTION("GOOGLETRANSLATE(A4202, ""zh-CN"", ""ko"")"),"사령관")</f>
        <v>사령관</v>
      </c>
    </row>
    <row r="4203" ht="15.75" customHeight="1">
      <c r="A4203" s="1" t="s">
        <v>12391</v>
      </c>
      <c r="B4203" s="1">
        <v>6.0</v>
      </c>
      <c r="C4203" s="1" t="s">
        <v>12392</v>
      </c>
      <c r="D4203" s="1" t="s">
        <v>8</v>
      </c>
      <c r="E4203" s="1" t="s">
        <v>12393</v>
      </c>
      <c r="F4203" s="1" t="str">
        <f>IFERROR(__xludf.DUMMYFUNCTION("GOOGLETRANSLATE(A4203, ""zh-CN"", ""ko"")"),"놓치다")</f>
        <v>놓치다</v>
      </c>
    </row>
    <row r="4204" ht="15.75" customHeight="1">
      <c r="A4204" s="1" t="s">
        <v>12394</v>
      </c>
      <c r="B4204" s="1">
        <v>6.0</v>
      </c>
      <c r="C4204" s="1" t="s">
        <v>12395</v>
      </c>
      <c r="D4204" s="1" t="s">
        <v>8</v>
      </c>
      <c r="E4204" s="1" t="s">
        <v>12396</v>
      </c>
      <c r="F4204" s="1" t="str">
        <f>IFERROR(__xludf.DUMMYFUNCTION("GOOGLETRANSLATE(A4204, ""zh-CN"", ""ko"")"),"생각")</f>
        <v>생각</v>
      </c>
    </row>
    <row r="4205" ht="15.75" customHeight="1">
      <c r="A4205" s="1" t="s">
        <v>12397</v>
      </c>
      <c r="B4205" s="1">
        <v>6.0</v>
      </c>
      <c r="C4205" s="1" t="s">
        <v>12398</v>
      </c>
      <c r="D4205" s="1" t="s">
        <v>16</v>
      </c>
      <c r="E4205" s="1" t="s">
        <v>12399</v>
      </c>
      <c r="F4205" s="1" t="str">
        <f>IFERROR(__xludf.DUMMYFUNCTION("GOOGLETRANSLATE(A4205, ""zh-CN"", ""ko"")"),"생각")</f>
        <v>생각</v>
      </c>
    </row>
    <row r="4206" ht="15.75" customHeight="1">
      <c r="A4206" s="1" t="s">
        <v>12400</v>
      </c>
      <c r="B4206" s="1">
        <v>6.0</v>
      </c>
      <c r="C4206" s="1" t="s">
        <v>12401</v>
      </c>
      <c r="D4206" s="1" t="s">
        <v>52</v>
      </c>
      <c r="E4206" s="1" t="s">
        <v>12402</v>
      </c>
      <c r="F4206" s="1" t="str">
        <f>IFERROR(__xludf.DUMMYFUNCTION("GOOGLETRANSLATE(A4206, ""zh-CN"", ""ko"")"),"스벤")</f>
        <v>스벤</v>
      </c>
    </row>
    <row r="4207" ht="15.75" customHeight="1">
      <c r="A4207" s="1" t="s">
        <v>12403</v>
      </c>
      <c r="B4207" s="1">
        <v>6.0</v>
      </c>
      <c r="C4207" s="1" t="s">
        <v>12404</v>
      </c>
      <c r="D4207" s="1" t="s">
        <v>33</v>
      </c>
      <c r="E4207" s="1" t="s">
        <v>12405</v>
      </c>
      <c r="F4207" s="1" t="str">
        <f>IFERROR(__xludf.DUMMYFUNCTION("GOOGLETRANSLATE(A4207, ""zh-CN"", ""ko"")"),"몰래")</f>
        <v>몰래</v>
      </c>
    </row>
    <row r="4208" ht="15.75" customHeight="1">
      <c r="A4208" s="1" t="s">
        <v>12406</v>
      </c>
      <c r="B4208" s="1">
        <v>6.0</v>
      </c>
      <c r="C4208" s="1" t="s">
        <v>12407</v>
      </c>
      <c r="D4208" s="1" t="s">
        <v>16</v>
      </c>
      <c r="E4208" s="1" t="s">
        <v>12408</v>
      </c>
      <c r="F4208" s="1" t="str">
        <f>IFERROR(__xludf.DUMMYFUNCTION("GOOGLETRANSLATE(A4208, ""zh-CN"", ""ko"")"),"주사위")</f>
        <v>주사위</v>
      </c>
    </row>
    <row r="4209" ht="15.75" customHeight="1">
      <c r="A4209" s="1" t="s">
        <v>12409</v>
      </c>
      <c r="B4209" s="1">
        <v>6.0</v>
      </c>
      <c r="C4209" s="1" t="s">
        <v>12410</v>
      </c>
      <c r="D4209" s="1" t="s">
        <v>16</v>
      </c>
      <c r="E4209" s="1" t="s">
        <v>12411</v>
      </c>
      <c r="F4209" s="1" t="str">
        <f>IFERROR(__xludf.DUMMYFUNCTION("GOOGLETRANSLATE(A4209, ""zh-CN"", ""ko"")"),"절")</f>
        <v>절</v>
      </c>
    </row>
    <row r="4210" ht="15.75" customHeight="1">
      <c r="A4210" s="1" t="s">
        <v>12412</v>
      </c>
      <c r="B4210" s="1">
        <v>6.0</v>
      </c>
      <c r="C4210" s="1" t="s">
        <v>12413</v>
      </c>
      <c r="E4210" s="1" t="s">
        <v>12414</v>
      </c>
      <c r="F4210" s="1" t="str">
        <f>IFERROR(__xludf.DUMMYFUNCTION("GOOGLETRANSLATE(A4210, ""zh-CN"", ""ko"")"),"사악한")</f>
        <v>사악한</v>
      </c>
    </row>
    <row r="4211" ht="15.75" customHeight="1">
      <c r="A4211" s="1" t="s">
        <v>12415</v>
      </c>
      <c r="B4211" s="1">
        <v>6.0</v>
      </c>
      <c r="C4211" s="1" t="s">
        <v>12416</v>
      </c>
      <c r="D4211" s="1" t="s">
        <v>8</v>
      </c>
      <c r="E4211" s="1" t="s">
        <v>12417</v>
      </c>
      <c r="F4211" s="1" t="str">
        <f>IFERROR(__xludf.DUMMYFUNCTION("GOOGLETRANSLATE(A4211, ""zh-CN"", ""ko"")"),"번식")</f>
        <v>번식</v>
      </c>
    </row>
    <row r="4212" ht="15.75" customHeight="1">
      <c r="A4212" s="1" t="s">
        <v>12418</v>
      </c>
      <c r="B4212" s="1">
        <v>6.0</v>
      </c>
      <c r="C4212" s="1" t="s">
        <v>12419</v>
      </c>
      <c r="D4212" s="1" t="s">
        <v>16</v>
      </c>
      <c r="E4212" s="1" t="s">
        <v>12420</v>
      </c>
      <c r="F4212" s="1" t="str">
        <f>IFERROR(__xludf.DUMMYFUNCTION("GOOGLETRANSLATE(A4212, ""zh-CN"", ""ko"")"),"사지")</f>
        <v>사지</v>
      </c>
    </row>
    <row r="4213" ht="15.75" customHeight="1">
      <c r="A4213" s="1" t="s">
        <v>12421</v>
      </c>
      <c r="B4213" s="1">
        <v>6.0</v>
      </c>
      <c r="C4213" s="1" t="s">
        <v>12422</v>
      </c>
      <c r="D4213" s="1" t="s">
        <v>8</v>
      </c>
      <c r="E4213" s="1" t="s">
        <v>12423</v>
      </c>
      <c r="F4213" s="1" t="str">
        <f>IFERROR(__xludf.DUMMYFUNCTION("GOOGLETRANSLATE(A4213, ""zh-CN"", ""ko"")"),"높이 솟은")</f>
        <v>높이 솟은</v>
      </c>
    </row>
    <row r="4214" ht="15.75" customHeight="1">
      <c r="A4214" s="1" t="s">
        <v>12424</v>
      </c>
      <c r="B4214" s="1">
        <v>6.0</v>
      </c>
      <c r="C4214" s="1" t="s">
        <v>12425</v>
      </c>
      <c r="D4214" s="1" t="s">
        <v>26</v>
      </c>
      <c r="E4214" s="1" t="s">
        <v>12426</v>
      </c>
      <c r="F4214" s="1" t="str">
        <f>IFERROR(__xludf.DUMMYFUNCTION("GOOGLETRANSLATE(A4214, ""zh-CN"", ""ko"")"),"배")</f>
        <v>배</v>
      </c>
    </row>
    <row r="4215" ht="15.75" customHeight="1">
      <c r="A4215" s="1" t="s">
        <v>12427</v>
      </c>
      <c r="B4215" s="1">
        <v>6.0</v>
      </c>
      <c r="C4215" s="1" t="s">
        <v>12428</v>
      </c>
      <c r="D4215" s="1" t="s">
        <v>8</v>
      </c>
      <c r="E4215" s="1" t="s">
        <v>12429</v>
      </c>
      <c r="F4215" s="1" t="str">
        <f>IFERROR(__xludf.DUMMYFUNCTION("GOOGLETRANSLATE(A4215, ""zh-CN"", ""ko"")"),"깨어 있다")</f>
        <v>깨어 있다</v>
      </c>
    </row>
    <row r="4216" ht="15.75" customHeight="1">
      <c r="A4216" s="1" t="s">
        <v>12430</v>
      </c>
      <c r="B4216" s="1">
        <v>6.0</v>
      </c>
      <c r="C4216" s="1" t="s">
        <v>12431</v>
      </c>
      <c r="D4216" s="1" t="s">
        <v>16</v>
      </c>
      <c r="E4216" s="1" t="s">
        <v>12432</v>
      </c>
      <c r="F4216" s="1" t="str">
        <f>IFERROR(__xludf.DUMMYFUNCTION("GOOGLETRANSLATE(A4216, ""zh-CN"", ""ko"")"),"속담")</f>
        <v>속담</v>
      </c>
    </row>
    <row r="4217" ht="15.75" customHeight="1">
      <c r="A4217" s="1" t="s">
        <v>12433</v>
      </c>
      <c r="B4217" s="1">
        <v>6.0</v>
      </c>
      <c r="C4217" s="1" t="s">
        <v>12434</v>
      </c>
      <c r="D4217" s="1" t="s">
        <v>16</v>
      </c>
      <c r="E4217" s="1" t="s">
        <v>12435</v>
      </c>
      <c r="F4217" s="1" t="str">
        <f>IFERROR(__xludf.DUMMYFUNCTION("GOOGLETRANSLATE(A4217, ""zh-CN"", ""ko"")"),"채식")</f>
        <v>채식</v>
      </c>
    </row>
    <row r="4218" ht="15.75" customHeight="1">
      <c r="A4218" s="1" t="s">
        <v>12436</v>
      </c>
      <c r="B4218" s="1">
        <v>6.0</v>
      </c>
      <c r="C4218" s="1" t="s">
        <v>12437</v>
      </c>
      <c r="D4218" s="1" t="s">
        <v>8</v>
      </c>
      <c r="E4218" s="1" t="s">
        <v>12438</v>
      </c>
      <c r="F4218" s="1" t="str">
        <f>IFERROR(__xludf.DUMMYFUNCTION("GOOGLETRANSLATE(A4218, ""zh-CN"", ""ko"")"),"소송")</f>
        <v>소송</v>
      </c>
    </row>
    <row r="4219" ht="15.75" customHeight="1">
      <c r="A4219" s="1" t="s">
        <v>12439</v>
      </c>
      <c r="B4219" s="1">
        <v>6.0</v>
      </c>
      <c r="C4219" s="1" t="s">
        <v>12440</v>
      </c>
      <c r="D4219" s="1" t="s">
        <v>8</v>
      </c>
      <c r="E4219" s="1" t="s">
        <v>12441</v>
      </c>
      <c r="F4219" s="1" t="str">
        <f>IFERROR(__xludf.DUMMYFUNCTION("GOOGLETRANSLATE(A4219, ""zh-CN"", ""ko"")"),"모양")</f>
        <v>모양</v>
      </c>
    </row>
    <row r="4220" ht="15.75" customHeight="1">
      <c r="A4220" s="1" t="s">
        <v>12442</v>
      </c>
      <c r="B4220" s="1">
        <v>6.0</v>
      </c>
      <c r="C4220" s="1" t="s">
        <v>12443</v>
      </c>
      <c r="D4220" s="1" t="s">
        <v>16</v>
      </c>
      <c r="E4220" s="1" t="s">
        <v>3459</v>
      </c>
      <c r="F4220" s="1" t="str">
        <f>IFERROR(__xludf.DUMMYFUNCTION("GOOGLETRANSLATE(A4220, ""zh-CN"", ""ko"")"),"품질")</f>
        <v>품질</v>
      </c>
    </row>
    <row r="4221" ht="15.75" customHeight="1">
      <c r="A4221" s="1" t="s">
        <v>12444</v>
      </c>
      <c r="B4221" s="1">
        <v>6.0</v>
      </c>
      <c r="C4221" s="1" t="s">
        <v>12445</v>
      </c>
      <c r="D4221" s="1" t="s">
        <v>8</v>
      </c>
      <c r="E4221" s="1" t="s">
        <v>12446</v>
      </c>
      <c r="F4221" s="1" t="str">
        <f>IFERROR(__xludf.DUMMYFUNCTION("GOOGLETRANSLATE(A4221, ""zh-CN"", ""ko"")"),"세다")</f>
        <v>세다</v>
      </c>
    </row>
    <row r="4222" ht="15.75" customHeight="1">
      <c r="A4222" s="1" t="s">
        <v>12447</v>
      </c>
      <c r="B4222" s="1">
        <v>6.0</v>
      </c>
      <c r="C4222" s="1" t="s">
        <v>12448</v>
      </c>
      <c r="D4222" s="1" t="s">
        <v>33</v>
      </c>
      <c r="E4222" s="1" t="s">
        <v>12449</v>
      </c>
      <c r="F4222" s="1" t="str">
        <f>IFERROR(__xludf.DUMMYFUNCTION("GOOGLETRANSLATE(A4222, ""zh-CN"", ""ko"")"),"즉시")</f>
        <v>즉시</v>
      </c>
    </row>
    <row r="4223" ht="15.75" customHeight="1">
      <c r="A4223" s="1" t="s">
        <v>12450</v>
      </c>
      <c r="B4223" s="1">
        <v>6.0</v>
      </c>
      <c r="C4223" s="1" t="s">
        <v>12451</v>
      </c>
      <c r="D4223" s="1" t="s">
        <v>52</v>
      </c>
      <c r="E4223" s="1" t="s">
        <v>12452</v>
      </c>
      <c r="F4223" s="1" t="str">
        <f>IFERROR(__xludf.DUMMYFUNCTION("GOOGLETRANSLATE(A4223, ""zh-CN"", ""ko"")"),"무작위의")</f>
        <v>무작위의</v>
      </c>
    </row>
    <row r="4224" ht="15.75" customHeight="1">
      <c r="A4224" s="1" t="s">
        <v>12453</v>
      </c>
      <c r="B4224" s="1">
        <v>6.0</v>
      </c>
      <c r="C4224" s="1" t="s">
        <v>12454</v>
      </c>
      <c r="D4224" s="1" t="s">
        <v>16</v>
      </c>
      <c r="E4224" s="1" t="s">
        <v>12455</v>
      </c>
      <c r="F4224" s="1" t="str">
        <f>IFERROR(__xludf.DUMMYFUNCTION("GOOGLETRANSLATE(A4224, ""zh-CN"", ""ko"")"),"터널")</f>
        <v>터널</v>
      </c>
    </row>
    <row r="4225" ht="15.75" customHeight="1">
      <c r="A4225" s="1" t="s">
        <v>12456</v>
      </c>
      <c r="B4225" s="1">
        <v>6.0</v>
      </c>
      <c r="C4225" s="1" t="s">
        <v>12457</v>
      </c>
      <c r="D4225" s="1" t="s">
        <v>16</v>
      </c>
      <c r="E4225" s="1" t="s">
        <v>12458</v>
      </c>
      <c r="F4225" s="1" t="str">
        <f>IFERROR(__xludf.DUMMYFUNCTION("GOOGLETRANSLATE(A4225, ""zh-CN"", ""ko"")"),"연령")</f>
        <v>연령</v>
      </c>
    </row>
    <row r="4226" ht="15.75" customHeight="1">
      <c r="A4226" s="1" t="s">
        <v>12459</v>
      </c>
      <c r="B4226" s="1">
        <v>6.0</v>
      </c>
      <c r="C4226" s="1" t="s">
        <v>12460</v>
      </c>
      <c r="D4226" s="1" t="s">
        <v>8</v>
      </c>
      <c r="E4226" s="1" t="s">
        <v>12461</v>
      </c>
      <c r="F4226" s="1" t="str">
        <f>IFERROR(__xludf.DUMMYFUNCTION("GOOGLETRANSLATE(A4226, ""zh-CN"", ""ko"")"),"손상")</f>
        <v>손상</v>
      </c>
    </row>
    <row r="4227" ht="15.75" customHeight="1">
      <c r="A4227" s="1" t="s">
        <v>12462</v>
      </c>
      <c r="B4227" s="1">
        <v>6.0</v>
      </c>
      <c r="C4227" s="1" t="s">
        <v>12463</v>
      </c>
      <c r="D4227" s="1" t="s">
        <v>8</v>
      </c>
      <c r="E4227" s="1" t="s">
        <v>12464</v>
      </c>
      <c r="F4227" s="1" t="str">
        <f>IFERROR(__xludf.DUMMYFUNCTION("GOOGLETRANSLATE(A4227, ""zh-CN"", ""ko"")"),"요구")</f>
        <v>요구</v>
      </c>
    </row>
    <row r="4228" ht="15.75" customHeight="1">
      <c r="A4228" s="1" t="s">
        <v>12465</v>
      </c>
      <c r="B4228" s="1">
        <v>6.0</v>
      </c>
      <c r="C4228" s="1" t="s">
        <v>12466</v>
      </c>
      <c r="D4228" s="1" t="s">
        <v>33</v>
      </c>
      <c r="E4228" s="1" t="s">
        <v>12467</v>
      </c>
      <c r="F4228" s="1" t="str">
        <f>IFERROR(__xludf.DUMMYFUNCTION("GOOGLETRANSLATE(A4228, ""zh-CN"", ""ko"")"),"그렇게 되도록 하라.")</f>
        <v>그렇게 되도록 하라.</v>
      </c>
    </row>
    <row r="4229" ht="15.75" customHeight="1">
      <c r="A4229" s="1" t="s">
        <v>12468</v>
      </c>
      <c r="B4229" s="1">
        <v>6.0</v>
      </c>
      <c r="C4229" s="1" t="s">
        <v>330</v>
      </c>
      <c r="D4229" s="1" t="s">
        <v>8</v>
      </c>
      <c r="E4229" s="1" t="s">
        <v>12469</v>
      </c>
      <c r="F4229" s="1" t="str">
        <f>IFERROR(__xludf.DUMMYFUNCTION("GOOGLETRANSLATE(A4229, ""zh-CN"", ""ko"")"),"무너지다")</f>
        <v>무너지다</v>
      </c>
    </row>
    <row r="4230" ht="15.75" customHeight="1">
      <c r="A4230" s="1" t="s">
        <v>12470</v>
      </c>
      <c r="B4230" s="1">
        <v>6.0</v>
      </c>
      <c r="C4230" s="1" t="s">
        <v>12471</v>
      </c>
      <c r="D4230" s="1" t="s">
        <v>52</v>
      </c>
      <c r="E4230" s="1" t="s">
        <v>12472</v>
      </c>
      <c r="F4230" s="1" t="str">
        <f>IFERROR(__xludf.DUMMYFUNCTION("GOOGLETRANSLATE(A4230, ""zh-CN"", ""ko"")"),"소탈한")</f>
        <v>소탈한</v>
      </c>
    </row>
    <row r="4231" ht="15.75" customHeight="1">
      <c r="A4231" s="1" t="s">
        <v>12473</v>
      </c>
      <c r="B4231" s="1">
        <v>6.0</v>
      </c>
      <c r="C4231" s="1" t="s">
        <v>12474</v>
      </c>
      <c r="D4231" s="1" t="s">
        <v>16</v>
      </c>
      <c r="E4231" s="1" t="s">
        <v>12475</v>
      </c>
      <c r="F4231" s="1" t="str">
        <f>IFERROR(__xludf.DUMMYFUNCTION("GOOGLETRANSLATE(A4231, ""zh-CN"", ""ko"")"),"탑")</f>
        <v>탑</v>
      </c>
    </row>
    <row r="4232" ht="15.75" customHeight="1">
      <c r="A4232" s="1" t="s">
        <v>12476</v>
      </c>
      <c r="B4232" s="1">
        <v>6.0</v>
      </c>
      <c r="C4232" s="1" t="s">
        <v>12477</v>
      </c>
      <c r="D4232" s="1" t="s">
        <v>16</v>
      </c>
      <c r="E4232" s="1" t="s">
        <v>12478</v>
      </c>
      <c r="F4232" s="1" t="str">
        <f>IFERROR(__xludf.DUMMYFUNCTION("GOOGLETRANSLATE(A4232, ""zh-CN"", ""ko"")"),"태풍")</f>
        <v>태풍</v>
      </c>
    </row>
    <row r="4233" ht="15.75" customHeight="1">
      <c r="A4233" s="1" t="s">
        <v>12479</v>
      </c>
      <c r="B4233" s="1">
        <v>6.0</v>
      </c>
      <c r="C4233" s="1" t="s">
        <v>12480</v>
      </c>
      <c r="D4233" s="1" t="s">
        <v>16</v>
      </c>
      <c r="E4233" s="1" t="s">
        <v>12481</v>
      </c>
      <c r="F4233" s="1" t="str">
        <f>IFERROR(__xludf.DUMMYFUNCTION("GOOGLETRANSLATE(A4233, ""zh-CN"", ""ko"")"),"그랜드마스터")</f>
        <v>그랜드마스터</v>
      </c>
    </row>
    <row r="4234" ht="15.75" customHeight="1">
      <c r="A4234" s="1" t="s">
        <v>12482</v>
      </c>
      <c r="B4234" s="1">
        <v>6.0</v>
      </c>
      <c r="C4234" s="1" t="s">
        <v>12483</v>
      </c>
      <c r="D4234" s="1" t="s">
        <v>16</v>
      </c>
      <c r="E4234" s="1" t="s">
        <v>12484</v>
      </c>
      <c r="F4234" s="1" t="str">
        <f>IFERROR(__xludf.DUMMYFUNCTION("GOOGLETRANSLATE(A4234, ""zh-CN"", ""ko"")"),"공간")</f>
        <v>공간</v>
      </c>
    </row>
    <row r="4235" ht="15.75" customHeight="1">
      <c r="A4235" s="1" t="s">
        <v>12485</v>
      </c>
      <c r="B4235" s="1">
        <v>6.0</v>
      </c>
      <c r="C4235" s="1" t="s">
        <v>12486</v>
      </c>
      <c r="D4235" s="1" t="s">
        <v>8</v>
      </c>
      <c r="E4235" s="1" t="s">
        <v>12487</v>
      </c>
      <c r="F4235" s="1" t="str">
        <f>IFERROR(__xludf.DUMMYFUNCTION("GOOGLETRANSLATE(A4235, ""zh-CN"", ""ko"")"),"마구간")</f>
        <v>마구간</v>
      </c>
    </row>
    <row r="4236" ht="15.75" customHeight="1">
      <c r="A4236" s="1" t="s">
        <v>12488</v>
      </c>
      <c r="B4236" s="1">
        <v>6.0</v>
      </c>
      <c r="C4236" s="1" t="s">
        <v>12489</v>
      </c>
      <c r="D4236" s="1" t="s">
        <v>8</v>
      </c>
      <c r="E4236" s="1" t="s">
        <v>10927</v>
      </c>
      <c r="F4236" s="1" t="str">
        <f>IFERROR(__xludf.DUMMYFUNCTION("GOOGLETRANSLATE(A4236, ""zh-CN"", ""ko"")"),"마비")</f>
        <v>마비</v>
      </c>
    </row>
    <row r="4237" ht="15.75" customHeight="1">
      <c r="A4237" s="1" t="s">
        <v>12490</v>
      </c>
      <c r="B4237" s="1">
        <v>6.0</v>
      </c>
      <c r="C4237" s="1" t="s">
        <v>12491</v>
      </c>
      <c r="D4237" s="1" t="s">
        <v>52</v>
      </c>
      <c r="E4237" s="1" t="s">
        <v>12492</v>
      </c>
      <c r="F4237" s="1" t="str">
        <f>IFERROR(__xludf.DUMMYFUNCTION("GOOGLETRANSLATE(A4237, ""zh-CN"", ""ko"")"),"탐욕스러운")</f>
        <v>탐욕스러운</v>
      </c>
    </row>
    <row r="4238" ht="15.75" customHeight="1">
      <c r="A4238" s="1" t="s">
        <v>12493</v>
      </c>
      <c r="B4238" s="1">
        <v>6.0</v>
      </c>
      <c r="C4238" s="1" t="s">
        <v>12494</v>
      </c>
      <c r="D4238" s="1" t="s">
        <v>8</v>
      </c>
      <c r="E4238" s="1" t="s">
        <v>12495</v>
      </c>
      <c r="F4238" s="1" t="str">
        <f>IFERROR(__xludf.DUMMYFUNCTION("GOOGLETRANSLATE(A4238, ""zh-CN"", ""ko"")"),"부패")</f>
        <v>부패</v>
      </c>
    </row>
    <row r="4239" ht="15.75" customHeight="1">
      <c r="A4239" s="1" t="s">
        <v>12496</v>
      </c>
      <c r="B4239" s="1">
        <v>6.0</v>
      </c>
      <c r="C4239" s="1" t="s">
        <v>12497</v>
      </c>
      <c r="D4239" s="1" t="s">
        <v>16</v>
      </c>
      <c r="E4239" s="1" t="s">
        <v>12498</v>
      </c>
      <c r="F4239" s="1" t="str">
        <f>IFERROR(__xludf.DUMMYFUNCTION("GOOGLETRANSLATE(A4239, ""zh-CN"", ""ko"")"),"탄력")</f>
        <v>탄력</v>
      </c>
    </row>
    <row r="4240" ht="15.75" customHeight="1">
      <c r="A4240" s="1" t="s">
        <v>12499</v>
      </c>
      <c r="B4240" s="1">
        <v>6.0</v>
      </c>
      <c r="C4240" s="1" t="s">
        <v>12500</v>
      </c>
      <c r="D4240" s="1" t="s">
        <v>8</v>
      </c>
      <c r="E4240" s="1" t="s">
        <v>12501</v>
      </c>
      <c r="F4240" s="1" t="str">
        <f>IFERROR(__xludf.DUMMYFUNCTION("GOOGLETRANSLATE(A4240, ""zh-CN"", ""ko"")"),"솔직한")</f>
        <v>솔직한</v>
      </c>
    </row>
    <row r="4241" ht="15.75" customHeight="1">
      <c r="A4241" s="1" t="s">
        <v>12502</v>
      </c>
      <c r="B4241" s="1">
        <v>6.0</v>
      </c>
      <c r="C4241" s="1" t="s">
        <v>12503</v>
      </c>
      <c r="D4241" s="1" t="s">
        <v>8</v>
      </c>
      <c r="E4241" s="1" t="s">
        <v>12504</v>
      </c>
      <c r="F4241" s="1" t="str">
        <f>IFERROR(__xludf.DUMMYFUNCTION("GOOGLETRANSLATE(A4241, ""zh-CN"", ""ko"")"),"발각")</f>
        <v>발각</v>
      </c>
    </row>
    <row r="4242" ht="15.75" customHeight="1">
      <c r="A4242" s="1" t="s">
        <v>12505</v>
      </c>
      <c r="B4242" s="1">
        <v>6.0</v>
      </c>
      <c r="C4242" s="1" t="s">
        <v>12506</v>
      </c>
      <c r="D4242" s="1" t="s">
        <v>8</v>
      </c>
      <c r="E4242" s="1" t="s">
        <v>12507</v>
      </c>
      <c r="F4242" s="1" t="str">
        <f>IFERROR(__xludf.DUMMYFUNCTION("GOOGLETRANSLATE(A4242, ""zh-CN"", ""ko"")"),"한숨을 쉬다")</f>
        <v>한숨을 쉬다</v>
      </c>
    </row>
    <row r="4243" ht="15.75" customHeight="1">
      <c r="A4243" s="1" t="s">
        <v>12508</v>
      </c>
      <c r="B4243" s="1">
        <v>6.0</v>
      </c>
      <c r="C4243" s="1" t="s">
        <v>12509</v>
      </c>
      <c r="D4243" s="1" t="s">
        <v>8</v>
      </c>
      <c r="E4243" s="1" t="s">
        <v>12510</v>
      </c>
      <c r="F4243" s="1" t="str">
        <f>IFERROR(__xludf.DUMMYFUNCTION("GOOGLETRANSLATE(A4243, ""zh-CN"", ""ko"")"),"탐구하다")</f>
        <v>탐구하다</v>
      </c>
    </row>
    <row r="4244" ht="15.75" customHeight="1">
      <c r="A4244" s="1" t="s">
        <v>12511</v>
      </c>
      <c r="B4244" s="1">
        <v>6.0</v>
      </c>
      <c r="C4244" s="1" t="s">
        <v>12512</v>
      </c>
      <c r="D4244" s="1" t="s">
        <v>8</v>
      </c>
      <c r="E4244" s="1" t="s">
        <v>12513</v>
      </c>
      <c r="F4244" s="1" t="str">
        <f>IFERROR(__xludf.DUMMYFUNCTION("GOOGLETRANSLATE(A4244, ""zh-CN"", ""ko"")"),"논의")</f>
        <v>논의</v>
      </c>
    </row>
    <row r="4245" ht="15.75" customHeight="1">
      <c r="A4245" s="1" t="s">
        <v>12514</v>
      </c>
      <c r="B4245" s="1">
        <v>6.0</v>
      </c>
      <c r="C4245" s="1" t="s">
        <v>12515</v>
      </c>
      <c r="D4245" s="1" t="s">
        <v>8</v>
      </c>
      <c r="E4245" s="1" t="s">
        <v>12516</v>
      </c>
      <c r="F4245" s="1" t="str">
        <f>IFERROR(__xludf.DUMMYFUNCTION("GOOGLETRANSLATE(A4245, ""zh-CN"", ""ko"")"),"방문하다")</f>
        <v>방문하다</v>
      </c>
    </row>
    <row r="4246" ht="15.75" customHeight="1">
      <c r="A4246" s="1" t="s">
        <v>12517</v>
      </c>
      <c r="B4246" s="1">
        <v>6.0</v>
      </c>
      <c r="C4246" s="1" t="s">
        <v>12518</v>
      </c>
      <c r="D4246" s="1" t="s">
        <v>33</v>
      </c>
      <c r="E4246" s="1" t="s">
        <v>12519</v>
      </c>
      <c r="F4246" s="1" t="str">
        <f>IFERROR(__xludf.DUMMYFUNCTION("GOOGLETRANSLATE(A4246, ""zh-CN"", ""ko"")"),"만약에")</f>
        <v>만약에</v>
      </c>
    </row>
    <row r="4247" ht="15.75" customHeight="1">
      <c r="A4247" s="1" t="s">
        <v>12520</v>
      </c>
      <c r="B4247" s="1">
        <v>6.0</v>
      </c>
      <c r="C4247" s="1" t="s">
        <v>12521</v>
      </c>
      <c r="D4247" s="1" t="s">
        <v>8</v>
      </c>
      <c r="E4247" s="1" t="s">
        <v>12522</v>
      </c>
      <c r="F4247" s="1" t="str">
        <f>IFERROR(__xludf.DUMMYFUNCTION("GOOGLETRANSLATE(A4247, ""zh-CN"", ""ko"")"),"파기")</f>
        <v>파기</v>
      </c>
    </row>
    <row r="4248" ht="15.75" customHeight="1">
      <c r="A4248" s="1" t="s">
        <v>12523</v>
      </c>
      <c r="B4248" s="1">
        <v>6.0</v>
      </c>
      <c r="C4248" s="1" t="s">
        <v>12524</v>
      </c>
      <c r="E4248" s="1" t="s">
        <v>12525</v>
      </c>
      <c r="F4248" s="1" t="str">
        <f>IFERROR(__xludf.DUMMYFUNCTION("GOOGLETRANSLATE(A4248, ""zh-CN"", ""ko"")"),"수다스러운")</f>
        <v>수다스러운</v>
      </c>
    </row>
    <row r="4249" ht="15.75" customHeight="1">
      <c r="A4249" s="1" t="s">
        <v>12526</v>
      </c>
      <c r="B4249" s="1">
        <v>6.0</v>
      </c>
      <c r="C4249" s="1" t="s">
        <v>12527</v>
      </c>
      <c r="D4249" s="1" t="s">
        <v>16</v>
      </c>
      <c r="E4249" s="1" t="s">
        <v>12528</v>
      </c>
      <c r="F4249" s="1" t="str">
        <f>IFERROR(__xludf.DUMMYFUNCTION("GOOGLETRANSLATE(A4249, ""zh-CN"", ""ko"")"),"도예")</f>
        <v>도예</v>
      </c>
    </row>
    <row r="4250" ht="15.75" customHeight="1">
      <c r="A4250" s="1" t="s">
        <v>12529</v>
      </c>
      <c r="B4250" s="1">
        <v>6.0</v>
      </c>
      <c r="C4250" s="1" t="s">
        <v>12530</v>
      </c>
      <c r="D4250" s="1" t="s">
        <v>8</v>
      </c>
      <c r="E4250" s="1" t="s">
        <v>12531</v>
      </c>
      <c r="F4250" s="1" t="str">
        <f>IFERROR(__xludf.DUMMYFUNCTION("GOOGLETRANSLATE(A4250, ""zh-CN"", ""ko"")"),"쓰지 않음")</f>
        <v>쓰지 않음</v>
      </c>
    </row>
    <row r="4251" ht="15.75" customHeight="1">
      <c r="A4251" s="1" t="s">
        <v>12532</v>
      </c>
      <c r="B4251" s="1">
        <v>6.0</v>
      </c>
      <c r="C4251" s="1" t="s">
        <v>12533</v>
      </c>
      <c r="D4251" s="1" t="s">
        <v>8</v>
      </c>
      <c r="E4251" s="1" t="s">
        <v>12534</v>
      </c>
      <c r="F4251" s="1" t="str">
        <f>IFERROR(__xludf.DUMMYFUNCTION("GOOGLETRANSLATE(A4251, ""zh-CN"", ""ko"")"),"몹시 즐기다")</f>
        <v>몹시 즐기다</v>
      </c>
    </row>
    <row r="4252" ht="15.75" customHeight="1">
      <c r="A4252" s="1" t="s">
        <v>12535</v>
      </c>
      <c r="B4252" s="1">
        <v>6.0</v>
      </c>
      <c r="C4252" s="1" t="s">
        <v>12536</v>
      </c>
      <c r="D4252" s="1" t="s">
        <v>8</v>
      </c>
      <c r="E4252" s="1" t="s">
        <v>12537</v>
      </c>
      <c r="F4252" s="1" t="str">
        <f>IFERROR(__xludf.DUMMYFUNCTION("GOOGLETRANSLATE(A4252, ""zh-CN"", ""ko"")"),"아첨")</f>
        <v>아첨</v>
      </c>
    </row>
    <row r="4253" ht="15.75" customHeight="1">
      <c r="A4253" s="1" t="s">
        <v>12538</v>
      </c>
      <c r="B4253" s="1">
        <v>6.0</v>
      </c>
      <c r="C4253" s="1" t="s">
        <v>12539</v>
      </c>
      <c r="D4253" s="1" t="s">
        <v>16</v>
      </c>
      <c r="E4253" s="1" t="s">
        <v>12540</v>
      </c>
      <c r="F4253" s="1" t="str">
        <f>IFERROR(__xludf.DUMMYFUNCTION("GOOGLETRANSLATE(A4253, ""zh-CN"", ""ko"")"),"특수 기술")</f>
        <v>특수 기술</v>
      </c>
    </row>
    <row r="4254" ht="15.75" customHeight="1">
      <c r="A4254" s="1" t="s">
        <v>12541</v>
      </c>
      <c r="B4254" s="1">
        <v>6.0</v>
      </c>
      <c r="C4254" s="1" t="s">
        <v>12542</v>
      </c>
      <c r="D4254" s="1" t="s">
        <v>52</v>
      </c>
      <c r="E4254" s="1" t="s">
        <v>12543</v>
      </c>
      <c r="F4254" s="1" t="str">
        <f>IFERROR(__xludf.DUMMYFUNCTION("GOOGLETRANSLATE(A4254, ""zh-CN"", ""ko"")"),"특정한")</f>
        <v>특정한</v>
      </c>
    </row>
    <row r="4255" ht="15.75" customHeight="1">
      <c r="A4255" s="1" t="s">
        <v>12544</v>
      </c>
      <c r="B4255" s="1">
        <v>6.0</v>
      </c>
      <c r="C4255" s="1" t="s">
        <v>12545</v>
      </c>
      <c r="D4255" s="1" t="s">
        <v>33</v>
      </c>
      <c r="E4255" s="1" t="s">
        <v>12546</v>
      </c>
      <c r="F4255" s="1" t="str">
        <f>IFERROR(__xludf.DUMMYFUNCTION("GOOGLETRANSLATE(A4255, ""zh-CN"", ""ko"")"),"특별히")</f>
        <v>특별히</v>
      </c>
    </row>
    <row r="4256" ht="15.75" customHeight="1">
      <c r="A4256" s="1" t="s">
        <v>12547</v>
      </c>
      <c r="B4256" s="1">
        <v>6.0</v>
      </c>
      <c r="C4256" s="1" t="s">
        <v>12548</v>
      </c>
      <c r="D4256" s="1" t="s">
        <v>8</v>
      </c>
      <c r="E4256" s="1" t="s">
        <v>12549</v>
      </c>
      <c r="F4256" s="1" t="str">
        <f>IFERROR(__xludf.DUMMYFUNCTION("GOOGLETRANSLATE(A4256, ""zh-CN"", ""ko"")"),"홍보됨")</f>
        <v>홍보됨</v>
      </c>
    </row>
    <row r="4257" ht="15.75" customHeight="1">
      <c r="A4257" s="1" t="s">
        <v>12550</v>
      </c>
      <c r="B4257" s="1">
        <v>6.0</v>
      </c>
      <c r="C4257" s="1" t="s">
        <v>12551</v>
      </c>
      <c r="D4257" s="1" t="s">
        <v>16</v>
      </c>
      <c r="E4257" s="1" t="s">
        <v>12552</v>
      </c>
      <c r="F4257" s="1" t="str">
        <f>IFERROR(__xludf.DUMMYFUNCTION("GOOGLETRANSLATE(A4257, ""zh-CN"", ""ko"")"),"주제")</f>
        <v>주제</v>
      </c>
    </row>
    <row r="4258" ht="15.75" customHeight="1">
      <c r="A4258" s="1" t="s">
        <v>12553</v>
      </c>
      <c r="B4258" s="1">
        <v>6.0</v>
      </c>
      <c r="C4258" s="1" t="s">
        <v>12554</v>
      </c>
      <c r="D4258" s="1" t="s">
        <v>8</v>
      </c>
      <c r="E4258" s="1" t="s">
        <v>12555</v>
      </c>
      <c r="F4258" s="1" t="str">
        <f>IFERROR(__xludf.DUMMYFUNCTION("GOOGLETRANSLATE(A4258, ""zh-CN"", ""ko"")"),"정제")</f>
        <v>정제</v>
      </c>
    </row>
    <row r="4259" ht="15.75" customHeight="1">
      <c r="A4259" s="1" t="s">
        <v>12556</v>
      </c>
      <c r="B4259" s="1">
        <v>6.0</v>
      </c>
      <c r="C4259" s="1" t="s">
        <v>12557</v>
      </c>
      <c r="D4259" s="1" t="s">
        <v>8</v>
      </c>
      <c r="E4259" s="1" t="s">
        <v>12558</v>
      </c>
      <c r="F4259" s="1" t="str">
        <f>IFERROR(__xludf.DUMMYFUNCTION("GOOGLETRANSLATE(A4259, ""zh-CN"", ""ko"")"),"힌트")</f>
        <v>힌트</v>
      </c>
    </row>
    <row r="4260" ht="15.75" customHeight="1">
      <c r="A4260" s="1" t="s">
        <v>12559</v>
      </c>
      <c r="B4260" s="1">
        <v>6.0</v>
      </c>
      <c r="C4260" s="1" t="s">
        <v>12560</v>
      </c>
      <c r="D4260" s="1" t="s">
        <v>8</v>
      </c>
      <c r="E4260" s="1" t="s">
        <v>12561</v>
      </c>
      <c r="F4260" s="1" t="str">
        <f>IFERROR(__xludf.DUMMYFUNCTION("GOOGLETRANSLATE(A4260, ""zh-CN"", ""ko"")"),"제안")</f>
        <v>제안</v>
      </c>
    </row>
    <row r="4261" ht="15.75" customHeight="1">
      <c r="A4261" s="1" t="s">
        <v>12562</v>
      </c>
      <c r="B4261" s="1">
        <v>6.0</v>
      </c>
      <c r="C4261" s="1" t="s">
        <v>12563</v>
      </c>
      <c r="D4261" s="1" t="s">
        <v>16</v>
      </c>
      <c r="E4261" s="1" t="s">
        <v>12564</v>
      </c>
      <c r="F4261" s="1" t="str">
        <f>IFERROR(__xludf.DUMMYFUNCTION("GOOGLETRANSLATE(A4261, ""zh-CN"", ""ko"")"),"장르")</f>
        <v>장르</v>
      </c>
    </row>
    <row r="4262" ht="15.75" customHeight="1">
      <c r="A4262" s="1" t="s">
        <v>12565</v>
      </c>
      <c r="B4262" s="1">
        <v>6.0</v>
      </c>
      <c r="C4262" s="1" t="s">
        <v>12566</v>
      </c>
      <c r="D4262" s="1" t="s">
        <v>16</v>
      </c>
      <c r="E4262" s="1" t="s">
        <v>12567</v>
      </c>
      <c r="F4262" s="1" t="str">
        <f>IFERROR(__xludf.DUMMYFUNCTION("GOOGLETRANSLATE(A4262, ""zh-CN"", ""ko"")"),"용량")</f>
        <v>용량</v>
      </c>
    </row>
    <row r="4263" ht="15.75" customHeight="1">
      <c r="A4263" s="1" t="s">
        <v>12568</v>
      </c>
      <c r="B4263" s="1">
        <v>6.0</v>
      </c>
      <c r="C4263" s="1" t="s">
        <v>12569</v>
      </c>
      <c r="D4263" s="1" t="s">
        <v>8</v>
      </c>
      <c r="E4263" s="1" t="s">
        <v>12570</v>
      </c>
      <c r="F4263" s="1" t="str">
        <f>IFERROR(__xludf.DUMMYFUNCTION("GOOGLETRANSLATE(A4263, ""zh-CN"", ""ko"")"),"이해")</f>
        <v>이해</v>
      </c>
    </row>
    <row r="4264" ht="15.75" customHeight="1">
      <c r="A4264" s="1" t="s">
        <v>12571</v>
      </c>
      <c r="B4264" s="1">
        <v>6.0</v>
      </c>
      <c r="C4264" s="1" t="s">
        <v>12572</v>
      </c>
      <c r="D4264" s="1" t="s">
        <v>52</v>
      </c>
      <c r="E4264" s="1" t="s">
        <v>12573</v>
      </c>
      <c r="F4264" s="1" t="str">
        <f>IFERROR(__xludf.DUMMYFUNCTION("GOOGLETRANSLATE(A4264, ""zh-CN"", ""ko"")"),"품위 있는")</f>
        <v>품위 있는</v>
      </c>
    </row>
    <row r="4265" ht="15.75" customHeight="1">
      <c r="A4265" s="1" t="s">
        <v>12574</v>
      </c>
      <c r="B4265" s="1">
        <v>6.0</v>
      </c>
      <c r="C4265" s="1" t="s">
        <v>12575</v>
      </c>
      <c r="D4265" s="1" t="s">
        <v>16</v>
      </c>
      <c r="E4265" s="1" t="s">
        <v>12576</v>
      </c>
      <c r="F4265" s="1" t="str">
        <f>IFERROR(__xludf.DUMMYFUNCTION("GOOGLETRANSLATE(A4265, ""zh-CN"", ""ko"")"),"체계")</f>
        <v>체계</v>
      </c>
    </row>
    <row r="4266" ht="15.75" customHeight="1">
      <c r="A4266" s="1" t="s">
        <v>12577</v>
      </c>
      <c r="B4266" s="1">
        <v>6.0</v>
      </c>
      <c r="C4266" s="1" t="s">
        <v>12578</v>
      </c>
      <c r="D4266" s="1" t="s">
        <v>16</v>
      </c>
      <c r="E4266" s="1" t="s">
        <v>12579</v>
      </c>
      <c r="F4266" s="1" t="str">
        <f>IFERROR(__xludf.DUMMYFUNCTION("GOOGLETRANSLATE(A4266, ""zh-CN"", ""ko"")"),"천재")</f>
        <v>천재</v>
      </c>
    </row>
    <row r="4267" ht="15.75" customHeight="1">
      <c r="A4267" s="1" t="s">
        <v>12580</v>
      </c>
      <c r="B4267" s="1">
        <v>6.0</v>
      </c>
      <c r="C4267" s="1" t="s">
        <v>12581</v>
      </c>
      <c r="D4267" s="1" t="s">
        <v>16</v>
      </c>
      <c r="E4267" s="1" t="s">
        <v>12582</v>
      </c>
      <c r="F4267" s="1" t="str">
        <f>IFERROR(__xludf.DUMMYFUNCTION("GOOGLETRANSLATE(A4267, ""zh-CN"", ""ko"")"),"재능")</f>
        <v>재능</v>
      </c>
    </row>
    <row r="4268" ht="15.75" customHeight="1">
      <c r="A4268" s="1" t="s">
        <v>12583</v>
      </c>
      <c r="B4268" s="1">
        <v>6.0</v>
      </c>
      <c r="C4268" s="1" t="s">
        <v>12584</v>
      </c>
      <c r="E4268" s="1" t="s">
        <v>12585</v>
      </c>
      <c r="F4268" s="1" t="str">
        <f>IFERROR(__xludf.DUMMYFUNCTION("GOOGLETRANSLATE(A4268, ""zh-CN"", ""ko"")"),"가족의 행복")</f>
        <v>가족의 행복</v>
      </c>
    </row>
    <row r="4269" ht="15.75" customHeight="1">
      <c r="A4269" s="1" t="s">
        <v>12586</v>
      </c>
      <c r="B4269" s="1">
        <v>6.0</v>
      </c>
      <c r="C4269" s="1" t="s">
        <v>12587</v>
      </c>
      <c r="D4269" s="1" t="s">
        <v>16</v>
      </c>
      <c r="E4269" s="1" t="s">
        <v>12588</v>
      </c>
      <c r="F4269" s="1" t="str">
        <f>IFERROR(__xludf.DUMMYFUNCTION("GOOGLETRANSLATE(A4269, ""zh-CN"", ""ko"")"),"천연가스")</f>
        <v>천연가스</v>
      </c>
    </row>
    <row r="4270" ht="15.75" customHeight="1">
      <c r="A4270" s="1" t="s">
        <v>12589</v>
      </c>
      <c r="B4270" s="1">
        <v>6.0</v>
      </c>
      <c r="C4270" s="1" t="s">
        <v>12590</v>
      </c>
      <c r="D4270" s="1" t="s">
        <v>52</v>
      </c>
      <c r="E4270" s="1" t="s">
        <v>12591</v>
      </c>
      <c r="F4270" s="1" t="str">
        <f>IFERROR(__xludf.DUMMYFUNCTION("GOOGLETRANSLATE(A4270, ""zh-CN"", ""ko"")"),"타고난")</f>
        <v>타고난</v>
      </c>
    </row>
    <row r="4271" ht="15.75" customHeight="1">
      <c r="A4271" s="1" t="s">
        <v>12592</v>
      </c>
      <c r="B4271" s="1">
        <v>6.0</v>
      </c>
      <c r="C4271" s="1" t="s">
        <v>12593</v>
      </c>
      <c r="D4271" s="1" t="s">
        <v>16</v>
      </c>
      <c r="E4271" s="1" t="s">
        <v>12594</v>
      </c>
      <c r="F4271" s="1" t="str">
        <f>IFERROR(__xludf.DUMMYFUNCTION("GOOGLETRANSLATE(A4271, ""zh-CN"", ""ko"")"),"천국")</f>
        <v>천국</v>
      </c>
    </row>
    <row r="4272" ht="15.75" customHeight="1">
      <c r="A4272" s="1" t="s">
        <v>12595</v>
      </c>
      <c r="B4272" s="1">
        <v>6.0</v>
      </c>
      <c r="C4272" s="1" t="s">
        <v>12596</v>
      </c>
      <c r="D4272" s="1" t="s">
        <v>16</v>
      </c>
      <c r="E4272" s="1" t="s">
        <v>12597</v>
      </c>
      <c r="F4272" s="1" t="str">
        <f>IFERROR(__xludf.DUMMYFUNCTION("GOOGLETRANSLATE(A4272, ""zh-CN"", ""ko"")"),"천문학적인")</f>
        <v>천문학적인</v>
      </c>
    </row>
    <row r="4273" ht="15.75" customHeight="1">
      <c r="A4273" s="1" t="s">
        <v>12598</v>
      </c>
      <c r="B4273" s="1">
        <v>6.0</v>
      </c>
      <c r="C4273" s="1" t="s">
        <v>12599</v>
      </c>
      <c r="D4273" s="1" t="s">
        <v>16</v>
      </c>
      <c r="E4273" s="1" t="s">
        <v>12600</v>
      </c>
      <c r="F4273" s="1" t="str">
        <f>IFERROR(__xludf.DUMMYFUNCTION("GOOGLETRANSLATE(A4273, ""zh-CN"", ""ko"")"),"육상 경기")</f>
        <v>육상 경기</v>
      </c>
    </row>
    <row r="4274" ht="15.75" customHeight="1">
      <c r="A4274" s="1" t="s">
        <v>12601</v>
      </c>
      <c r="B4274" s="1">
        <v>6.0</v>
      </c>
      <c r="C4274" s="1" t="s">
        <v>12602</v>
      </c>
      <c r="D4274" s="1" t="s">
        <v>16</v>
      </c>
      <c r="E4274" s="1" t="s">
        <v>12603</v>
      </c>
      <c r="F4274" s="1" t="str">
        <f>IFERROR(__xludf.DUMMYFUNCTION("GOOGLETRANSLATE(A4274, ""zh-CN"", ""ko"")"),"필드")</f>
        <v>필드</v>
      </c>
    </row>
    <row r="4275" ht="15.75" customHeight="1">
      <c r="A4275" s="1" t="s">
        <v>12604</v>
      </c>
      <c r="B4275" s="1">
        <v>6.0</v>
      </c>
      <c r="C4275" s="1" t="s">
        <v>12605</v>
      </c>
      <c r="D4275" s="1" t="s">
        <v>8</v>
      </c>
      <c r="E4275" s="1" t="s">
        <v>12606</v>
      </c>
      <c r="F4275" s="1" t="str">
        <f>IFERROR(__xludf.DUMMYFUNCTION("GOOGLETRANSLATE(A4275, ""zh-CN"", ""ko"")"),"핥다")</f>
        <v>핥다</v>
      </c>
    </row>
    <row r="4276" ht="15.75" customHeight="1">
      <c r="A4276" s="1" t="s">
        <v>12607</v>
      </c>
      <c r="B4276" s="1">
        <v>6.0</v>
      </c>
      <c r="C4276" s="1" t="s">
        <v>12608</v>
      </c>
      <c r="D4276" s="1" t="s">
        <v>8</v>
      </c>
      <c r="E4276" s="1" t="s">
        <v>12609</v>
      </c>
      <c r="F4276" s="1" t="str">
        <f>IFERROR(__xludf.DUMMYFUNCTION("GOOGLETRANSLATE(A4276, ""zh-CN"", ""ko"")"),"까다로운")</f>
        <v>까다로운</v>
      </c>
    </row>
    <row r="4277" ht="15.75" customHeight="1">
      <c r="A4277" s="1" t="s">
        <v>12610</v>
      </c>
      <c r="B4277" s="1">
        <v>6.0</v>
      </c>
      <c r="C4277" s="1" t="s">
        <v>12611</v>
      </c>
      <c r="D4277" s="1" t="s">
        <v>8</v>
      </c>
      <c r="E4277" s="1" t="s">
        <v>12612</v>
      </c>
      <c r="F4277" s="1" t="str">
        <f>IFERROR(__xludf.DUMMYFUNCTION("GOOGLETRANSLATE(A4277, ""zh-CN"", ""ko"")"),"조정하다")</f>
        <v>조정하다</v>
      </c>
    </row>
    <row r="4278" ht="15.75" customHeight="1">
      <c r="A4278" s="1" t="s">
        <v>12613</v>
      </c>
      <c r="B4278" s="1">
        <v>6.0</v>
      </c>
      <c r="C4278" s="1" t="s">
        <v>12614</v>
      </c>
      <c r="D4278" s="1" t="s">
        <v>8</v>
      </c>
      <c r="E4278" s="1" t="s">
        <v>12615</v>
      </c>
      <c r="F4278" s="1" t="str">
        <f>IFERROR(__xludf.DUMMYFUNCTION("GOOGLETRANSLATE(A4278, ""zh-CN"", ""ko"")"),"조정하다")</f>
        <v>조정하다</v>
      </c>
    </row>
    <row r="4279" ht="15.75" customHeight="1">
      <c r="A4279" s="1" t="s">
        <v>12616</v>
      </c>
      <c r="B4279" s="1">
        <v>6.0</v>
      </c>
      <c r="C4279" s="1" t="s">
        <v>12617</v>
      </c>
      <c r="D4279" s="1" t="s">
        <v>8</v>
      </c>
      <c r="E4279" s="1" t="s">
        <v>12618</v>
      </c>
      <c r="F4279" s="1" t="str">
        <f>IFERROR(__xludf.DUMMYFUNCTION("GOOGLETRANSLATE(A4279, ""zh-CN"", ""ko"")"),"조정하다")</f>
        <v>조정하다</v>
      </c>
    </row>
    <row r="4280" ht="15.75" customHeight="1">
      <c r="A4280" s="1" t="s">
        <v>12619</v>
      </c>
      <c r="B4280" s="1">
        <v>6.0</v>
      </c>
      <c r="C4280" s="1" t="s">
        <v>12620</v>
      </c>
      <c r="D4280" s="1" t="s">
        <v>8</v>
      </c>
      <c r="E4280" s="1" t="s">
        <v>12621</v>
      </c>
      <c r="F4280" s="1" t="str">
        <f>IFERROR(__xludf.DUMMYFUNCTION("GOOGLETRANSLATE(A4280, ""zh-CN"", ""ko"")"),"중개")</f>
        <v>중개</v>
      </c>
    </row>
    <row r="4281" ht="15.75" customHeight="1">
      <c r="A4281" s="1" t="s">
        <v>12622</v>
      </c>
      <c r="B4281" s="1">
        <v>6.0</v>
      </c>
      <c r="C4281" s="1" t="s">
        <v>12623</v>
      </c>
      <c r="D4281" s="1" t="s">
        <v>16</v>
      </c>
      <c r="E4281" s="1" t="s">
        <v>12624</v>
      </c>
      <c r="F4281" s="1" t="str">
        <f>IFERROR(__xludf.DUMMYFUNCTION("GOOGLETRANSLATE(A4281, ""zh-CN"", ""ko"")"),"이용약관")</f>
        <v>이용약관</v>
      </c>
    </row>
    <row r="4282" ht="15.75" customHeight="1">
      <c r="A4282" s="1" t="s">
        <v>12625</v>
      </c>
      <c r="B4282" s="1">
        <v>6.0</v>
      </c>
      <c r="C4282" s="1" t="s">
        <v>12626</v>
      </c>
      <c r="D4282" s="1" t="s">
        <v>16</v>
      </c>
      <c r="E4282" s="1" t="s">
        <v>12627</v>
      </c>
      <c r="F4282" s="1" t="str">
        <f>IFERROR(__xludf.DUMMYFUNCTION("GOOGLETRANSLATE(A4282, ""zh-CN"", ""ko"")"),"주문하다")</f>
        <v>주문하다</v>
      </c>
    </row>
    <row r="4283" ht="15.75" customHeight="1">
      <c r="A4283" s="1" t="s">
        <v>12628</v>
      </c>
      <c r="B4283" s="1">
        <v>6.0</v>
      </c>
      <c r="C4283" s="1" t="s">
        <v>12629</v>
      </c>
      <c r="D4283" s="1" t="s">
        <v>16</v>
      </c>
      <c r="E4283" s="1" t="s">
        <v>12630</v>
      </c>
      <c r="F4283" s="1" t="str">
        <f>IFERROR(__xludf.DUMMYFUNCTION("GOOGLETRANSLATE(A4283, ""zh-CN"", ""ko"")"),"양념")</f>
        <v>양념</v>
      </c>
    </row>
    <row r="4284" ht="15.75" customHeight="1">
      <c r="A4284" s="1" t="s">
        <v>12631</v>
      </c>
      <c r="B4284" s="1">
        <v>6.0</v>
      </c>
      <c r="C4284" s="1" t="s">
        <v>12632</v>
      </c>
      <c r="D4284" s="1" t="s">
        <v>16</v>
      </c>
      <c r="E4284" s="1" t="s">
        <v>12633</v>
      </c>
      <c r="F4284" s="1" t="str">
        <f>IFERROR(__xludf.DUMMYFUNCTION("GOOGLETRANSLATE(A4284, ""zh-CN"", ""ko"")"),"조약")</f>
        <v>조약</v>
      </c>
    </row>
    <row r="4285" ht="15.75" customHeight="1">
      <c r="A4285" s="1" t="s">
        <v>12634</v>
      </c>
      <c r="B4285" s="1">
        <v>6.0</v>
      </c>
      <c r="C4285" s="1" t="s">
        <v>12635</v>
      </c>
      <c r="D4285" s="1" t="s">
        <v>8</v>
      </c>
      <c r="E4285" s="1" t="s">
        <v>12636</v>
      </c>
      <c r="F4285" s="1" t="str">
        <f>IFERROR(__xludf.DUMMYFUNCTION("GOOGLETRANSLATE(A4285, ""zh-CN"", ""ko"")"),"플레이오프")</f>
        <v>플레이오프</v>
      </c>
    </row>
    <row r="4286" ht="15.75" customHeight="1">
      <c r="A4286" s="1" t="s">
        <v>12637</v>
      </c>
      <c r="B4286" s="1">
        <v>6.0</v>
      </c>
      <c r="C4286" s="1" t="s">
        <v>12638</v>
      </c>
      <c r="D4286" s="1" t="s">
        <v>8</v>
      </c>
      <c r="E4286" s="1" t="s">
        <v>12639</v>
      </c>
      <c r="F4286" s="1" t="str">
        <f>IFERROR(__xludf.DUMMYFUNCTION("GOOGLETRANSLATE(A4286, ""zh-CN"", ""ko"")"),"성나게 하는")</f>
        <v>성나게 하는</v>
      </c>
    </row>
    <row r="4287" ht="15.75" customHeight="1">
      <c r="A4287" s="1" t="s">
        <v>12640</v>
      </c>
      <c r="B4287" s="1">
        <v>6.0</v>
      </c>
      <c r="C4287" s="1" t="s">
        <v>12641</v>
      </c>
      <c r="D4287" s="1" t="s">
        <v>8</v>
      </c>
      <c r="E4287" s="1" t="s">
        <v>12642</v>
      </c>
      <c r="F4287" s="1" t="str">
        <f>IFERROR(__xludf.DUMMYFUNCTION("GOOGLETRANSLATE(A4287, ""zh-CN"", ""ko"")"),"도약")</f>
        <v>도약</v>
      </c>
    </row>
    <row r="4288" ht="15.75" customHeight="1">
      <c r="A4288" s="1" t="s">
        <v>12643</v>
      </c>
      <c r="B4288" s="1">
        <v>6.0</v>
      </c>
      <c r="C4288" s="1" t="s">
        <v>12644</v>
      </c>
      <c r="D4288" s="1" t="s">
        <v>8</v>
      </c>
      <c r="E4288" s="1" t="s">
        <v>12645</v>
      </c>
      <c r="F4288" s="1" t="str">
        <f>IFERROR(__xludf.DUMMYFUNCTION("GOOGLETRANSLATE(A4288, ""zh-CN"", ""ko"")"),"계선")</f>
        <v>계선</v>
      </c>
    </row>
    <row r="4289" ht="15.75" customHeight="1">
      <c r="A4289" s="1" t="s">
        <v>12646</v>
      </c>
      <c r="B4289" s="1">
        <v>6.0</v>
      </c>
      <c r="C4289" s="1" t="s">
        <v>12647</v>
      </c>
      <c r="D4289" s="1" t="s">
        <v>8</v>
      </c>
      <c r="E4289" s="1" t="s">
        <v>12648</v>
      </c>
      <c r="F4289" s="1" t="str">
        <f>IFERROR(__xludf.DUMMYFUNCTION("GOOGLETRANSLATE(A4289, ""zh-CN"", ""ko"")"),"정지시키다")</f>
        <v>정지시키다</v>
      </c>
    </row>
    <row r="4290" ht="15.75" customHeight="1">
      <c r="A4290" s="1" t="s">
        <v>12649</v>
      </c>
      <c r="B4290" s="1">
        <v>6.0</v>
      </c>
      <c r="C4290" s="1" t="s">
        <v>12650</v>
      </c>
      <c r="D4290" s="1" t="s">
        <v>8</v>
      </c>
      <c r="E4290" s="1" t="s">
        <v>12651</v>
      </c>
      <c r="F4290" s="1" t="str">
        <f>IFERROR(__xludf.DUMMYFUNCTION("GOOGLETRANSLATE(A4290, ""zh-CN"", ""ko"")"),"침체")</f>
        <v>침체</v>
      </c>
    </row>
    <row r="4291" ht="15.75" customHeight="1">
      <c r="A4291" s="1" t="s">
        <v>12652</v>
      </c>
      <c r="B4291" s="1">
        <v>6.0</v>
      </c>
      <c r="C4291" s="1" t="s">
        <v>12653</v>
      </c>
      <c r="D4291" s="1" t="s">
        <v>16</v>
      </c>
      <c r="E4291" s="1" t="s">
        <v>12654</v>
      </c>
      <c r="F4291" s="1" t="str">
        <f>IFERROR(__xludf.DUMMYFUNCTION("GOOGLETRANSLATE(A4291, ""zh-CN"", ""ko"")"),"누각")</f>
        <v>누각</v>
      </c>
    </row>
    <row r="4292" ht="15.75" customHeight="1">
      <c r="A4292" s="1" t="s">
        <v>12655</v>
      </c>
      <c r="B4292" s="1">
        <v>6.0</v>
      </c>
      <c r="C4292" s="1" t="s">
        <v>12656</v>
      </c>
      <c r="D4292" s="1" t="s">
        <v>52</v>
      </c>
      <c r="E4292" s="1" t="s">
        <v>12657</v>
      </c>
      <c r="F4292" s="1" t="str">
        <f>IFERROR(__xludf.DUMMYFUNCTION("GOOGLETRANSLATE(A4292, ""zh-CN"", ""ko"")"),"키가 크고 곧은")</f>
        <v>키가 크고 곧은</v>
      </c>
    </row>
    <row r="4293" ht="15.75" customHeight="1">
      <c r="A4293" s="1" t="s">
        <v>12658</v>
      </c>
      <c r="B4293" s="1">
        <v>6.0</v>
      </c>
      <c r="C4293" s="1" t="s">
        <v>12659</v>
      </c>
      <c r="E4293" s="1" t="s">
        <v>12660</v>
      </c>
      <c r="F4293" s="1" t="str">
        <f>IFERROR(__xludf.DUMMYFUNCTION("GOOGLETRANSLATE(A4293, ""zh-CN"", ""ko"")"),"인플레이션")</f>
        <v>인플레이션</v>
      </c>
    </row>
    <row r="4294" ht="15.75" customHeight="1">
      <c r="A4294" s="1" t="s">
        <v>12661</v>
      </c>
      <c r="B4294" s="1">
        <v>6.0</v>
      </c>
      <c r="C4294" s="1" t="s">
        <v>12662</v>
      </c>
      <c r="D4294" s="1" t="s">
        <v>8</v>
      </c>
      <c r="E4294" s="1" t="s">
        <v>12663</v>
      </c>
      <c r="F4294" s="1" t="str">
        <f>IFERROR(__xludf.DUMMYFUNCTION("GOOGLETRANSLATE(A4294, ""zh-CN"", ""ko"")"),"원함")</f>
        <v>원함</v>
      </c>
    </row>
    <row r="4295" ht="15.75" customHeight="1">
      <c r="A4295" s="1" t="s">
        <v>12664</v>
      </c>
      <c r="B4295" s="1">
        <v>6.0</v>
      </c>
      <c r="C4295" s="1" t="s">
        <v>12665</v>
      </c>
      <c r="D4295" s="1" t="s">
        <v>52</v>
      </c>
      <c r="E4295" s="1" t="s">
        <v>12666</v>
      </c>
      <c r="F4295" s="1" t="str">
        <f>IFERROR(__xludf.DUMMYFUNCTION("GOOGLETRANSLATE(A4295, ""zh-CN"", ""ko"")"),"인기 있는")</f>
        <v>인기 있는</v>
      </c>
    </row>
    <row r="4296" ht="15.75" customHeight="1">
      <c r="A4296" s="1" t="s">
        <v>12667</v>
      </c>
      <c r="B4296" s="1">
        <v>6.0</v>
      </c>
      <c r="C4296" s="1" t="s">
        <v>12668</v>
      </c>
      <c r="D4296" s="1" t="s">
        <v>16</v>
      </c>
      <c r="E4296" s="1" t="s">
        <v>12669</v>
      </c>
      <c r="F4296" s="1" t="str">
        <f>IFERROR(__xludf.DUMMYFUNCTION("GOOGLETRANSLATE(A4296, ""zh-CN"", ""ko"")"),"의사소통")</f>
        <v>의사소통</v>
      </c>
    </row>
    <row r="4297" ht="15.75" customHeight="1">
      <c r="A4297" s="1" t="s">
        <v>12670</v>
      </c>
      <c r="B4297" s="1">
        <v>6.0</v>
      </c>
      <c r="C4297" s="1" t="s">
        <v>12671</v>
      </c>
      <c r="D4297" s="1" t="s">
        <v>8</v>
      </c>
      <c r="E4297" s="1" t="s">
        <v>12672</v>
      </c>
      <c r="F4297" s="1" t="str">
        <f>IFERROR(__xludf.DUMMYFUNCTION("GOOGLETRANSLATE(A4297, ""zh-CN"", ""ko"")"),"일반적인")</f>
        <v>일반적인</v>
      </c>
    </row>
    <row r="4298" ht="15.75" customHeight="1">
      <c r="A4298" s="1" t="s">
        <v>12673</v>
      </c>
      <c r="B4298" s="1">
        <v>6.0</v>
      </c>
      <c r="C4298" s="1" t="s">
        <v>12674</v>
      </c>
      <c r="D4298" s="1" t="s">
        <v>16</v>
      </c>
      <c r="E4298" s="1" t="s">
        <v>12675</v>
      </c>
      <c r="F4298" s="1" t="str">
        <f>IFERROR(__xludf.DUMMYFUNCTION("GOOGLETRANSLATE(A4298, ""zh-CN"", ""ko"")"),"구리")</f>
        <v>구리</v>
      </c>
    </row>
    <row r="4299" ht="15.75" customHeight="1">
      <c r="A4299" s="1" t="s">
        <v>12676</v>
      </c>
      <c r="B4299" s="1">
        <v>6.0</v>
      </c>
      <c r="C4299" s="1" t="s">
        <v>12677</v>
      </c>
      <c r="D4299" s="1" t="s">
        <v>16</v>
      </c>
      <c r="E4299" s="1" t="s">
        <v>12678</v>
      </c>
      <c r="F4299" s="1" t="str">
        <f>IFERROR(__xludf.DUMMYFUNCTION("GOOGLETRANSLATE(A4299, ""zh-CN"", ""ko"")"),"동포")</f>
        <v>동포</v>
      </c>
    </row>
    <row r="4300" ht="15.75" customHeight="1">
      <c r="A4300" s="1" t="s">
        <v>12679</v>
      </c>
      <c r="B4300" s="1">
        <v>6.0</v>
      </c>
      <c r="C4300" s="1" t="s">
        <v>12680</v>
      </c>
      <c r="D4300" s="1" t="s">
        <v>16</v>
      </c>
      <c r="E4300" s="1" t="s">
        <v>12681</v>
      </c>
      <c r="F4300" s="1" t="str">
        <f>IFERROR(__xludf.DUMMYFUNCTION("GOOGLETRANSLATE(A4300, ""zh-CN"", ""ko"")"),"동화")</f>
        <v>동화</v>
      </c>
    </row>
    <row r="4301" ht="15.75" customHeight="1">
      <c r="A4301" s="1" t="s">
        <v>12682</v>
      </c>
      <c r="B4301" s="1">
        <v>6.0</v>
      </c>
      <c r="C4301" s="1" t="s">
        <v>12683</v>
      </c>
      <c r="D4301" s="1" t="s">
        <v>16</v>
      </c>
      <c r="E4301" s="1" t="s">
        <v>12684</v>
      </c>
      <c r="F4301" s="1" t="str">
        <f>IFERROR(__xludf.DUMMYFUNCTION("GOOGLETRANSLATE(A4301, ""zh-CN"", ""ko"")"),"동료")</f>
        <v>동료</v>
      </c>
    </row>
    <row r="4302" ht="15.75" customHeight="1">
      <c r="A4302" s="1" t="s">
        <v>12685</v>
      </c>
      <c r="B4302" s="1">
        <v>6.0</v>
      </c>
      <c r="C4302" s="1" t="s">
        <v>12686</v>
      </c>
      <c r="E4302" s="1" t="s">
        <v>12687</v>
      </c>
      <c r="F4302" s="1" t="str">
        <f>IFERROR(__xludf.DUMMYFUNCTION("GOOGLETRANSLATE(A4302, ""zh-CN"", ""ko"")"),"전반적인 계획")</f>
        <v>전반적인 계획</v>
      </c>
    </row>
    <row r="4303" ht="15.75" customHeight="1">
      <c r="A4303" s="1" t="s">
        <v>12688</v>
      </c>
      <c r="B4303" s="1">
        <v>6.0</v>
      </c>
      <c r="C4303" s="1" t="s">
        <v>12689</v>
      </c>
      <c r="D4303" s="1" t="s">
        <v>8</v>
      </c>
      <c r="E4303" s="1" t="s">
        <v>12690</v>
      </c>
      <c r="F4303" s="1" t="str">
        <f>IFERROR(__xludf.DUMMYFUNCTION("GOOGLETRANSLATE(A4303, ""zh-CN"", ""ko"")"),"통계")</f>
        <v>통계</v>
      </c>
    </row>
    <row r="4304" ht="15.75" customHeight="1">
      <c r="A4304" s="1" t="s">
        <v>12691</v>
      </c>
      <c r="B4304" s="1">
        <v>6.0</v>
      </c>
      <c r="C4304" s="1" t="s">
        <v>12692</v>
      </c>
      <c r="D4304" s="1" t="s">
        <v>33</v>
      </c>
      <c r="E4304" s="1" t="s">
        <v>12693</v>
      </c>
      <c r="F4304" s="1" t="str">
        <f>IFERROR(__xludf.DUMMYFUNCTION("GOOGLETRANSLATE(A4304, ""zh-CN"", ""ko"")"),"모두")</f>
        <v>모두</v>
      </c>
    </row>
    <row r="4305" ht="15.75" customHeight="1">
      <c r="A4305" s="1" t="s">
        <v>12694</v>
      </c>
      <c r="B4305" s="1">
        <v>6.0</v>
      </c>
      <c r="C4305" s="1" t="s">
        <v>12695</v>
      </c>
      <c r="D4305" s="1" t="s">
        <v>8</v>
      </c>
      <c r="E4305" s="1" t="s">
        <v>12696</v>
      </c>
      <c r="F4305" s="1" t="str">
        <f>IFERROR(__xludf.DUMMYFUNCTION("GOOGLETRANSLATE(A4305, ""zh-CN"", ""ko"")"),"규칙")</f>
        <v>규칙</v>
      </c>
    </row>
    <row r="4306" ht="15.75" customHeight="1">
      <c r="A4306" s="1" t="s">
        <v>12697</v>
      </c>
      <c r="B4306" s="1">
        <v>6.0</v>
      </c>
      <c r="C4306" s="1" t="s">
        <v>12698</v>
      </c>
      <c r="D4306" s="1" t="s">
        <v>8</v>
      </c>
      <c r="E4306" s="1" t="s">
        <v>12699</v>
      </c>
      <c r="F4306" s="1" t="str">
        <f>IFERROR(__xludf.DUMMYFUNCTION("GOOGLETRANSLATE(A4306, ""zh-CN"", ""ko"")"),"추측")</f>
        <v>추측</v>
      </c>
    </row>
    <row r="4307" ht="15.75" customHeight="1">
      <c r="A4307" s="1" t="s">
        <v>12700</v>
      </c>
      <c r="B4307" s="1">
        <v>6.0</v>
      </c>
      <c r="C4307" s="1" t="s">
        <v>12701</v>
      </c>
      <c r="D4307" s="1" t="s">
        <v>8</v>
      </c>
      <c r="E4307" s="1" t="s">
        <v>12702</v>
      </c>
      <c r="F4307" s="1" t="str">
        <f>IFERROR(__xludf.DUMMYFUNCTION("GOOGLETRANSLATE(A4307, ""zh-CN"", ""ko"")"),"투표")</f>
        <v>투표</v>
      </c>
    </row>
    <row r="4308" ht="15.75" customHeight="1">
      <c r="A4308" s="1" t="s">
        <v>12703</v>
      </c>
      <c r="B4308" s="1">
        <v>6.0</v>
      </c>
      <c r="C4308" s="1" t="s">
        <v>12704</v>
      </c>
      <c r="D4308" s="1" t="s">
        <v>8</v>
      </c>
      <c r="E4308" s="1" t="s">
        <v>12705</v>
      </c>
      <c r="F4308" s="1" t="str">
        <f>IFERROR(__xludf.DUMMYFUNCTION("GOOGLETRANSLATE(A4308, ""zh-CN"", ""ko"")"),"불평")</f>
        <v>불평</v>
      </c>
    </row>
    <row r="4309" ht="15.75" customHeight="1">
      <c r="A4309" s="1" t="s">
        <v>12706</v>
      </c>
      <c r="B4309" s="1">
        <v>6.0</v>
      </c>
      <c r="C4309" s="1" t="s">
        <v>12707</v>
      </c>
      <c r="D4309" s="1" t="s">
        <v>8</v>
      </c>
      <c r="E4309" s="1" t="s">
        <v>12708</v>
      </c>
      <c r="F4309" s="1" t="str">
        <f>IFERROR(__xludf.DUMMYFUNCTION("GOOGLETRANSLATE(A4309, ""zh-CN"", ""ko"")"),"항복")</f>
        <v>항복</v>
      </c>
    </row>
    <row r="4310" ht="15.75" customHeight="1">
      <c r="A4310" s="1" t="s">
        <v>12709</v>
      </c>
      <c r="B4310" s="1">
        <v>6.0</v>
      </c>
      <c r="C4310" s="1" t="s">
        <v>12710</v>
      </c>
      <c r="D4310" s="1" t="s">
        <v>8</v>
      </c>
      <c r="E4310" s="1" t="s">
        <v>12711</v>
      </c>
      <c r="F4310" s="1" t="str">
        <f>IFERROR(__xludf.DUMMYFUNCTION("GOOGLETRANSLATE(A4310, ""zh-CN"", ""ko"")"),"던지다")</f>
        <v>던지다</v>
      </c>
    </row>
    <row r="4311" ht="15.75" customHeight="1">
      <c r="A4311" s="1" t="s">
        <v>12712</v>
      </c>
      <c r="B4311" s="1">
        <v>6.0</v>
      </c>
      <c r="C4311" s="1" t="s">
        <v>12713</v>
      </c>
      <c r="D4311" s="1" t="s">
        <v>8</v>
      </c>
      <c r="E4311" s="1" t="s">
        <v>12714</v>
      </c>
      <c r="F4311" s="1" t="str">
        <f>IFERROR(__xludf.DUMMYFUNCTION("GOOGLETRANSLATE(A4311, ""zh-CN"", ""ko"")"),"드러내다")</f>
        <v>드러내다</v>
      </c>
    </row>
    <row r="4312" ht="15.75" customHeight="1">
      <c r="A4312" s="1" t="s">
        <v>12715</v>
      </c>
      <c r="B4312" s="1">
        <v>6.0</v>
      </c>
      <c r="C4312" s="1" t="s">
        <v>12716</v>
      </c>
      <c r="D4312" s="1" t="s">
        <v>8</v>
      </c>
      <c r="E4312" s="1" t="s">
        <v>12717</v>
      </c>
      <c r="F4312" s="1" t="str">
        <f>IFERROR(__xludf.DUMMYFUNCTION("GOOGLETRANSLATE(A4312, ""zh-CN"", ""ko"")"),"노골적인")</f>
        <v>노골적인</v>
      </c>
    </row>
    <row r="4313" ht="15.75" customHeight="1">
      <c r="A4313" s="1" t="s">
        <v>12718</v>
      </c>
      <c r="B4313" s="1">
        <v>6.0</v>
      </c>
      <c r="C4313" s="1" t="s">
        <v>12719</v>
      </c>
      <c r="D4313" s="1" t="s">
        <v>8</v>
      </c>
      <c r="E4313" s="1" t="s">
        <v>12720</v>
      </c>
      <c r="F4313" s="1" t="str">
        <f>IFERROR(__xludf.DUMMYFUNCTION("GOOGLETRANSLATE(A4313, ""zh-CN"", ""ko"")"),"돌파구")</f>
        <v>돌파구</v>
      </c>
    </row>
    <row r="4314" ht="15.75" customHeight="1">
      <c r="A4314" s="1" t="s">
        <v>12721</v>
      </c>
      <c r="B4314" s="1">
        <v>6.0</v>
      </c>
      <c r="C4314" s="1" t="s">
        <v>12722</v>
      </c>
      <c r="D4314" s="1" t="s">
        <v>16</v>
      </c>
      <c r="E4314" s="1" t="s">
        <v>12723</v>
      </c>
      <c r="F4314" s="1" t="str">
        <f>IFERROR(__xludf.DUMMYFUNCTION("GOOGLETRANSLATE(A4314, ""zh-CN"", ""ko"")"),"무늬")</f>
        <v>무늬</v>
      </c>
    </row>
    <row r="4315" ht="15.75" customHeight="1">
      <c r="A4315" s="1" t="s">
        <v>12724</v>
      </c>
      <c r="B4315" s="1">
        <v>6.0</v>
      </c>
      <c r="C4315" s="1" t="s">
        <v>12725</v>
      </c>
      <c r="D4315" s="1" t="s">
        <v>16</v>
      </c>
      <c r="E4315" s="1" t="s">
        <v>12726</v>
      </c>
      <c r="F4315" s="1" t="str">
        <f>IFERROR(__xludf.DUMMYFUNCTION("GOOGLETRANSLATE(A4315, ""zh-CN"", ""ko"")"),"도제")</f>
        <v>도제</v>
      </c>
    </row>
    <row r="4316" ht="15.75" customHeight="1">
      <c r="A4316" s="1" t="s">
        <v>12727</v>
      </c>
      <c r="B4316" s="1">
        <v>6.0</v>
      </c>
      <c r="C4316" s="1" t="s">
        <v>12728</v>
      </c>
      <c r="D4316" s="1" t="s">
        <v>16</v>
      </c>
      <c r="E4316" s="1" t="s">
        <v>12729</v>
      </c>
      <c r="F4316" s="1" t="str">
        <f>IFERROR(__xludf.DUMMYFUNCTION("GOOGLETRANSLATE(A4316, ""zh-CN"", ""ko"")"),"방법")</f>
        <v>방법</v>
      </c>
    </row>
    <row r="4317" ht="15.75" customHeight="1">
      <c r="A4317" s="1" t="s">
        <v>12730</v>
      </c>
      <c r="B4317" s="1">
        <v>6.0</v>
      </c>
      <c r="C4317" s="1" t="s">
        <v>12731</v>
      </c>
      <c r="D4317" s="1" t="s">
        <v>8</v>
      </c>
      <c r="E4317" s="1" t="s">
        <v>12732</v>
      </c>
      <c r="F4317" s="1" t="str">
        <f>IFERROR(__xludf.DUMMYFUNCTION("GOOGLETRANSLATE(A4317, ""zh-CN"", ""ko"")"),"도말 표본")</f>
        <v>도말 표본</v>
      </c>
    </row>
    <row r="4318" ht="15.75" customHeight="1">
      <c r="A4318" s="1" t="s">
        <v>12733</v>
      </c>
      <c r="B4318" s="1">
        <v>6.0</v>
      </c>
      <c r="C4318" s="1" t="s">
        <v>12734</v>
      </c>
      <c r="D4318" s="1" t="s">
        <v>16</v>
      </c>
      <c r="E4318" s="1" t="s">
        <v>12735</v>
      </c>
      <c r="F4318" s="1" t="str">
        <f>IFERROR(__xludf.DUMMYFUNCTION("GOOGLETRANSLATE(A4318, ""zh-CN"", ""ko"")"),"토양")</f>
        <v>토양</v>
      </c>
    </row>
    <row r="4319" ht="15.75" customHeight="1">
      <c r="A4319" s="1" t="s">
        <v>12736</v>
      </c>
      <c r="B4319" s="1">
        <v>6.0</v>
      </c>
      <c r="C4319" s="1" t="s">
        <v>12737</v>
      </c>
      <c r="D4319" s="1" t="s">
        <v>8</v>
      </c>
      <c r="E4319" s="1" t="s">
        <v>12738</v>
      </c>
      <c r="F4319" s="1" t="str">
        <f>IFERROR(__xludf.DUMMYFUNCTION("GOOGLETRANSLATE(A4319, ""zh-CN"", ""ko"")"),"단일성")</f>
        <v>단일성</v>
      </c>
    </row>
    <row r="4320" ht="15.75" customHeight="1">
      <c r="A4320" s="1" t="s">
        <v>12739</v>
      </c>
      <c r="B4320" s="1">
        <v>6.0</v>
      </c>
      <c r="C4320" s="1" t="s">
        <v>12740</v>
      </c>
      <c r="D4320" s="1" t="s">
        <v>16</v>
      </c>
      <c r="E4320" s="1" t="s">
        <v>12741</v>
      </c>
      <c r="F4320" s="1" t="str">
        <f>IFERROR(__xludf.DUMMYFUNCTION("GOOGLETRANSLATE(A4320, ""zh-CN"", ""ko"")"),"그룹")</f>
        <v>그룹</v>
      </c>
    </row>
    <row r="4321" ht="15.75" customHeight="1">
      <c r="A4321" s="1" t="s">
        <v>12742</v>
      </c>
      <c r="B4321" s="1">
        <v>6.0</v>
      </c>
      <c r="C4321" s="1" t="s">
        <v>12743</v>
      </c>
      <c r="D4321" s="1" t="s">
        <v>8</v>
      </c>
      <c r="E4321" s="1" t="s">
        <v>12744</v>
      </c>
      <c r="F4321" s="1" t="str">
        <f>IFERROR(__xludf.DUMMYFUNCTION("GOOGLETRANSLATE(A4321, ""zh-CN"", ""ko"")"),"재결합")</f>
        <v>재결합</v>
      </c>
    </row>
    <row r="4322" ht="15.75" customHeight="1">
      <c r="A4322" s="1" t="s">
        <v>12745</v>
      </c>
      <c r="B4322" s="1">
        <v>6.0</v>
      </c>
      <c r="C4322" s="1" t="s">
        <v>12746</v>
      </c>
      <c r="D4322" s="1" t="s">
        <v>8</v>
      </c>
      <c r="E4322" s="1" t="s">
        <v>12747</v>
      </c>
      <c r="F4322" s="1" t="str">
        <f>IFERROR(__xludf.DUMMYFUNCTION("GOOGLETRANSLATE(A4322, ""zh-CN"", ""ko"")"),"추측")</f>
        <v>추측</v>
      </c>
    </row>
    <row r="4323" ht="15.75" customHeight="1">
      <c r="A4323" s="1" t="s">
        <v>12748</v>
      </c>
      <c r="B4323" s="1">
        <v>6.0</v>
      </c>
      <c r="C4323" s="1" t="s">
        <v>12749</v>
      </c>
      <c r="D4323" s="1" t="s">
        <v>8</v>
      </c>
      <c r="E4323" s="1" t="s">
        <v>12750</v>
      </c>
      <c r="F4323" s="1" t="str">
        <f>IFERROR(__xludf.DUMMYFUNCTION("GOOGLETRANSLATE(A4323, ""zh-CN"", ""ko"")"),"타도")</f>
        <v>타도</v>
      </c>
    </row>
    <row r="4324" ht="15.75" customHeight="1">
      <c r="A4324" s="1" t="s">
        <v>12751</v>
      </c>
      <c r="B4324" s="1">
        <v>6.0</v>
      </c>
      <c r="C4324" s="1" t="s">
        <v>12752</v>
      </c>
      <c r="D4324" s="1" t="s">
        <v>8</v>
      </c>
      <c r="E4324" s="1" t="s">
        <v>12753</v>
      </c>
      <c r="F4324" s="1" t="str">
        <f>IFERROR(__xludf.DUMMYFUNCTION("GOOGLETRANSLATE(A4324, ""zh-CN"", ""ko"")"),"추리")</f>
        <v>추리</v>
      </c>
    </row>
    <row r="4325" ht="15.75" customHeight="1">
      <c r="A4325" s="1" t="s">
        <v>12754</v>
      </c>
      <c r="B4325" s="1">
        <v>6.0</v>
      </c>
      <c r="C4325" s="1" t="s">
        <v>12755</v>
      </c>
      <c r="D4325" s="1" t="s">
        <v>8</v>
      </c>
      <c r="E4325" s="1" t="s">
        <v>12756</v>
      </c>
      <c r="F4325" s="1" t="str">
        <f>IFERROR(__xludf.DUMMYFUNCTION("GOOGLETRANSLATE(A4325, ""zh-CN"", ""ko"")"),"추론")</f>
        <v>추론</v>
      </c>
    </row>
    <row r="4326" ht="15.75" customHeight="1">
      <c r="A4326" s="1" t="s">
        <v>12757</v>
      </c>
      <c r="B4326" s="1">
        <v>6.0</v>
      </c>
      <c r="C4326" s="1" t="s">
        <v>12758</v>
      </c>
      <c r="D4326" s="1" t="s">
        <v>8</v>
      </c>
      <c r="E4326" s="1" t="s">
        <v>12759</v>
      </c>
      <c r="F4326" s="1" t="str">
        <f>IFERROR(__xludf.DUMMYFUNCTION("GOOGLETRANSLATE(A4326, ""zh-CN"", ""ko"")"),"팔다")</f>
        <v>팔다</v>
      </c>
    </row>
    <row r="4327" ht="15.75" customHeight="1">
      <c r="A4327" s="1" t="s">
        <v>12760</v>
      </c>
      <c r="B4327" s="1">
        <v>6.0</v>
      </c>
      <c r="C4327" s="1" t="s">
        <v>12761</v>
      </c>
      <c r="E4327" s="1" t="s">
        <v>12762</v>
      </c>
      <c r="F4327" s="1" t="str">
        <f>IFERROR(__xludf.DUMMYFUNCTION("GOOGLETRANSLATE(A4327, ""zh-CN"", ""ko"")"),"주저하는")</f>
        <v>주저하는</v>
      </c>
    </row>
    <row r="4328" ht="15.75" customHeight="1">
      <c r="A4328" s="1" t="s">
        <v>12763</v>
      </c>
      <c r="B4328" s="1">
        <v>6.0</v>
      </c>
      <c r="C4328" s="1" t="s">
        <v>12764</v>
      </c>
      <c r="D4328" s="1" t="s">
        <v>8</v>
      </c>
      <c r="E4328" s="1" t="s">
        <v>12765</v>
      </c>
      <c r="F4328" s="1" t="str">
        <f>IFERROR(__xludf.DUMMYFUNCTION("GOOGLETRANSLATE(A4328, ""zh-CN"", ""ko"")"),"분리하다")</f>
        <v>분리하다</v>
      </c>
    </row>
    <row r="4329" ht="15.75" customHeight="1">
      <c r="A4329" s="1" t="s">
        <v>12766</v>
      </c>
      <c r="B4329" s="1">
        <v>6.0</v>
      </c>
      <c r="C4329" s="1" t="s">
        <v>12767</v>
      </c>
      <c r="D4329" s="1" t="s">
        <v>8</v>
      </c>
      <c r="E4329" s="1" t="s">
        <v>12768</v>
      </c>
      <c r="F4329" s="1" t="str">
        <f>IFERROR(__xludf.DUMMYFUNCTION("GOOGLETRANSLATE(A4329, ""zh-CN"", ""ko"")"),"미루기")</f>
        <v>미루기</v>
      </c>
    </row>
    <row r="4330" ht="15.75" customHeight="1">
      <c r="A4330" s="1" t="s">
        <v>12769</v>
      </c>
      <c r="B4330" s="1">
        <v>6.0</v>
      </c>
      <c r="C4330" s="1" t="s">
        <v>12770</v>
      </c>
      <c r="D4330" s="1" t="s">
        <v>8</v>
      </c>
      <c r="E4330" s="1" t="s">
        <v>12771</v>
      </c>
      <c r="F4330" s="1" t="str">
        <f>IFERROR(__xludf.DUMMYFUNCTION("GOOGLETRANSLATE(A4330, ""zh-CN"", ""ko"")"),"체크인")</f>
        <v>체크인</v>
      </c>
    </row>
    <row r="4331" ht="15.75" customHeight="1">
      <c r="A4331" s="1" t="s">
        <v>12772</v>
      </c>
      <c r="B4331" s="1">
        <v>6.0</v>
      </c>
      <c r="C4331" s="1" t="s">
        <v>12773</v>
      </c>
      <c r="D4331" s="1" t="s">
        <v>52</v>
      </c>
      <c r="E4331" s="1" t="s">
        <v>12774</v>
      </c>
      <c r="F4331" s="1" t="str">
        <f>IFERROR(__xludf.DUMMYFUNCTION("GOOGLETRANSLATE(A4331, ""zh-CN"", ""ko"")"),"적절한")</f>
        <v>적절한</v>
      </c>
    </row>
    <row r="4332" ht="15.75" customHeight="1">
      <c r="A4332" s="1" t="s">
        <v>12775</v>
      </c>
      <c r="B4332" s="1">
        <v>6.0</v>
      </c>
      <c r="C4332" s="1" t="s">
        <v>12776</v>
      </c>
      <c r="D4332" s="1" t="s">
        <v>52</v>
      </c>
      <c r="E4332" s="1" t="s">
        <v>12777</v>
      </c>
      <c r="F4332" s="1" t="str">
        <f>IFERROR(__xludf.DUMMYFUNCTION("GOOGLETRANSLATE(A4332, ""zh-CN"", ""ko"")"),"적절한")</f>
        <v>적절한</v>
      </c>
    </row>
    <row r="4333" ht="15.75" customHeight="1">
      <c r="A4333" s="1" t="s">
        <v>12778</v>
      </c>
      <c r="B4333" s="1">
        <v>6.0</v>
      </c>
      <c r="C4333" s="1" t="s">
        <v>12779</v>
      </c>
      <c r="D4333" s="1" t="s">
        <v>8</v>
      </c>
      <c r="E4333" s="1" t="s">
        <v>12780</v>
      </c>
      <c r="F4333" s="1" t="str">
        <f>IFERROR(__xludf.DUMMYFUNCTION("GOOGLETRANSLATE(A4333, ""zh-CN"", ""ko"")"),"타협")</f>
        <v>타협</v>
      </c>
    </row>
    <row r="4334" ht="15.75" customHeight="1">
      <c r="A4334" s="1" t="s">
        <v>12781</v>
      </c>
      <c r="B4334" s="1">
        <v>6.0</v>
      </c>
      <c r="C4334" s="1" t="s">
        <v>12782</v>
      </c>
      <c r="D4334" s="1" t="s">
        <v>16</v>
      </c>
      <c r="E4334" s="1" t="s">
        <v>12783</v>
      </c>
      <c r="F4334" s="1" t="str">
        <f>IFERROR(__xludf.DUMMYFUNCTION("GOOGLETRANSLATE(A4334, ""zh-CN"", ""ko"")"),"타원형")</f>
        <v>타원형</v>
      </c>
    </row>
    <row r="4335" ht="15.75" customHeight="1">
      <c r="A4335" s="1" t="s">
        <v>12784</v>
      </c>
      <c r="B4335" s="1">
        <v>6.0</v>
      </c>
      <c r="C4335" s="1" t="s">
        <v>12785</v>
      </c>
      <c r="D4335" s="1" t="s">
        <v>8</v>
      </c>
      <c r="E4335" s="1" t="s">
        <v>12786</v>
      </c>
      <c r="F4335" s="1" t="str">
        <f>IFERROR(__xludf.DUMMYFUNCTION("GOOGLETRANSLATE(A4335, ""zh-CN"", ""ko"")"),"버리다")</f>
        <v>버리다</v>
      </c>
    </row>
    <row r="4336" ht="15.75" customHeight="1">
      <c r="A4336" s="1" t="s">
        <v>12787</v>
      </c>
      <c r="B4336" s="1">
        <v>6.0</v>
      </c>
      <c r="C4336" s="1" t="s">
        <v>12788</v>
      </c>
      <c r="D4336" s="1" t="s">
        <v>8</v>
      </c>
      <c r="E4336" s="1" t="s">
        <v>12789</v>
      </c>
      <c r="F4336" s="1" t="str">
        <f>IFERROR(__xludf.DUMMYFUNCTION("GOOGLETRANSLATE(A4336, ""zh-CN"", ""ko"")"),"발굴")</f>
        <v>발굴</v>
      </c>
    </row>
    <row r="4337" ht="15.75" customHeight="1">
      <c r="A4337" s="1" t="s">
        <v>12790</v>
      </c>
      <c r="B4337" s="1">
        <v>6.0</v>
      </c>
      <c r="C4337" s="1" t="s">
        <v>12791</v>
      </c>
      <c r="D4337" s="1" t="s">
        <v>16</v>
      </c>
      <c r="E4337" s="1" t="s">
        <v>12792</v>
      </c>
      <c r="F4337" s="1" t="str">
        <f>IFERROR(__xludf.DUMMYFUNCTION("GOOGLETRANSLATE(A4337, ""zh-CN"", ""ko"")"),"아기")</f>
        <v>아기</v>
      </c>
    </row>
    <row r="4338" ht="15.75" customHeight="1">
      <c r="A4338" s="1" t="s">
        <v>12793</v>
      </c>
      <c r="B4338" s="1">
        <v>6.0</v>
      </c>
      <c r="C4338" s="1" t="s">
        <v>12794</v>
      </c>
      <c r="D4338" s="1" t="s">
        <v>8</v>
      </c>
      <c r="E4338" s="1" t="s">
        <v>12795</v>
      </c>
      <c r="F4338" s="1" t="str">
        <f>IFERROR(__xludf.DUMMYFUNCTION("GOOGLETRANSLATE(A4338, ""zh-CN"", ""ko"")"),"무너지다")</f>
        <v>무너지다</v>
      </c>
    </row>
    <row r="4339" ht="15.75" customHeight="1">
      <c r="A4339" s="1" t="s">
        <v>12796</v>
      </c>
      <c r="B4339" s="1">
        <v>6.0</v>
      </c>
      <c r="C4339" s="1" t="s">
        <v>12797</v>
      </c>
      <c r="D4339" s="1" t="s">
        <v>56</v>
      </c>
      <c r="E4339" s="1" t="s">
        <v>12798</v>
      </c>
      <c r="F4339" s="1" t="str">
        <f>IFERROR(__xludf.DUMMYFUNCTION("GOOGLETRANSLATE(A4339, ""zh-CN"", ""ko"")"),"우와")</f>
        <v>우와</v>
      </c>
    </row>
    <row r="4340" ht="15.75" customHeight="1">
      <c r="A4340" s="1" t="s">
        <v>12799</v>
      </c>
      <c r="B4340" s="1">
        <v>6.0</v>
      </c>
      <c r="C4340" s="1" t="s">
        <v>12800</v>
      </c>
      <c r="D4340" s="1" t="s">
        <v>8</v>
      </c>
      <c r="E4340" s="1" t="s">
        <v>12801</v>
      </c>
      <c r="F4340" s="1" t="str">
        <f>IFERROR(__xludf.DUMMYFUNCTION("GOOGLETRANSLATE(A4340, ""zh-CN"", ""ko"")"),"왜곡하다")</f>
        <v>왜곡하다</v>
      </c>
    </row>
    <row r="4341" ht="15.75" customHeight="1">
      <c r="A4341" s="1" t="s">
        <v>12802</v>
      </c>
      <c r="B4341" s="1">
        <v>6.0</v>
      </c>
      <c r="C4341" s="1" t="s">
        <v>12803</v>
      </c>
      <c r="D4341" s="1" t="s">
        <v>16</v>
      </c>
      <c r="E4341" s="1" t="s">
        <v>12804</v>
      </c>
      <c r="F4341" s="1" t="str">
        <f>IFERROR(__xludf.DUMMYFUNCTION("GOOGLETRANSLATE(A4341, ""zh-CN"", ""ko"")"),"모습")</f>
        <v>모습</v>
      </c>
    </row>
    <row r="4342" ht="15.75" customHeight="1">
      <c r="A4342" s="1" t="s">
        <v>12805</v>
      </c>
      <c r="B4342" s="1">
        <v>6.0</v>
      </c>
      <c r="C4342" s="1" t="s">
        <v>12806</v>
      </c>
      <c r="D4342" s="1" t="s">
        <v>1842</v>
      </c>
      <c r="E4342" s="1" t="s">
        <v>12807</v>
      </c>
      <c r="F4342" s="1" t="str">
        <f>IFERROR(__xludf.DUMMYFUNCTION("GOOGLETRANSLATE(A4342, ""zh-CN"", ""ko"")"),"평신도")</f>
        <v>평신도</v>
      </c>
    </row>
    <row r="4343" ht="15.75" customHeight="1">
      <c r="A4343" s="1" t="s">
        <v>12808</v>
      </c>
      <c r="B4343" s="1">
        <v>6.0</v>
      </c>
      <c r="C4343" s="1" t="s">
        <v>12809</v>
      </c>
      <c r="D4343" s="1" t="s">
        <v>16</v>
      </c>
      <c r="E4343" s="1" t="s">
        <v>12810</v>
      </c>
      <c r="F4343" s="1" t="str">
        <f>IFERROR(__xludf.DUMMYFUNCTION("GOOGLETRANSLATE(A4343, ""zh-CN"", ""ko"")"),"외부 세계")</f>
        <v>외부 세계</v>
      </c>
    </row>
    <row r="4344" ht="15.75" customHeight="1">
      <c r="A4344" s="1" t="s">
        <v>12811</v>
      </c>
      <c r="B4344" s="1">
        <v>6.0</v>
      </c>
      <c r="C4344" s="1" t="s">
        <v>12812</v>
      </c>
      <c r="D4344" s="1" t="s">
        <v>52</v>
      </c>
      <c r="E4344" s="1" t="s">
        <v>12813</v>
      </c>
      <c r="F4344" s="1" t="str">
        <f>IFERROR(__xludf.DUMMYFUNCTION("GOOGLETRANSLATE(A4344, ""zh-CN"", ""ko"")"),"외향적인")</f>
        <v>외향적인</v>
      </c>
    </row>
    <row r="4345" ht="15.75" customHeight="1">
      <c r="A4345" s="1" t="s">
        <v>12814</v>
      </c>
      <c r="B4345" s="1">
        <v>6.0</v>
      </c>
      <c r="C4345" s="1" t="s">
        <v>780</v>
      </c>
      <c r="D4345" s="1" t="s">
        <v>16</v>
      </c>
      <c r="E4345" s="1" t="s">
        <v>12815</v>
      </c>
      <c r="F4345" s="1" t="str">
        <f>IFERROR(__xludf.DUMMYFUNCTION("GOOGLETRANSLATE(A4345, ""zh-CN"", ""ko"")"),"알약")</f>
        <v>알약</v>
      </c>
    </row>
    <row r="4346" ht="15.75" customHeight="1">
      <c r="A4346" s="1" t="s">
        <v>12816</v>
      </c>
      <c r="B4346" s="1">
        <v>6.0</v>
      </c>
      <c r="C4346" s="1" t="s">
        <v>12817</v>
      </c>
      <c r="D4346" s="1" t="s">
        <v>52</v>
      </c>
      <c r="E4346" s="1" t="s">
        <v>12818</v>
      </c>
      <c r="F4346" s="1" t="str">
        <f>IFERROR(__xludf.DUMMYFUNCTION("GOOGLETRANSLATE(A4346, ""zh-CN"", ""ko"")"),"완벽한")</f>
        <v>완벽한</v>
      </c>
    </row>
    <row r="4347" ht="15.75" customHeight="1">
      <c r="A4347" s="1" t="s">
        <v>12819</v>
      </c>
      <c r="B4347" s="1">
        <v>6.0</v>
      </c>
      <c r="C4347" s="1" t="s">
        <v>12820</v>
      </c>
      <c r="D4347" s="1" t="s">
        <v>8</v>
      </c>
      <c r="E4347" s="1" t="s">
        <v>12821</v>
      </c>
      <c r="F4347" s="1" t="str">
        <f>IFERROR(__xludf.DUMMYFUNCTION("GOOGLETRANSLATE(A4347, ""zh-CN"", ""ko"")"),"완벽한")</f>
        <v>완벽한</v>
      </c>
    </row>
    <row r="4348" ht="15.75" customHeight="1">
      <c r="A4348" s="1" t="s">
        <v>12822</v>
      </c>
      <c r="B4348" s="1">
        <v>6.0</v>
      </c>
      <c r="C4348" s="1" t="s">
        <v>12823</v>
      </c>
      <c r="D4348" s="1" t="s">
        <v>52</v>
      </c>
      <c r="E4348" s="1" t="s">
        <v>12824</v>
      </c>
      <c r="F4348" s="1" t="str">
        <f>IFERROR(__xludf.DUMMYFUNCTION("GOOGLETRANSLATE(A4348, ""zh-CN"", ""ko"")"),"고집스러운")</f>
        <v>고집스러운</v>
      </c>
    </row>
    <row r="4349" ht="15.75" customHeight="1">
      <c r="A4349" s="1" t="s">
        <v>12825</v>
      </c>
      <c r="B4349" s="1">
        <v>6.0</v>
      </c>
      <c r="C4349" s="1" t="s">
        <v>12826</v>
      </c>
      <c r="D4349" s="1" t="s">
        <v>8</v>
      </c>
      <c r="E4349" s="1" t="s">
        <v>12827</v>
      </c>
      <c r="F4349" s="1" t="str">
        <f>IFERROR(__xludf.DUMMYFUNCTION("GOOGLETRANSLATE(A4349, ""zh-CN"", ""ko"")"),"놀다")</f>
        <v>놀다</v>
      </c>
    </row>
    <row r="4350" ht="15.75" customHeight="1">
      <c r="A4350" s="1" t="s">
        <v>12828</v>
      </c>
      <c r="B4350" s="1">
        <v>6.0</v>
      </c>
      <c r="C4350" s="1" t="s">
        <v>12829</v>
      </c>
      <c r="D4350" s="1" t="s">
        <v>52</v>
      </c>
      <c r="E4350" s="1" t="s">
        <v>12830</v>
      </c>
      <c r="F4350" s="1" t="str">
        <f>IFERROR(__xludf.DUMMYFUNCTION("GOOGLETRANSLATE(A4350, ""zh-CN"", ""ko"")"),"끈기 있는")</f>
        <v>끈기 있는</v>
      </c>
    </row>
    <row r="4351" ht="15.75" customHeight="1">
      <c r="A4351" s="1" t="s">
        <v>12831</v>
      </c>
      <c r="B4351" s="1">
        <v>6.0</v>
      </c>
      <c r="C4351" s="1" t="s">
        <v>12832</v>
      </c>
      <c r="D4351" s="1" t="s">
        <v>16</v>
      </c>
      <c r="E4351" s="1" t="s">
        <v>12833</v>
      </c>
      <c r="F4351" s="1" t="str">
        <f>IFERROR(__xludf.DUMMYFUNCTION("GOOGLETRANSLATE(A4351, ""zh-CN"", ""ko"")"),"물건")</f>
        <v>물건</v>
      </c>
    </row>
    <row r="4352" ht="15.75" customHeight="1">
      <c r="A4352" s="1" t="s">
        <v>12834</v>
      </c>
      <c r="B4352" s="1">
        <v>6.0</v>
      </c>
      <c r="C4352" s="1" t="s">
        <v>12835</v>
      </c>
      <c r="D4352" s="1" t="s">
        <v>8</v>
      </c>
      <c r="E4352" s="1" t="s">
        <v>12836</v>
      </c>
      <c r="F4352" s="1" t="str">
        <f>IFERROR(__xludf.DUMMYFUNCTION("GOOGLETRANSLATE(A4352, ""zh-CN"", ""ko"")"),"조정하다")</f>
        <v>조정하다</v>
      </c>
    </row>
    <row r="4353" ht="15.75" customHeight="1">
      <c r="A4353" s="1" t="s">
        <v>12837</v>
      </c>
      <c r="B4353" s="1">
        <v>6.0</v>
      </c>
      <c r="C4353" s="1" t="s">
        <v>12838</v>
      </c>
      <c r="D4353" s="1" t="s">
        <v>8</v>
      </c>
      <c r="E4353" s="1" t="s">
        <v>12839</v>
      </c>
      <c r="F4353" s="1" t="str">
        <f>IFERROR(__xludf.DUMMYFUNCTION("GOOGLETRANSLATE(A4353, ""zh-CN"", ""ko"")"),"구하다")</f>
        <v>구하다</v>
      </c>
    </row>
    <row r="4354" ht="15.75" customHeight="1">
      <c r="A4354" s="1" t="s">
        <v>12840</v>
      </c>
      <c r="B4354" s="1">
        <v>6.0</v>
      </c>
      <c r="C4354" s="1" t="s">
        <v>12841</v>
      </c>
      <c r="D4354" s="1" t="s">
        <v>52</v>
      </c>
      <c r="E4354" s="1" t="s">
        <v>12842</v>
      </c>
      <c r="F4354" s="1" t="str">
        <f>IFERROR(__xludf.DUMMYFUNCTION("GOOGLETRANSLATE(A4354, ""zh-CN"", ""ko"")"),"후회")</f>
        <v>후회</v>
      </c>
    </row>
    <row r="4355" ht="15.75" customHeight="1">
      <c r="A4355" s="1" t="s">
        <v>12843</v>
      </c>
      <c r="B4355" s="1">
        <v>6.0</v>
      </c>
      <c r="C4355" s="1" t="s">
        <v>12844</v>
      </c>
      <c r="D4355" s="1" t="s">
        <v>33</v>
      </c>
      <c r="E4355" s="1" t="s">
        <v>12845</v>
      </c>
      <c r="F4355" s="1" t="str">
        <f>IFERROR(__xludf.DUMMYFUNCTION("GOOGLETRANSLATE(A4355, ""zh-CN"", ""ko"")"),"극도로")</f>
        <v>극도로</v>
      </c>
    </row>
    <row r="4356" ht="15.75" customHeight="1">
      <c r="A4356" s="1" t="s">
        <v>12846</v>
      </c>
      <c r="B4356" s="1">
        <v>6.0</v>
      </c>
      <c r="C4356" s="1" t="s">
        <v>12847</v>
      </c>
      <c r="D4356" s="1" t="s">
        <v>16</v>
      </c>
      <c r="E4356" s="1" t="s">
        <v>12848</v>
      </c>
      <c r="F4356" s="1" t="str">
        <f>IFERROR(__xludf.DUMMYFUNCTION("GOOGLETRANSLATE(A4356, ""zh-CN"", ""ko"")"),"보통")</f>
        <v>보통</v>
      </c>
    </row>
    <row r="4357" ht="15.75" customHeight="1">
      <c r="A4357" s="1" t="s">
        <v>12849</v>
      </c>
      <c r="B4357" s="1">
        <v>6.0</v>
      </c>
      <c r="C4357" s="1" t="s">
        <v>12850</v>
      </c>
      <c r="D4357" s="1" t="s">
        <v>16</v>
      </c>
      <c r="E4357" s="1" t="s">
        <v>12851</v>
      </c>
      <c r="F4357" s="1" t="str">
        <f>IFERROR(__xludf.DUMMYFUNCTION("GOOGLETRANSLATE(A4357, ""zh-CN"", ""ko"")"),"과거")</f>
        <v>과거</v>
      </c>
    </row>
    <row r="4358" ht="15.75" customHeight="1">
      <c r="A4358" s="1" t="s">
        <v>12852</v>
      </c>
      <c r="B4358" s="1">
        <v>6.0</v>
      </c>
      <c r="C4358" s="1" t="s">
        <v>12853</v>
      </c>
      <c r="D4358" s="1" t="s">
        <v>8</v>
      </c>
      <c r="E4358" s="1" t="s">
        <v>12854</v>
      </c>
      <c r="F4358" s="1" t="str">
        <f>IFERROR(__xludf.DUMMYFUNCTION("GOOGLETRANSLATE(A4358, ""zh-CN"", ""ko"")"),"미혹")</f>
        <v>미혹</v>
      </c>
    </row>
    <row r="4359" ht="15.75" customHeight="1">
      <c r="A4359" s="1" t="s">
        <v>12855</v>
      </c>
      <c r="B4359" s="1">
        <v>6.0</v>
      </c>
      <c r="C4359" s="1" t="s">
        <v>12856</v>
      </c>
      <c r="E4359" s="1" t="s">
        <v>12857</v>
      </c>
      <c r="F4359" s="1" t="str">
        <f>IFERROR(__xludf.DUMMYFUNCTION("GOOGLETRANSLATE(A4359, ""zh-CN"", ""ko"")"),"무시할 수 있는")</f>
        <v>무시할 수 있는</v>
      </c>
    </row>
    <row r="4360" ht="15.75" customHeight="1">
      <c r="A4360" s="1" t="s">
        <v>12858</v>
      </c>
      <c r="B4360" s="1">
        <v>6.0</v>
      </c>
      <c r="C4360" s="1" t="s">
        <v>12859</v>
      </c>
      <c r="D4360" s="1" t="s">
        <v>1842</v>
      </c>
      <c r="E4360" s="1" t="s">
        <v>12860</v>
      </c>
      <c r="F4360" s="1" t="str">
        <f>IFERROR(__xludf.DUMMYFUNCTION("GOOGLETRANSLATE(A4360, ""zh-CN"", ""ko"")"),"명성")</f>
        <v>명성</v>
      </c>
    </row>
    <row r="4361" ht="15.75" customHeight="1">
      <c r="A4361" s="1" t="s">
        <v>12861</v>
      </c>
      <c r="B4361" s="1">
        <v>6.0</v>
      </c>
      <c r="C4361" s="1" t="s">
        <v>12862</v>
      </c>
      <c r="D4361" s="1" t="s">
        <v>52</v>
      </c>
      <c r="E4361" s="1" t="s">
        <v>12863</v>
      </c>
      <c r="F4361" s="1" t="str">
        <f>IFERROR(__xludf.DUMMYFUNCTION("GOOGLETRANSLATE(A4361, ""zh-CN"", ""ko"")"),"마이크로")</f>
        <v>마이크로</v>
      </c>
    </row>
    <row r="4362" ht="15.75" customHeight="1">
      <c r="A4362" s="1" t="s">
        <v>12864</v>
      </c>
      <c r="B4362" s="1">
        <v>6.0</v>
      </c>
      <c r="C4362" s="1" t="s">
        <v>12865</v>
      </c>
      <c r="D4362" s="1" t="s">
        <v>16</v>
      </c>
      <c r="E4362" s="1" t="s">
        <v>12866</v>
      </c>
      <c r="F4362" s="1" t="str">
        <f>IFERROR(__xludf.DUMMYFUNCTION("GOOGLETRANSLATE(A4362, ""zh-CN"", ""ko"")"),"위기")</f>
        <v>위기</v>
      </c>
    </row>
    <row r="4363" ht="15.75" customHeight="1">
      <c r="A4363" s="1" t="s">
        <v>12867</v>
      </c>
      <c r="B4363" s="1">
        <v>6.0</v>
      </c>
      <c r="C4363" s="1" t="s">
        <v>12868</v>
      </c>
      <c r="D4363" s="1" t="s">
        <v>16</v>
      </c>
      <c r="E4363" s="1" t="s">
        <v>12869</v>
      </c>
      <c r="F4363" s="1" t="str">
        <f>IFERROR(__xludf.DUMMYFUNCTION("GOOGLETRANSLATE(A4363, ""zh-CN"", ""ko"")"),"힘")</f>
        <v>힘</v>
      </c>
    </row>
    <row r="4364" ht="15.75" customHeight="1">
      <c r="A4364" s="1" t="s">
        <v>12870</v>
      </c>
      <c r="B4364" s="1">
        <v>6.0</v>
      </c>
      <c r="C4364" s="1" t="s">
        <v>12871</v>
      </c>
      <c r="D4364" s="1" t="s">
        <v>16</v>
      </c>
      <c r="E4364" s="1" t="s">
        <v>12872</v>
      </c>
      <c r="F4364" s="1" t="str">
        <f>IFERROR(__xludf.DUMMYFUNCTION("GOOGLETRANSLATE(A4364, ""zh-CN"", ""ko"")"),"명성")</f>
        <v>명성</v>
      </c>
    </row>
    <row r="4365" ht="15.75" customHeight="1">
      <c r="A4365" s="1" t="s">
        <v>12873</v>
      </c>
      <c r="B4365" s="1">
        <v>6.0</v>
      </c>
      <c r="C4365" s="1" t="s">
        <v>12874</v>
      </c>
      <c r="D4365" s="1" t="s">
        <v>16</v>
      </c>
      <c r="E4365" s="1" t="s">
        <v>12872</v>
      </c>
      <c r="F4365" s="1" t="str">
        <f>IFERROR(__xludf.DUMMYFUNCTION("GOOGLETRANSLATE(A4365, ""zh-CN"", ""ko"")"),"명성")</f>
        <v>명성</v>
      </c>
    </row>
    <row r="4366" ht="15.75" customHeight="1">
      <c r="A4366" s="1" t="s">
        <v>12875</v>
      </c>
      <c r="B4366" s="1">
        <v>6.0</v>
      </c>
      <c r="C4366" s="1" t="s">
        <v>12876</v>
      </c>
      <c r="D4366" s="1" t="s">
        <v>8</v>
      </c>
      <c r="E4366" s="1" t="s">
        <v>12877</v>
      </c>
      <c r="F4366" s="1" t="str">
        <f>IFERROR(__xludf.DUMMYFUNCTION("GOOGLETRANSLATE(A4366, ""zh-CN"", ""ko"")"),"위반하다")</f>
        <v>위반하다</v>
      </c>
    </row>
    <row r="4367" ht="15.75" customHeight="1">
      <c r="A4367" s="1" t="s">
        <v>12878</v>
      </c>
      <c r="B4367" s="1">
        <v>6.0</v>
      </c>
      <c r="C4367" s="1" t="s">
        <v>12879</v>
      </c>
      <c r="D4367" s="1" t="s">
        <v>8</v>
      </c>
      <c r="E4367" s="1" t="s">
        <v>12880</v>
      </c>
      <c r="F4367" s="1" t="str">
        <f>IFERROR(__xludf.DUMMYFUNCTION("GOOGLETRANSLATE(A4367, ""zh-CN"", ""ko"")"),"유지하다")</f>
        <v>유지하다</v>
      </c>
    </row>
    <row r="4368" ht="15.75" customHeight="1">
      <c r="A4368" s="1" t="s">
        <v>12881</v>
      </c>
      <c r="B4368" s="1">
        <v>6.0</v>
      </c>
      <c r="C4368" s="1" t="s">
        <v>12882</v>
      </c>
      <c r="D4368" s="1" t="s">
        <v>33</v>
      </c>
      <c r="E4368" s="1" t="s">
        <v>12883</v>
      </c>
      <c r="F4368" s="1" t="str">
        <f>IFERROR(__xludf.DUMMYFUNCTION("GOOGLETRANSLATE(A4368, ""zh-CN"", ""ko"")"),"오직")</f>
        <v>오직</v>
      </c>
    </row>
    <row r="4369" ht="15.75" customHeight="1">
      <c r="A4369" s="1" t="s">
        <v>12884</v>
      </c>
      <c r="B4369" s="1">
        <v>6.0</v>
      </c>
      <c r="C4369" s="1" t="s">
        <v>12885</v>
      </c>
      <c r="D4369" s="1" t="s">
        <v>8</v>
      </c>
      <c r="E4369" s="1" t="s">
        <v>12886</v>
      </c>
      <c r="F4369" s="1" t="str">
        <f>IFERROR(__xludf.DUMMYFUNCTION("GOOGLETRANSLATE(A4369, ""zh-CN"", ""ko"")"),"유지하다")</f>
        <v>유지하다</v>
      </c>
    </row>
    <row r="4370" ht="15.75" customHeight="1">
      <c r="A4370" s="1" t="s">
        <v>12887</v>
      </c>
      <c r="B4370" s="1">
        <v>6.0</v>
      </c>
      <c r="C4370" s="1" t="s">
        <v>12888</v>
      </c>
      <c r="D4370" s="1" t="s">
        <v>52</v>
      </c>
      <c r="E4370" s="1" t="s">
        <v>12889</v>
      </c>
      <c r="F4370" s="1" t="str">
        <f>IFERROR(__xludf.DUMMYFUNCTION("GOOGLETRANSLATE(A4370, ""zh-CN"", ""ko"")"),"어려운")</f>
        <v>어려운</v>
      </c>
    </row>
    <row r="4371" ht="15.75" customHeight="1">
      <c r="A4371" s="1" t="s">
        <v>12890</v>
      </c>
      <c r="B4371" s="1">
        <v>6.0</v>
      </c>
      <c r="C4371" s="1" t="s">
        <v>12891</v>
      </c>
      <c r="D4371" s="1" t="s">
        <v>8</v>
      </c>
      <c r="E4371" s="1" t="s">
        <v>12892</v>
      </c>
      <c r="F4371" s="1" t="str">
        <f>IFERROR(__xludf.DUMMYFUNCTION("GOOGLETRANSLATE(A4371, ""zh-CN"", ""ko"")"),"일정 기간 동안")</f>
        <v>일정 기간 동안</v>
      </c>
    </row>
    <row r="4372" ht="15.75" customHeight="1">
      <c r="A4372" s="1" t="s">
        <v>12893</v>
      </c>
      <c r="B4372" s="1">
        <v>6.0</v>
      </c>
      <c r="C4372" s="1" t="s">
        <v>12894</v>
      </c>
      <c r="D4372" s="1" t="s">
        <v>16</v>
      </c>
      <c r="E4372" s="1" t="s">
        <v>12895</v>
      </c>
      <c r="F4372" s="1" t="str">
        <f>IFERROR(__xludf.DUMMYFUNCTION("GOOGLETRANSLATE(A4372, ""zh-CN"", ""ko"")"),"비타민")</f>
        <v>비타민</v>
      </c>
    </row>
    <row r="4373" ht="15.75" customHeight="1">
      <c r="A4373" s="1" t="s">
        <v>12896</v>
      </c>
      <c r="B4373" s="1">
        <v>6.0</v>
      </c>
      <c r="C4373" s="1" t="s">
        <v>12897</v>
      </c>
      <c r="D4373" s="1" t="s">
        <v>8</v>
      </c>
      <c r="E4373" s="1" t="s">
        <v>12898</v>
      </c>
      <c r="F4373" s="1" t="str">
        <f>IFERROR(__xludf.DUMMYFUNCTION("GOOGLETRANSLATE(A4373, ""zh-CN"", ""ko"")"),"맡기다")</f>
        <v>맡기다</v>
      </c>
    </row>
    <row r="4374" ht="15.75" customHeight="1">
      <c r="A4374" s="1" t="s">
        <v>12899</v>
      </c>
      <c r="B4374" s="1">
        <v>6.0</v>
      </c>
      <c r="C4374" s="1" t="s">
        <v>12900</v>
      </c>
      <c r="D4374" s="1" t="s">
        <v>16</v>
      </c>
      <c r="E4374" s="1" t="s">
        <v>12901</v>
      </c>
      <c r="F4374" s="1" t="str">
        <f>IFERROR(__xludf.DUMMYFUNCTION("GOOGLETRANSLATE(A4374, ""zh-CN"", ""ko"")"),"위원회")</f>
        <v>위원회</v>
      </c>
    </row>
    <row r="4375" ht="15.75" customHeight="1">
      <c r="A4375" s="1" t="s">
        <v>12902</v>
      </c>
      <c r="B4375" s="1">
        <v>6.0</v>
      </c>
      <c r="C4375" s="1" t="s">
        <v>12903</v>
      </c>
      <c r="D4375" s="1" t="s">
        <v>8</v>
      </c>
      <c r="E4375" s="1" t="s">
        <v>12904</v>
      </c>
      <c r="F4375" s="1" t="str">
        <f>IFERROR(__xludf.DUMMYFUNCTION("GOOGLETRANSLATE(A4375, ""zh-CN"", ""ko"")"),"위조")</f>
        <v>위조</v>
      </c>
    </row>
    <row r="4376" ht="15.75" customHeight="1">
      <c r="A4376" s="1" t="s">
        <v>12905</v>
      </c>
      <c r="B4376" s="1">
        <v>6.0</v>
      </c>
      <c r="C4376" s="1" t="s">
        <v>12906</v>
      </c>
      <c r="D4376" s="1" t="s">
        <v>52</v>
      </c>
      <c r="E4376" s="1" t="s">
        <v>12907</v>
      </c>
      <c r="F4376" s="1" t="str">
        <f>IFERROR(__xludf.DUMMYFUNCTION("GOOGLETRANSLATE(A4376, ""zh-CN"", ""ko"")"),"두려움")</f>
        <v>두려움</v>
      </c>
    </row>
    <row r="4377" ht="15.75" customHeight="1">
      <c r="A4377" s="1" t="s">
        <v>12908</v>
      </c>
      <c r="B4377" s="1">
        <v>6.0</v>
      </c>
      <c r="C4377" s="1" t="s">
        <v>12909</v>
      </c>
      <c r="D4377" s="1" t="s">
        <v>52</v>
      </c>
      <c r="E4377" s="1" t="s">
        <v>12910</v>
      </c>
      <c r="F4377" s="1" t="str">
        <f>IFERROR(__xludf.DUMMYFUNCTION("GOOGLETRANSLATE(A4377, ""zh-CN"", ""ko"")"),"하늘빛")</f>
        <v>하늘빛</v>
      </c>
    </row>
    <row r="4378" ht="15.75" customHeight="1">
      <c r="A4378" s="1" t="s">
        <v>12911</v>
      </c>
      <c r="B4378" s="1">
        <v>6.0</v>
      </c>
      <c r="C4378" s="1" t="s">
        <v>12912</v>
      </c>
      <c r="D4378" s="1" t="s">
        <v>33</v>
      </c>
      <c r="E4378" s="1" t="s">
        <v>12913</v>
      </c>
      <c r="F4378" s="1" t="str">
        <f>IFERROR(__xludf.DUMMYFUNCTION("GOOGLETRANSLATE(A4378, ""zh-CN"", ""ko"")"),"피하기 어려운")</f>
        <v>피하기 어려운</v>
      </c>
    </row>
    <row r="4379" ht="15.75" customHeight="1">
      <c r="A4379" s="1" t="s">
        <v>12914</v>
      </c>
      <c r="B4379" s="1">
        <v>6.0</v>
      </c>
      <c r="C4379" s="1" t="s">
        <v>12915</v>
      </c>
      <c r="D4379" s="1" t="s">
        <v>8</v>
      </c>
      <c r="E4379" s="1" t="s">
        <v>12916</v>
      </c>
      <c r="F4379" s="1" t="str">
        <f>IFERROR(__xludf.DUMMYFUNCTION("GOOGLETRANSLATE(A4379, ""zh-CN"", ""ko"")"),"애도를 표합니다")</f>
        <v>애도를 표합니다</v>
      </c>
    </row>
    <row r="4380" ht="15.75" customHeight="1">
      <c r="A4380" s="1" t="s">
        <v>12917</v>
      </c>
      <c r="B4380" s="1">
        <v>6.0</v>
      </c>
      <c r="C4380" s="1" t="s">
        <v>12918</v>
      </c>
      <c r="D4380" s="1" t="s">
        <v>16</v>
      </c>
      <c r="E4380" s="1" t="s">
        <v>12919</v>
      </c>
      <c r="F4380" s="1" t="str">
        <f>IFERROR(__xludf.DUMMYFUNCTION("GOOGLETRANSLATE(A4380, ""zh-CN"", ""ko"")"),"위성")</f>
        <v>위성</v>
      </c>
    </row>
    <row r="4381" ht="15.75" customHeight="1">
      <c r="A4381" s="1" t="s">
        <v>12920</v>
      </c>
      <c r="B4381" s="1">
        <v>6.0</v>
      </c>
      <c r="C4381" s="1" t="s">
        <v>12921</v>
      </c>
      <c r="D4381" s="1" t="s">
        <v>16</v>
      </c>
      <c r="E4381" s="1" t="s">
        <v>12922</v>
      </c>
      <c r="F4381" s="1" t="str">
        <f>IFERROR(__xludf.DUMMYFUNCTION("GOOGLETRANSLATE(A4381, ""zh-CN"", ""ko"")"),"온대 지역")</f>
        <v>온대 지역</v>
      </c>
    </row>
    <row r="4382" ht="15.75" customHeight="1">
      <c r="A4382" s="1" t="s">
        <v>12923</v>
      </c>
      <c r="B4382" s="1">
        <v>6.0</v>
      </c>
      <c r="C4382" s="1" t="s">
        <v>12924</v>
      </c>
      <c r="D4382" s="1" t="s">
        <v>52</v>
      </c>
      <c r="E4382" s="1" t="s">
        <v>12925</v>
      </c>
      <c r="F4382" s="1" t="str">
        <f>IFERROR(__xludf.DUMMYFUNCTION("GOOGLETRANSLATE(A4382, ""zh-CN"", ""ko"")"),"경증")</f>
        <v>경증</v>
      </c>
    </row>
    <row r="4383" ht="15.75" customHeight="1">
      <c r="A4383" s="1" t="s">
        <v>12926</v>
      </c>
      <c r="B4383" s="1">
        <v>6.0</v>
      </c>
      <c r="C4383" s="1" t="s">
        <v>12927</v>
      </c>
      <c r="D4383" s="1" t="s">
        <v>16</v>
      </c>
      <c r="E4383" s="1" t="s">
        <v>12928</v>
      </c>
      <c r="F4383" s="1" t="str">
        <f>IFERROR(__xludf.DUMMYFUNCTION("GOOGLETRANSLATE(A4383, ""zh-CN"", ""ko"")"),"졸업 증서")</f>
        <v>졸업 증서</v>
      </c>
    </row>
    <row r="4384" ht="15.75" customHeight="1">
      <c r="A4384" s="1" t="s">
        <v>12929</v>
      </c>
      <c r="B4384" s="1">
        <v>6.0</v>
      </c>
      <c r="C4384" s="1" t="s">
        <v>12930</v>
      </c>
      <c r="D4384" s="1" t="s">
        <v>16</v>
      </c>
      <c r="E4384" s="1" t="s">
        <v>12931</v>
      </c>
      <c r="F4384" s="1" t="str">
        <f>IFERROR(__xludf.DUMMYFUNCTION("GOOGLETRANSLATE(A4384, ""zh-CN"", ""ko"")"),"문화 유물")</f>
        <v>문화 유물</v>
      </c>
    </row>
    <row r="4385" ht="15.75" customHeight="1">
      <c r="A4385" s="1" t="s">
        <v>12932</v>
      </c>
      <c r="B4385" s="1">
        <v>6.0</v>
      </c>
      <c r="C4385" s="1" t="s">
        <v>12933</v>
      </c>
      <c r="D4385" s="1" t="s">
        <v>16</v>
      </c>
      <c r="E4385" s="1" t="s">
        <v>12934</v>
      </c>
      <c r="F4385" s="1" t="str">
        <f>IFERROR(__xludf.DUMMYFUNCTION("GOOGLETRANSLATE(A4385, ""zh-CN"", ""ko"")"),"문학")</f>
        <v>문학</v>
      </c>
    </row>
    <row r="4386" ht="15.75" customHeight="1">
      <c r="A4386" s="1" t="s">
        <v>12935</v>
      </c>
      <c r="B4386" s="1">
        <v>6.0</v>
      </c>
      <c r="C4386" s="1" t="s">
        <v>12936</v>
      </c>
      <c r="D4386" s="1" t="s">
        <v>52</v>
      </c>
      <c r="E4386" s="1" t="s">
        <v>12937</v>
      </c>
      <c r="F4386" s="1" t="str">
        <f>IFERROR(__xludf.DUMMYFUNCTION("GOOGLETRANSLATE(A4386, ""zh-CN"", ""ko"")"),"우아한")</f>
        <v>우아한</v>
      </c>
    </row>
    <row r="4387" ht="15.75" customHeight="1">
      <c r="A4387" s="1" t="s">
        <v>12938</v>
      </c>
      <c r="B4387" s="1">
        <v>6.0</v>
      </c>
      <c r="C4387" s="1" t="s">
        <v>12939</v>
      </c>
      <c r="D4387" s="1" t="s">
        <v>16</v>
      </c>
      <c r="E4387" s="1" t="s">
        <v>12940</v>
      </c>
      <c r="F4387" s="1" t="str">
        <f>IFERROR(__xludf.DUMMYFUNCTION("GOOGLETRANSLATE(A4387, ""zh-CN"", ""ko"")"),"문학과 예술")</f>
        <v>문학과 예술</v>
      </c>
    </row>
    <row r="4388" ht="15.75" customHeight="1">
      <c r="A4388" s="1" t="s">
        <v>12941</v>
      </c>
      <c r="B4388" s="1">
        <v>6.0</v>
      </c>
      <c r="C4388" s="1" t="s">
        <v>12942</v>
      </c>
      <c r="D4388" s="1" t="s">
        <v>8</v>
      </c>
      <c r="E4388" s="1" t="s">
        <v>12943</v>
      </c>
      <c r="F4388" s="1" t="str">
        <f>IFERROR(__xludf.DUMMYFUNCTION("GOOGLETRANSLATE(A4388, ""zh-CN"", ""ko"")"),"나오다")</f>
        <v>나오다</v>
      </c>
    </row>
    <row r="4389" ht="15.75" customHeight="1">
      <c r="A4389" s="1" t="s">
        <v>12944</v>
      </c>
      <c r="B4389" s="1">
        <v>6.0</v>
      </c>
      <c r="C4389" s="1" t="s">
        <v>12945</v>
      </c>
      <c r="D4389" s="1" t="s">
        <v>16</v>
      </c>
      <c r="E4389" s="1" t="s">
        <v>12946</v>
      </c>
      <c r="F4389" s="1" t="str">
        <f>IFERROR(__xludf.DUMMYFUNCTION("GOOGLETRANSLATE(A4389, ""zh-CN"", ""ko"")"),"둥지")</f>
        <v>둥지</v>
      </c>
    </row>
    <row r="4390" ht="15.75" customHeight="1">
      <c r="A4390" s="1" t="s">
        <v>12947</v>
      </c>
      <c r="B4390" s="1">
        <v>6.0</v>
      </c>
      <c r="C4390" s="1" t="s">
        <v>12948</v>
      </c>
      <c r="D4390" s="1" t="s">
        <v>52</v>
      </c>
      <c r="E4390" s="1" t="s">
        <v>12949</v>
      </c>
      <c r="F4390" s="1" t="str">
        <f>IFERROR(__xludf.DUMMYFUNCTION("GOOGLETRANSLATE(A4390, ""zh-CN"", ""ko"")"),"짙은 검정색")</f>
        <v>짙은 검정색</v>
      </c>
    </row>
    <row r="4391" ht="15.75" customHeight="1">
      <c r="A4391" s="1" t="s">
        <v>12950</v>
      </c>
      <c r="B4391" s="1">
        <v>6.0</v>
      </c>
      <c r="C4391" s="1" t="s">
        <v>12951</v>
      </c>
      <c r="D4391" s="1" t="s">
        <v>8</v>
      </c>
      <c r="E4391" s="1" t="s">
        <v>12952</v>
      </c>
      <c r="F4391" s="1" t="str">
        <f>IFERROR(__xludf.DUMMYFUNCTION("GOOGLETRANSLATE(A4391, ""zh-CN"", ""ko"")"),"중상")</f>
        <v>중상</v>
      </c>
    </row>
    <row r="4392" ht="15.75" customHeight="1">
      <c r="A4392" s="1" t="s">
        <v>12953</v>
      </c>
      <c r="B4392" s="1">
        <v>6.0</v>
      </c>
      <c r="C4392" s="1" t="s">
        <v>12954</v>
      </c>
      <c r="D4392" s="1" t="s">
        <v>8</v>
      </c>
      <c r="E4392" s="1" t="s">
        <v>12955</v>
      </c>
      <c r="F4392" s="1" t="str">
        <f>IFERROR(__xludf.DUMMYFUNCTION("GOOGLETRANSLATE(A4392, ""zh-CN"", ""ko"")"),"프레임")</f>
        <v>프레임</v>
      </c>
    </row>
    <row r="4393" ht="15.75" customHeight="1">
      <c r="A4393" s="1" t="s">
        <v>12956</v>
      </c>
      <c r="B4393" s="1">
        <v>6.0</v>
      </c>
      <c r="C4393" s="1" t="s">
        <v>12957</v>
      </c>
      <c r="D4393" s="1" t="s">
        <v>8</v>
      </c>
      <c r="E4393" s="1" t="s">
        <v>12958</v>
      </c>
      <c r="F4393" s="1" t="str">
        <f>IFERROR(__xludf.DUMMYFUNCTION("GOOGLETRANSLATE(A4393, ""zh-CN"", ""ko"")"),"비교할 수 없는")</f>
        <v>비교할 수 없는</v>
      </c>
    </row>
    <row r="4394" ht="15.75" customHeight="1">
      <c r="A4394" s="1" t="s">
        <v>12959</v>
      </c>
      <c r="B4394" s="1">
        <v>6.0</v>
      </c>
      <c r="C4394" s="1" t="s">
        <v>12960</v>
      </c>
      <c r="D4394" s="1" t="s">
        <v>16</v>
      </c>
      <c r="E4394" s="1" t="s">
        <v>12961</v>
      </c>
      <c r="F4394" s="1" t="str">
        <f>IFERROR(__xludf.DUMMYFUNCTION("GOOGLETRANSLATE(A4394, ""zh-CN"", ""ko"")"),"무료")</f>
        <v>무료</v>
      </c>
    </row>
    <row r="4395" ht="15.75" customHeight="1">
      <c r="A4395" s="1" t="s">
        <v>12962</v>
      </c>
      <c r="B4395" s="1">
        <v>6.0</v>
      </c>
      <c r="C4395" s="1" t="s">
        <v>12963</v>
      </c>
      <c r="D4395" s="1" t="s">
        <v>52</v>
      </c>
      <c r="E4395" s="1" t="s">
        <v>12964</v>
      </c>
      <c r="F4395" s="1" t="str">
        <f>IFERROR(__xludf.DUMMYFUNCTION("GOOGLETRANSLATE(A4395, ""zh-CN"", ""ko"")"),"뻔뻔스러운")</f>
        <v>뻔뻔스러운</v>
      </c>
    </row>
    <row r="4396" ht="15.75" customHeight="1">
      <c r="A4396" s="1" t="s">
        <v>12965</v>
      </c>
      <c r="B4396" s="1">
        <v>6.0</v>
      </c>
      <c r="C4396" s="1" t="s">
        <v>12966</v>
      </c>
      <c r="E4396" s="1" t="s">
        <v>12967</v>
      </c>
      <c r="F4396" s="1" t="str">
        <f>IFERROR(__xludf.DUMMYFUNCTION("GOOGLETRANSLATE(A4396, ""zh-CN"", ""ko"")"),"무관심한")</f>
        <v>무관심한</v>
      </c>
    </row>
    <row r="4397" ht="15.75" customHeight="1">
      <c r="A4397" s="1" t="s">
        <v>12968</v>
      </c>
      <c r="B4397" s="1">
        <v>6.0</v>
      </c>
      <c r="C4397" s="1" t="s">
        <v>12969</v>
      </c>
      <c r="D4397" s="1" t="s">
        <v>33</v>
      </c>
      <c r="E4397" s="1" t="s">
        <v>12970</v>
      </c>
      <c r="F4397" s="1" t="str">
        <f>IFERROR(__xludf.DUMMYFUNCTION("GOOGLETRANSLATE(A4397, ""zh-CN"", ""ko"")"),"그 이상도 이하도 아닙니다")</f>
        <v>그 이상도 이하도 아닙니다</v>
      </c>
    </row>
    <row r="4398" ht="15.75" customHeight="1">
      <c r="A4398" s="1" t="s">
        <v>12971</v>
      </c>
      <c r="B4398" s="1">
        <v>6.0</v>
      </c>
      <c r="C4398" s="1" t="s">
        <v>12972</v>
      </c>
      <c r="D4398" s="1" t="s">
        <v>52</v>
      </c>
      <c r="E4398" s="1" t="s">
        <v>12973</v>
      </c>
      <c r="F4398" s="1" t="str">
        <f>IFERROR(__xludf.DUMMYFUNCTION("GOOGLETRANSLATE(A4398, ""zh-CN"", ""ko"")"),"순결한")</f>
        <v>순결한</v>
      </c>
    </row>
    <row r="4399" ht="15.75" customHeight="1">
      <c r="A4399" s="1" t="s">
        <v>12974</v>
      </c>
      <c r="B4399" s="1">
        <v>6.0</v>
      </c>
      <c r="C4399" s="1" t="s">
        <v>12975</v>
      </c>
      <c r="E4399" s="1" t="s">
        <v>12976</v>
      </c>
      <c r="F4399" s="1" t="str">
        <f>IFERROR(__xludf.DUMMYFUNCTION("GOOGLETRANSLATE(A4399, ""zh-CN"", ""ko"")"),"노곤한")</f>
        <v>노곤한</v>
      </c>
    </row>
    <row r="4400" ht="15.75" customHeight="1">
      <c r="A4400" s="1" t="s">
        <v>12977</v>
      </c>
      <c r="B4400" s="1">
        <v>6.0</v>
      </c>
      <c r="C4400" s="1" t="s">
        <v>12978</v>
      </c>
      <c r="D4400" s="1" t="s">
        <v>6828</v>
      </c>
      <c r="E4400" s="1" t="s">
        <v>12979</v>
      </c>
      <c r="F4400" s="1" t="str">
        <f>IFERROR(__xludf.DUMMYFUNCTION("GOOGLETRANSLATE(A4400, ""zh-CN"", ""ko"")"),"악당")</f>
        <v>악당</v>
      </c>
    </row>
    <row r="4401" ht="15.75" customHeight="1">
      <c r="A4401" s="1" t="s">
        <v>12980</v>
      </c>
      <c r="B4401" s="1">
        <v>6.0</v>
      </c>
      <c r="C4401" s="1" t="s">
        <v>12981</v>
      </c>
      <c r="E4401" s="1" t="s">
        <v>12982</v>
      </c>
      <c r="F4401" s="1" t="str">
        <f>IFERROR(__xludf.DUMMYFUNCTION("GOOGLETRANSLATE(A4401, ""zh-CN"", ""ko"")"),"무모한")</f>
        <v>무모한</v>
      </c>
    </row>
    <row r="4402" ht="15.75" customHeight="1">
      <c r="A4402" s="1" t="s">
        <v>12983</v>
      </c>
      <c r="B4402" s="1">
        <v>6.0</v>
      </c>
      <c r="C4402" s="1" t="s">
        <v>12984</v>
      </c>
      <c r="E4402" s="1" t="s">
        <v>12985</v>
      </c>
      <c r="F4402" s="1" t="str">
        <f>IFERROR(__xludf.DUMMYFUNCTION("GOOGLETRANSLATE(A4402, ""zh-CN"", ""ko"")"),"무력한")</f>
        <v>무력한</v>
      </c>
    </row>
    <row r="4403" ht="15.75" customHeight="1">
      <c r="A4403" s="1" t="s">
        <v>12986</v>
      </c>
      <c r="B4403" s="1">
        <v>6.0</v>
      </c>
      <c r="C4403" s="1" t="s">
        <v>12987</v>
      </c>
      <c r="E4403" s="1" t="s">
        <v>12988</v>
      </c>
      <c r="F4403" s="1" t="str">
        <f>IFERROR(__xludf.DUMMYFUNCTION("GOOGLETRANSLATE(A4403, ""zh-CN"", ""ko"")"),"끝없는")</f>
        <v>끝없는</v>
      </c>
    </row>
    <row r="4404" ht="15.75" customHeight="1">
      <c r="A4404" s="1" t="s">
        <v>12989</v>
      </c>
      <c r="B4404" s="1">
        <v>6.0</v>
      </c>
      <c r="C4404" s="1" t="s">
        <v>12990</v>
      </c>
      <c r="E4404" s="1" t="s">
        <v>12991</v>
      </c>
      <c r="F4404" s="1" t="str">
        <f>IFERROR(__xludf.DUMMYFUNCTION("GOOGLETRANSLATE(A4404, ""zh-CN"", ""ko"")"),"꼼꼼한")</f>
        <v>꼼꼼한</v>
      </c>
    </row>
    <row r="4405" ht="15.75" customHeight="1">
      <c r="A4405" s="1" t="s">
        <v>12992</v>
      </c>
      <c r="B4405" s="1">
        <v>6.0</v>
      </c>
      <c r="C4405" s="1" t="s">
        <v>12993</v>
      </c>
      <c r="E4405" s="1" t="s">
        <v>12994</v>
      </c>
      <c r="F4405" s="1" t="str">
        <f>IFERROR(__xludf.DUMMYFUNCTION("GOOGLETRANSLATE(A4405, ""zh-CN"", ""ko"")"),"걱정 없는")</f>
        <v>걱정 없는</v>
      </c>
    </row>
    <row r="4406" ht="15.75" customHeight="1">
      <c r="A4406" s="1" t="s">
        <v>12995</v>
      </c>
      <c r="B4406" s="1">
        <v>6.0</v>
      </c>
      <c r="C4406" s="1" t="s">
        <v>12996</v>
      </c>
      <c r="D4406" s="1" t="s">
        <v>52</v>
      </c>
      <c r="E4406" s="1" t="s">
        <v>12997</v>
      </c>
      <c r="F4406" s="1" t="str">
        <f>IFERROR(__xludf.DUMMYFUNCTION("GOOGLETRANSLATE(A4406, ""zh-CN"", ""ko"")"),"무지")</f>
        <v>무지</v>
      </c>
    </row>
    <row r="4407" ht="15.75" customHeight="1">
      <c r="A4407" s="1" t="s">
        <v>12998</v>
      </c>
      <c r="B4407" s="1">
        <v>6.0</v>
      </c>
      <c r="C4407" s="1" t="s">
        <v>12999</v>
      </c>
      <c r="D4407" s="1" t="s">
        <v>16</v>
      </c>
      <c r="E4407" s="1" t="s">
        <v>13000</v>
      </c>
      <c r="F4407" s="1" t="str">
        <f>IFERROR(__xludf.DUMMYFUNCTION("GOOGLETRANSLATE(A4407, ""zh-CN"", ""ko"")"),"춤")</f>
        <v>춤</v>
      </c>
    </row>
    <row r="4408" ht="15.75" customHeight="1">
      <c r="A4408" s="1" t="s">
        <v>13001</v>
      </c>
      <c r="B4408" s="1">
        <v>6.0</v>
      </c>
      <c r="C4408" s="1" t="s">
        <v>13002</v>
      </c>
      <c r="D4408" s="1" t="s">
        <v>16</v>
      </c>
      <c r="E4408" s="1" t="s">
        <v>13003</v>
      </c>
      <c r="F4408" s="1" t="str">
        <f>IFERROR(__xludf.DUMMYFUNCTION("GOOGLETRANSLATE(A4408, ""zh-CN"", ""ko"")"),"무기")</f>
        <v>무기</v>
      </c>
    </row>
    <row r="4409" ht="15.75" customHeight="1">
      <c r="A4409" s="1" t="s">
        <v>13004</v>
      </c>
      <c r="B4409" s="1">
        <v>6.0</v>
      </c>
      <c r="C4409" s="1" t="s">
        <v>13005</v>
      </c>
      <c r="D4409" s="1" t="s">
        <v>8</v>
      </c>
      <c r="E4409" s="1" t="s">
        <v>13006</v>
      </c>
      <c r="F4409" s="1" t="str">
        <f>IFERROR(__xludf.DUMMYFUNCTION("GOOGLETRANSLATE(A4409, ""zh-CN"", ""ko"")"),"모욕")</f>
        <v>모욕</v>
      </c>
    </row>
    <row r="4410" ht="15.75" customHeight="1">
      <c r="A4410" s="1" t="s">
        <v>13007</v>
      </c>
      <c r="B4410" s="1">
        <v>6.0</v>
      </c>
      <c r="C4410" s="1" t="s">
        <v>13008</v>
      </c>
      <c r="D4410" s="1" t="s">
        <v>16</v>
      </c>
      <c r="E4410" s="1" t="s">
        <v>13009</v>
      </c>
      <c r="F4410" s="1" t="str">
        <f>IFERROR(__xludf.DUMMYFUNCTION("GOOGLETRANSLATE(A4410, ""zh-CN"", ""ko"")"),"우시아")</f>
        <v>우시아</v>
      </c>
    </row>
    <row r="4411" ht="15.75" customHeight="1">
      <c r="A4411" s="1" t="s">
        <v>13010</v>
      </c>
      <c r="B4411" s="1">
        <v>6.0</v>
      </c>
      <c r="C4411" s="1" t="s">
        <v>13011</v>
      </c>
      <c r="D4411" s="1" t="s">
        <v>8</v>
      </c>
      <c r="E4411" s="1" t="s">
        <v>13012</v>
      </c>
      <c r="F4411" s="1" t="str">
        <f>IFERROR(__xludf.DUMMYFUNCTION("GOOGLETRANSLATE(A4411, ""zh-CN"", ""ko"")"),"무장")</f>
        <v>무장</v>
      </c>
    </row>
    <row r="4412" ht="15.75" customHeight="1">
      <c r="A4412" s="1" t="s">
        <v>13013</v>
      </c>
      <c r="B4412" s="1">
        <v>6.0</v>
      </c>
      <c r="C4412" s="1" t="s">
        <v>13014</v>
      </c>
      <c r="D4412" s="1" t="s">
        <v>33</v>
      </c>
      <c r="E4412" s="1" t="s">
        <v>13015</v>
      </c>
      <c r="F4412" s="1" t="str">
        <f>IFERROR(__xludf.DUMMYFUNCTION("GOOGLETRANSLATE(A4412, ""zh-CN"", ""ko"")"),"확실히")</f>
        <v>확실히</v>
      </c>
    </row>
    <row r="4413" ht="15.75" customHeight="1">
      <c r="A4413" s="1" t="s">
        <v>13016</v>
      </c>
      <c r="B4413" s="1">
        <v>6.0</v>
      </c>
      <c r="C4413" s="1" t="s">
        <v>13017</v>
      </c>
      <c r="D4413" s="1" t="s">
        <v>16</v>
      </c>
      <c r="E4413" s="1" t="s">
        <v>13018</v>
      </c>
      <c r="F4413" s="1" t="str">
        <f>IFERROR(__xludf.DUMMYFUNCTION("GOOGLETRANSLATE(A4413, ""zh-CN"", ""ko"")"),"오류")</f>
        <v>오류</v>
      </c>
    </row>
    <row r="4414" ht="15.75" customHeight="1">
      <c r="A4414" s="1" t="s">
        <v>13019</v>
      </c>
      <c r="B4414" s="1">
        <v>6.0</v>
      </c>
      <c r="C4414" s="1" t="s">
        <v>13020</v>
      </c>
      <c r="D4414" s="1" t="s">
        <v>875</v>
      </c>
      <c r="E4414" s="1" t="s">
        <v>13021</v>
      </c>
      <c r="F4414" s="1" t="str">
        <f>IFERROR(__xludf.DUMMYFUNCTION("GOOGLETRANSLATE(A4414, ""zh-CN"", ""ko"")"),"오해")</f>
        <v>오해</v>
      </c>
    </row>
    <row r="4415" ht="15.75" customHeight="1">
      <c r="A4415" s="1" t="s">
        <v>13022</v>
      </c>
      <c r="B4415" s="1">
        <v>6.0</v>
      </c>
      <c r="C4415" s="1" t="s">
        <v>13023</v>
      </c>
      <c r="E4415" s="1" t="s">
        <v>13024</v>
      </c>
      <c r="F4415" s="1" t="str">
        <f>IFERROR(__xludf.DUMMYFUNCTION("GOOGLETRANSLATE(A4415, ""zh-CN"", ""ko"")"),"품질 좋고 가격도 저렴합니다")</f>
        <v>품질 좋고 가격도 저렴합니다</v>
      </c>
    </row>
    <row r="4416" ht="15.75" customHeight="1">
      <c r="A4416" s="1" t="s">
        <v>13025</v>
      </c>
      <c r="B4416" s="1">
        <v>6.0</v>
      </c>
      <c r="C4416" s="1" t="s">
        <v>13026</v>
      </c>
      <c r="D4416" s="1" t="s">
        <v>16</v>
      </c>
      <c r="E4416" s="1" t="s">
        <v>13027</v>
      </c>
      <c r="F4416" s="1" t="str">
        <f>IFERROR(__xludf.DUMMYFUNCTION("GOOGLETRANSLATE(A4416, ""zh-CN"", ""ko"")"),"재산")</f>
        <v>재산</v>
      </c>
    </row>
    <row r="4417" ht="15.75" customHeight="1">
      <c r="A4417" s="1" t="s">
        <v>13028</v>
      </c>
      <c r="B4417" s="1">
        <v>6.0</v>
      </c>
      <c r="C4417" s="1" t="s">
        <v>13029</v>
      </c>
      <c r="D4417" s="1" t="s">
        <v>16</v>
      </c>
      <c r="E4417" s="1" t="s">
        <v>13030</v>
      </c>
      <c r="F4417" s="1" t="str">
        <f>IFERROR(__xludf.DUMMYFUNCTION("GOOGLETRANSLATE(A4417, ""zh-CN"", ""ko"")"),"용품")</f>
        <v>용품</v>
      </c>
    </row>
    <row r="4418" ht="15.75" customHeight="1">
      <c r="A4418" s="1" t="s">
        <v>13031</v>
      </c>
      <c r="B4418" s="1">
        <v>6.0</v>
      </c>
      <c r="C4418" s="1" t="s">
        <v>1596</v>
      </c>
      <c r="D4418" s="1" t="s">
        <v>16</v>
      </c>
      <c r="E4418" s="1" t="s">
        <v>13032</v>
      </c>
      <c r="F4418" s="1" t="str">
        <f>IFERROR(__xludf.DUMMYFUNCTION("GOOGLETRANSLATE(A4418, ""zh-CN"", ""ko"")"),"개울")</f>
        <v>개울</v>
      </c>
    </row>
    <row r="4419" ht="15.75" customHeight="1">
      <c r="A4419" s="1" t="s">
        <v>13033</v>
      </c>
      <c r="B4419" s="1">
        <v>6.0</v>
      </c>
      <c r="C4419" s="1" t="s">
        <v>13034</v>
      </c>
      <c r="D4419" s="1" t="s">
        <v>16</v>
      </c>
      <c r="E4419" s="1" t="s">
        <v>13035</v>
      </c>
      <c r="F4419" s="1" t="str">
        <f>IFERROR(__xludf.DUMMYFUNCTION("GOOGLETRANSLATE(A4419, ""zh-CN"", ""ko"")"),"무릎")</f>
        <v>무릎</v>
      </c>
    </row>
    <row r="4420" ht="15.75" customHeight="1">
      <c r="A4420" s="1" t="s">
        <v>13036</v>
      </c>
      <c r="B4420" s="1">
        <v>6.0</v>
      </c>
      <c r="C4420" s="1" t="s">
        <v>13037</v>
      </c>
      <c r="D4420" s="1" t="s">
        <v>8</v>
      </c>
      <c r="E4420" s="1" t="s">
        <v>13038</v>
      </c>
      <c r="F4420" s="1" t="str">
        <f>IFERROR(__xludf.DUMMYFUNCTION("GOOGLETRANSLATE(A4420, ""zh-CN"", ""ko"")"),"끄다")</f>
        <v>끄다</v>
      </c>
    </row>
    <row r="4421" ht="15.75" customHeight="1">
      <c r="A4421" s="1" t="s">
        <v>13039</v>
      </c>
      <c r="B4421" s="1">
        <v>6.0</v>
      </c>
      <c r="C4421" s="1" t="s">
        <v>13040</v>
      </c>
      <c r="D4421" s="1" t="s">
        <v>16</v>
      </c>
      <c r="E4421" s="1" t="s">
        <v>13041</v>
      </c>
      <c r="F4421" s="1" t="str">
        <f>IFERROR(__xludf.DUMMYFUNCTION("GOOGLETRANSLATE(A4421, ""zh-CN"", ""ko"")"),"과거에")</f>
        <v>과거에</v>
      </c>
    </row>
    <row r="4422" ht="15.75" customHeight="1">
      <c r="A4422" s="1" t="s">
        <v>13042</v>
      </c>
      <c r="B4422" s="1">
        <v>6.0</v>
      </c>
      <c r="C4422" s="1" t="s">
        <v>13043</v>
      </c>
      <c r="D4422" s="1" t="s">
        <v>8</v>
      </c>
      <c r="E4422" s="1" t="s">
        <v>13044</v>
      </c>
      <c r="F4422" s="1" t="str">
        <f>IFERROR(__xludf.DUMMYFUNCTION("GOOGLETRANSLATE(A4422, ""zh-CN"", ""ko"")"),"희생")</f>
        <v>희생</v>
      </c>
    </row>
    <row r="4423" ht="15.75" customHeight="1">
      <c r="A4423" s="1" t="s">
        <v>13045</v>
      </c>
      <c r="B4423" s="1">
        <v>6.0</v>
      </c>
      <c r="C4423" s="1" t="s">
        <v>13046</v>
      </c>
      <c r="D4423" s="1" t="s">
        <v>16</v>
      </c>
      <c r="E4423" s="1" t="s">
        <v>13047</v>
      </c>
      <c r="F4423" s="1" t="str">
        <f>IFERROR(__xludf.DUMMYFUNCTION("GOOGLETRANSLATE(A4423, ""zh-CN"", ""ko"")"),"일몰")</f>
        <v>일몰</v>
      </c>
    </row>
    <row r="4424" ht="15.75" customHeight="1">
      <c r="A4424" s="1" t="s">
        <v>13048</v>
      </c>
      <c r="B4424" s="1">
        <v>6.0</v>
      </c>
      <c r="C4424" s="1" t="s">
        <v>13049</v>
      </c>
      <c r="D4424" s="1" t="s">
        <v>16</v>
      </c>
      <c r="E4424" s="1" t="s">
        <v>13050</v>
      </c>
      <c r="F4424" s="1" t="str">
        <f>IFERROR(__xludf.DUMMYFUNCTION("GOOGLETRANSLATE(A4424, ""zh-CN"", ""ko"")"),"며느리")</f>
        <v>며느리</v>
      </c>
    </row>
    <row r="4425" ht="15.75" customHeight="1">
      <c r="A4425" s="1" t="s">
        <v>13051</v>
      </c>
      <c r="B4425" s="1">
        <v>6.0</v>
      </c>
      <c r="C4425" s="1" t="s">
        <v>13052</v>
      </c>
      <c r="D4425" s="1" t="s">
        <v>8</v>
      </c>
      <c r="E4425" s="1" t="s">
        <v>13053</v>
      </c>
      <c r="F4425" s="1" t="str">
        <f>IFERROR(__xludf.DUMMYFUNCTION("GOOGLETRANSLATE(A4425, ""zh-CN"", ""ko"")"),"공격")</f>
        <v>공격</v>
      </c>
    </row>
    <row r="4426" ht="15.75" customHeight="1">
      <c r="A4426" s="1" t="s">
        <v>13054</v>
      </c>
      <c r="B4426" s="1">
        <v>6.0</v>
      </c>
      <c r="C4426" s="1" t="s">
        <v>13055</v>
      </c>
      <c r="D4426" s="1" t="s">
        <v>16</v>
      </c>
      <c r="E4426" s="1" t="s">
        <v>13056</v>
      </c>
      <c r="F4426" s="1" t="str">
        <f>IFERROR(__xludf.DUMMYFUNCTION("GOOGLETRANSLATE(A4426, ""zh-CN"", ""ko"")"),"관습")</f>
        <v>관습</v>
      </c>
    </row>
    <row r="4427" ht="15.75" customHeight="1">
      <c r="A4427" s="1" t="s">
        <v>13057</v>
      </c>
      <c r="B4427" s="1">
        <v>6.0</v>
      </c>
      <c r="C4427" s="1" t="s">
        <v>13058</v>
      </c>
      <c r="E4427" s="1" t="s">
        <v>13059</v>
      </c>
      <c r="F4427" s="1" t="str">
        <f>IFERROR(__xludf.DUMMYFUNCTION("GOOGLETRANSLATE(A4427, ""zh-CN"", ""ko"")"),"환영합니다")</f>
        <v>환영합니다</v>
      </c>
    </row>
    <row r="4428" ht="15.75" customHeight="1">
      <c r="A4428" s="1" t="s">
        <v>13060</v>
      </c>
      <c r="B4428" s="1">
        <v>6.0</v>
      </c>
      <c r="C4428" s="1" t="s">
        <v>13061</v>
      </c>
      <c r="D4428" s="1" t="s">
        <v>16</v>
      </c>
      <c r="E4428" s="1" t="s">
        <v>13062</v>
      </c>
      <c r="F4428" s="1" t="str">
        <f>IFERROR(__xludf.DUMMYFUNCTION("GOOGLETRANSLATE(A4428, ""zh-CN"", ""ko"")"),"기쁨")</f>
        <v>기쁨</v>
      </c>
    </row>
    <row r="4429" ht="15.75" customHeight="1">
      <c r="A4429" s="1" t="s">
        <v>13063</v>
      </c>
      <c r="B4429" s="1">
        <v>6.0</v>
      </c>
      <c r="C4429" s="1" t="s">
        <v>13064</v>
      </c>
      <c r="D4429" s="1" t="s">
        <v>16</v>
      </c>
      <c r="E4429" s="1" t="s">
        <v>13065</v>
      </c>
      <c r="F4429" s="1" t="str">
        <f>IFERROR(__xludf.DUMMYFUNCTION("GOOGLETRANSLATE(A4429, ""zh-CN"", ""ko"")"),"셀")</f>
        <v>셀</v>
      </c>
    </row>
    <row r="4430" ht="15.75" customHeight="1">
      <c r="A4430" s="1" t="s">
        <v>13066</v>
      </c>
      <c r="B4430" s="1">
        <v>6.0</v>
      </c>
      <c r="C4430" s="1" t="s">
        <v>13067</v>
      </c>
      <c r="D4430" s="1" t="s">
        <v>16</v>
      </c>
      <c r="E4430" s="1" t="s">
        <v>13068</v>
      </c>
      <c r="F4430" s="1" t="str">
        <f>IFERROR(__xludf.DUMMYFUNCTION("GOOGLETRANSLATE(A4430, ""zh-CN"", ""ko"")"),"박테리아")</f>
        <v>박테리아</v>
      </c>
    </row>
    <row r="4431" ht="15.75" customHeight="1">
      <c r="A4431" s="1" t="s">
        <v>13069</v>
      </c>
      <c r="B4431" s="1">
        <v>6.0</v>
      </c>
      <c r="C4431" s="1" t="s">
        <v>13070</v>
      </c>
      <c r="D4431" s="1" t="s">
        <v>16</v>
      </c>
      <c r="E4431" s="1" t="s">
        <v>13071</v>
      </c>
      <c r="F4431" s="1" t="str">
        <f>IFERROR(__xludf.DUMMYFUNCTION("GOOGLETRANSLATE(A4431, ""zh-CN"", ""ko"")"),"시리즈")</f>
        <v>시리즈</v>
      </c>
    </row>
    <row r="4432" ht="15.75" customHeight="1">
      <c r="A4432" s="1" t="s">
        <v>13072</v>
      </c>
      <c r="B4432" s="1">
        <v>6.0</v>
      </c>
      <c r="C4432" s="1" t="s">
        <v>13073</v>
      </c>
      <c r="D4432" s="1" t="s">
        <v>52</v>
      </c>
      <c r="E4432" s="1" t="s">
        <v>13074</v>
      </c>
      <c r="F4432" s="1" t="str">
        <f>IFERROR(__xludf.DUMMYFUNCTION("GOOGLETRANSLATE(A4432, ""zh-CN"", ""ko"")"),"꼼꼼한")</f>
        <v>꼼꼼한</v>
      </c>
    </row>
    <row r="4433" ht="15.75" customHeight="1">
      <c r="A4433" s="1" t="s">
        <v>13075</v>
      </c>
      <c r="B4433" s="1">
        <v>6.0</v>
      </c>
      <c r="C4433" s="1" t="s">
        <v>13076</v>
      </c>
      <c r="D4433" s="1" t="s">
        <v>16</v>
      </c>
      <c r="E4433" s="1" t="s">
        <v>13077</v>
      </c>
      <c r="F4433" s="1" t="str">
        <f>IFERROR(__xludf.DUMMYFUNCTION("GOOGLETRANSLATE(A4433, ""zh-CN"", ""ko"")"),"샤")</f>
        <v>샤</v>
      </c>
    </row>
    <row r="4434" ht="15.75" customHeight="1">
      <c r="A4434" s="1" t="s">
        <v>13078</v>
      </c>
      <c r="B4434" s="1">
        <v>6.0</v>
      </c>
      <c r="C4434" s="1" t="s">
        <v>13079</v>
      </c>
      <c r="D4434" s="1" t="s">
        <v>52</v>
      </c>
      <c r="E4434" s="1" t="s">
        <v>13080</v>
      </c>
      <c r="F4434" s="1" t="str">
        <f>IFERROR(__xludf.DUMMYFUNCTION("GOOGLETRANSLATE(A4434, ""zh-CN"", ""ko"")"),"좁은")</f>
        <v>좁은</v>
      </c>
    </row>
    <row r="4435" ht="15.75" customHeight="1">
      <c r="A4435" s="1" t="s">
        <v>13081</v>
      </c>
      <c r="B4435" s="1">
        <v>6.0</v>
      </c>
      <c r="C4435" s="1" t="s">
        <v>13082</v>
      </c>
      <c r="D4435" s="1" t="s">
        <v>16</v>
      </c>
      <c r="E4435" s="1" t="s">
        <v>13083</v>
      </c>
      <c r="F4435" s="1" t="str">
        <f>IFERROR(__xludf.DUMMYFUNCTION("GOOGLETRANSLATE(A4435, ""zh-CN"", ""ko"")"),"깊은 협곡")</f>
        <v>깊은 협곡</v>
      </c>
    </row>
    <row r="4436" ht="15.75" customHeight="1">
      <c r="A4436" s="1" t="s">
        <v>13084</v>
      </c>
      <c r="B4436" s="1">
        <v>6.0</v>
      </c>
      <c r="C4436" s="1" t="s">
        <v>13085</v>
      </c>
      <c r="D4436" s="1" t="s">
        <v>52</v>
      </c>
      <c r="E4436" s="1" t="s">
        <v>13086</v>
      </c>
      <c r="F4436" s="1" t="str">
        <f>IFERROR(__xludf.DUMMYFUNCTION("GOOGLETRANSLATE(A4436, ""zh-CN"", ""ko"")"),"좁은")</f>
        <v>좁은</v>
      </c>
    </row>
    <row r="4437" ht="15.75" customHeight="1">
      <c r="A4437" s="1" t="s">
        <v>13087</v>
      </c>
      <c r="B4437" s="1">
        <v>6.0</v>
      </c>
      <c r="C4437" s="1" t="s">
        <v>13088</v>
      </c>
      <c r="D4437" s="1" t="s">
        <v>16</v>
      </c>
      <c r="E4437" s="1" t="s">
        <v>13089</v>
      </c>
      <c r="F4437" s="1" t="str">
        <f>IFERROR(__xludf.DUMMYFUNCTION("GOOGLETRANSLATE(A4437, ""zh-CN"", ""ko"")"),"부하")</f>
        <v>부하</v>
      </c>
    </row>
    <row r="4438" ht="15.75" customHeight="1">
      <c r="A4438" s="1" t="s">
        <v>13090</v>
      </c>
      <c r="B4438" s="1">
        <v>6.0</v>
      </c>
      <c r="C4438" s="1" t="s">
        <v>13091</v>
      </c>
      <c r="D4438" s="1" t="s">
        <v>52</v>
      </c>
      <c r="E4438" s="1" t="s">
        <v>13092</v>
      </c>
      <c r="F4438" s="1" t="str">
        <f>IFERROR(__xludf.DUMMYFUNCTION("GOOGLETRANSLATE(A4438, ""zh-CN"", ""ko"")"),"고급의")</f>
        <v>고급의</v>
      </c>
    </row>
    <row r="4439" ht="15.75" customHeight="1">
      <c r="A4439" s="1" t="s">
        <v>13093</v>
      </c>
      <c r="B4439" s="1">
        <v>6.0</v>
      </c>
      <c r="C4439" s="1" t="s">
        <v>13094</v>
      </c>
      <c r="D4439" s="1" t="s">
        <v>52</v>
      </c>
      <c r="E4439" s="1" t="s">
        <v>13095</v>
      </c>
      <c r="F4439" s="1" t="str">
        <f>IFERROR(__xludf.DUMMYFUNCTION("GOOGLETRANSLATE(A4439, ""zh-CN"", ""ko"")"),"생생한")</f>
        <v>생생한</v>
      </c>
    </row>
    <row r="4440" ht="15.75" customHeight="1">
      <c r="A4440" s="1" t="s">
        <v>13096</v>
      </c>
      <c r="B4440" s="1">
        <v>6.0</v>
      </c>
      <c r="C4440" s="1" t="s">
        <v>13097</v>
      </c>
      <c r="D4440" s="1" t="s">
        <v>8</v>
      </c>
      <c r="E4440" s="1" t="s">
        <v>13098</v>
      </c>
      <c r="F4440" s="1" t="str">
        <f>IFERROR(__xludf.DUMMYFUNCTION("GOOGLETRANSLATE(A4440, ""zh-CN"", ""ko"")"),"출발하다")</f>
        <v>출발하다</v>
      </c>
    </row>
    <row r="4441" ht="15.75" customHeight="1">
      <c r="A4441" s="1" t="s">
        <v>13099</v>
      </c>
      <c r="B4441" s="1">
        <v>6.0</v>
      </c>
      <c r="C4441" s="1" t="s">
        <v>13100</v>
      </c>
      <c r="D4441" s="1" t="s">
        <v>16</v>
      </c>
      <c r="E4441" s="1" t="s">
        <v>13101</v>
      </c>
      <c r="F4441" s="1" t="str">
        <f>IFERROR(__xludf.DUMMYFUNCTION("GOOGLETRANSLATE(A4441, ""zh-CN"", ""ko"")"),"이전에")</f>
        <v>이전에</v>
      </c>
    </row>
    <row r="4442" ht="15.75" customHeight="1">
      <c r="A4442" s="1" t="s">
        <v>13102</v>
      </c>
      <c r="B4442" s="1">
        <v>6.0</v>
      </c>
      <c r="C4442" s="1" t="s">
        <v>13103</v>
      </c>
      <c r="D4442" s="1" t="s">
        <v>16</v>
      </c>
      <c r="E4442" s="1" t="s">
        <v>13104</v>
      </c>
      <c r="F4442" s="1" t="str">
        <f>IFERROR(__xludf.DUMMYFUNCTION("GOOGLETRANSLATE(A4442, ""zh-CN"", ""ko"")"),"섬유")</f>
        <v>섬유</v>
      </c>
    </row>
    <row r="4443" ht="15.75" customHeight="1">
      <c r="A4443" s="1" t="s">
        <v>13105</v>
      </c>
      <c r="B4443" s="1">
        <v>6.0</v>
      </c>
      <c r="C4443" s="1" t="s">
        <v>3132</v>
      </c>
      <c r="D4443" s="1" t="s">
        <v>16</v>
      </c>
      <c r="E4443" s="1" t="s">
        <v>13106</v>
      </c>
      <c r="F4443" s="1" t="str">
        <f>IFERROR(__xludf.DUMMYFUNCTION("GOOGLETRANSLATE(A4443, ""zh-CN"", ""ko"")"),"끈")</f>
        <v>끈</v>
      </c>
    </row>
    <row r="4444" ht="15.75" customHeight="1">
      <c r="A4444" s="1" t="s">
        <v>13107</v>
      </c>
      <c r="B4444" s="1">
        <v>6.0</v>
      </c>
      <c r="C4444" s="1" t="s">
        <v>3132</v>
      </c>
      <c r="D4444" s="1" t="s">
        <v>8</v>
      </c>
      <c r="E4444" s="1" t="s">
        <v>13108</v>
      </c>
      <c r="F4444" s="1" t="str">
        <f>IFERROR(__xludf.DUMMYFUNCTION("GOOGLETRANSLATE(A4444, ""zh-CN"", ""ko"")"),"싫어함")</f>
        <v>싫어함</v>
      </c>
    </row>
    <row r="4445" ht="15.75" customHeight="1">
      <c r="A4445" s="1" t="s">
        <v>13109</v>
      </c>
      <c r="B4445" s="1">
        <v>6.0</v>
      </c>
      <c r="C4445" s="1" t="s">
        <v>13110</v>
      </c>
      <c r="D4445" s="1" t="s">
        <v>16</v>
      </c>
      <c r="E4445" s="1" t="s">
        <v>13111</v>
      </c>
      <c r="F4445" s="1" t="str">
        <f>IFERROR(__xludf.DUMMYFUNCTION("GOOGLETRANSLATE(A4445, ""zh-CN"", ""ko"")"),"잡담")</f>
        <v>잡담</v>
      </c>
    </row>
    <row r="4446" ht="15.75" customHeight="1">
      <c r="A4446" s="1" t="s">
        <v>13112</v>
      </c>
      <c r="B4446" s="1">
        <v>6.0</v>
      </c>
      <c r="C4446" s="1" t="s">
        <v>13113</v>
      </c>
      <c r="D4446" s="1" t="s">
        <v>52</v>
      </c>
      <c r="E4446" s="1" t="s">
        <v>13114</v>
      </c>
      <c r="F4446" s="1" t="str">
        <f>IFERROR(__xludf.DUMMYFUNCTION("GOOGLETRANSLATE(A4446, ""zh-CN"", ""ko"")"),"덕 있는")</f>
        <v>덕 있는</v>
      </c>
    </row>
    <row r="4447" ht="15.75" customHeight="1">
      <c r="A4447" s="1" t="s">
        <v>13115</v>
      </c>
      <c r="B4447" s="1">
        <v>6.0</v>
      </c>
      <c r="C4447" s="1" t="s">
        <v>13116</v>
      </c>
      <c r="D4447" s="1" t="s">
        <v>8</v>
      </c>
      <c r="E4447" s="1" t="s">
        <v>13117</v>
      </c>
      <c r="F4447" s="1" t="str">
        <f>IFERROR(__xludf.DUMMYFUNCTION("GOOGLETRANSLATE(A4447, ""zh-CN"", ""ko"")"),"연결")</f>
        <v>연결</v>
      </c>
    </row>
    <row r="4448" ht="15.75" customHeight="1">
      <c r="A4448" s="1" t="s">
        <v>13118</v>
      </c>
      <c r="B4448" s="1">
        <v>6.0</v>
      </c>
      <c r="C4448" s="1" t="s">
        <v>13119</v>
      </c>
      <c r="D4448" s="1" t="s">
        <v>16</v>
      </c>
      <c r="E4448" s="1" t="s">
        <v>13120</v>
      </c>
      <c r="F4448" s="1" t="str">
        <f>IFERROR(__xludf.DUMMYFUNCTION("GOOGLETRANSLATE(A4448, ""zh-CN"", ""ko"")"),"의심하다")</f>
        <v>의심하다</v>
      </c>
    </row>
    <row r="4449" ht="15.75" customHeight="1">
      <c r="A4449" s="1" t="s">
        <v>13121</v>
      </c>
      <c r="B4449" s="1">
        <v>6.0</v>
      </c>
      <c r="C4449" s="1" t="s">
        <v>13122</v>
      </c>
      <c r="D4449" s="1" t="s">
        <v>52</v>
      </c>
      <c r="E4449" s="1" t="s">
        <v>13123</v>
      </c>
      <c r="F4449" s="1" t="str">
        <f>IFERROR(__xludf.DUMMYFUNCTION("GOOGLETRANSLATE(A4449, ""zh-CN"", ""ko"")"),"중요한")</f>
        <v>중요한</v>
      </c>
    </row>
    <row r="4450" ht="15.75" customHeight="1">
      <c r="A4450" s="1" t="s">
        <v>13124</v>
      </c>
      <c r="B4450" s="1">
        <v>6.0</v>
      </c>
      <c r="C4450" s="1" t="s">
        <v>13125</v>
      </c>
      <c r="D4450" s="1" t="s">
        <v>16</v>
      </c>
      <c r="E4450" s="1" t="s">
        <v>13126</v>
      </c>
      <c r="F4450" s="1" t="str">
        <f>IFERROR(__xludf.DUMMYFUNCTION("GOOGLETRANSLATE(A4450, ""zh-CN"", ""ko"")"),"현장")</f>
        <v>현장</v>
      </c>
    </row>
    <row r="4451" ht="15.75" customHeight="1">
      <c r="A4451" s="1" t="s">
        <v>13127</v>
      </c>
      <c r="B4451" s="1">
        <v>6.0</v>
      </c>
      <c r="C4451" s="1" t="s">
        <v>13128</v>
      </c>
      <c r="D4451" s="1" t="s">
        <v>52</v>
      </c>
      <c r="E4451" s="1" t="s">
        <v>13129</v>
      </c>
      <c r="F4451" s="1" t="str">
        <f>IFERROR(__xludf.DUMMYFUNCTION("GOOGLETRANSLATE(A4451, ""zh-CN"", ""ko"")"),"준비가 된")</f>
        <v>준비가 된</v>
      </c>
    </row>
    <row r="4452" ht="15.75" customHeight="1">
      <c r="A4452" s="1" t="s">
        <v>13130</v>
      </c>
      <c r="B4452" s="1">
        <v>6.0</v>
      </c>
      <c r="C4452" s="1" t="s">
        <v>13131</v>
      </c>
      <c r="D4452" s="1" t="s">
        <v>16</v>
      </c>
      <c r="E4452" s="1" t="s">
        <v>13132</v>
      </c>
      <c r="F4452" s="1" t="str">
        <f>IFERROR(__xludf.DUMMYFUNCTION("GOOGLETRANSLATE(A4452, ""zh-CN"", ""ko"")"),"소")</f>
        <v>소</v>
      </c>
    </row>
    <row r="4453" ht="15.75" customHeight="1">
      <c r="A4453" s="1" t="s">
        <v>13133</v>
      </c>
      <c r="B4453" s="1">
        <v>6.0</v>
      </c>
      <c r="C4453" s="1" t="s">
        <v>13134</v>
      </c>
      <c r="D4453" s="1" t="s">
        <v>16</v>
      </c>
      <c r="E4453" s="1" t="s">
        <v>13135</v>
      </c>
      <c r="F4453" s="1" t="str">
        <f>IFERROR(__xludf.DUMMYFUNCTION("GOOGLETRANSLATE(A4453, ""zh-CN"", ""ko"")"),"헌법")</f>
        <v>헌법</v>
      </c>
    </row>
    <row r="4454" ht="15.75" customHeight="1">
      <c r="A4454" s="1" t="s">
        <v>13136</v>
      </c>
      <c r="B4454" s="1">
        <v>6.0</v>
      </c>
      <c r="C4454" s="1" t="s">
        <v>13137</v>
      </c>
      <c r="D4454" s="1" t="s">
        <v>8</v>
      </c>
      <c r="E4454" s="1" t="s">
        <v>13138</v>
      </c>
      <c r="F4454" s="1" t="str">
        <f>IFERROR(__xludf.DUMMYFUNCTION("GOOGLETRANSLATE(A4454, ""zh-CN"", ""ko"")"),"프레임")</f>
        <v>프레임</v>
      </c>
    </row>
    <row r="4455" ht="15.75" customHeight="1">
      <c r="A4455" s="1" t="s">
        <v>13139</v>
      </c>
      <c r="B4455" s="1">
        <v>6.0</v>
      </c>
      <c r="C4455" s="1" t="s">
        <v>13140</v>
      </c>
      <c r="D4455" s="1" t="s">
        <v>16</v>
      </c>
      <c r="E4455" s="1" t="s">
        <v>13141</v>
      </c>
      <c r="F4455" s="1" t="str">
        <f>IFERROR(__xludf.DUMMYFUNCTION("GOOGLETRANSLATE(A4455, ""zh-CN"", ""ko"")"),"덫")</f>
        <v>덫</v>
      </c>
    </row>
    <row r="4456" ht="15.75" customHeight="1">
      <c r="A4456" s="1" t="s">
        <v>13142</v>
      </c>
      <c r="B4456" s="1">
        <v>6.0</v>
      </c>
      <c r="C4456" s="1" t="s">
        <v>13143</v>
      </c>
      <c r="D4456" s="1" t="s">
        <v>8</v>
      </c>
      <c r="E4456" s="1" t="s">
        <v>13144</v>
      </c>
      <c r="F4456" s="1" t="str">
        <f>IFERROR(__xludf.DUMMYFUNCTION("GOOGLETRANSLATE(A4456, ""zh-CN"", ""ko"")"),"빠져들다")</f>
        <v>빠져들다</v>
      </c>
    </row>
    <row r="4457" ht="15.75" customHeight="1">
      <c r="A4457" s="1" t="s">
        <v>13145</v>
      </c>
      <c r="B4457" s="1">
        <v>6.0</v>
      </c>
      <c r="C4457" s="1" t="s">
        <v>13146</v>
      </c>
      <c r="D4457" s="1" t="s">
        <v>16</v>
      </c>
      <c r="E4457" s="1" t="s">
        <v>13147</v>
      </c>
      <c r="F4457" s="1" t="str">
        <f>IFERROR(__xludf.DUMMYFUNCTION("GOOGLETRANSLATE(A4457, ""zh-CN"", ""ko"")"),"단서")</f>
        <v>단서</v>
      </c>
    </row>
    <row r="4458" ht="15.75" customHeight="1">
      <c r="A4458" s="1" t="s">
        <v>13148</v>
      </c>
      <c r="B4458" s="1">
        <v>6.0</v>
      </c>
      <c r="C4458" s="1" t="s">
        <v>13149</v>
      </c>
      <c r="D4458" s="1" t="s">
        <v>16</v>
      </c>
      <c r="E4458" s="1" t="s">
        <v>13150</v>
      </c>
      <c r="F4458" s="1" t="str">
        <f>IFERROR(__xludf.DUMMYFUNCTION("GOOGLETRANSLATE(A4458, ""zh-CN"", ""ko"")"),"현상 유지")</f>
        <v>현상 유지</v>
      </c>
    </row>
    <row r="4459" ht="15.75" customHeight="1">
      <c r="A4459" s="1" t="s">
        <v>13151</v>
      </c>
      <c r="B4459" s="1">
        <v>6.0</v>
      </c>
      <c r="C4459" s="1" t="s">
        <v>13152</v>
      </c>
      <c r="D4459" s="1" t="s">
        <v>8</v>
      </c>
      <c r="E4459" s="1" t="s">
        <v>2803</v>
      </c>
      <c r="F4459" s="1" t="str">
        <f>IFERROR(__xludf.DUMMYFUNCTION("GOOGLETRANSLATE(A4459, ""zh-CN"", ""ko"")"),"차이점")</f>
        <v>차이점</v>
      </c>
    </row>
    <row r="4460" ht="15.75" customHeight="1">
      <c r="A4460" s="1" t="s">
        <v>13153</v>
      </c>
      <c r="B4460" s="1">
        <v>6.0</v>
      </c>
      <c r="C4460" s="1" t="s">
        <v>13154</v>
      </c>
      <c r="D4460" s="1" t="s">
        <v>8</v>
      </c>
      <c r="E4460" s="1" t="s">
        <v>13155</v>
      </c>
      <c r="F4460" s="1" t="str">
        <f>IFERROR(__xludf.DUMMYFUNCTION("GOOGLETRANSLATE(A4460, ""zh-CN"", ""ko"")"),"동일한")</f>
        <v>동일한</v>
      </c>
    </row>
    <row r="4461" ht="15.75" customHeight="1">
      <c r="A4461" s="1" t="s">
        <v>13156</v>
      </c>
      <c r="B4461" s="1">
        <v>6.0</v>
      </c>
      <c r="C4461" s="1" t="s">
        <v>13157</v>
      </c>
      <c r="E4461" s="1" t="s">
        <v>13158</v>
      </c>
      <c r="F4461" s="1" t="str">
        <f>IFERROR(__xludf.DUMMYFUNCTION("GOOGLETRANSLATE(A4461, ""zh-CN"", ""ko"")"),"서로를 보완합니다")</f>
        <v>서로를 보완합니다</v>
      </c>
    </row>
    <row r="4462" ht="15.75" customHeight="1">
      <c r="A4462" s="1" t="s">
        <v>13159</v>
      </c>
      <c r="B4462" s="1">
        <v>6.0</v>
      </c>
      <c r="C4462" s="1" t="s">
        <v>13160</v>
      </c>
      <c r="D4462" s="1" t="s">
        <v>8</v>
      </c>
      <c r="E4462" s="1" t="s">
        <v>13161</v>
      </c>
      <c r="F4462" s="1" t="str">
        <f>IFERROR(__xludf.DUMMYFUNCTION("GOOGLETRANSLATE(A4462, ""zh-CN"", ""ko"")"),"모자이크")</f>
        <v>모자이크</v>
      </c>
    </row>
    <row r="4463" ht="15.75" customHeight="1">
      <c r="A4463" s="1" t="s">
        <v>13162</v>
      </c>
      <c r="B4463" s="1">
        <v>6.0</v>
      </c>
      <c r="C4463" s="1" t="s">
        <v>13163</v>
      </c>
      <c r="D4463" s="1" t="s">
        <v>8</v>
      </c>
      <c r="E4463" s="1" t="s">
        <v>13164</v>
      </c>
      <c r="F4463" s="1" t="str">
        <f>IFERROR(__xludf.DUMMYFUNCTION("GOOGLETRANSLATE(A4463, ""zh-CN"", ""ko"")"),"동")</f>
        <v>동</v>
      </c>
    </row>
    <row r="4464" ht="15.75" customHeight="1">
      <c r="A4464" s="1" t="s">
        <v>13165</v>
      </c>
      <c r="B4464" s="1">
        <v>6.0</v>
      </c>
      <c r="C4464" s="1" t="s">
        <v>13166</v>
      </c>
      <c r="D4464" s="1" t="s">
        <v>16</v>
      </c>
      <c r="E4464" s="1" t="s">
        <v>13167</v>
      </c>
      <c r="F4464" s="1" t="str">
        <f>IFERROR(__xludf.DUMMYFUNCTION("GOOGLETRANSLATE(A4464, ""zh-CN"", ""ko"")"),"타운십")</f>
        <v>타운십</v>
      </c>
    </row>
    <row r="4465" ht="15.75" customHeight="1">
      <c r="A4465" s="1" t="s">
        <v>13168</v>
      </c>
      <c r="B4465" s="1">
        <v>6.0</v>
      </c>
      <c r="C4465" s="1" t="s">
        <v>13169</v>
      </c>
      <c r="E4465" s="1" t="s">
        <v>13170</v>
      </c>
      <c r="F4465" s="1" t="str">
        <f>IFERROR(__xludf.DUMMYFUNCTION("GOOGLETRANSLATE(A4465, ""zh-CN"", ""ko"")"),"모든 방법을 다 써보세요")</f>
        <v>모든 방법을 다 써보세요</v>
      </c>
    </row>
    <row r="4466" ht="15.75" customHeight="1">
      <c r="A4466" s="1" t="s">
        <v>13171</v>
      </c>
      <c r="B4466" s="1">
        <v>6.0</v>
      </c>
      <c r="C4466" s="1" t="s">
        <v>13172</v>
      </c>
      <c r="D4466" s="1" t="s">
        <v>52</v>
      </c>
      <c r="E4466" s="1" t="s">
        <v>13173</v>
      </c>
      <c r="F4466" s="1" t="str">
        <f>IFERROR(__xludf.DUMMYFUNCTION("GOOGLETRANSLATE(A4466, ""zh-CN"", ""ko"")"),"시끄러운")</f>
        <v>시끄러운</v>
      </c>
    </row>
    <row r="4467" ht="15.75" customHeight="1">
      <c r="A4467" s="1" t="s">
        <v>13174</v>
      </c>
      <c r="B4467" s="1">
        <v>6.0</v>
      </c>
      <c r="C4467" s="1" t="s">
        <v>13175</v>
      </c>
      <c r="D4467" s="1" t="s">
        <v>8</v>
      </c>
      <c r="E4467" s="1" t="s">
        <v>13176</v>
      </c>
      <c r="F4467" s="1" t="str">
        <f>IFERROR(__xludf.DUMMYFUNCTION("GOOGLETRANSLATE(A4467, ""zh-CN"", ""ko"")"),"응답")</f>
        <v>응답</v>
      </c>
    </row>
    <row r="4468" ht="15.75" customHeight="1">
      <c r="A4468" s="1" t="s">
        <v>13177</v>
      </c>
      <c r="B4468" s="1">
        <v>6.0</v>
      </c>
      <c r="C4468" s="1" t="s">
        <v>1619</v>
      </c>
      <c r="D4468" s="1" t="s">
        <v>16</v>
      </c>
      <c r="E4468" s="1" t="s">
        <v>13178</v>
      </c>
      <c r="F4468" s="1" t="str">
        <f>IFERROR(__xludf.DUMMYFUNCTION("GOOGLETRANSLATE(A4468, ""zh-CN"", ""ko"")"),"레인")</f>
        <v>레인</v>
      </c>
    </row>
    <row r="4469" ht="15.75" customHeight="1">
      <c r="A4469" s="1" t="s">
        <v>13179</v>
      </c>
      <c r="B4469" s="1">
        <v>6.0</v>
      </c>
      <c r="C4469" s="1" t="s">
        <v>13180</v>
      </c>
      <c r="D4469" s="1" t="s">
        <v>16</v>
      </c>
      <c r="E4469" s="1" t="s">
        <v>13181</v>
      </c>
      <c r="F4469" s="1" t="str">
        <f>IFERROR(__xludf.DUMMYFUNCTION("GOOGLETRANSLATE(A4469, ""zh-CN"", ""ko"")"),"가이드")</f>
        <v>가이드</v>
      </c>
    </row>
    <row r="4470" ht="15.75" customHeight="1">
      <c r="A4470" s="1" t="s">
        <v>13182</v>
      </c>
      <c r="B4470" s="1">
        <v>6.0</v>
      </c>
      <c r="C4470" s="1" t="s">
        <v>13183</v>
      </c>
      <c r="D4470" s="1" t="s">
        <v>33</v>
      </c>
      <c r="E4470" s="1" t="s">
        <v>13184</v>
      </c>
      <c r="F4470" s="1" t="str">
        <f>IFERROR(__xludf.DUMMYFUNCTION("GOOGLETRANSLATE(A4470, ""zh-CN"", ""ko"")"),"언제나")</f>
        <v>언제나</v>
      </c>
    </row>
    <row r="4471" ht="15.75" customHeight="1">
      <c r="A4471" s="1" t="s">
        <v>13185</v>
      </c>
      <c r="B4471" s="1">
        <v>6.0</v>
      </c>
      <c r="C4471" s="1" t="s">
        <v>13186</v>
      </c>
      <c r="D4471" s="1" t="s">
        <v>16</v>
      </c>
      <c r="E4471" s="1" t="s">
        <v>13187</v>
      </c>
      <c r="F4471" s="1" t="str">
        <f>IFERROR(__xludf.DUMMYFUNCTION("GOOGLETRANSLATE(A4471, ""zh-CN"", ""ko"")"),"크로스토크")</f>
        <v>크로스토크</v>
      </c>
    </row>
    <row r="4472" ht="15.75" customHeight="1">
      <c r="A4472" s="1" t="s">
        <v>13188</v>
      </c>
      <c r="B4472" s="1">
        <v>6.0</v>
      </c>
      <c r="C4472" s="1" t="s">
        <v>13189</v>
      </c>
      <c r="D4472" s="1" t="s">
        <v>8</v>
      </c>
      <c r="E4472" s="1" t="s">
        <v>13190</v>
      </c>
      <c r="F4472" s="1" t="str">
        <f>IFERROR(__xludf.DUMMYFUNCTION("GOOGLETRANSLATE(A4472, ""zh-CN"", ""ko"")"),"그리움")</f>
        <v>그리움</v>
      </c>
    </row>
    <row r="4473" ht="15.75" customHeight="1">
      <c r="A4473" s="1" t="s">
        <v>13191</v>
      </c>
      <c r="B4473" s="1">
        <v>6.0</v>
      </c>
      <c r="C4473" s="1" t="s">
        <v>13192</v>
      </c>
      <c r="D4473" s="1" t="s">
        <v>8</v>
      </c>
      <c r="E4473" s="1" t="s">
        <v>13193</v>
      </c>
      <c r="F4473" s="1" t="str">
        <f>IFERROR(__xludf.DUMMYFUNCTION("GOOGLETRANSLATE(A4473, ""zh-CN"", ""ko"")"),"자르다")</f>
        <v>자르다</v>
      </c>
    </row>
    <row r="4474" ht="15.75" customHeight="1">
      <c r="A4474" s="1" t="s">
        <v>13194</v>
      </c>
      <c r="B4474" s="1">
        <v>6.0</v>
      </c>
      <c r="C4474" s="1" t="s">
        <v>13195</v>
      </c>
      <c r="D4474" s="1" t="s">
        <v>8</v>
      </c>
      <c r="E4474" s="1" t="s">
        <v>13196</v>
      </c>
      <c r="F4474" s="1" t="str">
        <f>IFERROR(__xludf.DUMMYFUNCTION("GOOGLETRANSLATE(A4474, ""zh-CN"", ""ko"")"),"제거하다")</f>
        <v>제거하다</v>
      </c>
    </row>
    <row r="4475" ht="15.75" customHeight="1">
      <c r="A4475" s="1" t="s">
        <v>13197</v>
      </c>
      <c r="B4475" s="1">
        <v>6.0</v>
      </c>
      <c r="C4475" s="1" t="s">
        <v>13198</v>
      </c>
      <c r="D4475" s="1" t="s">
        <v>8</v>
      </c>
      <c r="E4475" s="1" t="s">
        <v>13199</v>
      </c>
      <c r="F4475" s="1" t="str">
        <f>IFERROR(__xludf.DUMMYFUNCTION("GOOGLETRANSLATE(A4475, ""zh-CN"", ""ko"")"),"소독제")</f>
        <v>소독제</v>
      </c>
    </row>
    <row r="4476" ht="15.75" customHeight="1">
      <c r="A4476" s="1" t="s">
        <v>13200</v>
      </c>
      <c r="B4476" s="1">
        <v>6.0</v>
      </c>
      <c r="C4476" s="1" t="s">
        <v>13201</v>
      </c>
      <c r="D4476" s="1" t="s">
        <v>8</v>
      </c>
      <c r="E4476" s="1" t="s">
        <v>13202</v>
      </c>
      <c r="F4476" s="1" t="str">
        <f>IFERROR(__xludf.DUMMYFUNCTION("GOOGLETRANSLATE(A4476, ""zh-CN"", ""ko"")"),"화재 방호")</f>
        <v>화재 방호</v>
      </c>
    </row>
    <row r="4477" ht="15.75" customHeight="1">
      <c r="A4477" s="1" t="s">
        <v>13203</v>
      </c>
      <c r="B4477" s="1">
        <v>6.0</v>
      </c>
      <c r="C4477" s="1" t="s">
        <v>13204</v>
      </c>
      <c r="D4477" s="1" t="s">
        <v>8</v>
      </c>
      <c r="E4477" s="1" t="s">
        <v>13205</v>
      </c>
      <c r="F4477" s="1" t="str">
        <f>IFERROR(__xludf.DUMMYFUNCTION("GOOGLETRANSLATE(A4477, ""zh-CN"", ""ko"")"),"소비")</f>
        <v>소비</v>
      </c>
    </row>
    <row r="4478" ht="15.75" customHeight="1">
      <c r="A4478" s="1" t="s">
        <v>13206</v>
      </c>
      <c r="B4478" s="1">
        <v>6.0</v>
      </c>
      <c r="C4478" s="1" t="s">
        <v>13207</v>
      </c>
      <c r="D4478" s="1" t="s">
        <v>8</v>
      </c>
      <c r="E4478" s="1" t="s">
        <v>13208</v>
      </c>
      <c r="F4478" s="1" t="str">
        <f>IFERROR(__xludf.DUMMYFUNCTION("GOOGLETRANSLATE(A4478, ""zh-CN"", ""ko"")"),"파괴하다")</f>
        <v>파괴하다</v>
      </c>
    </row>
    <row r="4479" ht="15.75" customHeight="1">
      <c r="A4479" s="1" t="s">
        <v>13209</v>
      </c>
      <c r="B4479" s="1">
        <v>6.0</v>
      </c>
      <c r="C4479" s="1" t="s">
        <v>13210</v>
      </c>
      <c r="D4479" s="1" t="s">
        <v>8</v>
      </c>
      <c r="E4479" s="1" t="s">
        <v>13211</v>
      </c>
      <c r="F4479" s="1" t="str">
        <f>IFERROR(__xludf.DUMMYFUNCTION("GOOGLETRANSLATE(A4479, ""zh-CN"", ""ko"")"),"전멸시키다")</f>
        <v>전멸시키다</v>
      </c>
    </row>
    <row r="4480" ht="15.75" customHeight="1">
      <c r="A4480" s="1" t="s">
        <v>13212</v>
      </c>
      <c r="B4480" s="1">
        <v>6.0</v>
      </c>
      <c r="C4480" s="1" t="s">
        <v>13213</v>
      </c>
      <c r="D4480" s="1" t="s">
        <v>52</v>
      </c>
      <c r="E4480" s="1" t="s">
        <v>13214</v>
      </c>
      <c r="F4480" s="1" t="str">
        <f>IFERROR(__xludf.DUMMYFUNCTION("GOOGLETRANSLATE(A4480, ""zh-CN"", ""ko"")"),"위세 당당한")</f>
        <v>위세 당당한</v>
      </c>
    </row>
    <row r="4481" ht="15.75" customHeight="1">
      <c r="A4481" s="1" t="s">
        <v>13215</v>
      </c>
      <c r="B4481" s="1">
        <v>6.0</v>
      </c>
      <c r="C4481" s="1" t="s">
        <v>13216</v>
      </c>
      <c r="E4481" s="1" t="s">
        <v>13217</v>
      </c>
      <c r="F4481" s="1" t="str">
        <f>IFERROR(__xludf.DUMMYFUNCTION("GOOGLETRANSLATE(A4481, ""zh-CN"", ""ko"")"),"조심성 있게")</f>
        <v>조심성 있게</v>
      </c>
    </row>
    <row r="4482" ht="15.75" customHeight="1">
      <c r="A4482" s="1" t="s">
        <v>13218</v>
      </c>
      <c r="B4482" s="1">
        <v>6.0</v>
      </c>
      <c r="C4482" s="1" t="s">
        <v>13219</v>
      </c>
      <c r="D4482" s="1" t="s">
        <v>16</v>
      </c>
      <c r="E4482" s="1" t="s">
        <v>13220</v>
      </c>
      <c r="F4482" s="1" t="str">
        <f>IFERROR(__xludf.DUMMYFUNCTION("GOOGLETRANSLATE(A4482, ""zh-CN"", ""ko"")"),"초상화")</f>
        <v>초상화</v>
      </c>
    </row>
    <row r="4483" ht="15.75" customHeight="1">
      <c r="A4483" s="1" t="s">
        <v>13221</v>
      </c>
      <c r="B4483" s="1">
        <v>6.0</v>
      </c>
      <c r="C4483" s="1" t="s">
        <v>13222</v>
      </c>
      <c r="D4483" s="1" t="s">
        <v>16</v>
      </c>
      <c r="E4483" s="1" t="s">
        <v>13223</v>
      </c>
      <c r="F4483" s="1" t="str">
        <f>IFERROR(__xludf.DUMMYFUNCTION("GOOGLETRANSLATE(A4483, ""zh-CN"", ""ko"")"),"혜택")</f>
        <v>혜택</v>
      </c>
    </row>
    <row r="4484" ht="15.75" customHeight="1">
      <c r="A4484" s="1" t="s">
        <v>13224</v>
      </c>
      <c r="B4484" s="1">
        <v>6.0</v>
      </c>
      <c r="C4484" s="1" t="s">
        <v>13225</v>
      </c>
      <c r="D4484" s="1" t="s">
        <v>16</v>
      </c>
      <c r="E4484" s="1" t="s">
        <v>13226</v>
      </c>
      <c r="F4484" s="1" t="str">
        <f>IFERROR(__xludf.DUMMYFUNCTION("GOOGLETRANSLATE(A4484, ""zh-CN"", ""ko"")"),"효과")</f>
        <v>효과</v>
      </c>
    </row>
    <row r="4485" ht="15.75" customHeight="1">
      <c r="A4485" s="1" t="s">
        <v>13227</v>
      </c>
      <c r="B4485" s="1">
        <v>6.0</v>
      </c>
      <c r="C4485" s="1" t="s">
        <v>13228</v>
      </c>
      <c r="D4485" s="1" t="s">
        <v>8</v>
      </c>
      <c r="E4485" s="1" t="s">
        <v>13229</v>
      </c>
      <c r="F4485" s="1" t="str">
        <f>IFERROR(__xludf.DUMMYFUNCTION("GOOGLETRANSLATE(A4485, ""zh-CN"", ""ko"")"),"나르다")</f>
        <v>나르다</v>
      </c>
    </row>
    <row r="4486" ht="15.75" customHeight="1">
      <c r="A4486" s="1" t="s">
        <v>13230</v>
      </c>
      <c r="B4486" s="1">
        <v>6.0</v>
      </c>
      <c r="C4486" s="1" t="s">
        <v>13231</v>
      </c>
      <c r="D4486" s="1" t="s">
        <v>16</v>
      </c>
      <c r="E4486" s="1" t="s">
        <v>13232</v>
      </c>
      <c r="F4486" s="1" t="str">
        <f>IFERROR(__xludf.DUMMYFUNCTION("GOOGLETRANSLATE(A4486, ""zh-CN"", ""ko"")"),"협회")</f>
        <v>협회</v>
      </c>
    </row>
    <row r="4487" ht="15.75" customHeight="1">
      <c r="A4487" s="1" t="s">
        <v>13233</v>
      </c>
      <c r="B4487" s="1">
        <v>6.0</v>
      </c>
      <c r="C4487" s="1" t="s">
        <v>13234</v>
      </c>
      <c r="D4487" s="1" t="s">
        <v>8</v>
      </c>
      <c r="E4487" s="1" t="s">
        <v>13235</v>
      </c>
      <c r="F4487" s="1" t="str">
        <f>IFERROR(__xludf.DUMMYFUNCTION("GOOGLETRANSLATE(A4487, ""zh-CN"", ""ko"")"),"협상")</f>
        <v>협상</v>
      </c>
    </row>
    <row r="4488" ht="15.75" customHeight="1">
      <c r="A4488" s="1" t="s">
        <v>13236</v>
      </c>
      <c r="B4488" s="1">
        <v>6.0</v>
      </c>
      <c r="C4488" s="1" t="s">
        <v>13237</v>
      </c>
      <c r="D4488" s="1" t="s">
        <v>8</v>
      </c>
      <c r="E4488" s="1" t="s">
        <v>13238</v>
      </c>
      <c r="F4488" s="1" t="str">
        <f>IFERROR(__xludf.DUMMYFUNCTION("GOOGLETRANSLATE(A4488, ""zh-CN"", ""ko"")"),"조정")</f>
        <v>조정</v>
      </c>
    </row>
    <row r="4489" ht="15.75" customHeight="1">
      <c r="A4489" s="1" t="s">
        <v>13239</v>
      </c>
      <c r="B4489" s="1">
        <v>6.0</v>
      </c>
      <c r="C4489" s="1" t="s">
        <v>13240</v>
      </c>
      <c r="D4489" s="1" t="s">
        <v>16</v>
      </c>
      <c r="E4489" s="1" t="s">
        <v>13241</v>
      </c>
      <c r="F4489" s="1" t="str">
        <f>IFERROR(__xludf.DUMMYFUNCTION("GOOGLETRANSLATE(A4489, ""zh-CN"", ""ko"")"),"규약")</f>
        <v>규약</v>
      </c>
    </row>
    <row r="4490" ht="15.75" customHeight="1">
      <c r="A4490" s="1" t="s">
        <v>13242</v>
      </c>
      <c r="B4490" s="1">
        <v>6.0</v>
      </c>
      <c r="C4490" s="1" t="s">
        <v>13243</v>
      </c>
      <c r="D4490" s="1" t="s">
        <v>8</v>
      </c>
      <c r="E4490" s="1" t="s">
        <v>13244</v>
      </c>
      <c r="F4490" s="1" t="str">
        <f>IFERROR(__xludf.DUMMYFUNCTION("GOOGLETRANSLATE(A4490, ""zh-CN"", ""ko"")"),"돕다")</f>
        <v>돕다</v>
      </c>
    </row>
    <row r="4491" ht="15.75" customHeight="1">
      <c r="A4491" s="1" t="s">
        <v>13245</v>
      </c>
      <c r="B4491" s="1">
        <v>6.0</v>
      </c>
      <c r="C4491" s="1" t="s">
        <v>13246</v>
      </c>
      <c r="D4491" s="1" t="s">
        <v>16</v>
      </c>
      <c r="E4491" s="1" t="s">
        <v>13247</v>
      </c>
      <c r="F4491" s="1" t="str">
        <f>IFERROR(__xludf.DUMMYFUNCTION("GOOGLETRANSLATE(A4491, ""zh-CN"", ""ko"")"),"나무 조각")</f>
        <v>나무 조각</v>
      </c>
    </row>
    <row r="4492" ht="15.75" customHeight="1">
      <c r="A4492" s="1" t="s">
        <v>13248</v>
      </c>
      <c r="B4492" s="1">
        <v>6.0</v>
      </c>
      <c r="C4492" s="1" t="s">
        <v>13249</v>
      </c>
      <c r="D4492" s="1" t="s">
        <v>8</v>
      </c>
      <c r="E4492" s="1" t="s">
        <v>13250</v>
      </c>
      <c r="F4492" s="1" t="str">
        <f>IFERROR(__xludf.DUMMYFUNCTION("GOOGLETRANSLATE(A4492, ""zh-CN"", ""ko"")"),"감소")</f>
        <v>감소</v>
      </c>
    </row>
    <row r="4493" ht="15.75" customHeight="1">
      <c r="A4493" s="1" t="s">
        <v>13251</v>
      </c>
      <c r="B4493" s="1">
        <v>6.0</v>
      </c>
      <c r="C4493" s="1" t="s">
        <v>13252</v>
      </c>
      <c r="D4493" s="1" t="s">
        <v>8</v>
      </c>
      <c r="E4493" s="1" t="s">
        <v>13253</v>
      </c>
      <c r="F4493" s="1" t="str">
        <f>IFERROR(__xludf.DUMMYFUNCTION("GOOGLETRANSLATE(A4493, ""zh-CN"", ""ko"")"),"양보해 주세요")</f>
        <v>양보해 주세요</v>
      </c>
    </row>
    <row r="4494" ht="15.75" customHeight="1">
      <c r="A4494" s="1" t="s">
        <v>13254</v>
      </c>
      <c r="B4494" s="1">
        <v>6.0</v>
      </c>
      <c r="C4494" s="1" t="s">
        <v>13255</v>
      </c>
      <c r="D4494" s="1" t="s">
        <v>8</v>
      </c>
      <c r="E4494" s="1" t="s">
        <v>13256</v>
      </c>
      <c r="F4494" s="1" t="str">
        <f>IFERROR(__xludf.DUMMYFUNCTION("GOOGLETRANSLATE(A4494, ""zh-CN"", ""ko"")"),"낙담한")</f>
        <v>낙담한</v>
      </c>
    </row>
    <row r="4495" ht="15.75" customHeight="1">
      <c r="A4495" s="1" t="s">
        <v>13257</v>
      </c>
      <c r="B4495" s="1">
        <v>6.0</v>
      </c>
      <c r="C4495" s="1" t="s">
        <v>13258</v>
      </c>
      <c r="E4495" s="1" t="s">
        <v>13259</v>
      </c>
      <c r="F4495" s="1" t="str">
        <f>IFERROR(__xludf.DUMMYFUNCTION("GOOGLETRANSLATE(A4495, ""zh-CN"", ""ko"")"),"대사")</f>
        <v>대사</v>
      </c>
    </row>
    <row r="4496" ht="15.75" customHeight="1">
      <c r="A4496" s="1" t="s">
        <v>13260</v>
      </c>
      <c r="B4496" s="1">
        <v>6.0</v>
      </c>
      <c r="C4496" s="1" t="s">
        <v>13261</v>
      </c>
      <c r="D4496" s="1" t="s">
        <v>16</v>
      </c>
      <c r="E4496" s="1" t="s">
        <v>13262</v>
      </c>
      <c r="F4496" s="1" t="str">
        <f>IFERROR(__xludf.DUMMYFUNCTION("GOOGLETRANSLATE(A4496, ""zh-CN"", ""ko"")"),"생각들")</f>
        <v>생각들</v>
      </c>
    </row>
    <row r="4497" ht="15.75" customHeight="1">
      <c r="A4497" s="1" t="s">
        <v>13263</v>
      </c>
      <c r="B4497" s="1">
        <v>6.0</v>
      </c>
      <c r="C4497" s="1" t="s">
        <v>13264</v>
      </c>
      <c r="E4497" s="1" t="s">
        <v>13265</v>
      </c>
      <c r="F4497" s="1" t="str">
        <f>IFERROR(__xludf.DUMMYFUNCTION("GOOGLETRANSLATE(A4497, ""zh-CN"", ""ko"")"),"자발적인")</f>
        <v>자발적인</v>
      </c>
    </row>
    <row r="4498" ht="15.75" customHeight="1">
      <c r="A4498" s="1" t="s">
        <v>13266</v>
      </c>
      <c r="B4498" s="1">
        <v>6.0</v>
      </c>
      <c r="C4498" s="1" t="s">
        <v>13267</v>
      </c>
      <c r="D4498" s="1" t="s">
        <v>16</v>
      </c>
      <c r="E4498" s="1" t="s">
        <v>13268</v>
      </c>
      <c r="F4498" s="1" t="str">
        <f>IFERROR(__xludf.DUMMYFUNCTION("GOOGLETRANSLATE(A4498, ""zh-CN"", ""ko"")"),"신랑")</f>
        <v>신랑</v>
      </c>
    </row>
    <row r="4499" ht="15.75" customHeight="1">
      <c r="A4499" s="1" t="s">
        <v>13269</v>
      </c>
      <c r="B4499" s="1">
        <v>6.0</v>
      </c>
      <c r="C4499" s="1" t="s">
        <v>13270</v>
      </c>
      <c r="D4499" s="1" t="s">
        <v>16</v>
      </c>
      <c r="E4499" s="1" t="s">
        <v>13271</v>
      </c>
      <c r="F4499" s="1" t="str">
        <f>IFERROR(__xludf.DUMMYFUNCTION("GOOGLETRANSLATE(A4499, ""zh-CN"", ""ko"")"),"영혼")</f>
        <v>영혼</v>
      </c>
    </row>
    <row r="4500" ht="15.75" customHeight="1">
      <c r="A4500" s="1" t="s">
        <v>13272</v>
      </c>
      <c r="B4500" s="1">
        <v>6.0</v>
      </c>
      <c r="C4500" s="1" t="s">
        <v>13273</v>
      </c>
      <c r="D4500" s="1" t="s">
        <v>16</v>
      </c>
      <c r="E4500" s="1" t="s">
        <v>13274</v>
      </c>
      <c r="F4500" s="1" t="str">
        <f>IFERROR(__xludf.DUMMYFUNCTION("GOOGLETRANSLATE(A4500, ""zh-CN"", ""ko"")"),"신부")</f>
        <v>신부</v>
      </c>
    </row>
    <row r="4501" ht="15.75" customHeight="1">
      <c r="A4501" s="1" t="s">
        <v>13275</v>
      </c>
      <c r="B4501" s="1">
        <v>6.0</v>
      </c>
      <c r="C4501" s="1" t="s">
        <v>13276</v>
      </c>
      <c r="D4501" s="1" t="s">
        <v>52</v>
      </c>
      <c r="E4501" s="1" t="s">
        <v>13277</v>
      </c>
      <c r="F4501" s="1" t="str">
        <f>IFERROR(__xludf.DUMMYFUNCTION("GOOGLETRANSLATE(A4501, ""zh-CN"", ""ko"")"),"노력")</f>
        <v>노력</v>
      </c>
    </row>
    <row r="4502" ht="15.75" customHeight="1">
      <c r="A4502" s="1" t="s">
        <v>13278</v>
      </c>
      <c r="B4502" s="1">
        <v>6.0</v>
      </c>
      <c r="C4502" s="1" t="s">
        <v>13279</v>
      </c>
      <c r="D4502" s="1" t="s">
        <v>16</v>
      </c>
      <c r="E4502" s="1" t="s">
        <v>13280</v>
      </c>
      <c r="F4502" s="1" t="str">
        <f>IFERROR(__xludf.DUMMYFUNCTION("GOOGLETRANSLATE(A4502, ""zh-CN"", ""ko"")"),"샐러리")</f>
        <v>샐러리</v>
      </c>
    </row>
    <row r="4503" ht="15.75" customHeight="1">
      <c r="A4503" s="1" t="s">
        <v>13281</v>
      </c>
      <c r="B4503" s="1">
        <v>6.0</v>
      </c>
      <c r="C4503" s="1" t="s">
        <v>13282</v>
      </c>
      <c r="D4503" s="1" t="s">
        <v>16</v>
      </c>
      <c r="E4503" s="1" t="s">
        <v>13283</v>
      </c>
      <c r="F4503" s="1" t="str">
        <f>IFERROR(__xludf.DUMMYFUNCTION("GOOGLETRANSLATE(A4503, ""zh-CN"", ""ko"")"),"사고방식")</f>
        <v>사고방식</v>
      </c>
    </row>
    <row r="4504" ht="15.75" customHeight="1">
      <c r="A4504" s="1" t="s">
        <v>13284</v>
      </c>
      <c r="B4504" s="1">
        <v>6.0</v>
      </c>
      <c r="C4504" s="1" t="s">
        <v>13285</v>
      </c>
      <c r="D4504" s="1" t="s">
        <v>8</v>
      </c>
      <c r="E4504" s="1" t="s">
        <v>13286</v>
      </c>
      <c r="F4504" s="1" t="str">
        <f>IFERROR(__xludf.DUMMYFUNCTION("GOOGLETRANSLATE(A4504, ""zh-CN"", ""ko"")"),"심통")</f>
        <v>심통</v>
      </c>
    </row>
    <row r="4505" ht="15.75" customHeight="1">
      <c r="A4505" s="1" t="s">
        <v>13287</v>
      </c>
      <c r="B4505" s="1">
        <v>6.0</v>
      </c>
      <c r="C4505" s="1" t="s">
        <v>13288</v>
      </c>
      <c r="D4505" s="1" t="s">
        <v>52</v>
      </c>
      <c r="E4505" s="1" t="s">
        <v>13289</v>
      </c>
      <c r="F4505" s="1" t="str">
        <f>IFERROR(__xludf.DUMMYFUNCTION("GOOGLETRANSLATE(A4505, ""zh-CN"", ""ko"")"),"안도하는")</f>
        <v>안도하는</v>
      </c>
    </row>
    <row r="4506" ht="15.75" customHeight="1">
      <c r="A4506" s="1" t="s">
        <v>13290</v>
      </c>
      <c r="B4506" s="1">
        <v>6.0</v>
      </c>
      <c r="C4506" s="1" t="s">
        <v>13291</v>
      </c>
      <c r="E4506" s="1" t="s">
        <v>13292</v>
      </c>
      <c r="F4506" s="1" t="str">
        <f>IFERROR(__xludf.DUMMYFUNCTION("GOOGLETRANSLATE(A4506, ""zh-CN"", ""ko"")"),"번성하는")</f>
        <v>번성하는</v>
      </c>
    </row>
    <row r="4507" ht="15.75" customHeight="1">
      <c r="A4507" s="1" t="s">
        <v>13293</v>
      </c>
      <c r="B4507" s="1">
        <v>6.0</v>
      </c>
      <c r="C4507" s="1" t="s">
        <v>13294</v>
      </c>
      <c r="D4507" s="1" t="s">
        <v>16</v>
      </c>
      <c r="E4507" s="1" t="s">
        <v>13295</v>
      </c>
      <c r="F4507" s="1" t="str">
        <f>IFERROR(__xludf.DUMMYFUNCTION("GOOGLETRANSLATE(A4507, ""zh-CN"", ""ko"")"),"마음과 영혼")</f>
        <v>마음과 영혼</v>
      </c>
    </row>
    <row r="4508" ht="15.75" customHeight="1">
      <c r="A4508" s="1" t="s">
        <v>13296</v>
      </c>
      <c r="B4508" s="1">
        <v>6.0</v>
      </c>
      <c r="C4508" s="1" t="s">
        <v>13297</v>
      </c>
      <c r="D4508" s="1" t="s">
        <v>16</v>
      </c>
      <c r="E4508" s="1" t="s">
        <v>13298</v>
      </c>
      <c r="F4508" s="1" t="str">
        <f>IFERROR(__xludf.DUMMYFUNCTION("GOOGLETRANSLATE(A4508, ""zh-CN"", ""ko"")"),"교활한")</f>
        <v>교활한</v>
      </c>
    </row>
    <row r="4509" ht="15.75" customHeight="1">
      <c r="A4509" s="1" t="s">
        <v>13299</v>
      </c>
      <c r="B4509" s="1">
        <v>6.0</v>
      </c>
      <c r="C4509" s="1" t="s">
        <v>13300</v>
      </c>
      <c r="D4509" s="1" t="s">
        <v>52</v>
      </c>
      <c r="E4509" s="1" t="s">
        <v>13301</v>
      </c>
      <c r="F4509" s="1" t="str">
        <f>IFERROR(__xludf.DUMMYFUNCTION("GOOGLETRANSLATE(A4509, ""zh-CN"", ""ko"")"),"소설")</f>
        <v>소설</v>
      </c>
    </row>
    <row r="4510" ht="15.75" customHeight="1">
      <c r="A4510" s="1" t="s">
        <v>13302</v>
      </c>
      <c r="B4510" s="1">
        <v>6.0</v>
      </c>
      <c r="C4510" s="1" t="s">
        <v>13303</v>
      </c>
      <c r="D4510" s="1" t="s">
        <v>8</v>
      </c>
      <c r="E4510" s="1" t="s">
        <v>13304</v>
      </c>
      <c r="F4510" s="1" t="str">
        <f>IFERROR(__xludf.DUMMYFUNCTION("GOOGLETRANSLATE(A4510, ""zh-CN"", ""ko"")"),"신뢰하다")</f>
        <v>신뢰하다</v>
      </c>
    </row>
    <row r="4511" ht="15.75" customHeight="1">
      <c r="A4511" s="1" t="s">
        <v>13305</v>
      </c>
      <c r="B4511" s="1">
        <v>6.0</v>
      </c>
      <c r="C4511" s="1" t="s">
        <v>13306</v>
      </c>
      <c r="D4511" s="1" t="s">
        <v>16</v>
      </c>
      <c r="E4511" s="1" t="s">
        <v>13307</v>
      </c>
      <c r="F4511" s="1" t="str">
        <f>IFERROR(__xludf.DUMMYFUNCTION("GOOGLETRANSLATE(A4511, ""zh-CN"", ""ko"")"),"믿음")</f>
        <v>믿음</v>
      </c>
    </row>
    <row r="4512" ht="15.75" customHeight="1">
      <c r="A4512" s="1" t="s">
        <v>13308</v>
      </c>
      <c r="B4512" s="1">
        <v>6.0</v>
      </c>
      <c r="C4512" s="1" t="s">
        <v>13309</v>
      </c>
      <c r="D4512" s="1" t="s">
        <v>875</v>
      </c>
      <c r="E4512" s="1" t="s">
        <v>13310</v>
      </c>
      <c r="F4512" s="1" t="str">
        <f>IFERROR(__xludf.DUMMYFUNCTION("GOOGLETRANSLATE(A4512, ""zh-CN"", ""ko"")"),"믿음")</f>
        <v>믿음</v>
      </c>
    </row>
    <row r="4513" ht="15.75" customHeight="1">
      <c r="A4513" s="1" t="s">
        <v>13311</v>
      </c>
      <c r="B4513" s="1">
        <v>6.0</v>
      </c>
      <c r="C4513" s="1" t="s">
        <v>13312</v>
      </c>
      <c r="D4513" s="1" t="s">
        <v>16</v>
      </c>
      <c r="E4513" s="1" t="s">
        <v>12872</v>
      </c>
      <c r="F4513" s="1" t="str">
        <f>IFERROR(__xludf.DUMMYFUNCTION("GOOGLETRANSLATE(A4513, ""zh-CN"", ""ko"")"),"평판")</f>
        <v>평판</v>
      </c>
    </row>
    <row r="4514" ht="15.75" customHeight="1">
      <c r="A4514" s="1" t="s">
        <v>13313</v>
      </c>
      <c r="B4514" s="1">
        <v>6.0</v>
      </c>
      <c r="C4514" s="1" t="s">
        <v>13314</v>
      </c>
      <c r="D4514" s="1" t="s">
        <v>52</v>
      </c>
      <c r="E4514" s="1" t="s">
        <v>13315</v>
      </c>
      <c r="F4514" s="1" t="str">
        <f>IFERROR(__xludf.DUMMYFUNCTION("GOOGLETRANSLATE(A4514, ""zh-CN"", ""ko"")"),"수상한")</f>
        <v>수상한</v>
      </c>
    </row>
    <row r="4515" ht="15.75" customHeight="1">
      <c r="A4515" s="1" t="s">
        <v>13316</v>
      </c>
      <c r="B4515" s="1">
        <v>6.0</v>
      </c>
      <c r="C4515" s="1" t="s">
        <v>13317</v>
      </c>
      <c r="E4515" s="1" t="s">
        <v>13318</v>
      </c>
      <c r="F4515" s="1" t="str">
        <f>IFERROR(__xludf.DUMMYFUNCTION("GOOGLETRANSLATE(A4515, ""zh-CN"", ""ko"")"),"의기 양양한")</f>
        <v>의기 양양한</v>
      </c>
    </row>
    <row r="4516" ht="15.75" customHeight="1">
      <c r="A4516" s="1" t="s">
        <v>13319</v>
      </c>
      <c r="B4516" s="1">
        <v>6.0</v>
      </c>
      <c r="C4516" s="1" t="s">
        <v>13320</v>
      </c>
      <c r="D4516" s="1" t="s">
        <v>52</v>
      </c>
      <c r="E4516" s="1" t="s">
        <v>13321</v>
      </c>
      <c r="F4516" s="1" t="str">
        <f>IFERROR(__xludf.DUMMYFUNCTION("GOOGLETRANSLATE(A4516, ""zh-CN"", ""ko"")"),"싱롱")</f>
        <v>싱롱</v>
      </c>
    </row>
    <row r="4517" ht="15.75" customHeight="1">
      <c r="A4517" s="1" t="s">
        <v>13322</v>
      </c>
      <c r="B4517" s="1">
        <v>6.0</v>
      </c>
      <c r="C4517" s="1" t="s">
        <v>13323</v>
      </c>
      <c r="D4517" s="1" t="s">
        <v>52</v>
      </c>
      <c r="E4517" s="1" t="s">
        <v>13324</v>
      </c>
      <c r="F4517" s="1" t="str">
        <f>IFERROR(__xludf.DUMMYFUNCTION("GOOGLETRANSLATE(A4517, ""zh-CN"", ""ko"")"),"번성하는")</f>
        <v>번성하는</v>
      </c>
    </row>
    <row r="4518" ht="15.75" customHeight="1">
      <c r="A4518" s="1" t="s">
        <v>13325</v>
      </c>
      <c r="B4518" s="1">
        <v>6.0</v>
      </c>
      <c r="C4518" s="1" t="s">
        <v>6663</v>
      </c>
      <c r="D4518" s="1" t="s">
        <v>16</v>
      </c>
      <c r="E4518" s="1" t="s">
        <v>13326</v>
      </c>
      <c r="F4518" s="1" t="str">
        <f>IFERROR(__xludf.DUMMYFUNCTION("GOOGLETRANSLATE(A4518, ""zh-CN"", ""ko"")"),"범인")</f>
        <v>범인</v>
      </c>
    </row>
    <row r="4519" ht="15.75" customHeight="1">
      <c r="A4519" s="1" t="s">
        <v>13327</v>
      </c>
      <c r="B4519" s="1">
        <v>6.0</v>
      </c>
      <c r="C4519" s="1" t="s">
        <v>13328</v>
      </c>
      <c r="D4519" s="1" t="s">
        <v>16</v>
      </c>
      <c r="E4519" s="1" t="s">
        <v>13329</v>
      </c>
      <c r="F4519" s="1" t="str">
        <f>IFERROR(__xludf.DUMMYFUNCTION("GOOGLETRANSLATE(A4519, ""zh-CN"", ""ko"")"),"형태")</f>
        <v>형태</v>
      </c>
    </row>
    <row r="4520" ht="15.75" customHeight="1">
      <c r="A4520" s="1" t="s">
        <v>13330</v>
      </c>
      <c r="B4520" s="1">
        <v>6.0</v>
      </c>
      <c r="C4520" s="1" t="s">
        <v>13331</v>
      </c>
      <c r="D4520" s="1" t="s">
        <v>16</v>
      </c>
      <c r="E4520" s="1" t="s">
        <v>13332</v>
      </c>
      <c r="F4520" s="1" t="str">
        <f>IFERROR(__xludf.DUMMYFUNCTION("GOOGLETRANSLATE(A4520, ""zh-CN"", ""ko"")"),"행정")</f>
        <v>행정</v>
      </c>
    </row>
    <row r="4521" ht="15.75" customHeight="1">
      <c r="A4521" s="1" t="s">
        <v>13333</v>
      </c>
      <c r="B4521" s="1">
        <v>6.0</v>
      </c>
      <c r="C4521" s="1" t="s">
        <v>13334</v>
      </c>
      <c r="D4521" s="1" t="s">
        <v>52</v>
      </c>
      <c r="E4521" s="1" t="s">
        <v>13335</v>
      </c>
      <c r="F4521" s="1" t="str">
        <f>IFERROR(__xludf.DUMMYFUNCTION("GOOGLETRANSLATE(A4521, ""zh-CN"", ""ko"")"),"섹시한")</f>
        <v>섹시한</v>
      </c>
    </row>
    <row r="4522" ht="15.75" customHeight="1">
      <c r="A4522" s="1" t="s">
        <v>13336</v>
      </c>
      <c r="B4522" s="1">
        <v>6.0</v>
      </c>
      <c r="C4522" s="1" t="s">
        <v>13337</v>
      </c>
      <c r="D4522" s="1" t="s">
        <v>16</v>
      </c>
      <c r="E4522" s="1" t="s">
        <v>2879</v>
      </c>
      <c r="F4522" s="1" t="str">
        <f>IFERROR(__xludf.DUMMYFUNCTION("GOOGLETRANSLATE(A4522, ""zh-CN"", ""ko"")"),"삶")</f>
        <v>삶</v>
      </c>
    </row>
    <row r="4523" ht="15.75" customHeight="1">
      <c r="A4523" s="1" t="s">
        <v>13338</v>
      </c>
      <c r="B4523" s="1">
        <v>6.0</v>
      </c>
      <c r="C4523" s="1" t="s">
        <v>13339</v>
      </c>
      <c r="D4523" s="1" t="s">
        <v>16</v>
      </c>
      <c r="E4523" s="1" t="s">
        <v>13340</v>
      </c>
      <c r="F4523" s="1" t="str">
        <f>IFERROR(__xludf.DUMMYFUNCTION("GOOGLETRANSLATE(A4523, ""zh-CN"", ""ko"")"),"성능")</f>
        <v>성능</v>
      </c>
    </row>
    <row r="4524" ht="15.75" customHeight="1">
      <c r="A4524" s="1" t="s">
        <v>13341</v>
      </c>
      <c r="B4524" s="1">
        <v>6.0</v>
      </c>
      <c r="C4524" s="1" t="s">
        <v>13342</v>
      </c>
      <c r="E4524" s="1" t="s">
        <v>13343</v>
      </c>
      <c r="F4524" s="1" t="str">
        <f>IFERROR(__xludf.DUMMYFUNCTION("GOOGLETRANSLATE(A4524, ""zh-CN"", ""ko"")"),"열렬한")</f>
        <v>열렬한</v>
      </c>
    </row>
    <row r="4525" ht="15.75" customHeight="1">
      <c r="A4525" s="1" t="s">
        <v>13344</v>
      </c>
      <c r="B4525" s="1">
        <v>6.0</v>
      </c>
      <c r="C4525" s="1" t="s">
        <v>13345</v>
      </c>
      <c r="D4525" s="1" t="s">
        <v>52</v>
      </c>
      <c r="E4525" s="1" t="s">
        <v>13346</v>
      </c>
      <c r="F4525" s="1" t="str">
        <f>IFERROR(__xludf.DUMMYFUNCTION("GOOGLETRANSLATE(A4525, ""zh-CN"", ""ko"")"),"나쁜")</f>
        <v>나쁜</v>
      </c>
    </row>
    <row r="4526" ht="15.75" customHeight="1">
      <c r="A4526" s="1" t="s">
        <v>13347</v>
      </c>
      <c r="B4526" s="1">
        <v>6.0</v>
      </c>
      <c r="C4526" s="1" t="s">
        <v>13348</v>
      </c>
      <c r="D4526" s="1" t="s">
        <v>16</v>
      </c>
      <c r="E4526" s="1" t="s">
        <v>13349</v>
      </c>
      <c r="F4526" s="1" t="str">
        <f>IFERROR(__xludf.DUMMYFUNCTION("GOOGLETRANSLATE(A4526, ""zh-CN"", ""ko"")"),"정신")</f>
        <v>정신</v>
      </c>
    </row>
    <row r="4527" ht="15.75" customHeight="1">
      <c r="A4527" s="1" t="s">
        <v>13350</v>
      </c>
      <c r="B4527" s="1">
        <v>6.0</v>
      </c>
      <c r="C4527" s="1" t="s">
        <v>13351</v>
      </c>
      <c r="D4527" s="1" t="s">
        <v>16</v>
      </c>
      <c r="E4527" s="1" t="s">
        <v>13352</v>
      </c>
      <c r="F4527" s="1" t="str">
        <f>IFERROR(__xludf.DUMMYFUNCTION("GOOGLETRANSLATE(A4527, ""zh-CN"", ""ko"")"),"살인자")</f>
        <v>살인자</v>
      </c>
    </row>
    <row r="4528" ht="15.75" customHeight="1">
      <c r="A4528" s="1" t="s">
        <v>13353</v>
      </c>
      <c r="B4528" s="1">
        <v>6.0</v>
      </c>
      <c r="C4528" s="1" t="s">
        <v>13354</v>
      </c>
      <c r="D4528" s="1" t="s">
        <v>16</v>
      </c>
      <c r="E4528" s="1" t="s">
        <v>13355</v>
      </c>
      <c r="F4528" s="1" t="str">
        <f>IFERROR(__xludf.DUMMYFUNCTION("GOOGLETRANSLATE(A4528, ""zh-CN"", ""ko"")"),"가슴")</f>
        <v>가슴</v>
      </c>
    </row>
    <row r="4529" ht="15.75" customHeight="1">
      <c r="A4529" s="1" t="s">
        <v>13356</v>
      </c>
      <c r="B4529" s="1">
        <v>6.0</v>
      </c>
      <c r="C4529" s="1" t="s">
        <v>13357</v>
      </c>
      <c r="D4529" s="1" t="s">
        <v>52</v>
      </c>
      <c r="E4529" s="1" t="s">
        <v>13358</v>
      </c>
      <c r="F4529" s="1" t="str">
        <f>IFERROR(__xludf.DUMMYFUNCTION("GOOGLETRANSLATE(A4529, ""zh-CN"", ""ko"")"),"난류")</f>
        <v>난류</v>
      </c>
    </row>
    <row r="4530" ht="15.75" customHeight="1">
      <c r="A4530" s="1" t="s">
        <v>13359</v>
      </c>
      <c r="B4530" s="1">
        <v>6.0</v>
      </c>
      <c r="C4530" s="1" t="s">
        <v>13360</v>
      </c>
      <c r="D4530" s="1" t="s">
        <v>52</v>
      </c>
      <c r="E4530" s="1" t="s">
        <v>13361</v>
      </c>
      <c r="F4530" s="1" t="str">
        <f>IFERROR(__xludf.DUMMYFUNCTION("GOOGLETRANSLATE(A4530, ""zh-CN"", ""ko"")"),"강한")</f>
        <v>강한</v>
      </c>
    </row>
    <row r="4531" ht="15.75" customHeight="1">
      <c r="A4531" s="1" t="s">
        <v>13362</v>
      </c>
      <c r="B4531" s="1">
        <v>6.0</v>
      </c>
      <c r="C4531" s="1" t="s">
        <v>13363</v>
      </c>
      <c r="D4531" s="1" t="s">
        <v>52</v>
      </c>
      <c r="E4531" s="1" t="s">
        <v>13364</v>
      </c>
      <c r="F4531" s="1" t="str">
        <f>IFERROR(__xludf.DUMMYFUNCTION("GOOGLETRANSLATE(A4531, ""zh-CN"", ""ko"")"),"위엄 있는")</f>
        <v>위엄 있는</v>
      </c>
    </row>
    <row r="4532" ht="15.75" customHeight="1">
      <c r="A4532" s="1" t="s">
        <v>13365</v>
      </c>
      <c r="B4532" s="1">
        <v>6.0</v>
      </c>
      <c r="C4532" s="1" t="s">
        <v>13366</v>
      </c>
      <c r="D4532" s="1" t="s">
        <v>52</v>
      </c>
      <c r="E4532" s="1" t="s">
        <v>3771</v>
      </c>
      <c r="F4532" s="1" t="str">
        <f>IFERROR(__xludf.DUMMYFUNCTION("GOOGLETRANSLATE(A4532, ""zh-CN"", ""ko"")"),"창피")</f>
        <v>창피</v>
      </c>
    </row>
    <row r="4533" ht="15.75" customHeight="1">
      <c r="A4533" s="1" t="s">
        <v>13367</v>
      </c>
      <c r="B4533" s="1">
        <v>6.0</v>
      </c>
      <c r="C4533" s="1" t="s">
        <v>13368</v>
      </c>
      <c r="D4533" s="1" t="s">
        <v>8</v>
      </c>
      <c r="E4533" s="1" t="s">
        <v>13369</v>
      </c>
      <c r="F4533" s="1" t="str">
        <f>IFERROR(__xludf.DUMMYFUNCTION("GOOGLETRANSLATE(A4533, ""zh-CN"", ""ko"")"),"수리하다")</f>
        <v>수리하다</v>
      </c>
    </row>
    <row r="4534" ht="15.75" customHeight="1">
      <c r="A4534" s="1" t="s">
        <v>13370</v>
      </c>
      <c r="B4534" s="1">
        <v>6.0</v>
      </c>
      <c r="C4534" s="1" t="s">
        <v>13371</v>
      </c>
      <c r="D4534" s="1" t="s">
        <v>8</v>
      </c>
      <c r="E4534" s="1" t="s">
        <v>4957</v>
      </c>
      <c r="F4534" s="1" t="str">
        <f>IFERROR(__xludf.DUMMYFUNCTION("GOOGLETRANSLATE(A4534, ""zh-CN"", ""ko"")"),"건설")</f>
        <v>건설</v>
      </c>
    </row>
    <row r="4535" ht="15.75" customHeight="1">
      <c r="A4535" s="1" t="s">
        <v>13372</v>
      </c>
      <c r="B4535" s="1">
        <v>6.0</v>
      </c>
      <c r="C4535" s="1" t="s">
        <v>13373</v>
      </c>
      <c r="D4535" s="1" t="s">
        <v>16</v>
      </c>
      <c r="E4535" s="1" t="s">
        <v>13374</v>
      </c>
      <c r="F4535" s="1" t="str">
        <f>IFERROR(__xludf.DUMMYFUNCTION("GOOGLETRANSLATE(A4535, ""zh-CN"", ""ko"")"),"훈련")</f>
        <v>훈련</v>
      </c>
    </row>
    <row r="4536" ht="15.75" customHeight="1">
      <c r="A4536" s="1" t="s">
        <v>13375</v>
      </c>
      <c r="B4536" s="1">
        <v>6.0</v>
      </c>
      <c r="C4536" s="1" t="s">
        <v>13376</v>
      </c>
      <c r="D4536" s="1" t="s">
        <v>8</v>
      </c>
      <c r="E4536" s="1" t="s">
        <v>13377</v>
      </c>
      <c r="F4536" s="1" t="str">
        <f>IFERROR(__xludf.DUMMYFUNCTION("GOOGLETRANSLATE(A4536, ""zh-CN"", ""ko"")"),"자수")</f>
        <v>자수</v>
      </c>
    </row>
    <row r="4537" ht="15.75" customHeight="1">
      <c r="A4537" s="1" t="s">
        <v>13378</v>
      </c>
      <c r="B4537" s="1">
        <v>6.0</v>
      </c>
      <c r="C4537" s="1" t="s">
        <v>13379</v>
      </c>
      <c r="D4537" s="1" t="s">
        <v>16</v>
      </c>
      <c r="E4537" s="1" t="s">
        <v>13380</v>
      </c>
      <c r="F4537" s="1" t="str">
        <f>IFERROR(__xludf.DUMMYFUNCTION("GOOGLETRANSLATE(A4537, ""zh-CN"", ""ko"")"),"후각")</f>
        <v>후각</v>
      </c>
    </row>
    <row r="4538" ht="15.75" customHeight="1">
      <c r="A4538" s="1" t="s">
        <v>13381</v>
      </c>
      <c r="B4538" s="1">
        <v>6.0</v>
      </c>
      <c r="C4538" s="1" t="s">
        <v>13382</v>
      </c>
      <c r="D4538" s="1" t="s">
        <v>52</v>
      </c>
      <c r="E4538" s="1" t="s">
        <v>13383</v>
      </c>
      <c r="F4538" s="1" t="str">
        <f>IFERROR(__xludf.DUMMYFUNCTION("GOOGLETRANSLATE(A4538, ""zh-CN"", ""ko"")"),"거짓")</f>
        <v>거짓</v>
      </c>
    </row>
    <row r="4539" ht="15.75" customHeight="1">
      <c r="A4539" s="1" t="s">
        <v>13384</v>
      </c>
      <c r="B4539" s="1">
        <v>6.0</v>
      </c>
      <c r="C4539" s="1" t="s">
        <v>13385</v>
      </c>
      <c r="D4539" s="1" t="s">
        <v>16</v>
      </c>
      <c r="E4539" s="1" t="s">
        <v>13386</v>
      </c>
      <c r="F4539" s="1" t="str">
        <f>IFERROR(__xludf.DUMMYFUNCTION("GOOGLETRANSLATE(A4539, ""zh-CN"", ""ko"")"),"필요")</f>
        <v>필요</v>
      </c>
    </row>
    <row r="4540" ht="15.75" customHeight="1">
      <c r="A4540" s="1" t="s">
        <v>13387</v>
      </c>
      <c r="B4540" s="1">
        <v>6.0</v>
      </c>
      <c r="C4540" s="1" t="s">
        <v>13388</v>
      </c>
      <c r="D4540" s="1" t="s">
        <v>16</v>
      </c>
      <c r="E4540" s="1" t="s">
        <v>13389</v>
      </c>
      <c r="F4540" s="1" t="str">
        <f>IFERROR(__xludf.DUMMYFUNCTION("GOOGLETRANSLATE(A4540, ""zh-CN"", ""ko"")"),"화장대")</f>
        <v>화장대</v>
      </c>
    </row>
    <row r="4541" ht="15.75" customHeight="1">
      <c r="A4541" s="1" t="s">
        <v>13390</v>
      </c>
      <c r="B4541" s="1">
        <v>6.0</v>
      </c>
      <c r="C4541" s="1" t="s">
        <v>13391</v>
      </c>
      <c r="D4541" s="1" t="s">
        <v>52</v>
      </c>
      <c r="E4541" s="1" t="s">
        <v>13392</v>
      </c>
      <c r="F4541" s="1" t="str">
        <f>IFERROR(__xludf.DUMMYFUNCTION("GOOGLETRANSLATE(A4541, ""zh-CN"", ""ko"")"),"위선적인")</f>
        <v>위선적인</v>
      </c>
    </row>
    <row r="4542" ht="15.75" customHeight="1">
      <c r="A4542" s="1" t="s">
        <v>13393</v>
      </c>
      <c r="B4542" s="1">
        <v>6.0</v>
      </c>
      <c r="C4542" s="1" t="s">
        <v>13394</v>
      </c>
      <c r="D4542" s="1" t="s">
        <v>16</v>
      </c>
      <c r="E4542" s="1" t="s">
        <v>13395</v>
      </c>
      <c r="F4542" s="1" t="str">
        <f>IFERROR(__xludf.DUMMYFUNCTION("GOOGLETRANSLATE(A4542, ""zh-CN"", ""ko"")"),"중요한")</f>
        <v>중요한</v>
      </c>
    </row>
    <row r="4543" ht="15.75" customHeight="1">
      <c r="A4543" s="1" t="s">
        <v>13396</v>
      </c>
      <c r="B4543" s="1">
        <v>6.0</v>
      </c>
      <c r="C4543" s="1" t="s">
        <v>13397</v>
      </c>
      <c r="D4543" s="1" t="s">
        <v>8</v>
      </c>
      <c r="E4543" s="1" t="s">
        <v>13398</v>
      </c>
      <c r="F4543" s="1" t="str">
        <f>IFERROR(__xludf.DUMMYFUNCTION("GOOGLETRANSLATE(A4543, ""zh-CN"", ""ko"")"),"특허")</f>
        <v>특허</v>
      </c>
    </row>
    <row r="4544" ht="15.75" customHeight="1">
      <c r="A4544" s="1" t="s">
        <v>13399</v>
      </c>
      <c r="B4544" s="1">
        <v>6.0</v>
      </c>
      <c r="C4544" s="1" t="s">
        <v>13400</v>
      </c>
      <c r="D4544" s="1" t="s">
        <v>8</v>
      </c>
      <c r="E4544" s="1" t="s">
        <v>13401</v>
      </c>
      <c r="F4544" s="1" t="str">
        <f>IFERROR(__xludf.DUMMYFUNCTION("GOOGLETRANSLATE(A4544, ""zh-CN"", ""ko"")"),"대주")</f>
        <v>대주</v>
      </c>
    </row>
    <row r="4545" ht="15.75" customHeight="1">
      <c r="A4545" s="1" t="s">
        <v>13402</v>
      </c>
      <c r="B4545" s="1">
        <v>6.0</v>
      </c>
      <c r="C4545" s="1" t="s">
        <v>13403</v>
      </c>
      <c r="D4545" s="1" t="s">
        <v>16</v>
      </c>
      <c r="E4545" s="1" t="s">
        <v>13404</v>
      </c>
      <c r="F4545" s="1" t="str">
        <f>IFERROR(__xludf.DUMMYFUNCTION("GOOGLETRANSLATE(A4545, ""zh-CN"", ""ko"")"),"축산")</f>
        <v>축산</v>
      </c>
    </row>
    <row r="4546" ht="15.75" customHeight="1">
      <c r="A4546" s="1" t="s">
        <v>13405</v>
      </c>
      <c r="B4546" s="1">
        <v>6.0</v>
      </c>
      <c r="C4546" s="1" t="s">
        <v>13406</v>
      </c>
      <c r="D4546" s="1" t="s">
        <v>16</v>
      </c>
      <c r="E4546" s="1" t="s">
        <v>13407</v>
      </c>
      <c r="F4546" s="1" t="str">
        <f>IFERROR(__xludf.DUMMYFUNCTION("GOOGLETRANSLATE(A4546, ""zh-CN"", ""ko"")"),"머리말")</f>
        <v>머리말</v>
      </c>
    </row>
    <row r="4547" ht="15.75" customHeight="1">
      <c r="A4547" s="1" t="s">
        <v>13408</v>
      </c>
      <c r="B4547" s="1">
        <v>6.0</v>
      </c>
      <c r="C4547" s="1" t="s">
        <v>13409</v>
      </c>
      <c r="D4547" s="1" t="s">
        <v>52</v>
      </c>
      <c r="E4547" s="1" t="s">
        <v>13410</v>
      </c>
      <c r="F4547" s="1" t="str">
        <f>IFERROR(__xludf.DUMMYFUNCTION("GOOGLETRANSLATE(A4547, ""zh-CN"", ""ko"")"),"소음")</f>
        <v>소음</v>
      </c>
    </row>
    <row r="4548" ht="15.75" customHeight="1">
      <c r="A4548" s="1" t="s">
        <v>13411</v>
      </c>
      <c r="B4548" s="1">
        <v>6.0</v>
      </c>
      <c r="C4548" s="1" t="s">
        <v>13412</v>
      </c>
      <c r="D4548" s="1" t="s">
        <v>8</v>
      </c>
      <c r="E4548" s="1" t="s">
        <v>13413</v>
      </c>
      <c r="F4548" s="1" t="str">
        <f>IFERROR(__xludf.DUMMYFUNCTION("GOOGLETRANSLATE(A4548, ""zh-CN"", ""ko"")"),"맹세")</f>
        <v>맹세</v>
      </c>
    </row>
    <row r="4549" ht="15.75" customHeight="1">
      <c r="A4549" s="1" t="s">
        <v>13414</v>
      </c>
      <c r="B4549" s="1">
        <v>6.0</v>
      </c>
      <c r="C4549" s="1" t="s">
        <v>13415</v>
      </c>
      <c r="D4549" s="1" t="s">
        <v>8</v>
      </c>
      <c r="E4549" s="1" t="s">
        <v>13416</v>
      </c>
      <c r="F4549" s="1" t="str">
        <f>IFERROR(__xludf.DUMMYFUNCTION("GOOGLETRANSLATE(A4549, ""zh-CN"", ""ko"")"),"홍보하다")</f>
        <v>홍보하다</v>
      </c>
    </row>
    <row r="4550" ht="15.75" customHeight="1">
      <c r="A4550" s="1" t="s">
        <v>13417</v>
      </c>
      <c r="B4550" s="1">
        <v>6.0</v>
      </c>
      <c r="C4550" s="1" t="s">
        <v>13418</v>
      </c>
      <c r="D4550" s="1" t="s">
        <v>8</v>
      </c>
      <c r="E4550" s="1" t="s">
        <v>13419</v>
      </c>
      <c r="F4550" s="1" t="str">
        <f>IFERROR(__xludf.DUMMYFUNCTION("GOOGLETRANSLATE(A4550, ""zh-CN"", ""ko"")"),"보류")</f>
        <v>보류</v>
      </c>
    </row>
    <row r="4551" ht="15.75" customHeight="1">
      <c r="A4551" s="1" t="s">
        <v>13420</v>
      </c>
      <c r="B4551" s="1">
        <v>6.0</v>
      </c>
      <c r="C4551" s="1" t="s">
        <v>13421</v>
      </c>
      <c r="D4551" s="1" t="s">
        <v>16</v>
      </c>
      <c r="E4551" s="1" t="s">
        <v>13422</v>
      </c>
      <c r="F4551" s="1" t="str">
        <f>IFERROR(__xludf.DUMMYFUNCTION("GOOGLETRANSLATE(A4551, ""zh-CN"", ""ko"")"),"멜로디")</f>
        <v>멜로디</v>
      </c>
    </row>
    <row r="4552" ht="15.75" customHeight="1">
      <c r="A4552" s="1" t="s">
        <v>13423</v>
      </c>
      <c r="B4552" s="1">
        <v>6.0</v>
      </c>
      <c r="C4552" s="1" t="s">
        <v>13424</v>
      </c>
      <c r="D4552" s="1" t="s">
        <v>16</v>
      </c>
      <c r="E4552" s="1" t="s">
        <v>13425</v>
      </c>
      <c r="F4552" s="1" t="str">
        <f>IFERROR(__xludf.DUMMYFUNCTION("GOOGLETRANSLATE(A4552, ""zh-CN"", ""ko"")"),"미결")</f>
        <v>미결</v>
      </c>
    </row>
    <row r="4553" ht="15.75" customHeight="1">
      <c r="A4553" s="1" t="s">
        <v>13426</v>
      </c>
      <c r="B4553" s="1">
        <v>6.0</v>
      </c>
      <c r="C4553" s="1" t="s">
        <v>13427</v>
      </c>
      <c r="D4553" s="1" t="s">
        <v>16</v>
      </c>
      <c r="E4553" s="1" t="s">
        <v>13428</v>
      </c>
      <c r="F4553" s="1" t="str">
        <f>IFERROR(__xludf.DUMMYFUNCTION("GOOGLETRANSLATE(A4553, ""zh-CN"", ""ko"")"),"상이")</f>
        <v>상이</v>
      </c>
    </row>
    <row r="4554" ht="15.75" customHeight="1">
      <c r="A4554" s="1" t="s">
        <v>13429</v>
      </c>
      <c r="B4554" s="1">
        <v>6.0</v>
      </c>
      <c r="C4554" s="1" t="s">
        <v>13430</v>
      </c>
      <c r="E4554" s="1" t="s">
        <v>13431</v>
      </c>
      <c r="F4554" s="1" t="str">
        <f>IFERROR(__xludf.DUMMYFUNCTION("GOOGLETRANSLATE(A4554, ""zh-CN"", ""ko"")"),"절벽")</f>
        <v>절벽</v>
      </c>
    </row>
    <row r="4555" ht="15.75" customHeight="1">
      <c r="A4555" s="1" t="s">
        <v>13432</v>
      </c>
      <c r="B4555" s="1">
        <v>6.0</v>
      </c>
      <c r="C4555" s="1" t="s">
        <v>13433</v>
      </c>
      <c r="D4555" s="1" t="s">
        <v>8</v>
      </c>
      <c r="E4555" s="1" t="s">
        <v>13434</v>
      </c>
      <c r="F4555" s="1" t="str">
        <f>IFERROR(__xludf.DUMMYFUNCTION("GOOGLETRANSLATE(A4555, ""zh-CN"", ""ko"")"),"회전")</f>
        <v>회전</v>
      </c>
    </row>
    <row r="4556" ht="15.75" customHeight="1">
      <c r="A4556" s="1" t="s">
        <v>13435</v>
      </c>
      <c r="B4556" s="1">
        <v>6.0</v>
      </c>
      <c r="C4556" s="1" t="s">
        <v>13436</v>
      </c>
      <c r="D4556" s="1" t="s">
        <v>8</v>
      </c>
      <c r="E4556" s="1" t="s">
        <v>13437</v>
      </c>
      <c r="F4556" s="1" t="str">
        <f>IFERROR(__xludf.DUMMYFUNCTION("GOOGLETRANSLATE(A4556, ""zh-CN"", ""ko"")"),"선택")</f>
        <v>선택</v>
      </c>
    </row>
    <row r="4557" ht="15.75" customHeight="1">
      <c r="A4557" s="1" t="s">
        <v>13438</v>
      </c>
      <c r="B4557" s="1">
        <v>6.0</v>
      </c>
      <c r="C4557" s="1" t="s">
        <v>13439</v>
      </c>
      <c r="D4557" s="1" t="s">
        <v>8</v>
      </c>
      <c r="E4557" s="1" t="s">
        <v>13440</v>
      </c>
      <c r="F4557" s="1" t="str">
        <f>IFERROR(__xludf.DUMMYFUNCTION("GOOGLETRANSLATE(A4557, ""zh-CN"", ""ko"")"),"선거")</f>
        <v>선거</v>
      </c>
    </row>
    <row r="4558" ht="15.75" customHeight="1">
      <c r="A4558" s="1" t="s">
        <v>13441</v>
      </c>
      <c r="B4558" s="1">
        <v>6.0</v>
      </c>
      <c r="C4558" s="1" t="s">
        <v>13442</v>
      </c>
      <c r="D4558" s="1" t="s">
        <v>16</v>
      </c>
      <c r="E4558" s="1" t="s">
        <v>13443</v>
      </c>
      <c r="F4558" s="1" t="str">
        <f>IFERROR(__xludf.DUMMYFUNCTION("GOOGLETRANSLATE(A4558, ""zh-CN"", ""ko"")"),"참가자들")</f>
        <v>참가자들</v>
      </c>
    </row>
    <row r="4559" ht="15.75" customHeight="1">
      <c r="A4559" s="1" t="s">
        <v>13444</v>
      </c>
      <c r="B4559" s="1">
        <v>6.0</v>
      </c>
      <c r="C4559" s="1" t="s">
        <v>13445</v>
      </c>
      <c r="D4559" s="1" t="s">
        <v>8</v>
      </c>
      <c r="E4559" s="1" t="s">
        <v>13446</v>
      </c>
      <c r="F4559" s="1" t="str">
        <f>IFERROR(__xludf.DUMMYFUNCTION("GOOGLETRANSLATE(A4559, ""zh-CN"", ""ko"")"),"자랑하다")</f>
        <v>자랑하다</v>
      </c>
    </row>
    <row r="4560" ht="15.75" customHeight="1">
      <c r="A4560" s="1" t="s">
        <v>13447</v>
      </c>
      <c r="B4560" s="1">
        <v>6.0</v>
      </c>
      <c r="C4560" s="1" t="s">
        <v>13448</v>
      </c>
      <c r="D4560" s="1" t="s">
        <v>8</v>
      </c>
      <c r="E4560" s="1" t="s">
        <v>13449</v>
      </c>
      <c r="F4560" s="1" t="str">
        <f>IFERROR(__xludf.DUMMYFUNCTION("GOOGLETRANSLATE(A4560, ""zh-CN"", ""ko"")"),"꺾이다")</f>
        <v>꺾이다</v>
      </c>
    </row>
    <row r="4561" ht="15.75" customHeight="1">
      <c r="A4561" s="1" t="s">
        <v>13450</v>
      </c>
      <c r="B4561" s="1">
        <v>6.0</v>
      </c>
      <c r="C4561" s="1" t="s">
        <v>13451</v>
      </c>
      <c r="D4561" s="1" t="s">
        <v>16</v>
      </c>
      <c r="E4561" s="1" t="s">
        <v>13452</v>
      </c>
      <c r="F4561" s="1" t="str">
        <f>IFERROR(__xludf.DUMMYFUNCTION("GOOGLETRANSLATE(A4561, ""zh-CN"", ""ko"")"),"이론")</f>
        <v>이론</v>
      </c>
    </row>
    <row r="4562" ht="15.75" customHeight="1">
      <c r="A4562" s="1" t="s">
        <v>13453</v>
      </c>
      <c r="B4562" s="1">
        <v>6.0</v>
      </c>
      <c r="C4562" s="1" t="s">
        <v>13454</v>
      </c>
      <c r="D4562" s="1" t="s">
        <v>16</v>
      </c>
      <c r="E4562" s="1" t="s">
        <v>13455</v>
      </c>
      <c r="F4562" s="1" t="str">
        <f>IFERROR(__xludf.DUMMYFUNCTION("GOOGLETRANSLATE(A4562, ""zh-CN"", ""ko"")"),"이학사")</f>
        <v>이학사</v>
      </c>
    </row>
    <row r="4563" ht="15.75" customHeight="1">
      <c r="A4563" s="1" t="s">
        <v>13456</v>
      </c>
      <c r="B4563" s="1">
        <v>6.0</v>
      </c>
      <c r="C4563" s="1" t="s">
        <v>13457</v>
      </c>
      <c r="E4563" s="1" t="s">
        <v>13458</v>
      </c>
      <c r="F4563" s="1" t="str">
        <f>IFERROR(__xludf.DUMMYFUNCTION("GOOGLETRANSLATE(A4563, ""zh-CN"", ""ko"")"),"설상가상")</f>
        <v>설상가상</v>
      </c>
    </row>
    <row r="4564" ht="15.75" customHeight="1">
      <c r="A4564" s="1" t="s">
        <v>13459</v>
      </c>
      <c r="B4564" s="1">
        <v>6.0</v>
      </c>
      <c r="C4564" s="1" t="s">
        <v>13460</v>
      </c>
      <c r="D4564" s="1" t="s">
        <v>16</v>
      </c>
      <c r="E4564" s="1" t="s">
        <v>13461</v>
      </c>
      <c r="F4564" s="1" t="str">
        <f>IFERROR(__xludf.DUMMYFUNCTION("GOOGLETRANSLATE(A4564, ""zh-CN"", ""ko"")"),"혈압")</f>
        <v>혈압</v>
      </c>
    </row>
    <row r="4565" ht="15.75" customHeight="1">
      <c r="A4565" s="1" t="s">
        <v>13462</v>
      </c>
      <c r="B4565" s="1">
        <v>6.0</v>
      </c>
      <c r="C4565" s="1" t="s">
        <v>13463</v>
      </c>
      <c r="D4565" s="1" t="s">
        <v>8</v>
      </c>
      <c r="E4565" s="1" t="s">
        <v>13464</v>
      </c>
      <c r="F4565" s="1" t="str">
        <f>IFERROR(__xludf.DUMMYFUNCTION("GOOGLETRANSLATE(A4565, ""zh-CN"", ""ko"")"),"영향")</f>
        <v>영향</v>
      </c>
    </row>
    <row r="4566" ht="15.75" customHeight="1">
      <c r="A4566" s="1" t="s">
        <v>13465</v>
      </c>
      <c r="B4566" s="1">
        <v>6.0</v>
      </c>
      <c r="C4566" s="1" t="s">
        <v>13466</v>
      </c>
      <c r="D4566" s="1" t="s">
        <v>8</v>
      </c>
      <c r="E4566" s="1" t="s">
        <v>13467</v>
      </c>
      <c r="F4566" s="1" t="str">
        <f>IFERROR(__xludf.DUMMYFUNCTION("GOOGLETRANSLATE(A4566, ""zh-CN"", ""ko"")"),"주기")</f>
        <v>주기</v>
      </c>
    </row>
    <row r="4567" ht="15.75" customHeight="1">
      <c r="A4567" s="1" t="s">
        <v>13468</v>
      </c>
      <c r="B4567" s="1">
        <v>6.0</v>
      </c>
      <c r="C4567" s="1" t="s">
        <v>13469</v>
      </c>
      <c r="D4567" s="1" t="s">
        <v>8</v>
      </c>
      <c r="E4567" s="1" t="s">
        <v>13470</v>
      </c>
      <c r="F4567" s="1" t="str">
        <f>IFERROR(__xludf.DUMMYFUNCTION("GOOGLETRANSLATE(A4567, ""zh-CN"", ""ko"")"),"순찰")</f>
        <v>순찰</v>
      </c>
    </row>
    <row r="4568" ht="15.75" customHeight="1">
      <c r="A4568" s="1" t="s">
        <v>13471</v>
      </c>
      <c r="B4568" s="1">
        <v>6.0</v>
      </c>
      <c r="C4568" s="1" t="s">
        <v>13472</v>
      </c>
      <c r="D4568" s="1" t="s">
        <v>8</v>
      </c>
      <c r="E4568" s="1" t="s">
        <v>13473</v>
      </c>
      <c r="F4568" s="1" t="str">
        <f>IFERROR(__xludf.DUMMYFUNCTION("GOOGLETRANSLATE(A4568, ""zh-CN"", ""ko"")"),"구함")</f>
        <v>구함</v>
      </c>
    </row>
    <row r="4569" ht="15.75" customHeight="1">
      <c r="A4569" s="1" t="s">
        <v>13474</v>
      </c>
      <c r="B4569" s="1">
        <v>6.0</v>
      </c>
      <c r="C4569" s="1" t="s">
        <v>13475</v>
      </c>
      <c r="E4569" s="1" t="s">
        <v>13476</v>
      </c>
      <c r="F4569" s="1" t="str">
        <f>IFERROR(__xludf.DUMMYFUNCTION("GOOGLETRANSLATE(A4569, ""zh-CN"", ""ko"")"),"단계별로")</f>
        <v>단계별로</v>
      </c>
    </row>
    <row r="4570" ht="15.75" customHeight="1">
      <c r="A4570" s="1" t="s">
        <v>13477</v>
      </c>
      <c r="B4570" s="1">
        <v>6.0</v>
      </c>
      <c r="C4570" s="1" t="s">
        <v>13478</v>
      </c>
      <c r="D4570" s="1" t="s">
        <v>16</v>
      </c>
      <c r="E4570" s="1" t="s">
        <v>13479</v>
      </c>
      <c r="F4570" s="1" t="str">
        <f>IFERROR(__xludf.DUMMYFUNCTION("GOOGLETRANSLATE(A4570, ""zh-CN"", ""ko"")"),"시어머니")</f>
        <v>시어머니</v>
      </c>
    </row>
    <row r="4571" ht="15.75" customHeight="1">
      <c r="A4571" s="1" t="s">
        <v>13480</v>
      </c>
      <c r="B4571" s="1">
        <v>6.0</v>
      </c>
      <c r="C4571" s="1" t="s">
        <v>13481</v>
      </c>
      <c r="E4571" s="1" t="s">
        <v>13482</v>
      </c>
      <c r="F4571" s="1" t="str">
        <f>IFERROR(__xludf.DUMMYFUNCTION("GOOGLETRANSLATE(A4571, ""zh-CN"", ""ko"")"),"고요")</f>
        <v>고요</v>
      </c>
    </row>
    <row r="4572" ht="15.75" customHeight="1">
      <c r="A4572" s="1" t="s">
        <v>13483</v>
      </c>
      <c r="B4572" s="1">
        <v>6.0</v>
      </c>
      <c r="C4572" s="1" t="s">
        <v>13484</v>
      </c>
      <c r="D4572" s="1" t="s">
        <v>8</v>
      </c>
      <c r="E4572" s="1" t="s">
        <v>13485</v>
      </c>
      <c r="F4572" s="1" t="str">
        <f>IFERROR(__xludf.DUMMYFUNCTION("GOOGLETRANSLATE(A4572, ""zh-CN"", ""ko"")"),"압박")</f>
        <v>압박</v>
      </c>
    </row>
    <row r="4573" ht="15.75" customHeight="1">
      <c r="A4573" s="1" t="s">
        <v>13486</v>
      </c>
      <c r="B4573" s="1">
        <v>6.0</v>
      </c>
      <c r="C4573" s="1" t="s">
        <v>13487</v>
      </c>
      <c r="D4573" s="1" t="s">
        <v>16</v>
      </c>
      <c r="E4573" s="1" t="s">
        <v>13488</v>
      </c>
      <c r="F4573" s="1" t="str">
        <f>IFERROR(__xludf.DUMMYFUNCTION("GOOGLETRANSLATE(A4573, ""zh-CN"", ""ko"")"),"새해 돈")</f>
        <v>새해 돈</v>
      </c>
    </row>
    <row r="4574" ht="15.75" customHeight="1">
      <c r="A4574" s="1" t="s">
        <v>13489</v>
      </c>
      <c r="B4574" s="1">
        <v>6.0</v>
      </c>
      <c r="C4574" s="1" t="s">
        <v>13490</v>
      </c>
      <c r="D4574" s="1" t="s">
        <v>8</v>
      </c>
      <c r="E4574" s="1" t="s">
        <v>13491</v>
      </c>
      <c r="F4574" s="1" t="str">
        <f>IFERROR(__xludf.DUMMYFUNCTION("GOOGLETRANSLATE(A4574, ""zh-CN"", ""ko"")"),"압축")</f>
        <v>압축</v>
      </c>
    </row>
    <row r="4575" ht="15.75" customHeight="1">
      <c r="A4575" s="1" t="s">
        <v>13492</v>
      </c>
      <c r="B4575" s="1">
        <v>6.0</v>
      </c>
      <c r="C4575" s="1" t="s">
        <v>13493</v>
      </c>
      <c r="D4575" s="1" t="s">
        <v>8</v>
      </c>
      <c r="E4575" s="1" t="s">
        <v>13494</v>
      </c>
      <c r="F4575" s="1" t="str">
        <f>IFERROR(__xludf.DUMMYFUNCTION("GOOGLETRANSLATE(A4575, ""zh-CN"", ""ko"")"),"억압")</f>
        <v>억압</v>
      </c>
    </row>
    <row r="4576" ht="15.75" customHeight="1">
      <c r="A4576" s="1" t="s">
        <v>13495</v>
      </c>
      <c r="B4576" s="1">
        <v>6.0</v>
      </c>
      <c r="C4576" s="1" t="s">
        <v>13496</v>
      </c>
      <c r="D4576" s="1" t="s">
        <v>8</v>
      </c>
      <c r="E4576" s="1" t="s">
        <v>13497</v>
      </c>
      <c r="F4576" s="1" t="str">
        <f>IFERROR(__xludf.DUMMYFUNCTION("GOOGLETRANSLATE(A4576, ""zh-CN"", ""ko"")"),"누르다")</f>
        <v>누르다</v>
      </c>
    </row>
    <row r="4577" ht="15.75" customHeight="1">
      <c r="A4577" s="1" t="s">
        <v>13498</v>
      </c>
      <c r="B4577" s="1">
        <v>6.0</v>
      </c>
      <c r="C4577" s="1" t="s">
        <v>13499</v>
      </c>
      <c r="D4577" s="1" t="s">
        <v>8</v>
      </c>
      <c r="E4577" s="1" t="s">
        <v>13500</v>
      </c>
      <c r="F4577" s="1" t="str">
        <f>IFERROR(__xludf.DUMMYFUNCTION("GOOGLETRANSLATE(A4577, ""zh-CN"", ""ko"")"),"막다")</f>
        <v>막다</v>
      </c>
    </row>
    <row r="4578" ht="15.75" customHeight="1">
      <c r="A4578" s="1" t="s">
        <v>13501</v>
      </c>
      <c r="B4578" s="1">
        <v>6.0</v>
      </c>
      <c r="C4578" s="1" t="s">
        <v>13502</v>
      </c>
      <c r="D4578" s="1" t="s">
        <v>16</v>
      </c>
      <c r="E4578" s="1" t="s">
        <v>13503</v>
      </c>
      <c r="F4578" s="1" t="str">
        <f>IFERROR(__xludf.DUMMYFUNCTION("GOOGLETRANSLATE(A4578, ""zh-CN"", ""ko"")"),"준우승")</f>
        <v>준우승</v>
      </c>
    </row>
    <row r="4579" ht="15.75" customHeight="1">
      <c r="A4579" s="1" t="s">
        <v>13504</v>
      </c>
      <c r="B4579" s="1">
        <v>6.0</v>
      </c>
      <c r="C4579" s="1" t="s">
        <v>13505</v>
      </c>
      <c r="E4579" s="1" t="s">
        <v>13506</v>
      </c>
      <c r="F4579" s="1" t="str">
        <f>IFERROR(__xludf.DUMMYFUNCTION("GOOGLETRANSLATE(A4579, ""zh-CN"", ""ko"")"),"불꽃놀이와 폭죽")</f>
        <v>불꽃놀이와 폭죽</v>
      </c>
    </row>
    <row r="4580" ht="15.75" customHeight="1">
      <c r="A4580" s="1" t="s">
        <v>13507</v>
      </c>
      <c r="B4580" s="1">
        <v>6.0</v>
      </c>
      <c r="C4580" s="1" t="s">
        <v>13508</v>
      </c>
      <c r="D4580" s="1" t="s">
        <v>8</v>
      </c>
      <c r="E4580" s="1" t="s">
        <v>13509</v>
      </c>
      <c r="F4580" s="1" t="str">
        <f>IFERROR(__xludf.DUMMYFUNCTION("GOOGLETRANSLATE(A4580, ""zh-CN"", ""ko"")"),"잠수된")</f>
        <v>잠수된</v>
      </c>
    </row>
    <row r="4581" ht="15.75" customHeight="1">
      <c r="A4581" s="1" t="s">
        <v>13510</v>
      </c>
      <c r="B4581" s="1">
        <v>6.0</v>
      </c>
      <c r="C4581" s="1" t="s">
        <v>13511</v>
      </c>
      <c r="D4581" s="1" t="s">
        <v>16</v>
      </c>
      <c r="E4581" s="1" t="s">
        <v>13512</v>
      </c>
      <c r="F4581" s="1" t="str">
        <f>IFERROR(__xludf.DUMMYFUNCTION("GOOGLETRANSLATE(A4581, ""zh-CN"", ""ko"")"),"연안")</f>
        <v>연안</v>
      </c>
    </row>
    <row r="4582" ht="15.75" customHeight="1">
      <c r="A4582" s="1" t="s">
        <v>13513</v>
      </c>
      <c r="B4582" s="1">
        <v>6.0</v>
      </c>
      <c r="C4582" s="1" t="s">
        <v>13514</v>
      </c>
      <c r="D4582" s="1" t="s">
        <v>52</v>
      </c>
      <c r="E4582" s="1" t="s">
        <v>13515</v>
      </c>
      <c r="F4582" s="1" t="str">
        <f>IFERROR(__xludf.DUMMYFUNCTION("GOOGLETRANSLATE(A4582, ""zh-CN"", ""ko"")"),"심한 감기")</f>
        <v>심한 감기</v>
      </c>
    </row>
    <row r="4583" ht="15.75" customHeight="1">
      <c r="A4583" s="1" t="s">
        <v>13516</v>
      </c>
      <c r="B4583" s="1">
        <v>6.0</v>
      </c>
      <c r="C4583" s="1" t="s">
        <v>13517</v>
      </c>
      <c r="D4583" s="1" t="s">
        <v>8</v>
      </c>
      <c r="E4583" s="1" t="s">
        <v>13518</v>
      </c>
      <c r="F4583" s="1" t="str">
        <f>IFERROR(__xludf.DUMMYFUNCTION("GOOGLETRANSLATE(A4583, ""zh-CN"", ""ko"")"),"엄격히 금지됨")</f>
        <v>엄격히 금지됨</v>
      </c>
    </row>
    <row r="4584" ht="15.75" customHeight="1">
      <c r="A4584" s="1" t="s">
        <v>13519</v>
      </c>
      <c r="B4584" s="1">
        <v>6.0</v>
      </c>
      <c r="C4584" s="1" t="s">
        <v>13520</v>
      </c>
      <c r="D4584" s="1" t="s">
        <v>52</v>
      </c>
      <c r="E4584" s="1" t="s">
        <v>13521</v>
      </c>
      <c r="F4584" s="1" t="str">
        <f>IFERROR(__xludf.DUMMYFUNCTION("GOOGLETRANSLATE(A4584, ""zh-CN"", ""ko"")"),"극심한")</f>
        <v>극심한</v>
      </c>
    </row>
    <row r="4585" ht="15.75" customHeight="1">
      <c r="A4585" s="1" t="s">
        <v>13522</v>
      </c>
      <c r="B4585" s="1">
        <v>6.0</v>
      </c>
      <c r="C4585" s="1" t="s">
        <v>13523</v>
      </c>
      <c r="D4585" s="1" t="s">
        <v>52</v>
      </c>
      <c r="E4585" s="1" t="s">
        <v>13524</v>
      </c>
      <c r="F4585" s="1" t="str">
        <f>IFERROR(__xludf.DUMMYFUNCTION("GOOGLETRANSLATE(A4585, ""zh-CN"", ""ko"")"),"극심한")</f>
        <v>극심한</v>
      </c>
    </row>
    <row r="4586" ht="15.75" customHeight="1">
      <c r="A4586" s="1" t="s">
        <v>13525</v>
      </c>
      <c r="B4586" s="1">
        <v>6.0</v>
      </c>
      <c r="C4586" s="1" t="s">
        <v>13526</v>
      </c>
      <c r="D4586" s="1" t="s">
        <v>16</v>
      </c>
      <c r="E4586" s="1" t="s">
        <v>13527</v>
      </c>
      <c r="F4586" s="1" t="str">
        <f>IFERROR(__xludf.DUMMYFUNCTION("GOOGLETRANSLATE(A4586, ""zh-CN"", ""ko"")"),"비고")</f>
        <v>비고</v>
      </c>
    </row>
    <row r="4587" ht="15.75" customHeight="1">
      <c r="A4587" s="1" t="s">
        <v>13528</v>
      </c>
      <c r="B4587" s="1">
        <v>6.0</v>
      </c>
      <c r="C4587" s="1" t="s">
        <v>13529</v>
      </c>
      <c r="D4587" s="1" t="s">
        <v>52</v>
      </c>
      <c r="E4587" s="1" t="s">
        <v>13530</v>
      </c>
      <c r="F4587" s="1" t="str">
        <f>IFERROR(__xludf.DUMMYFUNCTION("GOOGLETRANSLATE(A4587, ""zh-CN"", ""ko"")"),"단단한")</f>
        <v>단단한</v>
      </c>
    </row>
    <row r="4588" ht="15.75" customHeight="1">
      <c r="A4588" s="1" t="s">
        <v>13531</v>
      </c>
      <c r="B4588" s="1">
        <v>6.0</v>
      </c>
      <c r="C4588" s="1" t="s">
        <v>13532</v>
      </c>
      <c r="D4588" s="1" t="s">
        <v>8</v>
      </c>
      <c r="E4588" s="1" t="s">
        <v>13533</v>
      </c>
      <c r="F4588" s="1" t="str">
        <f>IFERROR(__xludf.DUMMYFUNCTION("GOOGLETRANSLATE(A4588, ""zh-CN"", ""ko"")"),"연기하다")</f>
        <v>연기하다</v>
      </c>
    </row>
    <row r="4589" ht="15.75" customHeight="1">
      <c r="A4589" s="1" t="s">
        <v>13534</v>
      </c>
      <c r="B4589" s="1">
        <v>6.0</v>
      </c>
      <c r="C4589" s="1" t="s">
        <v>13535</v>
      </c>
      <c r="D4589" s="1" t="s">
        <v>52</v>
      </c>
      <c r="E4589" s="1" t="s">
        <v>13536</v>
      </c>
      <c r="F4589" s="1" t="str">
        <f>IFERROR(__xludf.DUMMYFUNCTION("GOOGLETRANSLATE(A4589, ""zh-CN"", ""ko"")"),"더운")</f>
        <v>더운</v>
      </c>
    </row>
    <row r="4590" ht="15.75" customHeight="1">
      <c r="A4590" s="1" t="s">
        <v>13537</v>
      </c>
      <c r="B4590" s="1">
        <v>6.0</v>
      </c>
      <c r="C4590" s="1" t="s">
        <v>13538</v>
      </c>
      <c r="D4590" s="1" t="s">
        <v>8</v>
      </c>
      <c r="E4590" s="1" t="s">
        <v>13539</v>
      </c>
      <c r="F4590" s="1" t="str">
        <f>IFERROR(__xludf.DUMMYFUNCTION("GOOGLETRANSLATE(A4590, ""zh-CN"", ""ko"")"),"연장하다")</f>
        <v>연장하다</v>
      </c>
    </row>
    <row r="4591" ht="15.75" customHeight="1">
      <c r="A4591" s="1" t="s">
        <v>13540</v>
      </c>
      <c r="B4591" s="1">
        <v>6.0</v>
      </c>
      <c r="C4591" s="1" t="s">
        <v>13541</v>
      </c>
      <c r="D4591" s="1" t="s">
        <v>16</v>
      </c>
      <c r="E4591" s="1" t="s">
        <v>13542</v>
      </c>
      <c r="F4591" s="1" t="str">
        <f>IFERROR(__xludf.DUMMYFUNCTION("GOOGLETRANSLATE(A4591, ""zh-CN"", ""ko"")"),"바위")</f>
        <v>바위</v>
      </c>
    </row>
    <row r="4592" ht="15.75" customHeight="1">
      <c r="A4592" s="1" t="s">
        <v>13543</v>
      </c>
      <c r="B4592" s="1">
        <v>6.0</v>
      </c>
      <c r="C4592" s="1" t="s">
        <v>13544</v>
      </c>
      <c r="D4592" s="1" t="s">
        <v>8</v>
      </c>
      <c r="E4592" s="1" t="s">
        <v>13545</v>
      </c>
      <c r="F4592" s="1" t="str">
        <f>IFERROR(__xludf.DUMMYFUNCTION("GOOGLETRANSLATE(A4592, ""zh-CN"", ""ko"")"),"계속하다")</f>
        <v>계속하다</v>
      </c>
    </row>
    <row r="4593" ht="15.75" customHeight="1">
      <c r="A4593" s="1" t="s">
        <v>13546</v>
      </c>
      <c r="B4593" s="1">
        <v>6.0</v>
      </c>
      <c r="C4593" s="1" t="s">
        <v>13547</v>
      </c>
      <c r="D4593" s="1" t="s">
        <v>8</v>
      </c>
      <c r="E4593" s="1" t="s">
        <v>13548</v>
      </c>
      <c r="F4593" s="1" t="str">
        <f>IFERROR(__xludf.DUMMYFUNCTION("GOOGLETRANSLATE(A4593, ""zh-CN"", ""ko"")"),"진화")</f>
        <v>진화</v>
      </c>
    </row>
    <row r="4594" ht="15.75" customHeight="1">
      <c r="A4594" s="1" t="s">
        <v>13549</v>
      </c>
      <c r="B4594" s="1">
        <v>6.0</v>
      </c>
      <c r="C4594" s="1" t="s">
        <v>13550</v>
      </c>
      <c r="D4594" s="1" t="s">
        <v>8</v>
      </c>
      <c r="E4594" s="1" t="s">
        <v>13551</v>
      </c>
      <c r="F4594" s="1" t="str">
        <f>IFERROR(__xludf.DUMMYFUNCTION("GOOGLETRANSLATE(A4594, ""zh-CN"", ""ko"")"),"씌우다")</f>
        <v>씌우다</v>
      </c>
    </row>
    <row r="4595" ht="15.75" customHeight="1">
      <c r="A4595" s="1" t="s">
        <v>13552</v>
      </c>
      <c r="B4595" s="1">
        <v>6.0</v>
      </c>
      <c r="C4595" s="1" t="s">
        <v>13553</v>
      </c>
      <c r="D4595" s="1" t="s">
        <v>16</v>
      </c>
      <c r="E4595" s="1" t="s">
        <v>13554</v>
      </c>
      <c r="F4595" s="1" t="str">
        <f>IFERROR(__xludf.DUMMYFUNCTION("GOOGLETRANSLATE(A4595, ""zh-CN"", ""ko"")"),"비전")</f>
        <v>비전</v>
      </c>
    </row>
    <row r="4596" ht="15.75" customHeight="1">
      <c r="A4596" s="1" t="s">
        <v>13555</v>
      </c>
      <c r="B4596" s="1">
        <v>6.0</v>
      </c>
      <c r="C4596" s="1" t="s">
        <v>13556</v>
      </c>
      <c r="D4596" s="1" t="s">
        <v>8</v>
      </c>
      <c r="E4596" s="1" t="s">
        <v>13557</v>
      </c>
      <c r="F4596" s="1" t="str">
        <f>IFERROR(__xludf.DUMMYFUNCTION("GOOGLETRANSLATE(A4596, ""zh-CN"", ""ko"")"),"씌우다")</f>
        <v>씌우다</v>
      </c>
    </row>
    <row r="4597" ht="15.75" customHeight="1">
      <c r="A4597" s="1" t="s">
        <v>13558</v>
      </c>
      <c r="B4597" s="1">
        <v>6.0</v>
      </c>
      <c r="C4597" s="1" t="s">
        <v>13559</v>
      </c>
      <c r="D4597" s="1" t="s">
        <v>16</v>
      </c>
      <c r="E4597" s="1" t="s">
        <v>13560</v>
      </c>
      <c r="F4597" s="1" t="str">
        <f>IFERROR(__xludf.DUMMYFUNCTION("GOOGLETRANSLATE(A4597, ""zh-CN"", ""ko"")"),"눈맞춤")</f>
        <v>눈맞춤</v>
      </c>
    </row>
    <row r="4598" ht="15.75" customHeight="1">
      <c r="A4598" s="1" t="s">
        <v>13561</v>
      </c>
      <c r="B4598" s="1">
        <v>6.0</v>
      </c>
      <c r="C4598" s="1" t="s">
        <v>13562</v>
      </c>
      <c r="D4598" s="1" t="s">
        <v>16</v>
      </c>
      <c r="E4598" s="1" t="s">
        <v>13563</v>
      </c>
      <c r="F4598" s="1" t="str">
        <f>IFERROR(__xludf.DUMMYFUNCTION("GOOGLETRANSLATE(A4598, ""zh-CN"", ""ko"")"),"눈")</f>
        <v>눈</v>
      </c>
    </row>
    <row r="4599" ht="15.75" customHeight="1">
      <c r="A4599" s="1" t="s">
        <v>13564</v>
      </c>
      <c r="B4599" s="1">
        <v>6.0</v>
      </c>
      <c r="C4599" s="1" t="s">
        <v>13565</v>
      </c>
      <c r="D4599" s="1" t="s">
        <v>8</v>
      </c>
      <c r="E4599" s="1" t="s">
        <v>13566</v>
      </c>
      <c r="F4599" s="1" t="str">
        <f>IFERROR(__xludf.DUMMYFUNCTION("GOOGLETRANSLATE(A4599, ""zh-CN"", ""ko"")"),"은폐하다")</f>
        <v>은폐하다</v>
      </c>
    </row>
    <row r="4600" ht="15.75" customHeight="1">
      <c r="A4600" s="1" t="s">
        <v>13567</v>
      </c>
      <c r="B4600" s="1">
        <v>6.0</v>
      </c>
      <c r="C4600" s="1" t="s">
        <v>13568</v>
      </c>
      <c r="D4600" s="1" t="s">
        <v>8</v>
      </c>
      <c r="E4600" s="1" t="s">
        <v>13569</v>
      </c>
      <c r="F4600" s="1" t="str">
        <f>IFERROR(__xludf.DUMMYFUNCTION("GOOGLETRANSLATE(A4600, ""zh-CN"", ""ko"")"),"운동")</f>
        <v>운동</v>
      </c>
    </row>
    <row r="4601" ht="15.75" customHeight="1">
      <c r="A4601" s="1" t="s">
        <v>13570</v>
      </c>
      <c r="B4601" s="1">
        <v>6.0</v>
      </c>
      <c r="C4601" s="1" t="s">
        <v>13571</v>
      </c>
      <c r="D4601" s="1" t="s">
        <v>8</v>
      </c>
      <c r="E4601" s="1" t="s">
        <v>13572</v>
      </c>
      <c r="F4601" s="1" t="str">
        <f>IFERROR(__xludf.DUMMYFUNCTION("GOOGLETRANSLATE(A4601, ""zh-CN"", ""ko"")"),"성능")</f>
        <v>성능</v>
      </c>
    </row>
    <row r="4602" ht="15.75" customHeight="1">
      <c r="A4602" s="1" t="s">
        <v>13573</v>
      </c>
      <c r="B4602" s="1">
        <v>6.0</v>
      </c>
      <c r="C4602" s="1" t="s">
        <v>13574</v>
      </c>
      <c r="D4602" s="1" t="s">
        <v>8</v>
      </c>
      <c r="E4602" s="1" t="s">
        <v>13575</v>
      </c>
      <c r="F4602" s="1" t="str">
        <f>IFERROR(__xludf.DUMMYFUNCTION("GOOGLETRANSLATE(A4602, ""zh-CN"", ""ko"")"),"놀다")</f>
        <v>놀다</v>
      </c>
    </row>
    <row r="4603" ht="15.75" customHeight="1">
      <c r="A4603" s="1" t="s">
        <v>13576</v>
      </c>
      <c r="B4603" s="1">
        <v>6.0</v>
      </c>
      <c r="C4603" s="1" t="s">
        <v>13577</v>
      </c>
      <c r="D4603" s="1" t="s">
        <v>8</v>
      </c>
      <c r="E4603" s="1" t="s">
        <v>13578</v>
      </c>
      <c r="F4603" s="1" t="str">
        <f>IFERROR(__xludf.DUMMYFUNCTION("GOOGLETRANSLATE(A4603, ""zh-CN"", ""ko"")"),"수락")</f>
        <v>수락</v>
      </c>
    </row>
    <row r="4604" ht="15.75" customHeight="1">
      <c r="A4604" s="1" t="s">
        <v>13579</v>
      </c>
      <c r="B4604" s="1">
        <v>6.0</v>
      </c>
      <c r="C4604" s="1" t="s">
        <v>13580</v>
      </c>
      <c r="D4604" s="1" t="s">
        <v>8</v>
      </c>
      <c r="E4604" s="1" t="s">
        <v>13581</v>
      </c>
      <c r="F4604" s="1" t="str">
        <f>IFERROR(__xludf.DUMMYFUNCTION("GOOGLETRANSLATE(A4604, ""zh-CN"", ""ko"")"),"싫음")</f>
        <v>싫음</v>
      </c>
    </row>
    <row r="4605" ht="15.75" customHeight="1">
      <c r="A4605" s="1" t="s">
        <v>13582</v>
      </c>
      <c r="B4605" s="1">
        <v>6.0</v>
      </c>
      <c r="C4605" s="1" t="s">
        <v>13583</v>
      </c>
      <c r="D4605" s="1" t="s">
        <v>8</v>
      </c>
      <c r="E4605" s="1" t="s">
        <v>13584</v>
      </c>
      <c r="F4605" s="1" t="str">
        <f>IFERROR(__xludf.DUMMYFUNCTION("GOOGLETRANSLATE(A4605, ""zh-CN"", ""ko"")"),"확인하다")</f>
        <v>확인하다</v>
      </c>
    </row>
    <row r="4606" ht="15.75" customHeight="1">
      <c r="A4606" s="1" t="s">
        <v>13585</v>
      </c>
      <c r="B4606" s="1">
        <v>6.0</v>
      </c>
      <c r="C4606" s="1" t="s">
        <v>13586</v>
      </c>
      <c r="D4606" s="1" t="s">
        <v>16</v>
      </c>
      <c r="E4606" s="1" t="s">
        <v>13587</v>
      </c>
      <c r="F4606" s="1" t="str">
        <f>IFERROR(__xludf.DUMMYFUNCTION("GOOGLETRANSLATE(A4606, ""zh-CN"", ""ko"")"),"산소")</f>
        <v>산소</v>
      </c>
    </row>
    <row r="4607" ht="15.75" customHeight="1">
      <c r="A4607" s="1" t="s">
        <v>13588</v>
      </c>
      <c r="B4607" s="1">
        <v>6.0</v>
      </c>
      <c r="C4607" s="1" t="s">
        <v>13589</v>
      </c>
      <c r="D4607" s="1" t="s">
        <v>16</v>
      </c>
      <c r="E4607" s="1" t="s">
        <v>13590</v>
      </c>
      <c r="F4607" s="1" t="str">
        <f>IFERROR(__xludf.DUMMYFUNCTION("GOOGLETRANSLATE(A4607, ""zh-CN"", ""ko"")"),"견본")</f>
        <v>견본</v>
      </c>
    </row>
    <row r="4608" ht="15.75" customHeight="1">
      <c r="A4608" s="1" t="s">
        <v>13591</v>
      </c>
      <c r="B4608" s="1">
        <v>6.0</v>
      </c>
      <c r="C4608" s="1" t="s">
        <v>13592</v>
      </c>
      <c r="D4608" s="1" t="s">
        <v>8</v>
      </c>
      <c r="E4608" s="1" t="s">
        <v>13593</v>
      </c>
      <c r="F4608" s="1" t="str">
        <f>IFERROR(__xludf.DUMMYFUNCTION("GOOGLETRANSLATE(A4608, ""zh-CN"", ""ko"")"),"그네")</f>
        <v>그네</v>
      </c>
    </row>
    <row r="4609" ht="15.75" customHeight="1">
      <c r="A4609" s="1" t="s">
        <v>13594</v>
      </c>
      <c r="B4609" s="1">
        <v>6.0</v>
      </c>
      <c r="C4609" s="1" t="s">
        <v>13595</v>
      </c>
      <c r="D4609" s="1" t="s">
        <v>16</v>
      </c>
      <c r="E4609" s="1" t="s">
        <v>13596</v>
      </c>
      <c r="F4609" s="1" t="str">
        <f>IFERROR(__xludf.DUMMYFUNCTION("GOOGLETRANSLATE(A4609, ""zh-CN"", ""ko"")"),"바위")</f>
        <v>바위</v>
      </c>
    </row>
    <row r="4610" ht="15.75" customHeight="1">
      <c r="A4610" s="1" t="s">
        <v>13597</v>
      </c>
      <c r="B4610" s="1">
        <v>6.0</v>
      </c>
      <c r="C4610" s="1" t="s">
        <v>13598</v>
      </c>
      <c r="D4610" s="1" t="s">
        <v>8</v>
      </c>
      <c r="E4610" s="1" t="s">
        <v>13599</v>
      </c>
      <c r="F4610" s="1" t="str">
        <f>IFERROR(__xludf.DUMMYFUNCTION("GOOGLETRANSLATE(A4610, ""zh-CN"", ""ko"")"),"리모컨")</f>
        <v>리모컨</v>
      </c>
    </row>
    <row r="4611" ht="15.75" customHeight="1">
      <c r="A4611" s="1" t="s">
        <v>13600</v>
      </c>
      <c r="B4611" s="1">
        <v>6.0</v>
      </c>
      <c r="C4611" s="1" t="s">
        <v>13601</v>
      </c>
      <c r="D4611" s="1" t="s">
        <v>16</v>
      </c>
      <c r="E4611" s="1" t="s">
        <v>13602</v>
      </c>
      <c r="F4611" s="1" t="str">
        <f>IFERROR(__xludf.DUMMYFUNCTION("GOOGLETRANSLATE(A4611, ""zh-CN"", ""ko"")"),"소문")</f>
        <v>소문</v>
      </c>
    </row>
    <row r="4612" ht="15.75" customHeight="1">
      <c r="A4612" s="1" t="s">
        <v>13603</v>
      </c>
      <c r="B4612" s="1">
        <v>6.0</v>
      </c>
      <c r="C4612" s="1" t="s">
        <v>13604</v>
      </c>
      <c r="D4612" s="1" t="s">
        <v>52</v>
      </c>
      <c r="E4612" s="1" t="s">
        <v>13605</v>
      </c>
      <c r="F4612" s="1" t="str">
        <f>IFERROR(__xludf.DUMMYFUNCTION("GOOGLETRANSLATE(A4612, ""zh-CN"", ""ko"")"),"먼")</f>
        <v>먼</v>
      </c>
    </row>
    <row r="4613" ht="15.75" customHeight="1">
      <c r="A4613" s="1" t="s">
        <v>13606</v>
      </c>
      <c r="B4613" s="1">
        <v>6.0</v>
      </c>
      <c r="C4613" s="1" t="s">
        <v>13607</v>
      </c>
      <c r="D4613" s="1" t="s">
        <v>16</v>
      </c>
      <c r="E4613" s="1" t="s">
        <v>13608</v>
      </c>
      <c r="F4613" s="1" t="str">
        <f>IFERROR(__xludf.DUMMYFUNCTION("GOOGLETRANSLATE(A4613, ""zh-CN"", ""ko"")"),"핵심 사항")</f>
        <v>핵심 사항</v>
      </c>
    </row>
    <row r="4614" ht="15.75" customHeight="1">
      <c r="A4614" s="1" t="s">
        <v>13609</v>
      </c>
      <c r="B4614" s="1">
        <v>6.0</v>
      </c>
      <c r="C4614" s="1" t="s">
        <v>13610</v>
      </c>
      <c r="D4614" s="1" t="s">
        <v>8</v>
      </c>
      <c r="E4614" s="1" t="s">
        <v>13611</v>
      </c>
      <c r="F4614" s="1" t="str">
        <f>IFERROR(__xludf.DUMMYFUNCTION("GOOGLETRANSLATE(A4614, ""zh-CN"", ""ko"")"),"치명적인")</f>
        <v>치명적인</v>
      </c>
    </row>
    <row r="4615" ht="15.75" customHeight="1">
      <c r="A4615" s="1" t="s">
        <v>13612</v>
      </c>
      <c r="B4615" s="1">
        <v>6.0</v>
      </c>
      <c r="C4615" s="1" t="s">
        <v>13613</v>
      </c>
      <c r="D4615" s="1" t="s">
        <v>16</v>
      </c>
      <c r="E4615" s="1" t="s">
        <v>13614</v>
      </c>
      <c r="F4615" s="1" t="str">
        <f>IFERROR(__xludf.DUMMYFUNCTION("GOOGLETRANSLATE(A4615, ""zh-CN"", ""ko"")"),"강요")</f>
        <v>강요</v>
      </c>
    </row>
    <row r="4616" ht="15.75" customHeight="1">
      <c r="A4616" s="1" t="s">
        <v>13615</v>
      </c>
      <c r="B4616" s="1">
        <v>6.0</v>
      </c>
      <c r="C4616" s="1" t="s">
        <v>13616</v>
      </c>
      <c r="D4616" s="1" t="s">
        <v>52</v>
      </c>
      <c r="E4616" s="1" t="s">
        <v>13617</v>
      </c>
      <c r="F4616" s="1" t="str">
        <f>IFERROR(__xludf.DUMMYFUNCTION("GOOGLETRANSLATE(A4616, ""zh-CN"", ""ko"")"),"눈부신")</f>
        <v>눈부신</v>
      </c>
    </row>
    <row r="4617" ht="15.75" customHeight="1">
      <c r="A4617" s="1" t="s">
        <v>13618</v>
      </c>
      <c r="B4617" s="1">
        <v>6.0</v>
      </c>
      <c r="C4617" s="1" t="s">
        <v>13619</v>
      </c>
      <c r="D4617" s="1" t="s">
        <v>52</v>
      </c>
      <c r="E4617" s="1" t="s">
        <v>13620</v>
      </c>
      <c r="F4617" s="1" t="str">
        <f>IFERROR(__xludf.DUMMYFUNCTION("GOOGLETRANSLATE(A4617, ""zh-CN"", ""ko"")"),"잔인한")</f>
        <v>잔인한</v>
      </c>
    </row>
    <row r="4618" ht="15.75" customHeight="1">
      <c r="A4618" s="1" t="s">
        <v>13621</v>
      </c>
      <c r="B4618" s="1">
        <v>6.0</v>
      </c>
      <c r="C4618" s="1" t="s">
        <v>13622</v>
      </c>
      <c r="D4618" s="1" t="s">
        <v>16</v>
      </c>
      <c r="E4618" s="1" t="s">
        <v>13623</v>
      </c>
      <c r="F4618" s="1" t="str">
        <f>IFERROR(__xludf.DUMMYFUNCTION("GOOGLETRANSLATE(A4618, ""zh-CN"", ""ko"")"),"큰 뜻")</f>
        <v>큰 뜻</v>
      </c>
    </row>
    <row r="4619" ht="15.75" customHeight="1">
      <c r="A4619" s="1" t="s">
        <v>13624</v>
      </c>
      <c r="B4619" s="1">
        <v>6.0</v>
      </c>
      <c r="C4619" s="1" t="s">
        <v>13625</v>
      </c>
      <c r="D4619" s="1" t="s">
        <v>16</v>
      </c>
      <c r="E4619" s="1" t="s">
        <v>13626</v>
      </c>
      <c r="F4619" s="1" t="str">
        <f>IFERROR(__xludf.DUMMYFUNCTION("GOOGLETRANSLATE(A4619, ""zh-CN"", ""ko"")"),"액체")</f>
        <v>액체</v>
      </c>
    </row>
    <row r="4620" ht="15.75" customHeight="1">
      <c r="A4620" s="1" t="s">
        <v>13627</v>
      </c>
      <c r="B4620" s="1">
        <v>6.0</v>
      </c>
      <c r="C4620" s="1" t="s">
        <v>13628</v>
      </c>
      <c r="D4620" s="1" t="s">
        <v>33</v>
      </c>
      <c r="E4620" s="1" t="s">
        <v>13629</v>
      </c>
      <c r="F4620" s="1" t="str">
        <f>IFERROR(__xludf.DUMMYFUNCTION("GOOGLETRANSLATE(A4620, ""zh-CN"", ""ko"")"),"아직")</f>
        <v>아직</v>
      </c>
    </row>
    <row r="4621" ht="15.75" customHeight="1">
      <c r="A4621" s="1" t="s">
        <v>13630</v>
      </c>
      <c r="B4621" s="1">
        <v>6.0</v>
      </c>
      <c r="C4621" s="1" t="s">
        <v>13631</v>
      </c>
      <c r="D4621" s="1" t="s">
        <v>13632</v>
      </c>
      <c r="E4621" s="1" t="s">
        <v>13633</v>
      </c>
      <c r="F4621" s="1" t="str">
        <f>IFERROR(__xludf.DUMMYFUNCTION("GOOGLETRANSLATE(A4621, ""zh-CN"", ""ko"")"),"~에 따라")</f>
        <v>~에 따라</v>
      </c>
    </row>
    <row r="4622" ht="15.75" customHeight="1">
      <c r="A4622" s="1" t="s">
        <v>13634</v>
      </c>
      <c r="B4622" s="1">
        <v>6.0</v>
      </c>
      <c r="C4622" s="1" t="s">
        <v>13635</v>
      </c>
      <c r="D4622" s="1" t="s">
        <v>8</v>
      </c>
      <c r="E4622" s="1" t="s">
        <v>13636</v>
      </c>
      <c r="F4622" s="1" t="str">
        <f>IFERROR(__xludf.DUMMYFUNCTION("GOOGLETRANSLATE(A4622, ""zh-CN"", ""ko"")"),"의존하다")</f>
        <v>의존하다</v>
      </c>
    </row>
    <row r="4623" ht="15.75" customHeight="1">
      <c r="A4623" s="1" t="s">
        <v>13637</v>
      </c>
      <c r="B4623" s="1">
        <v>6.0</v>
      </c>
      <c r="C4623" s="1" t="s">
        <v>13638</v>
      </c>
      <c r="D4623" s="1" t="s">
        <v>8</v>
      </c>
      <c r="E4623" s="1" t="s">
        <v>13639</v>
      </c>
      <c r="F4623" s="1" t="str">
        <f>IFERROR(__xludf.DUMMYFUNCTION("GOOGLETRANSLATE(A4623, ""zh-CN"", ""ko"")"),"의존하다")</f>
        <v>의존하다</v>
      </c>
    </row>
    <row r="4624" ht="15.75" customHeight="1">
      <c r="A4624" s="1" t="s">
        <v>13640</v>
      </c>
      <c r="B4624" s="1">
        <v>6.0</v>
      </c>
      <c r="C4624" s="1" t="s">
        <v>13641</v>
      </c>
      <c r="D4624" s="1" t="s">
        <v>52</v>
      </c>
      <c r="E4624" s="1" t="s">
        <v>13642</v>
      </c>
      <c r="F4624" s="1" t="str">
        <f>IFERROR(__xludf.DUMMYFUNCTION("GOOGLETRANSLATE(A4624, ""zh-CN"", ""ko"")"),"일등석")</f>
        <v>일등석</v>
      </c>
    </row>
    <row r="4625" ht="15.75" customHeight="1">
      <c r="A4625" s="1" t="s">
        <v>13643</v>
      </c>
      <c r="B4625" s="1">
        <v>6.0</v>
      </c>
      <c r="C4625" s="1" t="s">
        <v>13644</v>
      </c>
      <c r="E4625" s="1" t="s">
        <v>13645</v>
      </c>
      <c r="F4625" s="1" t="str">
        <f>IFERROR(__xludf.DUMMYFUNCTION("GOOGLETRANSLATE(A4625, ""zh-CN"", ""ko"")"),"늘 그렇듯이")</f>
        <v>늘 그렇듯이</v>
      </c>
    </row>
    <row r="4626" ht="15.75" customHeight="1">
      <c r="A4626" s="1" t="s">
        <v>13646</v>
      </c>
      <c r="B4626" s="1">
        <v>6.0</v>
      </c>
      <c r="C4626" s="1" t="s">
        <v>13647</v>
      </c>
      <c r="D4626" s="1" t="s">
        <v>16</v>
      </c>
      <c r="E4626" s="1" t="s">
        <v>13648</v>
      </c>
      <c r="F4626" s="1" t="str">
        <f>IFERROR(__xludf.DUMMYFUNCTION("GOOGLETRANSLATE(A4626, ""zh-CN"", ""ko"")"),"옷")</f>
        <v>옷</v>
      </c>
    </row>
    <row r="4627" ht="15.75" customHeight="1">
      <c r="A4627" s="1" t="s">
        <v>13649</v>
      </c>
      <c r="B4627" s="1">
        <v>6.0</v>
      </c>
      <c r="C4627" s="1" t="s">
        <v>13650</v>
      </c>
      <c r="D4627" s="1" t="s">
        <v>8</v>
      </c>
      <c r="E4627" s="1" t="s">
        <v>13636</v>
      </c>
      <c r="F4627" s="1" t="str">
        <f>IFERROR(__xludf.DUMMYFUNCTION("GOOGLETRANSLATE(A4627, ""zh-CN"", ""ko"")"),"~에 의존하여")</f>
        <v>~에 의존하여</v>
      </c>
    </row>
    <row r="4628" ht="15.75" customHeight="1">
      <c r="A4628" s="1" t="s">
        <v>13651</v>
      </c>
      <c r="B4628" s="1">
        <v>6.0</v>
      </c>
      <c r="C4628" s="1" t="s">
        <v>13652</v>
      </c>
      <c r="D4628" s="1" t="s">
        <v>16</v>
      </c>
      <c r="E4628" s="1" t="s">
        <v>13653</v>
      </c>
      <c r="F4628" s="1" t="str">
        <f>IFERROR(__xludf.DUMMYFUNCTION("GOOGLETRANSLATE(A4628, ""zh-CN"", ""ko"")"),"유산")</f>
        <v>유산</v>
      </c>
    </row>
    <row r="4629" ht="15.75" customHeight="1">
      <c r="A4629" s="1" t="s">
        <v>13654</v>
      </c>
      <c r="B4629" s="1">
        <v>6.0</v>
      </c>
      <c r="C4629" s="1" t="s">
        <v>13655</v>
      </c>
      <c r="D4629" s="1" t="s">
        <v>8</v>
      </c>
      <c r="E4629" s="1" t="s">
        <v>13656</v>
      </c>
      <c r="F4629" s="1" t="str">
        <f>IFERROR(__xludf.DUMMYFUNCTION("GOOGLETRANSLATE(A4629, ""zh-CN"", ""ko"")"),"유전")</f>
        <v>유전</v>
      </c>
    </row>
    <row r="4630" ht="15.75" customHeight="1">
      <c r="A4630" s="1" t="s">
        <v>13657</v>
      </c>
      <c r="B4630" s="1">
        <v>6.0</v>
      </c>
      <c r="C4630" s="1" t="s">
        <v>13658</v>
      </c>
      <c r="D4630" s="1" t="s">
        <v>33</v>
      </c>
      <c r="E4630" s="1" t="s">
        <v>13659</v>
      </c>
      <c r="F4630" s="1" t="str">
        <f>IFERROR(__xludf.DUMMYFUNCTION("GOOGLETRANSLATE(A4630, ""zh-CN"", ""ko"")"),"일회")</f>
        <v>일회</v>
      </c>
    </row>
    <row r="4631" ht="15.75" customHeight="1">
      <c r="A4631" s="1" t="s">
        <v>13660</v>
      </c>
      <c r="B4631" s="1">
        <v>6.0</v>
      </c>
      <c r="C4631" s="1" t="s">
        <v>13661</v>
      </c>
      <c r="D4631" s="1" t="s">
        <v>52</v>
      </c>
      <c r="E4631" s="1" t="s">
        <v>13662</v>
      </c>
      <c r="F4631" s="1" t="str">
        <f>IFERROR(__xludf.DUMMYFUNCTION("GOOGLETRANSLATE(A4631, ""zh-CN"", ""ko"")"),"일관된")</f>
        <v>일관된</v>
      </c>
    </row>
    <row r="4632" ht="15.75" customHeight="1">
      <c r="A4632" s="1" t="s">
        <v>13663</v>
      </c>
      <c r="B4632" s="1">
        <v>6.0</v>
      </c>
      <c r="C4632" s="1" t="s">
        <v>13664</v>
      </c>
      <c r="D4632" s="1" t="s">
        <v>16</v>
      </c>
      <c r="E4632" s="1" t="s">
        <v>13665</v>
      </c>
      <c r="F4632" s="1" t="str">
        <f>IFERROR(__xludf.DUMMYFUNCTION("GOOGLETRANSLATE(A4632, ""zh-CN"", ""ko"")"),"혼란시키다")</f>
        <v>혼란시키다</v>
      </c>
    </row>
    <row r="4633" ht="15.75" customHeight="1">
      <c r="A4633" s="1" t="s">
        <v>13666</v>
      </c>
      <c r="B4633" s="1">
        <v>6.0</v>
      </c>
      <c r="C4633" s="1" t="s">
        <v>13667</v>
      </c>
      <c r="D4633" s="1" t="s">
        <v>8</v>
      </c>
      <c r="E4633" s="1" t="s">
        <v>13668</v>
      </c>
      <c r="F4633" s="1" t="str">
        <f>IFERROR(__xludf.DUMMYFUNCTION("GOOGLETRANSLATE(A4633, ""zh-CN"", ""ko"")"),"유산")</f>
        <v>유산</v>
      </c>
    </row>
    <row r="4634" ht="15.75" customHeight="1">
      <c r="A4634" s="1" t="s">
        <v>13669</v>
      </c>
      <c r="B4634" s="1">
        <v>6.0</v>
      </c>
      <c r="C4634" s="1" t="s">
        <v>13670</v>
      </c>
      <c r="E4634" s="1" t="s">
        <v>13671</v>
      </c>
      <c r="F4634" s="1" t="str">
        <f>IFERROR(__xludf.DUMMYFUNCTION("GOOGLETRANSLATE(A4634, ""zh-CN"", ""ko"")"),"한눈에 명확함")</f>
        <v>한눈에 명확함</v>
      </c>
    </row>
    <row r="4635" ht="15.75" customHeight="1">
      <c r="A4635" s="1" t="s">
        <v>13672</v>
      </c>
      <c r="B4635" s="1">
        <v>6.0</v>
      </c>
      <c r="C4635" s="1" t="s">
        <v>13673</v>
      </c>
      <c r="D4635" s="1" t="s">
        <v>16</v>
      </c>
      <c r="E4635" s="1" t="s">
        <v>13674</v>
      </c>
      <c r="F4635" s="1" t="str">
        <f>IFERROR(__xludf.DUMMYFUNCTION("GOOGLETRANSLATE(A4635, ""zh-CN"", ""ko"")"),"기구")</f>
        <v>기구</v>
      </c>
    </row>
    <row r="4636" ht="15.75" customHeight="1">
      <c r="A4636" s="1" t="s">
        <v>13675</v>
      </c>
      <c r="B4636" s="1">
        <v>6.0</v>
      </c>
      <c r="C4636" s="1" t="s">
        <v>13676</v>
      </c>
      <c r="D4636" s="1" t="s">
        <v>8</v>
      </c>
      <c r="E4636" s="1" t="s">
        <v>2052</v>
      </c>
      <c r="F4636" s="1" t="str">
        <f>IFERROR(__xludf.DUMMYFUNCTION("GOOGLETRANSLATE(A4636, ""zh-CN"", ""ko"")"),"잃어버린")</f>
        <v>잃어버린</v>
      </c>
    </row>
    <row r="4637" ht="15.75" customHeight="1">
      <c r="A4637" s="1" t="s">
        <v>13677</v>
      </c>
      <c r="B4637" s="1">
        <v>6.0</v>
      </c>
      <c r="C4637" s="1" t="s">
        <v>13678</v>
      </c>
      <c r="D4637" s="1" t="s">
        <v>16</v>
      </c>
      <c r="E4637" s="1" t="s">
        <v>13679</v>
      </c>
      <c r="F4637" s="1" t="str">
        <f>IFERROR(__xludf.DUMMYFUNCTION("GOOGLETRANSLATE(A4637, ""zh-CN"", ""ko"")"),"의식")</f>
        <v>의식</v>
      </c>
    </row>
    <row r="4638" ht="15.75" customHeight="1">
      <c r="A4638" s="1" t="s">
        <v>13680</v>
      </c>
      <c r="B4638" s="1">
        <v>6.0</v>
      </c>
      <c r="C4638" s="1" t="s">
        <v>13681</v>
      </c>
      <c r="D4638" s="1" t="s">
        <v>33</v>
      </c>
      <c r="E4638" s="1" t="s">
        <v>13682</v>
      </c>
      <c r="F4638" s="1" t="str">
        <f>IFERROR(__xludf.DUMMYFUNCTION("GOOGLETRANSLATE(A4638, ""zh-CN"", ""ko"")"),"언제나")</f>
        <v>언제나</v>
      </c>
    </row>
    <row r="4639" ht="15.75" customHeight="1">
      <c r="A4639" s="1" t="s">
        <v>13683</v>
      </c>
      <c r="B4639" s="1">
        <v>6.0</v>
      </c>
      <c r="C4639" s="1" t="s">
        <v>13684</v>
      </c>
      <c r="D4639" s="1" t="s">
        <v>1473</v>
      </c>
      <c r="E4639" s="1" t="s">
        <v>13685</v>
      </c>
      <c r="F4639" s="1" t="str">
        <f>IFERROR(__xludf.DUMMYFUNCTION("GOOGLETRANSLATE(A4639, ""zh-CN"", ""ko"")"),"~하도록 하다")</f>
        <v>~하도록 하다</v>
      </c>
    </row>
    <row r="4640" ht="15.75" customHeight="1">
      <c r="A4640" s="1" t="s">
        <v>13686</v>
      </c>
      <c r="B4640" s="1">
        <v>6.0</v>
      </c>
      <c r="C4640" s="1" t="s">
        <v>13687</v>
      </c>
      <c r="D4640" s="1" t="s">
        <v>1473</v>
      </c>
      <c r="E4640" s="1" t="s">
        <v>13688</v>
      </c>
      <c r="F4640" s="1" t="str">
        <f>IFERROR(__xludf.DUMMYFUNCTION("GOOGLETRANSLATE(A4640, ""zh-CN"", ""ko"")"),"그러지 않도록")</f>
        <v>그러지 않도록</v>
      </c>
    </row>
    <row r="4641" ht="15.75" customHeight="1">
      <c r="A4641" s="1" t="s">
        <v>13689</v>
      </c>
      <c r="B4641" s="1">
        <v>6.0</v>
      </c>
      <c r="C4641" s="1" t="s">
        <v>13690</v>
      </c>
      <c r="D4641" s="1" t="s">
        <v>16</v>
      </c>
      <c r="E4641" s="1" t="s">
        <v>13691</v>
      </c>
      <c r="F4641" s="1" t="str">
        <f>IFERROR(__xludf.DUMMYFUNCTION("GOOGLETRANSLATE(A4641, ""zh-CN"", ""ko"")"),"과거에")</f>
        <v>과거에</v>
      </c>
    </row>
    <row r="4642" ht="15.75" customHeight="1">
      <c r="A4642" s="1" t="s">
        <v>13692</v>
      </c>
      <c r="B4642" s="1">
        <v>6.0</v>
      </c>
      <c r="C4642" s="1" t="s">
        <v>13693</v>
      </c>
      <c r="D4642" s="1" t="s">
        <v>1473</v>
      </c>
      <c r="E4642" s="1" t="s">
        <v>13694</v>
      </c>
      <c r="F4642" s="1" t="str">
        <f>IFERROR(__xludf.DUMMYFUNCTION("GOOGLETRANSLATE(A4642, ""zh-CN"", ""ko"")"),"그래서")</f>
        <v>그래서</v>
      </c>
    </row>
    <row r="4643" ht="15.75" customHeight="1">
      <c r="A4643" s="1" t="s">
        <v>13695</v>
      </c>
      <c r="B4643" s="1">
        <v>6.0</v>
      </c>
      <c r="C4643" s="1" t="s">
        <v>13693</v>
      </c>
      <c r="D4643" s="1" t="s">
        <v>1473</v>
      </c>
      <c r="E4643" s="1" t="s">
        <v>13696</v>
      </c>
      <c r="F4643" s="1" t="str">
        <f>IFERROR(__xludf.DUMMYFUNCTION("GOOGLETRANSLATE(A4643, ""zh-CN"", ""ko"")"),"너무나 그렇습니다")</f>
        <v>너무나 그렇습니다</v>
      </c>
    </row>
    <row r="4644" ht="15.75" customHeight="1">
      <c r="A4644" s="1" t="s">
        <v>13697</v>
      </c>
      <c r="B4644" s="1">
        <v>6.0</v>
      </c>
      <c r="C4644" s="1" t="s">
        <v>6821</v>
      </c>
      <c r="D4644" s="1" t="s">
        <v>16</v>
      </c>
      <c r="E4644" s="1" t="s">
        <v>13698</v>
      </c>
      <c r="F4644" s="1" t="str">
        <f>IFERROR(__xludf.DUMMYFUNCTION("GOOGLETRANSLATE(A4644, ""zh-CN"", ""ko"")"),"비행")</f>
        <v>비행</v>
      </c>
    </row>
    <row r="4645" ht="15.75" customHeight="1">
      <c r="A4645" s="1" t="s">
        <v>13699</v>
      </c>
      <c r="B4645" s="1">
        <v>6.0</v>
      </c>
      <c r="C4645" s="1" t="s">
        <v>6821</v>
      </c>
      <c r="D4645" s="1" t="s">
        <v>33</v>
      </c>
      <c r="E4645" s="1" t="s">
        <v>13700</v>
      </c>
      <c r="F4645" s="1" t="str">
        <f>IFERROR(__xludf.DUMMYFUNCTION("GOOGLETRANSLATE(A4645, ""zh-CN"", ""ko"")"),"게다가")</f>
        <v>게다가</v>
      </c>
    </row>
    <row r="4646" ht="15.75" customHeight="1">
      <c r="A4646" s="1" t="s">
        <v>13701</v>
      </c>
      <c r="B4646" s="1">
        <v>6.0</v>
      </c>
      <c r="C4646" s="1" t="s">
        <v>13702</v>
      </c>
      <c r="D4646" s="1" t="s">
        <v>1994</v>
      </c>
      <c r="E4646" s="1" t="s">
        <v>13703</v>
      </c>
      <c r="F4646" s="1" t="str">
        <f>IFERROR(__xludf.DUMMYFUNCTION("GOOGLETRANSLATE(A4646, ""zh-CN"", ""ko"")"),"이상")</f>
        <v>이상</v>
      </c>
    </row>
    <row r="4647" ht="15.75" customHeight="1">
      <c r="A4647" s="1" t="s">
        <v>13704</v>
      </c>
      <c r="B4647" s="1">
        <v>6.0</v>
      </c>
      <c r="C4647" s="1" t="s">
        <v>13705</v>
      </c>
      <c r="E4647" s="1" t="s">
        <v>13706</v>
      </c>
      <c r="F4647" s="1" t="str">
        <f>IFERROR(__xludf.DUMMYFUNCTION("GOOGLETRANSLATE(A4647, ""zh-CN"", ""ko"")"),"순항")</f>
        <v>순항</v>
      </c>
    </row>
    <row r="4648" ht="15.75" customHeight="1">
      <c r="A4648" s="1" t="s">
        <v>13707</v>
      </c>
      <c r="B4648" s="1">
        <v>6.0</v>
      </c>
      <c r="C4648" s="1" t="s">
        <v>13708</v>
      </c>
      <c r="E4648" s="1" t="s">
        <v>13709</v>
      </c>
      <c r="F4648" s="1" t="str">
        <f>IFERROR(__xludf.DUMMYFUNCTION("GOOGLETRANSLATE(A4648, ""zh-CN"", ""ko"")"),"일석이조")</f>
        <v>일석이조</v>
      </c>
    </row>
    <row r="4649" ht="15.75" customHeight="1">
      <c r="A4649" s="1" t="s">
        <v>13710</v>
      </c>
      <c r="B4649" s="1">
        <v>6.0</v>
      </c>
      <c r="C4649" s="1" t="s">
        <v>13711</v>
      </c>
      <c r="D4649" s="1" t="s">
        <v>16</v>
      </c>
      <c r="E4649" s="1" t="s">
        <v>13712</v>
      </c>
      <c r="F4649" s="1" t="str">
        <f>IFERROR(__xludf.DUMMYFUNCTION("GOOGLETRANSLATE(A4649, ""zh-CN"", ""ko"")"),"~ 할 것이다")</f>
        <v>~ 할 것이다</v>
      </c>
    </row>
    <row r="4650" ht="15.75" customHeight="1">
      <c r="A4650" s="1" t="s">
        <v>13713</v>
      </c>
      <c r="B4650" s="1">
        <v>6.0</v>
      </c>
      <c r="C4650" s="1" t="s">
        <v>13714</v>
      </c>
      <c r="D4650" s="1" t="s">
        <v>8</v>
      </c>
      <c r="E4650" s="1" t="s">
        <v>13715</v>
      </c>
      <c r="F4650" s="1" t="str">
        <f>IFERROR(__xludf.DUMMYFUNCTION("GOOGLETRANSLATE(A4650, ""zh-CN"", ""ko"")"),"예상되는")</f>
        <v>예상되는</v>
      </c>
    </row>
    <row r="4651" ht="15.75" customHeight="1">
      <c r="A4651" s="1" t="s">
        <v>13716</v>
      </c>
      <c r="B4651" s="1">
        <v>6.0</v>
      </c>
      <c r="C4651" s="1" t="s">
        <v>13717</v>
      </c>
      <c r="D4651" s="1" t="s">
        <v>33</v>
      </c>
      <c r="E4651" s="1" t="s">
        <v>13718</v>
      </c>
      <c r="F4651" s="1" t="str">
        <f>IFERROR(__xludf.DUMMYFUNCTION("GOOGLETRANSLATE(A4651, ""zh-CN"", ""ko"")"),"단호하게")</f>
        <v>단호하게</v>
      </c>
    </row>
    <row r="4652" ht="15.75" customHeight="1">
      <c r="A4652" s="1" t="s">
        <v>13719</v>
      </c>
      <c r="B4652" s="1">
        <v>6.0</v>
      </c>
      <c r="C4652" s="1" t="s">
        <v>13720</v>
      </c>
      <c r="D4652" s="1" t="s">
        <v>113</v>
      </c>
      <c r="E4652" s="1" t="s">
        <v>13721</v>
      </c>
      <c r="F4652" s="1" t="str">
        <f>IFERROR(__xludf.DUMMYFUNCTION("GOOGLETRANSLATE(A4652, ""zh-CN"", ""ko"")"),"의식")</f>
        <v>의식</v>
      </c>
    </row>
    <row r="4653" ht="15.75" customHeight="1">
      <c r="A4653" s="1" t="s">
        <v>13722</v>
      </c>
      <c r="B4653" s="1">
        <v>6.0</v>
      </c>
      <c r="C4653" s="1" t="s">
        <v>13723</v>
      </c>
      <c r="E4653" s="1" t="s">
        <v>13724</v>
      </c>
      <c r="F4653" s="1" t="str">
        <f>IFERROR(__xludf.DUMMYFUNCTION("GOOGLETRANSLATE(A4653, ""zh-CN"", ""ko"")"),"꼼꼼한")</f>
        <v>꼼꼼한</v>
      </c>
    </row>
    <row r="4654" ht="15.75" customHeight="1">
      <c r="A4654" s="1" t="s">
        <v>13725</v>
      </c>
      <c r="B4654" s="1">
        <v>6.0</v>
      </c>
      <c r="C4654" s="1" t="s">
        <v>13726</v>
      </c>
      <c r="D4654" s="1" t="s">
        <v>113</v>
      </c>
      <c r="E4654" s="1" t="s">
        <v>13727</v>
      </c>
      <c r="F4654" s="1" t="str">
        <f>IFERROR(__xludf.DUMMYFUNCTION("GOOGLETRANSLATE(A4654, ""zh-CN"", ""ko"")"),"의도")</f>
        <v>의도</v>
      </c>
    </row>
    <row r="4655" ht="15.75" customHeight="1">
      <c r="A4655" s="1" t="s">
        <v>13728</v>
      </c>
      <c r="B4655" s="1">
        <v>6.0</v>
      </c>
      <c r="C4655" s="1" t="s">
        <v>13729</v>
      </c>
      <c r="D4655" s="1" t="s">
        <v>8</v>
      </c>
      <c r="E4655" s="1" t="s">
        <v>13730</v>
      </c>
      <c r="F4655" s="1" t="str">
        <f>IFERROR(__xludf.DUMMYFUNCTION("GOOGLETRANSLATE(A4655, ""zh-CN"", ""ko"")"),"평균")</f>
        <v>평균</v>
      </c>
    </row>
    <row r="4656" ht="15.75" customHeight="1">
      <c r="A4656" s="1" t="s">
        <v>13731</v>
      </c>
      <c r="B4656" s="1">
        <v>6.0</v>
      </c>
      <c r="C4656" s="1" t="s">
        <v>13732</v>
      </c>
      <c r="D4656" s="1" t="s">
        <v>16</v>
      </c>
      <c r="E4656" s="1" t="s">
        <v>13733</v>
      </c>
      <c r="F4656" s="1" t="str">
        <f>IFERROR(__xludf.DUMMYFUNCTION("GOOGLETRANSLATE(A4656, ""zh-CN"", ""ko"")"),"의도")</f>
        <v>의도</v>
      </c>
    </row>
    <row r="4657" ht="15.75" customHeight="1">
      <c r="A4657" s="1" t="s">
        <v>13734</v>
      </c>
      <c r="B4657" s="1">
        <v>6.0</v>
      </c>
      <c r="C4657" s="1" t="s">
        <v>13735</v>
      </c>
      <c r="D4657" s="1" t="s">
        <v>16</v>
      </c>
      <c r="E4657" s="1" t="s">
        <v>13736</v>
      </c>
      <c r="F4657" s="1" t="str">
        <f>IFERROR(__xludf.DUMMYFUNCTION("GOOGLETRANSLATE(A4657, ""zh-CN"", ""ko"")"),"~ 할 것이다")</f>
        <v>~ 할 것이다</v>
      </c>
    </row>
    <row r="4658" ht="15.75" customHeight="1">
      <c r="A4658" s="1" t="s">
        <v>13737</v>
      </c>
      <c r="B4658" s="1">
        <v>6.0</v>
      </c>
      <c r="C4658" s="1" t="s">
        <v>13738</v>
      </c>
      <c r="D4658" s="1" t="s">
        <v>16</v>
      </c>
      <c r="E4658" s="1" t="s">
        <v>13739</v>
      </c>
      <c r="F4658" s="1" t="str">
        <f>IFERROR(__xludf.DUMMYFUNCTION("GOOGLETRANSLATE(A4658, ""zh-CN"", ""ko"")"),"음모")</f>
        <v>음모</v>
      </c>
    </row>
    <row r="4659" ht="15.75" customHeight="1">
      <c r="A4659" s="1" t="s">
        <v>13740</v>
      </c>
      <c r="B4659" s="1">
        <v>6.0</v>
      </c>
      <c r="C4659" s="1" t="s">
        <v>13741</v>
      </c>
      <c r="D4659" s="1" t="s">
        <v>16</v>
      </c>
      <c r="E4659" s="1" t="s">
        <v>13742</v>
      </c>
      <c r="F4659" s="1" t="str">
        <f>IFERROR(__xludf.DUMMYFUNCTION("GOOGLETRANSLATE(A4659, ""zh-CN"", ""ko"")"),"오디오")</f>
        <v>오디오</v>
      </c>
    </row>
    <row r="4660" ht="15.75" customHeight="1">
      <c r="A4660" s="1" t="s">
        <v>13743</v>
      </c>
      <c r="B4660" s="1">
        <v>6.0</v>
      </c>
      <c r="C4660" s="1" t="s">
        <v>13744</v>
      </c>
      <c r="D4660" s="1" t="s">
        <v>1003</v>
      </c>
      <c r="E4660" s="1" t="s">
        <v>13745</v>
      </c>
      <c r="F4660" s="1" t="str">
        <f>IFERROR(__xludf.DUMMYFUNCTION("GOOGLETRANSLATE(A4660, ""zh-CN"", ""ko"")"),"숨겨진")</f>
        <v>숨겨진</v>
      </c>
    </row>
    <row r="4661" ht="15.75" customHeight="1">
      <c r="A4661" s="1" t="s">
        <v>13746</v>
      </c>
      <c r="B4661" s="1">
        <v>6.0</v>
      </c>
      <c r="C4661" s="1" t="s">
        <v>13747</v>
      </c>
      <c r="D4661" s="1" t="s">
        <v>8</v>
      </c>
      <c r="E4661" s="1" t="s">
        <v>13748</v>
      </c>
      <c r="F4661" s="1" t="str">
        <f>IFERROR(__xludf.DUMMYFUNCTION("GOOGLETRANSLATE(A4661, ""zh-CN"", ""ko"")"),"가이드")</f>
        <v>가이드</v>
      </c>
    </row>
    <row r="4662" ht="15.75" customHeight="1">
      <c r="A4662" s="1" t="s">
        <v>13749</v>
      </c>
      <c r="B4662" s="1">
        <v>6.0</v>
      </c>
      <c r="C4662" s="1" t="s">
        <v>13750</v>
      </c>
      <c r="D4662" s="1" t="s">
        <v>16</v>
      </c>
      <c r="E4662" s="1" t="s">
        <v>13751</v>
      </c>
      <c r="F4662" s="1" t="str">
        <f>IFERROR(__xludf.DUMMYFUNCTION("GOOGLETRANSLATE(A4662, ""zh-CN"", ""ko"")"),"숨겨진 위험")</f>
        <v>숨겨진 위험</v>
      </c>
    </row>
    <row r="4663" ht="15.75" customHeight="1">
      <c r="A4663" s="1" t="s">
        <v>13752</v>
      </c>
      <c r="B4663" s="1">
        <v>6.0</v>
      </c>
      <c r="C4663" s="1" t="s">
        <v>13753</v>
      </c>
      <c r="D4663" s="1" t="s">
        <v>8</v>
      </c>
      <c r="E4663" s="1" t="s">
        <v>13754</v>
      </c>
      <c r="F4663" s="1" t="str">
        <f>IFERROR(__xludf.DUMMYFUNCTION("GOOGLETRANSLATE(A4663, ""zh-CN"", ""ko"")"),"숨다")</f>
        <v>숨다</v>
      </c>
    </row>
    <row r="4664" ht="15.75" customHeight="1">
      <c r="A4664" s="1" t="s">
        <v>13755</v>
      </c>
      <c r="B4664" s="1">
        <v>6.0</v>
      </c>
      <c r="C4664" s="1" t="s">
        <v>13756</v>
      </c>
      <c r="D4664" s="1" t="s">
        <v>16</v>
      </c>
      <c r="E4664" s="1" t="s">
        <v>13757</v>
      </c>
      <c r="F4664" s="1" t="str">
        <f>IFERROR(__xludf.DUMMYFUNCTION("GOOGLETRANSLATE(A4664, ""zh-CN"", ""ko"")"),"엔진")</f>
        <v>엔진</v>
      </c>
    </row>
    <row r="4665" ht="15.75" customHeight="1">
      <c r="A4665" s="1" t="s">
        <v>13758</v>
      </c>
      <c r="B4665" s="1">
        <v>6.0</v>
      </c>
      <c r="C4665" s="1" t="s">
        <v>13759</v>
      </c>
      <c r="D4665" s="1" t="s">
        <v>16</v>
      </c>
      <c r="E4665" s="1" t="s">
        <v>13760</v>
      </c>
      <c r="F4665" s="1" t="str">
        <f>IFERROR(__xludf.DUMMYFUNCTION("GOOGLETRANSLATE(A4665, ""zh-CN"", ""ko"")"),"다이어트")</f>
        <v>다이어트</v>
      </c>
    </row>
    <row r="4666" ht="15.75" customHeight="1">
      <c r="A4666" s="1" t="s">
        <v>13761</v>
      </c>
      <c r="B4666" s="1">
        <v>6.0</v>
      </c>
      <c r="C4666" s="1" t="s">
        <v>13762</v>
      </c>
      <c r="D4666" s="1" t="s">
        <v>16</v>
      </c>
      <c r="E4666" s="1" t="s">
        <v>13763</v>
      </c>
      <c r="F4666" s="1" t="str">
        <f>IFERROR(__xludf.DUMMYFUNCTION("GOOGLETRANSLATE(A4666, ""zh-CN"", ""ko"")"),"은둔")</f>
        <v>은둔</v>
      </c>
    </row>
    <row r="4667" ht="15.75" customHeight="1">
      <c r="A4667" s="1" t="s">
        <v>13764</v>
      </c>
      <c r="B4667" s="1">
        <v>6.0</v>
      </c>
      <c r="C4667" s="1" t="s">
        <v>13765</v>
      </c>
      <c r="D4667" s="1" t="s">
        <v>8</v>
      </c>
      <c r="E4667" s="1" t="s">
        <v>13766</v>
      </c>
      <c r="F4667" s="1" t="str">
        <f>IFERROR(__xludf.DUMMYFUNCTION("GOOGLETRANSLATE(A4667, ""zh-CN"", ""ko"")"),"인용하다")</f>
        <v>인용하다</v>
      </c>
    </row>
    <row r="4668" ht="15.75" customHeight="1">
      <c r="A4668" s="1" t="s">
        <v>13767</v>
      </c>
      <c r="B4668" s="1">
        <v>6.0</v>
      </c>
      <c r="C4668" s="1" t="s">
        <v>13768</v>
      </c>
      <c r="D4668" s="1" t="s">
        <v>52</v>
      </c>
      <c r="E4668" s="1" t="s">
        <v>13769</v>
      </c>
      <c r="F4668" s="1" t="str">
        <f>IFERROR(__xludf.DUMMYFUNCTION("GOOGLETRANSLATE(A4668, ""zh-CN"", ""ko"")"),"희미한")</f>
        <v>희미한</v>
      </c>
    </row>
    <row r="4669" ht="15.75" customHeight="1">
      <c r="A4669" s="1" t="s">
        <v>13770</v>
      </c>
      <c r="B4669" s="1">
        <v>6.0</v>
      </c>
      <c r="C4669" s="1" t="s">
        <v>13771</v>
      </c>
      <c r="D4669" s="1" t="s">
        <v>16</v>
      </c>
      <c r="E4669" s="1" t="s">
        <v>13772</v>
      </c>
      <c r="F4669" s="1" t="str">
        <f>IFERROR(__xludf.DUMMYFUNCTION("GOOGLETRANSLATE(A4669, ""zh-CN"", ""ko"")"),"아기")</f>
        <v>아기</v>
      </c>
    </row>
    <row r="4670" ht="15.75" customHeight="1">
      <c r="A4670" s="1" t="s">
        <v>13773</v>
      </c>
      <c r="B4670" s="1">
        <v>6.0</v>
      </c>
      <c r="C4670" s="1" t="s">
        <v>13774</v>
      </c>
      <c r="D4670" s="1" t="s">
        <v>52</v>
      </c>
      <c r="E4670" s="1" t="s">
        <v>13775</v>
      </c>
      <c r="F4670" s="1" t="str">
        <f>IFERROR(__xludf.DUMMYFUNCTION("GOOGLETRANSLATE(A4670, ""zh-CN"", ""ko"")"),"지혜로운")</f>
        <v>지혜로운</v>
      </c>
    </row>
    <row r="4671" ht="15.75" customHeight="1">
      <c r="A4671" s="1" t="s">
        <v>13776</v>
      </c>
      <c r="B4671" s="1">
        <v>6.0</v>
      </c>
      <c r="C4671" s="1" t="s">
        <v>13777</v>
      </c>
      <c r="D4671" s="1" t="s">
        <v>52</v>
      </c>
      <c r="E4671" s="1" t="s">
        <v>13778</v>
      </c>
      <c r="F4671" s="1" t="str">
        <f>IFERROR(__xludf.DUMMYFUNCTION("GOOGLETRANSLATE(A4671, ""zh-CN"", ""ko"")"),"과장된 감정")</f>
        <v>과장된 감정</v>
      </c>
    </row>
    <row r="4672" ht="15.75" customHeight="1">
      <c r="A4672" s="1" t="s">
        <v>13779</v>
      </c>
      <c r="B4672" s="1">
        <v>6.0</v>
      </c>
      <c r="C4672" s="1" t="s">
        <v>13780</v>
      </c>
      <c r="D4672" s="1" t="s">
        <v>16</v>
      </c>
      <c r="E4672" s="1" t="s">
        <v>13781</v>
      </c>
      <c r="F4672" s="1" t="str">
        <f>IFERROR(__xludf.DUMMYFUNCTION("GOOGLETRANSLATE(A4672, ""zh-CN"", ""ko"")"),"이익")</f>
        <v>이익</v>
      </c>
    </row>
    <row r="4673" ht="15.75" customHeight="1">
      <c r="A4673" s="1" t="s">
        <v>13782</v>
      </c>
      <c r="B4673" s="1">
        <v>6.0</v>
      </c>
      <c r="C4673" s="1" t="s">
        <v>13783</v>
      </c>
      <c r="D4673" s="1" t="s">
        <v>33</v>
      </c>
      <c r="E4673" s="1" t="s">
        <v>13784</v>
      </c>
      <c r="F4673" s="1" t="str">
        <f>IFERROR(__xludf.DUMMYFUNCTION("GOOGLETRANSLATE(A4673, ""zh-CN"", ""ko"")"),"깃 달기")</f>
        <v>깃 달기</v>
      </c>
    </row>
    <row r="4674" ht="15.75" customHeight="1">
      <c r="A4674" s="1" t="s">
        <v>13785</v>
      </c>
      <c r="B4674" s="1">
        <v>6.0</v>
      </c>
      <c r="C4674" s="1" t="s">
        <v>13786</v>
      </c>
      <c r="D4674" s="1" t="s">
        <v>875</v>
      </c>
      <c r="E4674" s="1" t="s">
        <v>13787</v>
      </c>
      <c r="F4674" s="1" t="str">
        <f>IFERROR(__xludf.DUMMYFUNCTION("GOOGLETRANSLATE(A4674, ""zh-CN"", ""ko"")"),"사교 활동")</f>
        <v>사교 활동</v>
      </c>
    </row>
    <row r="4675" ht="15.75" customHeight="1">
      <c r="A4675" s="1" t="s">
        <v>13788</v>
      </c>
      <c r="B4675" s="1">
        <v>6.0</v>
      </c>
      <c r="C4675" s="1" t="s">
        <v>13789</v>
      </c>
      <c r="D4675" s="1" t="s">
        <v>8</v>
      </c>
      <c r="E4675" s="1" t="s">
        <v>13790</v>
      </c>
      <c r="F4675" s="1" t="str">
        <f>IFERROR(__xludf.DUMMYFUNCTION("GOOGLETRANSLATE(A4675, ""zh-CN"", ""ko"")"),"초대받았습니다")</f>
        <v>초대받았습니다</v>
      </c>
    </row>
    <row r="4676" ht="15.75" customHeight="1">
      <c r="A4676" s="1" t="s">
        <v>13791</v>
      </c>
      <c r="B4676" s="1">
        <v>6.0</v>
      </c>
      <c r="C4676" s="1" t="s">
        <v>13792</v>
      </c>
      <c r="D4676" s="1" t="s">
        <v>8</v>
      </c>
      <c r="E4676" s="1" t="s">
        <v>13793</v>
      </c>
      <c r="F4676" s="1" t="str">
        <f>IFERROR(__xludf.DUMMYFUNCTION("GOOGLETRANSLATE(A4676, ""zh-CN"", ""ko"")"),"지원하다")</f>
        <v>지원하다</v>
      </c>
    </row>
    <row r="4677" ht="15.75" customHeight="1">
      <c r="A4677" s="1" t="s">
        <v>13794</v>
      </c>
      <c r="B4677" s="1">
        <v>6.0</v>
      </c>
      <c r="C4677" s="1" t="s">
        <v>13795</v>
      </c>
      <c r="D4677" s="1" t="s">
        <v>52</v>
      </c>
      <c r="E4677" s="1" t="s">
        <v>13796</v>
      </c>
      <c r="F4677" s="1" t="str">
        <f>IFERROR(__xludf.DUMMYFUNCTION("GOOGLETRANSLATE(A4677, ""zh-CN"", ""ko"")"),"저속한")</f>
        <v>저속한</v>
      </c>
    </row>
    <row r="4678" ht="15.75" customHeight="1">
      <c r="A4678" s="1" t="s">
        <v>13797</v>
      </c>
      <c r="B4678" s="1">
        <v>6.0</v>
      </c>
      <c r="C4678" s="1" t="s">
        <v>13798</v>
      </c>
      <c r="D4678" s="1" t="s">
        <v>8</v>
      </c>
      <c r="E4678" s="1" t="s">
        <v>13799</v>
      </c>
      <c r="F4678" s="1" t="str">
        <f>IFERROR(__xludf.DUMMYFUNCTION("GOOGLETRANSLATE(A4678, ""zh-CN"", ""ko"")"),"가지다")</f>
        <v>가지다</v>
      </c>
    </row>
    <row r="4679" ht="15.75" customHeight="1">
      <c r="A4679" s="1" t="s">
        <v>13800</v>
      </c>
      <c r="B4679" s="1">
        <v>6.0</v>
      </c>
      <c r="C4679" s="1" t="s">
        <v>13801</v>
      </c>
      <c r="D4679" s="1" t="s">
        <v>52</v>
      </c>
      <c r="E4679" s="1" t="s">
        <v>13802</v>
      </c>
      <c r="F4679" s="1" t="str">
        <f>IFERROR(__xludf.DUMMYFUNCTION("GOOGLETRANSLATE(A4679, ""zh-CN"", ""ko"")"),"영원한")</f>
        <v>영원한</v>
      </c>
    </row>
    <row r="4680" ht="15.75" customHeight="1">
      <c r="A4680" s="1" t="s">
        <v>13803</v>
      </c>
      <c r="B4680" s="1">
        <v>6.0</v>
      </c>
      <c r="C4680" s="1" t="s">
        <v>13804</v>
      </c>
      <c r="D4680" s="1" t="s">
        <v>8</v>
      </c>
      <c r="E4680" s="1" t="s">
        <v>13805</v>
      </c>
      <c r="F4680" s="1" t="str">
        <f>IFERROR(__xludf.DUMMYFUNCTION("GOOGLETRANSLATE(A4680, ""zh-CN"", ""ko"")"),"출현")</f>
        <v>출현</v>
      </c>
    </row>
    <row r="4681" ht="15.75" customHeight="1">
      <c r="A4681" s="1" t="s">
        <v>13806</v>
      </c>
      <c r="B4681" s="1">
        <v>6.0</v>
      </c>
      <c r="C4681" s="1" t="s">
        <v>13807</v>
      </c>
      <c r="D4681" s="1" t="s">
        <v>8</v>
      </c>
      <c r="E4681" s="1" t="s">
        <v>13808</v>
      </c>
      <c r="F4681" s="1" t="str">
        <f>IFERROR(__xludf.DUMMYFUNCTION("GOOGLETRANSLATE(A4681, ""zh-CN"", ""ko"")"),"용기")</f>
        <v>용기</v>
      </c>
    </row>
    <row r="4682" ht="15.75" customHeight="1">
      <c r="A4682" s="1" t="s">
        <v>13809</v>
      </c>
      <c r="B4682" s="1">
        <v>6.0</v>
      </c>
      <c r="C4682" s="1" t="s">
        <v>13810</v>
      </c>
      <c r="D4682" s="1" t="s">
        <v>52</v>
      </c>
      <c r="E4682" s="1" t="s">
        <v>12642</v>
      </c>
      <c r="F4682" s="1" t="str">
        <f>IFERROR(__xludf.DUMMYFUNCTION("GOOGLETRANSLATE(A4682, ""zh-CN"", ""ko"")"),"적극적으로")</f>
        <v>적극적으로</v>
      </c>
    </row>
    <row r="4683" ht="15.75" customHeight="1">
      <c r="A4683" s="1" t="s">
        <v>13811</v>
      </c>
      <c r="B4683" s="1">
        <v>6.0</v>
      </c>
      <c r="C4683" s="1" t="s">
        <v>13812</v>
      </c>
      <c r="D4683" s="1" t="s">
        <v>16</v>
      </c>
      <c r="E4683" s="1" t="s">
        <v>13813</v>
      </c>
      <c r="F4683" s="1" t="str">
        <f>IFERROR(__xludf.DUMMYFUNCTION("GOOGLETRANSLATE(A4683, ""zh-CN"", ""ko"")"),"사용자")</f>
        <v>사용자</v>
      </c>
    </row>
    <row r="4684" ht="15.75" customHeight="1">
      <c r="A4684" s="1" t="s">
        <v>13814</v>
      </c>
      <c r="B4684" s="1">
        <v>6.0</v>
      </c>
      <c r="C4684" s="1" t="s">
        <v>13815</v>
      </c>
      <c r="E4684" s="1" t="s">
        <v>13816</v>
      </c>
      <c r="F4684" s="1" t="str">
        <f>IFERROR(__xludf.DUMMYFUNCTION("GOOGLETRANSLATE(A4684, ""zh-CN"", ""ko"")"),"적자생존")</f>
        <v>적자생존</v>
      </c>
    </row>
    <row r="4685" ht="15.75" customHeight="1">
      <c r="A4685" s="1" t="s">
        <v>13817</v>
      </c>
      <c r="B4685" s="1">
        <v>6.0</v>
      </c>
      <c r="C4685" s="1" t="s">
        <v>13818</v>
      </c>
      <c r="D4685" s="1" t="s">
        <v>8</v>
      </c>
      <c r="E4685" s="1" t="s">
        <v>13819</v>
      </c>
      <c r="F4685" s="1" t="str">
        <f>IFERROR(__xludf.DUMMYFUNCTION("GOOGLETRANSLATE(A4685, ""zh-CN"", ""ko"")"),"우선 사항")</f>
        <v>우선 사항</v>
      </c>
    </row>
    <row r="4686" ht="15.75" customHeight="1">
      <c r="A4686" s="1" t="s">
        <v>13820</v>
      </c>
      <c r="B4686" s="1">
        <v>6.0</v>
      </c>
      <c r="C4686" s="1" t="s">
        <v>13821</v>
      </c>
      <c r="D4686" s="1" t="s">
        <v>52</v>
      </c>
      <c r="E4686" s="1" t="s">
        <v>13822</v>
      </c>
      <c r="F4686" s="1" t="str">
        <f>IFERROR(__xludf.DUMMYFUNCTION("GOOGLETRANSLATE(A4686, ""zh-CN"", ""ko"")"),"훌륭한")</f>
        <v>훌륭한</v>
      </c>
    </row>
    <row r="4687" ht="15.75" customHeight="1">
      <c r="A4687" s="1" t="s">
        <v>13823</v>
      </c>
      <c r="B4687" s="1">
        <v>6.0</v>
      </c>
      <c r="C4687" s="1" t="s">
        <v>13824</v>
      </c>
      <c r="D4687" s="1" t="s">
        <v>52</v>
      </c>
      <c r="E4687" s="1" t="s">
        <v>13825</v>
      </c>
      <c r="F4687" s="1" t="str">
        <f>IFERROR(__xludf.DUMMYFUNCTION("GOOGLETRANSLATE(A4687, ""zh-CN"", ""ko"")"),"우울")</f>
        <v>우울</v>
      </c>
    </row>
    <row r="4688" ht="15.75" customHeight="1">
      <c r="A4688" s="1" t="s">
        <v>13826</v>
      </c>
      <c r="B4688" s="1">
        <v>6.0</v>
      </c>
      <c r="C4688" s="1" t="s">
        <v>13827</v>
      </c>
      <c r="D4688" s="1" t="s">
        <v>52</v>
      </c>
      <c r="E4688" s="1" t="s">
        <v>13828</v>
      </c>
      <c r="F4688" s="1" t="str">
        <f>IFERROR(__xludf.DUMMYFUNCTION("GOOGLETRANSLATE(A4688, ""zh-CN"", ""ko"")"),"우수한")</f>
        <v>우수한</v>
      </c>
    </row>
    <row r="4689" ht="15.75" customHeight="1">
      <c r="A4689" s="1" t="s">
        <v>13829</v>
      </c>
      <c r="B4689" s="1">
        <v>6.0</v>
      </c>
      <c r="C4689" s="1" t="s">
        <v>13830</v>
      </c>
      <c r="D4689" s="1" t="s">
        <v>52</v>
      </c>
      <c r="E4689" s="1" t="s">
        <v>13831</v>
      </c>
      <c r="F4689" s="1" t="str">
        <f>IFERROR(__xludf.DUMMYFUNCTION("GOOGLETRANSLATE(A4689, ""zh-CN"", ""ko"")"),"기름 바른")</f>
        <v>기름 바른</v>
      </c>
    </row>
    <row r="4690" ht="15.75" customHeight="1">
      <c r="A4690" s="1" t="s">
        <v>13832</v>
      </c>
      <c r="B4690" s="1">
        <v>6.0</v>
      </c>
      <c r="C4690" s="1" t="s">
        <v>13833</v>
      </c>
      <c r="D4690" s="1" t="s">
        <v>16</v>
      </c>
      <c r="E4690" s="1" t="s">
        <v>13834</v>
      </c>
      <c r="F4690" s="1" t="str">
        <f>IFERROR(__xludf.DUMMYFUNCTION("GOOGLETRANSLATE(A4690, ""zh-CN"", ""ko"")"),"페인트")</f>
        <v>페인트</v>
      </c>
    </row>
    <row r="4691" ht="15.75" customHeight="1">
      <c r="A4691" s="1" t="s">
        <v>13835</v>
      </c>
      <c r="B4691" s="1">
        <v>6.0</v>
      </c>
      <c r="C4691" s="1" t="s">
        <v>13836</v>
      </c>
      <c r="D4691" s="1" t="s">
        <v>8</v>
      </c>
      <c r="E4691" s="1" t="s">
        <v>13837</v>
      </c>
      <c r="F4691" s="1" t="str">
        <f>IFERROR(__xludf.DUMMYFUNCTION("GOOGLETRANSLATE(A4691, ""zh-CN"", ""ko"")"),"좋다")</f>
        <v>좋다</v>
      </c>
    </row>
    <row r="4692" ht="15.75" customHeight="1">
      <c r="A4692" s="1" t="s">
        <v>13838</v>
      </c>
      <c r="B4692" s="1">
        <v>6.0</v>
      </c>
      <c r="C4692" s="1" t="s">
        <v>13839</v>
      </c>
      <c r="E4692" s="1" t="s">
        <v>13840</v>
      </c>
      <c r="F4692" s="1" t="str">
        <f>IFERROR(__xludf.DUMMYFUNCTION("GOOGLETRANSLATE(A4692, ""zh-CN"", ""ko"")"),"질서 있는")</f>
        <v>질서 있는</v>
      </c>
    </row>
    <row r="4693" ht="15.75" customHeight="1">
      <c r="A4693" s="1" t="s">
        <v>13841</v>
      </c>
      <c r="B4693" s="1">
        <v>6.0</v>
      </c>
      <c r="C4693" s="1" t="s">
        <v>13842</v>
      </c>
      <c r="D4693" s="1" t="s">
        <v>8</v>
      </c>
      <c r="E4693" s="1" t="s">
        <v>13843</v>
      </c>
      <c r="F4693" s="1" t="str">
        <f>IFERROR(__xludf.DUMMYFUNCTION("GOOGLETRANSLATE(A4693, ""zh-CN"", ""ko"")"),"매혹")</f>
        <v>매혹</v>
      </c>
    </row>
    <row r="4694" ht="15.75" customHeight="1">
      <c r="A4694" s="1" t="s">
        <v>13844</v>
      </c>
      <c r="B4694" s="1">
        <v>6.0</v>
      </c>
      <c r="C4694" s="1" t="s">
        <v>13845</v>
      </c>
      <c r="D4694" s="1" t="s">
        <v>52</v>
      </c>
      <c r="E4694" s="1" t="s">
        <v>13846</v>
      </c>
      <c r="F4694" s="1" t="str">
        <f>IFERROR(__xludf.DUMMYFUNCTION("GOOGLETRANSLATE(A4694, ""zh-CN"", ""ko"")"),"어린애 같은")</f>
        <v>어린애 같은</v>
      </c>
    </row>
    <row r="4695" ht="15.75" customHeight="1">
      <c r="A4695" s="1" t="s">
        <v>13847</v>
      </c>
      <c r="B4695" s="1">
        <v>6.0</v>
      </c>
      <c r="C4695" s="1" t="s">
        <v>13848</v>
      </c>
      <c r="D4695" s="1" t="s">
        <v>52</v>
      </c>
      <c r="E4695" s="1" t="s">
        <v>13849</v>
      </c>
      <c r="F4695" s="1" t="str">
        <f>IFERROR(__xludf.DUMMYFUNCTION("GOOGLETRANSLATE(A4695, ""zh-CN"", ""ko"")"),"광기")</f>
        <v>광기</v>
      </c>
    </row>
    <row r="4696" ht="15.75" customHeight="1">
      <c r="A4696" s="1" t="s">
        <v>13850</v>
      </c>
      <c r="B4696" s="1">
        <v>6.0</v>
      </c>
      <c r="C4696" s="1" t="s">
        <v>13851</v>
      </c>
      <c r="D4696" s="1" t="s">
        <v>16</v>
      </c>
      <c r="E4696" s="1" t="s">
        <v>13852</v>
      </c>
      <c r="F4696" s="1" t="str">
        <f>IFERROR(__xludf.DUMMYFUNCTION("GOOGLETRANSLATE(A4696, ""zh-CN"", ""ko"")"),"여론")</f>
        <v>여론</v>
      </c>
    </row>
    <row r="4697" ht="15.75" customHeight="1">
      <c r="A4697" s="1" t="s">
        <v>13853</v>
      </c>
      <c r="B4697" s="1">
        <v>6.0</v>
      </c>
      <c r="C4697" s="1" t="s">
        <v>13854</v>
      </c>
      <c r="D4697" s="1" t="s">
        <v>52</v>
      </c>
      <c r="E4697" s="1" t="s">
        <v>13855</v>
      </c>
      <c r="F4697" s="1" t="str">
        <f>IFERROR(__xludf.DUMMYFUNCTION("GOOGLETRANSLATE(A4697, ""zh-CN"", ""ko"")"),"무지")</f>
        <v>무지</v>
      </c>
    </row>
    <row r="4698" ht="15.75" customHeight="1">
      <c r="A4698" s="1" t="s">
        <v>13856</v>
      </c>
      <c r="B4698" s="1">
        <v>6.0</v>
      </c>
      <c r="C4698" s="1" t="s">
        <v>13857</v>
      </c>
      <c r="D4698" s="1" t="s">
        <v>16</v>
      </c>
      <c r="E4698" s="1" t="s">
        <v>13858</v>
      </c>
      <c r="F4698" s="1" t="str">
        <f>IFERROR(__xludf.DUMMYFUNCTION("GOOGLETRANSLATE(A4698, ""zh-CN"", ""ko"")"),"어민")</f>
        <v>어민</v>
      </c>
    </row>
    <row r="4699" ht="15.75" customHeight="1">
      <c r="A4699" s="1" t="s">
        <v>13859</v>
      </c>
      <c r="B4699" s="1">
        <v>6.0</v>
      </c>
      <c r="C4699" s="1" t="s">
        <v>13860</v>
      </c>
      <c r="E4699" s="1" t="s">
        <v>13861</v>
      </c>
      <c r="F4699" s="1" t="str">
        <f>IFERROR(__xludf.DUMMYFUNCTION("GOOGLETRANSLATE(A4699, ""zh-CN"", ""ko"")"),"날마다 증가하고 있습니다")</f>
        <v>날마다 증가하고 있습니다</v>
      </c>
    </row>
    <row r="4700" ht="15.75" customHeight="1">
      <c r="A4700" s="1" t="s">
        <v>13862</v>
      </c>
      <c r="B4700" s="1">
        <v>6.0</v>
      </c>
      <c r="C4700" s="1" t="s">
        <v>13863</v>
      </c>
      <c r="D4700" s="1" t="s">
        <v>16</v>
      </c>
      <c r="E4700" s="1" t="s">
        <v>13864</v>
      </c>
      <c r="F4700" s="1" t="str">
        <f>IFERROR(__xludf.DUMMYFUNCTION("GOOGLETRANSLATE(A4700, ""zh-CN"", ""ko"")"),"다운 재킷")</f>
        <v>다운 재킷</v>
      </c>
    </row>
    <row r="4701" ht="15.75" customHeight="1">
      <c r="A4701" s="1" t="s">
        <v>13865</v>
      </c>
      <c r="B4701" s="1">
        <v>6.0</v>
      </c>
      <c r="C4701" s="1" t="s">
        <v>13866</v>
      </c>
      <c r="D4701" s="1" t="s">
        <v>16</v>
      </c>
      <c r="E4701" s="1" t="s">
        <v>13867</v>
      </c>
      <c r="F4701" s="1" t="str">
        <f>IFERROR(__xludf.DUMMYFUNCTION("GOOGLETRANSLATE(A4701, ""zh-CN"", ""ko"")"),"우주")</f>
        <v>우주</v>
      </c>
    </row>
    <row r="4702" ht="15.75" customHeight="1">
      <c r="A4702" s="1" t="s">
        <v>13868</v>
      </c>
      <c r="B4702" s="1">
        <v>6.0</v>
      </c>
      <c r="C4702" s="1" t="s">
        <v>13869</v>
      </c>
      <c r="D4702" s="1" t="s">
        <v>33</v>
      </c>
      <c r="E4702" s="1" t="s">
        <v>13870</v>
      </c>
      <c r="F4702" s="1" t="str">
        <f>IFERROR(__xludf.DUMMYFUNCTION("GOOGLETRANSLATE(A4702, ""zh-CN"", ""ko"")"),"치유하다")</f>
        <v>치유하다</v>
      </c>
    </row>
    <row r="4703" ht="15.75" customHeight="1">
      <c r="A4703" s="1" t="s">
        <v>13871</v>
      </c>
      <c r="B4703" s="1">
        <v>6.0</v>
      </c>
      <c r="C4703" s="1" t="s">
        <v>13869</v>
      </c>
      <c r="D4703" s="1" t="s">
        <v>16</v>
      </c>
      <c r="E4703" s="1" t="s">
        <v>13872</v>
      </c>
      <c r="F4703" s="1" t="str">
        <f>IFERROR(__xludf.DUMMYFUNCTION("GOOGLETRANSLATE(A4703, ""zh-CN"", ""ko"")"),"옥")</f>
        <v>옥</v>
      </c>
    </row>
    <row r="4704" ht="15.75" customHeight="1">
      <c r="A4704" s="1" t="s">
        <v>13873</v>
      </c>
      <c r="B4704" s="1">
        <v>6.0</v>
      </c>
      <c r="C4704" s="1" t="s">
        <v>13874</v>
      </c>
      <c r="D4704" s="1" t="s">
        <v>8</v>
      </c>
      <c r="E4704" s="1" t="s">
        <v>13875</v>
      </c>
      <c r="F4704" s="1" t="str">
        <f>IFERROR(__xludf.DUMMYFUNCTION("GOOGLETRANSLATE(A4704, ""zh-CN"", ""ko"")"),"예상되는")</f>
        <v>예상되는</v>
      </c>
    </row>
    <row r="4705" ht="15.75" customHeight="1">
      <c r="A4705" s="1" t="s">
        <v>13876</v>
      </c>
      <c r="B4705" s="1">
        <v>6.0</v>
      </c>
      <c r="C4705" s="1" t="s">
        <v>13877</v>
      </c>
      <c r="D4705" s="1" t="s">
        <v>8</v>
      </c>
      <c r="E4705" s="1" t="s">
        <v>13715</v>
      </c>
      <c r="F4705" s="1" t="str">
        <f>IFERROR(__xludf.DUMMYFUNCTION("GOOGLETRANSLATE(A4705, ""zh-CN"", ""ko"")"),"예상되는")</f>
        <v>예상되는</v>
      </c>
    </row>
    <row r="4706" ht="15.75" customHeight="1">
      <c r="A4706" s="1" t="s">
        <v>13878</v>
      </c>
      <c r="B4706" s="1">
        <v>6.0</v>
      </c>
      <c r="C4706" s="1" t="s">
        <v>13879</v>
      </c>
      <c r="D4706" s="1" t="s">
        <v>16</v>
      </c>
      <c r="E4706" s="1" t="s">
        <v>13880</v>
      </c>
      <c r="F4706" s="1" t="str">
        <f>IFERROR(__xludf.DUMMYFUNCTION("GOOGLETRANSLATE(A4706, ""zh-CN"", ""ko"")"),"예산")</f>
        <v>예산</v>
      </c>
    </row>
    <row r="4707" ht="15.75" customHeight="1">
      <c r="A4707" s="1" t="s">
        <v>13881</v>
      </c>
      <c r="B4707" s="1">
        <v>6.0</v>
      </c>
      <c r="C4707" s="1" t="s">
        <v>13882</v>
      </c>
      <c r="D4707" s="1" t="s">
        <v>16</v>
      </c>
      <c r="E4707" s="1" t="s">
        <v>13883</v>
      </c>
      <c r="F4707" s="1" t="str">
        <f>IFERROR(__xludf.DUMMYFUNCTION("GOOGLETRANSLATE(A4707, ""zh-CN"", ""ko"")"),"욕구")</f>
        <v>욕구</v>
      </c>
    </row>
    <row r="4708" ht="15.75" customHeight="1">
      <c r="A4708" s="1" t="s">
        <v>13884</v>
      </c>
      <c r="B4708" s="1">
        <v>6.0</v>
      </c>
      <c r="C4708" s="1" t="s">
        <v>13885</v>
      </c>
      <c r="D4708" s="1" t="s">
        <v>33</v>
      </c>
      <c r="E4708" s="1" t="s">
        <v>6085</v>
      </c>
      <c r="F4708" s="1" t="str">
        <f>IFERROR(__xludf.DUMMYFUNCTION("GOOGLETRANSLATE(A4708, ""zh-CN"", ""ko"")"),"전진")</f>
        <v>전진</v>
      </c>
    </row>
    <row r="4709" ht="15.75" customHeight="1">
      <c r="A4709" s="1" t="s">
        <v>13886</v>
      </c>
      <c r="B4709" s="1">
        <v>6.0</v>
      </c>
      <c r="C4709" s="1" t="s">
        <v>13887</v>
      </c>
      <c r="D4709" s="1" t="s">
        <v>875</v>
      </c>
      <c r="E4709" s="1" t="s">
        <v>13888</v>
      </c>
      <c r="F4709" s="1" t="str">
        <f>IFERROR(__xludf.DUMMYFUNCTION("GOOGLETRANSLATE(A4709, ""zh-CN"", ""ko"")"),"예언")</f>
        <v>예언</v>
      </c>
    </row>
    <row r="4710" ht="15.75" customHeight="1">
      <c r="A4710" s="1" t="s">
        <v>13889</v>
      </c>
      <c r="B4710" s="1">
        <v>6.0</v>
      </c>
      <c r="C4710" s="1" t="s">
        <v>13887</v>
      </c>
      <c r="D4710" s="1" t="s">
        <v>16</v>
      </c>
      <c r="E4710" s="1" t="s">
        <v>13890</v>
      </c>
      <c r="F4710" s="1" t="str">
        <f>IFERROR(__xludf.DUMMYFUNCTION("GOOGLETRANSLATE(A4710, ""zh-CN"", ""ko"")"),"우화")</f>
        <v>우화</v>
      </c>
    </row>
    <row r="4711" ht="15.75" customHeight="1">
      <c r="A4711" s="1" t="s">
        <v>13891</v>
      </c>
      <c r="B4711" s="1">
        <v>6.0</v>
      </c>
      <c r="C4711" s="1" t="s">
        <v>13892</v>
      </c>
      <c r="D4711" s="1" t="s">
        <v>16</v>
      </c>
      <c r="E4711" s="1" t="s">
        <v>13893</v>
      </c>
      <c r="F4711" s="1" t="str">
        <f>IFERROR(__xludf.DUMMYFUNCTION("GOOGLETRANSLATE(A4711, ""zh-CN"", ""ko"")"),"전조")</f>
        <v>전조</v>
      </c>
    </row>
    <row r="4712" ht="15.75" customHeight="1">
      <c r="A4712" s="1" t="s">
        <v>13894</v>
      </c>
      <c r="B4712" s="1">
        <v>6.0</v>
      </c>
      <c r="C4712" s="1" t="s">
        <v>13895</v>
      </c>
      <c r="D4712" s="1" t="s">
        <v>1003</v>
      </c>
      <c r="E4712" s="1" t="s">
        <v>13896</v>
      </c>
      <c r="F4712" s="1" t="str">
        <f>IFERROR(__xludf.DUMMYFUNCTION("GOOGLETRANSLATE(A4712, ""zh-CN"", ""ko"")"),"억울하게 유죄 판결을 받다")</f>
        <v>억울하게 유죄 판결을 받다</v>
      </c>
    </row>
    <row r="4713" ht="15.75" customHeight="1">
      <c r="A4713" s="1" t="s">
        <v>13897</v>
      </c>
      <c r="B4713" s="1">
        <v>6.0</v>
      </c>
      <c r="C4713" s="1" t="s">
        <v>13898</v>
      </c>
      <c r="D4713" s="1" t="s">
        <v>16</v>
      </c>
      <c r="E4713" s="1" t="s">
        <v>13899</v>
      </c>
      <c r="F4713" s="1" t="str">
        <f>IFERROR(__xludf.DUMMYFUNCTION("GOOGLETRANSLATE(A4713, ""zh-CN"", ""ko"")"),"원고")</f>
        <v>원고</v>
      </c>
    </row>
    <row r="4714" ht="15.75" customHeight="1">
      <c r="A4714" s="1" t="s">
        <v>13900</v>
      </c>
      <c r="B4714" s="1">
        <v>6.0</v>
      </c>
      <c r="C4714" s="1" t="s">
        <v>13901</v>
      </c>
      <c r="D4714" s="1" t="s">
        <v>16</v>
      </c>
      <c r="E4714" s="1" t="s">
        <v>13902</v>
      </c>
      <c r="F4714" s="1" t="str">
        <f>IFERROR(__xludf.DUMMYFUNCTION("GOOGLETRANSLATE(A4714, ""zh-CN"", ""ko"")"),"이유")</f>
        <v>이유</v>
      </c>
    </row>
    <row r="4715" ht="15.75" customHeight="1">
      <c r="A4715" s="1" t="s">
        <v>13903</v>
      </c>
      <c r="B4715" s="1">
        <v>6.0</v>
      </c>
      <c r="C4715" s="1" t="s">
        <v>13904</v>
      </c>
      <c r="D4715" s="1" t="s">
        <v>16</v>
      </c>
      <c r="E4715" s="1" t="s">
        <v>13905</v>
      </c>
      <c r="F4715" s="1" t="str">
        <f>IFERROR(__xludf.DUMMYFUNCTION("GOOGLETRANSLATE(A4715, ""zh-CN"", ""ko"")"),"원칙")</f>
        <v>원칙</v>
      </c>
    </row>
    <row r="4716" ht="15.75" customHeight="1">
      <c r="A4716" s="1" t="s">
        <v>13906</v>
      </c>
      <c r="B4716" s="1">
        <v>6.0</v>
      </c>
      <c r="C4716" s="1" t="s">
        <v>13907</v>
      </c>
      <c r="D4716" s="1" t="s">
        <v>16</v>
      </c>
      <c r="E4716" s="1" t="s">
        <v>13908</v>
      </c>
      <c r="F4716" s="1" t="str">
        <f>IFERROR(__xludf.DUMMYFUNCTION("GOOGLETRANSLATE(A4716, ""zh-CN"", ""ko"")"),"정원")</f>
        <v>정원</v>
      </c>
    </row>
    <row r="4717" ht="15.75" customHeight="1">
      <c r="A4717" s="1" t="s">
        <v>13909</v>
      </c>
      <c r="B4717" s="1">
        <v>6.0</v>
      </c>
      <c r="C4717" s="1" t="s">
        <v>13910</v>
      </c>
      <c r="D4717" s="1" t="s">
        <v>52</v>
      </c>
      <c r="E4717" s="1" t="s">
        <v>13911</v>
      </c>
      <c r="F4717" s="1" t="str">
        <f>IFERROR(__xludf.DUMMYFUNCTION("GOOGLETRANSLATE(A4717, ""zh-CN"", ""ko"")"),"완벽한")</f>
        <v>완벽한</v>
      </c>
    </row>
    <row r="4718" ht="15.75" customHeight="1">
      <c r="A4718" s="1" t="s">
        <v>13912</v>
      </c>
      <c r="B4718" s="1">
        <v>6.0</v>
      </c>
      <c r="C4718" s="1" t="s">
        <v>13913</v>
      </c>
      <c r="D4718" s="1" t="s">
        <v>16</v>
      </c>
      <c r="E4718" s="1" t="s">
        <v>13914</v>
      </c>
      <c r="F4718" s="1" t="str">
        <f>IFERROR(__xludf.DUMMYFUNCTION("GOOGLETRANSLATE(A4718, ""zh-CN"", ""ko"")"),"원천")</f>
        <v>원천</v>
      </c>
    </row>
    <row r="4719" ht="15.75" customHeight="1">
      <c r="A4719" s="1" t="s">
        <v>13915</v>
      </c>
      <c r="B4719" s="1">
        <v>6.0</v>
      </c>
      <c r="C4719" s="1" t="s">
        <v>13916</v>
      </c>
      <c r="D4719" s="1" t="s">
        <v>52</v>
      </c>
      <c r="E4719" s="1" t="s">
        <v>13917</v>
      </c>
      <c r="F4719" s="1" t="str">
        <f>IFERROR(__xludf.DUMMYFUNCTION("GOOGLETRANSLATE(A4719, ""zh-CN"", ""ko"")"),"원래의")</f>
        <v>원래의</v>
      </c>
    </row>
    <row r="4720" ht="15.75" customHeight="1">
      <c r="A4720" s="1" t="s">
        <v>13918</v>
      </c>
      <c r="B4720" s="1">
        <v>6.0</v>
      </c>
      <c r="C4720" s="1" t="s">
        <v>13919</v>
      </c>
      <c r="D4720" s="1" t="s">
        <v>16</v>
      </c>
      <c r="E4720" s="1" t="s">
        <v>13920</v>
      </c>
      <c r="F4720" s="1" t="str">
        <f>IFERROR(__xludf.DUMMYFUNCTION("GOOGLETRANSLATE(A4720, ""zh-CN"", ""ko"")"),"국가원수")</f>
        <v>국가원수</v>
      </c>
    </row>
    <row r="4721" ht="15.75" customHeight="1">
      <c r="A4721" s="1" t="s">
        <v>13921</v>
      </c>
      <c r="B4721" s="1">
        <v>6.0</v>
      </c>
      <c r="C4721" s="1" t="s">
        <v>13922</v>
      </c>
      <c r="D4721" s="1" t="s">
        <v>16</v>
      </c>
      <c r="E4721" s="1" t="s">
        <v>13923</v>
      </c>
      <c r="F4721" s="1" t="str">
        <f>IFERROR(__xludf.DUMMYFUNCTION("GOOGLETRANSLATE(A4721, ""zh-CN"", ""ko"")"),"요소")</f>
        <v>요소</v>
      </c>
    </row>
    <row r="4722" ht="15.75" customHeight="1">
      <c r="A4722" s="1" t="s">
        <v>13924</v>
      </c>
      <c r="B4722" s="1">
        <v>6.0</v>
      </c>
      <c r="C4722" s="1" t="s">
        <v>13925</v>
      </c>
      <c r="D4722" s="1" t="s">
        <v>16</v>
      </c>
      <c r="E4722" s="1" t="s">
        <v>13926</v>
      </c>
      <c r="F4722" s="1" t="str">
        <f>IFERROR(__xludf.DUMMYFUNCTION("GOOGLETRANSLATE(A4722, ""zh-CN"", ""ko"")"),"원래의")</f>
        <v>원래의</v>
      </c>
    </row>
    <row r="4723" ht="15.75" customHeight="1">
      <c r="A4723" s="1" t="s">
        <v>13927</v>
      </c>
      <c r="B4723" s="1">
        <v>6.0</v>
      </c>
      <c r="C4723" s="1" t="s">
        <v>13928</v>
      </c>
      <c r="D4723" s="1" t="s">
        <v>16</v>
      </c>
      <c r="E4723" s="1" t="s">
        <v>13929</v>
      </c>
      <c r="F4723" s="1" t="str">
        <f>IFERROR(__xludf.DUMMYFUNCTION("GOOGLETRANSLATE(A4723, ""zh-CN"", ""ko"")"),"등불 축제")</f>
        <v>등불 축제</v>
      </c>
    </row>
    <row r="4724" ht="15.75" customHeight="1">
      <c r="A4724" s="1" t="s">
        <v>13930</v>
      </c>
      <c r="B4724" s="1">
        <v>6.0</v>
      </c>
      <c r="C4724" s="1" t="s">
        <v>13931</v>
      </c>
      <c r="D4724" s="1" t="s">
        <v>8</v>
      </c>
      <c r="E4724" s="1" t="s">
        <v>13932</v>
      </c>
      <c r="F4724" s="1" t="str">
        <f>IFERROR(__xludf.DUMMYFUNCTION("GOOGLETRANSLATE(A4724, ""zh-CN"", ""ko"")"),"강제")</f>
        <v>강제</v>
      </c>
    </row>
    <row r="4725" ht="15.75" customHeight="1">
      <c r="A4725" s="1" t="s">
        <v>13933</v>
      </c>
      <c r="B4725" s="1">
        <v>6.0</v>
      </c>
      <c r="C4725" s="1" t="s">
        <v>13934</v>
      </c>
      <c r="D4725" s="1" t="s">
        <v>16</v>
      </c>
      <c r="E4725" s="1" t="s">
        <v>13935</v>
      </c>
      <c r="F4725" s="1" t="str">
        <f>IFERROR(__xludf.DUMMYFUNCTION("GOOGLETRANSLATE(A4725, ""zh-CN"", ""ko"")"),"악보")</f>
        <v>악보</v>
      </c>
    </row>
    <row r="4726" ht="15.75" customHeight="1">
      <c r="A4726" s="1" t="s">
        <v>13936</v>
      </c>
      <c r="B4726" s="1">
        <v>6.0</v>
      </c>
      <c r="C4726" s="1" t="s">
        <v>13937</v>
      </c>
      <c r="D4726" s="1" t="s">
        <v>8</v>
      </c>
      <c r="E4726" s="1" t="s">
        <v>13938</v>
      </c>
      <c r="F4726" s="1" t="str">
        <f>IFERROR(__xludf.DUMMYFUNCTION("GOOGLETRANSLATE(A4726, ""zh-CN"", ""ko"")"),"철")</f>
        <v>철</v>
      </c>
    </row>
    <row r="4727" ht="15.75" customHeight="1">
      <c r="A4727" s="1" t="s">
        <v>13939</v>
      </c>
      <c r="B4727" s="1">
        <v>6.0</v>
      </c>
      <c r="C4727" s="1" t="s">
        <v>13940</v>
      </c>
      <c r="D4727" s="1" t="s">
        <v>8</v>
      </c>
      <c r="E4727" s="1" t="s">
        <v>13941</v>
      </c>
      <c r="F4727" s="1" t="str">
        <f>IFERROR(__xludf.DUMMYFUNCTION("GOOGLETRANSLATE(A4727, ""zh-CN"", ""ko"")"),"포함됨")</f>
        <v>포함됨</v>
      </c>
    </row>
    <row r="4728" ht="15.75" customHeight="1">
      <c r="A4728" s="1" t="s">
        <v>13942</v>
      </c>
      <c r="B4728" s="1">
        <v>6.0</v>
      </c>
      <c r="C4728" s="1" t="s">
        <v>13943</v>
      </c>
      <c r="D4728" s="1" t="s">
        <v>8</v>
      </c>
      <c r="E4728" s="1" t="s">
        <v>13944</v>
      </c>
      <c r="F4728" s="1" t="str">
        <f>IFERROR(__xludf.DUMMYFUNCTION("GOOGLETRANSLATE(A4728, ""zh-CN"", ""ko"")"),"양조")</f>
        <v>양조</v>
      </c>
    </row>
    <row r="4729" ht="15.75" customHeight="1">
      <c r="A4729" s="1" t="s">
        <v>13945</v>
      </c>
      <c r="B4729" s="1">
        <v>6.0</v>
      </c>
      <c r="C4729" s="1" t="s">
        <v>13946</v>
      </c>
      <c r="D4729" s="1" t="s">
        <v>8</v>
      </c>
      <c r="E4729" s="1" t="s">
        <v>13947</v>
      </c>
      <c r="F4729" s="1" t="str">
        <f>IFERROR(__xludf.DUMMYFUNCTION("GOOGLETRANSLATE(A4729, ""zh-CN"", ""ko"")"),"운영")</f>
        <v>운영</v>
      </c>
    </row>
    <row r="4730" ht="15.75" customHeight="1">
      <c r="A4730" s="1" t="s">
        <v>13948</v>
      </c>
      <c r="B4730" s="1">
        <v>6.0</v>
      </c>
      <c r="C4730" s="1" t="s">
        <v>13949</v>
      </c>
      <c r="D4730" s="1" t="s">
        <v>8</v>
      </c>
      <c r="E4730" s="1" t="s">
        <v>13950</v>
      </c>
      <c r="F4730" s="1" t="str">
        <f>IFERROR(__xludf.DUMMYFUNCTION("GOOGLETRANSLATE(A4730, ""zh-CN"", ""ko"")"),"달리다")</f>
        <v>달리다</v>
      </c>
    </row>
    <row r="4731" ht="15.75" customHeight="1">
      <c r="A4731" s="1" t="s">
        <v>13951</v>
      </c>
      <c r="B4731" s="1">
        <v>6.0</v>
      </c>
      <c r="C4731" s="1" t="s">
        <v>13952</v>
      </c>
      <c r="D4731" s="1" t="s">
        <v>8</v>
      </c>
      <c r="E4731" s="1" t="s">
        <v>13953</v>
      </c>
      <c r="F4731" s="1" t="str">
        <f>IFERROR(__xludf.DUMMYFUNCTION("GOOGLETRANSLATE(A4731, ""zh-CN"", ""ko"")"),"임신")</f>
        <v>임신</v>
      </c>
    </row>
    <row r="4732" ht="15.75" customHeight="1">
      <c r="A4732" s="1" t="s">
        <v>13954</v>
      </c>
      <c r="B4732" s="1">
        <v>6.0</v>
      </c>
      <c r="C4732" s="1" t="s">
        <v>13955</v>
      </c>
      <c r="D4732" s="1" t="s">
        <v>8</v>
      </c>
      <c r="E4732" s="1" t="s">
        <v>13956</v>
      </c>
      <c r="F4732" s="1" t="str">
        <f>IFERROR(__xludf.DUMMYFUNCTION("GOOGLETRANSLATE(A4732, ""zh-CN"", ""ko"")"),"스매시")</f>
        <v>스매시</v>
      </c>
    </row>
    <row r="4733" ht="15.75" customHeight="1">
      <c r="A4733" s="1" t="s">
        <v>13957</v>
      </c>
      <c r="B4733" s="1">
        <v>6.0</v>
      </c>
      <c r="C4733" s="1" t="s">
        <v>13958</v>
      </c>
      <c r="D4733" s="1" t="s">
        <v>16</v>
      </c>
      <c r="E4733" s="1" t="s">
        <v>13959</v>
      </c>
      <c r="F4733" s="1" t="str">
        <f>IFERROR(__xludf.DUMMYFUNCTION("GOOGLETRANSLATE(A4733, ""zh-CN"", ""ko"")"),"재주 넘기")</f>
        <v>재주 넘기</v>
      </c>
    </row>
    <row r="4734" ht="15.75" customHeight="1">
      <c r="A4734" s="1" t="s">
        <v>13960</v>
      </c>
      <c r="B4734" s="1">
        <v>6.0</v>
      </c>
      <c r="C4734" s="1" t="s">
        <v>13961</v>
      </c>
      <c r="D4734" s="1" t="s">
        <v>8</v>
      </c>
      <c r="E4734" s="1" t="s">
        <v>13962</v>
      </c>
      <c r="F4734" s="1" t="str">
        <f>IFERROR(__xludf.DUMMYFUNCTION("GOOGLETRANSLATE(A4734, ""zh-CN"", ""ko"")"),"이종 교잡")</f>
        <v>이종 교잡</v>
      </c>
    </row>
    <row r="4735" ht="15.75" customHeight="1">
      <c r="A4735" s="1" t="s">
        <v>13963</v>
      </c>
      <c r="B4735" s="1">
        <v>6.0</v>
      </c>
      <c r="C4735" s="1" t="s">
        <v>13964</v>
      </c>
      <c r="D4735" s="1" t="s">
        <v>88</v>
      </c>
      <c r="E4735" s="1" t="s">
        <v>13965</v>
      </c>
      <c r="F4735" s="1" t="str">
        <f>IFERROR(__xludf.DUMMYFUNCTION("GOOGLETRANSLATE(A4735, ""zh-CN"", ""ko"")"),"어떻게")</f>
        <v>어떻게</v>
      </c>
    </row>
    <row r="4736" ht="15.75" customHeight="1">
      <c r="A4736" s="1" t="s">
        <v>13966</v>
      </c>
      <c r="B4736" s="1">
        <v>6.0</v>
      </c>
      <c r="C4736" s="1" t="s">
        <v>13967</v>
      </c>
      <c r="D4736" s="1" t="s">
        <v>16</v>
      </c>
      <c r="E4736" s="1" t="s">
        <v>13968</v>
      </c>
      <c r="F4736" s="1" t="str">
        <f>IFERROR(__xludf.DUMMYFUNCTION("GOOGLETRANSLATE(A4736, ""zh-CN"", ""ko"")"),"재해")</f>
        <v>재해</v>
      </c>
    </row>
    <row r="4737" ht="15.75" customHeight="1">
      <c r="A4737" s="1" t="s">
        <v>13969</v>
      </c>
      <c r="B4737" s="1">
        <v>6.0</v>
      </c>
      <c r="C4737" s="1" t="s">
        <v>13970</v>
      </c>
      <c r="D4737" s="1" t="s">
        <v>8</v>
      </c>
      <c r="E4737" s="1" t="s">
        <v>13971</v>
      </c>
      <c r="F4737" s="1" t="str">
        <f>IFERROR(__xludf.DUMMYFUNCTION("GOOGLETRANSLATE(A4737, ""zh-CN"", ""ko"")"),"경작")</f>
        <v>경작</v>
      </c>
    </row>
    <row r="4738" ht="15.75" customHeight="1">
      <c r="A4738" s="1" t="s">
        <v>13972</v>
      </c>
      <c r="B4738" s="1">
        <v>6.0</v>
      </c>
      <c r="C4738" s="1" t="s">
        <v>13973</v>
      </c>
      <c r="D4738" s="1" t="s">
        <v>8</v>
      </c>
      <c r="E4738" s="1" t="s">
        <v>13974</v>
      </c>
      <c r="F4738" s="1" t="str">
        <f>IFERROR(__xludf.DUMMYFUNCTION("GOOGLETRANSLATE(A4738, ""zh-CN"", ""ko"")"),"학살")</f>
        <v>학살</v>
      </c>
    </row>
    <row r="4739" ht="15.75" customHeight="1">
      <c r="A4739" s="1" t="s">
        <v>13975</v>
      </c>
      <c r="B4739" s="1">
        <v>6.0</v>
      </c>
      <c r="C4739" s="1" t="s">
        <v>13976</v>
      </c>
      <c r="E4739" s="1" t="s">
        <v>13977</v>
      </c>
      <c r="F4739" s="1" t="str">
        <f>IFERROR(__xludf.DUMMYFUNCTION("GOOGLETRANSLATE(A4739, ""zh-CN"", ""ko"")"),"지속적인 노력을 기울이다")</f>
        <v>지속적인 노력을 기울이다</v>
      </c>
    </row>
    <row r="4740" ht="15.75" customHeight="1">
      <c r="A4740" s="1" t="s">
        <v>13978</v>
      </c>
      <c r="B4740" s="1">
        <v>6.0</v>
      </c>
      <c r="C4740" s="1" t="s">
        <v>13979</v>
      </c>
      <c r="D4740" s="1" t="s">
        <v>8</v>
      </c>
      <c r="E4740" s="1" t="s">
        <v>13980</v>
      </c>
      <c r="F4740" s="1" t="str">
        <f>IFERROR(__xludf.DUMMYFUNCTION("GOOGLETRANSLATE(A4740, ""zh-CN"", ""ko"")"),"케어")</f>
        <v>케어</v>
      </c>
    </row>
    <row r="4741" ht="15.75" customHeight="1">
      <c r="A4741" s="1" t="s">
        <v>13981</v>
      </c>
      <c r="B4741" s="1">
        <v>6.0</v>
      </c>
      <c r="C4741" s="1" t="s">
        <v>13982</v>
      </c>
      <c r="D4741" s="1" t="s">
        <v>8</v>
      </c>
      <c r="E4741" s="1" t="s">
        <v>13983</v>
      </c>
      <c r="F4741" s="1" t="str">
        <f>IFERROR(__xludf.DUMMYFUNCTION("GOOGLETRANSLATE(A4741, ""zh-CN"", ""ko"")"),"구하다")</f>
        <v>구하다</v>
      </c>
    </row>
    <row r="4742" ht="15.75" customHeight="1">
      <c r="A4742" s="1" t="s">
        <v>13984</v>
      </c>
      <c r="B4742" s="1">
        <v>6.0</v>
      </c>
      <c r="C4742" s="1" t="s">
        <v>13985</v>
      </c>
      <c r="D4742" s="1" t="s">
        <v>33</v>
      </c>
      <c r="E4742" s="1" t="s">
        <v>13986</v>
      </c>
      <c r="F4742" s="1" t="str">
        <f>IFERROR(__xludf.DUMMYFUNCTION("GOOGLETRANSLATE(A4742, ""zh-CN"", ""ko"")"),"당분간은")</f>
        <v>당분간은</v>
      </c>
    </row>
    <row r="4743" ht="15.75" customHeight="1">
      <c r="A4743" s="1" t="s">
        <v>13987</v>
      </c>
      <c r="B4743" s="1">
        <v>6.0</v>
      </c>
      <c r="C4743" s="1" t="s">
        <v>13988</v>
      </c>
      <c r="D4743" s="1" t="s">
        <v>8</v>
      </c>
      <c r="E4743" s="1" t="s">
        <v>13989</v>
      </c>
      <c r="F4743" s="1" t="str">
        <f>IFERROR(__xludf.DUMMYFUNCTION("GOOGLETRANSLATE(A4743, ""zh-CN"", ""ko"")"),"감탄")</f>
        <v>감탄</v>
      </c>
    </row>
    <row r="4744" ht="15.75" customHeight="1">
      <c r="A4744" s="1" t="s">
        <v>13990</v>
      </c>
      <c r="B4744" s="1">
        <v>6.0</v>
      </c>
      <c r="C4744" s="1" t="s">
        <v>13991</v>
      </c>
      <c r="D4744" s="1" t="s">
        <v>8</v>
      </c>
      <c r="E4744" s="1" t="s">
        <v>13992</v>
      </c>
      <c r="F4744" s="1" t="str">
        <f>IFERROR(__xludf.DUMMYFUNCTION("GOOGLETRANSLATE(A4744, ""zh-CN"", ""ko"")"),"스폰서")</f>
        <v>스폰서</v>
      </c>
    </row>
    <row r="4745" ht="15.75" customHeight="1">
      <c r="A4745" s="1" t="s">
        <v>13993</v>
      </c>
      <c r="B4745" s="1">
        <v>6.0</v>
      </c>
      <c r="C4745" s="1" t="s">
        <v>13994</v>
      </c>
      <c r="D4745" s="1" t="s">
        <v>8</v>
      </c>
      <c r="E4745" s="1" t="s">
        <v>13995</v>
      </c>
      <c r="F4745" s="1" t="str">
        <f>IFERROR(__xludf.DUMMYFUNCTION("GOOGLETRANSLATE(A4745, ""zh-CN"", ""ko"")"),"시달리다")</f>
        <v>시달리다</v>
      </c>
    </row>
    <row r="4746" ht="15.75" customHeight="1">
      <c r="A4746" s="1" t="s">
        <v>13996</v>
      </c>
      <c r="B4746" s="1">
        <v>6.0</v>
      </c>
      <c r="C4746" s="1" t="s">
        <v>13997</v>
      </c>
      <c r="D4746" s="1" t="s">
        <v>8</v>
      </c>
      <c r="E4746" s="1" t="s">
        <v>13998</v>
      </c>
      <c r="F4746" s="1" t="str">
        <f>IFERROR(__xludf.DUMMYFUNCTION("GOOGLETRANSLATE(A4746, ""zh-CN"", ""ko"")"),"쓰레기")</f>
        <v>쓰레기</v>
      </c>
    </row>
    <row r="4747" ht="15.75" customHeight="1">
      <c r="A4747" s="1" t="s">
        <v>13999</v>
      </c>
      <c r="B4747" s="1">
        <v>6.0</v>
      </c>
      <c r="C4747" s="1" t="s">
        <v>14000</v>
      </c>
      <c r="D4747" s="1" t="s">
        <v>8</v>
      </c>
      <c r="E4747" s="1" t="s">
        <v>14001</v>
      </c>
      <c r="F4747" s="1" t="str">
        <f>IFERROR(__xludf.DUMMYFUNCTION("GOOGLETRANSLATE(A4747, ""zh-CN"", ""ko"")"),"시달리다")</f>
        <v>시달리다</v>
      </c>
    </row>
    <row r="4748" ht="15.75" customHeight="1">
      <c r="A4748" s="1" t="s">
        <v>14002</v>
      </c>
      <c r="B4748" s="1">
        <v>6.0</v>
      </c>
      <c r="C4748" s="1" t="s">
        <v>14003</v>
      </c>
      <c r="D4748" s="1" t="s">
        <v>875</v>
      </c>
      <c r="E4748" s="1" t="s">
        <v>14004</v>
      </c>
      <c r="F4748" s="1" t="str">
        <f>IFERROR(__xludf.DUMMYFUNCTION("GOOGLETRANSLATE(A4748, ""zh-CN"", ""ko"")"),"맞닥뜨리다")</f>
        <v>맞닥뜨리다</v>
      </c>
    </row>
    <row r="4749" ht="15.75" customHeight="1">
      <c r="A4749" s="1" t="s">
        <v>14005</v>
      </c>
      <c r="B4749" s="1">
        <v>6.0</v>
      </c>
      <c r="C4749" s="1" t="s">
        <v>14006</v>
      </c>
      <c r="D4749" s="1" t="s">
        <v>16</v>
      </c>
      <c r="E4749" s="1" t="s">
        <v>14007</v>
      </c>
      <c r="F4749" s="1" t="str">
        <f>IFERROR(__xludf.DUMMYFUNCTION("GOOGLETRANSLATE(A4749, ""zh-CN"", ""ko"")"),"모델링")</f>
        <v>모델링</v>
      </c>
    </row>
    <row r="4750" ht="15.75" customHeight="1">
      <c r="A4750" s="1" t="s">
        <v>14008</v>
      </c>
      <c r="B4750" s="1">
        <v>6.0</v>
      </c>
      <c r="C4750" s="1" t="s">
        <v>14009</v>
      </c>
      <c r="D4750" s="1" t="s">
        <v>16</v>
      </c>
      <c r="E4750" s="1" t="s">
        <v>14010</v>
      </c>
      <c r="F4750" s="1" t="str">
        <f>IFERROR(__xludf.DUMMYFUNCTION("GOOGLETRANSLATE(A4750, ""zh-CN"", ""ko"")"),"소음")</f>
        <v>소음</v>
      </c>
    </row>
    <row r="4751" ht="15.75" customHeight="1">
      <c r="A4751" s="1" t="s">
        <v>14011</v>
      </c>
      <c r="B4751" s="1">
        <v>6.0</v>
      </c>
      <c r="C4751" s="1" t="s">
        <v>14012</v>
      </c>
      <c r="D4751" s="1" t="s">
        <v>8</v>
      </c>
      <c r="E4751" s="1" t="s">
        <v>14013</v>
      </c>
      <c r="F4751" s="1" t="str">
        <f>IFERROR(__xludf.DUMMYFUNCTION("GOOGLETRANSLATE(A4751, ""zh-CN"", ""ko"")"),"탓하다")</f>
        <v>탓하다</v>
      </c>
    </row>
    <row r="4752" ht="15.75" customHeight="1">
      <c r="A4752" s="1" t="s">
        <v>14014</v>
      </c>
      <c r="B4752" s="1">
        <v>6.0</v>
      </c>
      <c r="C4752" s="1" t="s">
        <v>14015</v>
      </c>
      <c r="D4752" s="1" t="s">
        <v>16</v>
      </c>
      <c r="E4752" s="1" t="s">
        <v>14016</v>
      </c>
      <c r="F4752" s="1" t="str">
        <f>IFERROR(__xludf.DUMMYFUNCTION("GOOGLETRANSLATE(A4752, ""zh-CN"", ""ko"")"),"도둑")</f>
        <v>도둑</v>
      </c>
    </row>
    <row r="4753" ht="15.75" customHeight="1">
      <c r="A4753" s="1" t="s">
        <v>14017</v>
      </c>
      <c r="B4753" s="1">
        <v>6.0</v>
      </c>
      <c r="C4753" s="1" t="s">
        <v>14018</v>
      </c>
      <c r="D4753" s="1" t="s">
        <v>8</v>
      </c>
      <c r="E4753" s="1" t="s">
        <v>14019</v>
      </c>
      <c r="F4753" s="1" t="str">
        <f>IFERROR(__xludf.DUMMYFUNCTION("GOOGLETRANSLATE(A4753, ""zh-CN"", ""ko"")"),"추가하다")</f>
        <v>추가하다</v>
      </c>
    </row>
    <row r="4754" ht="15.75" customHeight="1">
      <c r="A4754" s="1" t="s">
        <v>14020</v>
      </c>
      <c r="B4754" s="1">
        <v>6.0</v>
      </c>
      <c r="C4754" s="1" t="s">
        <v>14021</v>
      </c>
      <c r="D4754" s="1" t="s">
        <v>8</v>
      </c>
      <c r="E4754" s="1" t="s">
        <v>14022</v>
      </c>
      <c r="F4754" s="1" t="str">
        <f>IFERROR(__xludf.DUMMYFUNCTION("GOOGLETRANSLATE(A4754, ""zh-CN"", ""ko"")"),"선물")</f>
        <v>선물</v>
      </c>
    </row>
    <row r="4755" ht="15.75" customHeight="1">
      <c r="A4755" s="1" t="s">
        <v>14023</v>
      </c>
      <c r="B4755" s="1">
        <v>6.0</v>
      </c>
      <c r="C4755" s="1" t="s">
        <v>14024</v>
      </c>
      <c r="D4755" s="1" t="s">
        <v>8</v>
      </c>
      <c r="E4755" s="1" t="s">
        <v>14025</v>
      </c>
      <c r="F4755" s="1" t="str">
        <f>IFERROR(__xludf.DUMMYFUNCTION("GOOGLETRANSLATE(A4755, ""zh-CN"", ""ko"")"),"묶다")</f>
        <v>묶다</v>
      </c>
    </row>
    <row r="4756" ht="15.75" customHeight="1">
      <c r="A4756" s="1" t="s">
        <v>14026</v>
      </c>
      <c r="B4756" s="1">
        <v>6.0</v>
      </c>
      <c r="C4756" s="1" t="s">
        <v>14024</v>
      </c>
      <c r="D4756" s="1" t="s">
        <v>16</v>
      </c>
      <c r="E4756" s="1" t="s">
        <v>14027</v>
      </c>
      <c r="F4756" s="1" t="str">
        <f>IFERROR(__xludf.DUMMYFUNCTION("GOOGLETRANSLATE(A4756, ""zh-CN"", ""ko"")"),"찌끼")</f>
        <v>찌끼</v>
      </c>
    </row>
    <row r="4757" ht="15.75" customHeight="1">
      <c r="A4757" s="1" t="s">
        <v>14028</v>
      </c>
      <c r="B4757" s="1">
        <v>6.0</v>
      </c>
      <c r="C4757" s="1" t="s">
        <v>14029</v>
      </c>
      <c r="D4757" s="1" t="s">
        <v>52</v>
      </c>
      <c r="E4757" s="1" t="s">
        <v>14030</v>
      </c>
      <c r="F4757" s="1" t="str">
        <f>IFERROR(__xludf.DUMMYFUNCTION("GOOGLETRANSLATE(A4757, ""zh-CN"", ""ko"")"),"단단한")</f>
        <v>단단한</v>
      </c>
    </row>
    <row r="4758" ht="15.75" customHeight="1">
      <c r="A4758" s="1" t="s">
        <v>14031</v>
      </c>
      <c r="B4758" s="1">
        <v>6.0</v>
      </c>
      <c r="C4758" s="1" t="s">
        <v>14032</v>
      </c>
      <c r="D4758" s="1" t="s">
        <v>8</v>
      </c>
      <c r="E4758" s="1" t="s">
        <v>14033</v>
      </c>
      <c r="F4758" s="1" t="str">
        <f>IFERROR(__xludf.DUMMYFUNCTION("GOOGLETRANSLATE(A4758, ""zh-CN"", ""ko"")"),"깜박거리다")</f>
        <v>깜박거리다</v>
      </c>
    </row>
    <row r="4759" ht="15.75" customHeight="1">
      <c r="A4759" s="1" t="s">
        <v>14034</v>
      </c>
      <c r="B4759" s="1">
        <v>6.0</v>
      </c>
      <c r="C4759" s="1" t="s">
        <v>14035</v>
      </c>
      <c r="D4759" s="1" t="s">
        <v>8</v>
      </c>
      <c r="E4759" s="1" t="s">
        <v>14036</v>
      </c>
      <c r="F4759" s="1" t="str">
        <f>IFERROR(__xludf.DUMMYFUNCTION("GOOGLETRANSLATE(A4759, ""zh-CN"", ""ko"")"),"사기")</f>
        <v>사기</v>
      </c>
    </row>
    <row r="4760" ht="15.75" customHeight="1">
      <c r="A4760" s="1" t="s">
        <v>14037</v>
      </c>
      <c r="B4760" s="1">
        <v>6.0</v>
      </c>
      <c r="C4760" s="1" t="s">
        <v>14038</v>
      </c>
      <c r="D4760" s="1" t="s">
        <v>16</v>
      </c>
      <c r="E4760" s="1" t="s">
        <v>14039</v>
      </c>
      <c r="F4760" s="1" t="str">
        <f>IFERROR(__xludf.DUMMYFUNCTION("GOOGLETRANSLATE(A4760, ""zh-CN"", ""ko"")"),"요약")</f>
        <v>요약</v>
      </c>
    </row>
    <row r="4761" ht="15.75" customHeight="1">
      <c r="A4761" s="1" t="s">
        <v>14040</v>
      </c>
      <c r="B4761" s="1">
        <v>6.0</v>
      </c>
      <c r="C4761" s="1" t="s">
        <v>14041</v>
      </c>
      <c r="D4761" s="1" t="s">
        <v>16</v>
      </c>
      <c r="E4761" s="1" t="s">
        <v>14042</v>
      </c>
      <c r="F4761" s="1" t="str">
        <f>IFERROR(__xludf.DUMMYFUNCTION("GOOGLETRANSLATE(A4761, ""zh-CN"", ""ko"")"),"채권")</f>
        <v>채권</v>
      </c>
    </row>
    <row r="4762" ht="15.75" customHeight="1">
      <c r="A4762" s="1" t="s">
        <v>14043</v>
      </c>
      <c r="B4762" s="1">
        <v>6.0</v>
      </c>
      <c r="C4762" s="1" t="s">
        <v>14044</v>
      </c>
      <c r="D4762" s="1" t="s">
        <v>8</v>
      </c>
      <c r="E4762" s="1" t="s">
        <v>14045</v>
      </c>
      <c r="F4762" s="1" t="str">
        <f>IFERROR(__xludf.DUMMYFUNCTION("GOOGLETRANSLATE(A4762, ""zh-CN"", ""ko"")"),"혜택")</f>
        <v>혜택</v>
      </c>
    </row>
    <row r="4763" ht="15.75" customHeight="1">
      <c r="A4763" s="1" t="s">
        <v>14046</v>
      </c>
      <c r="B4763" s="1">
        <v>6.0</v>
      </c>
      <c r="C4763" s="1" t="s">
        <v>14047</v>
      </c>
      <c r="D4763" s="1" t="s">
        <v>8</v>
      </c>
      <c r="E4763" s="1" t="s">
        <v>14048</v>
      </c>
      <c r="F4763" s="1" t="str">
        <f>IFERROR(__xludf.DUMMYFUNCTION("GOOGLETRANSLATE(A4763, ""zh-CN"", ""ko"")"),"경의를 표하며")</f>
        <v>경의를 표하며</v>
      </c>
    </row>
    <row r="4764" ht="15.75" customHeight="1">
      <c r="A4764" s="1" t="s">
        <v>14049</v>
      </c>
      <c r="B4764" s="1">
        <v>6.0</v>
      </c>
      <c r="C4764" s="1" t="s">
        <v>14050</v>
      </c>
      <c r="E4764" s="1" t="s">
        <v>14051</v>
      </c>
      <c r="F4764" s="1" t="str">
        <f>IFERROR(__xludf.DUMMYFUNCTION("GOOGLETRANSLATE(A4764, ""zh-CN"", ""ko"")"),"결정적인")</f>
        <v>결정적인</v>
      </c>
    </row>
    <row r="4765" ht="15.75" customHeight="1">
      <c r="A4765" s="1" t="s">
        <v>14052</v>
      </c>
      <c r="B4765" s="1">
        <v>6.0</v>
      </c>
      <c r="C4765" s="1" t="s">
        <v>14053</v>
      </c>
      <c r="D4765" s="1" t="s">
        <v>8</v>
      </c>
      <c r="E4765" s="1" t="s">
        <v>14054</v>
      </c>
      <c r="F4765" s="1" t="str">
        <f>IFERROR(__xludf.DUMMYFUNCTION("GOOGLETRANSLATE(A4765, ""zh-CN"", ""ko"")"),"전시하다")</f>
        <v>전시하다</v>
      </c>
    </row>
    <row r="4766" ht="15.75" customHeight="1">
      <c r="A4766" s="1" t="s">
        <v>14055</v>
      </c>
      <c r="B4766" s="1">
        <v>6.0</v>
      </c>
      <c r="C4766" s="1" t="s">
        <v>14056</v>
      </c>
      <c r="D4766" s="1" t="s">
        <v>8</v>
      </c>
      <c r="E4766" s="1" t="s">
        <v>14057</v>
      </c>
      <c r="F4766" s="1" t="str">
        <f>IFERROR(__xludf.DUMMYFUNCTION("GOOGLETRANSLATE(A4766, ""zh-CN"", ""ko"")"),"시야")</f>
        <v>시야</v>
      </c>
    </row>
    <row r="4767" ht="15.75" customHeight="1">
      <c r="A4767" s="1" t="s">
        <v>14058</v>
      </c>
      <c r="B4767" s="1">
        <v>6.0</v>
      </c>
      <c r="C4767" s="1" t="s">
        <v>14059</v>
      </c>
      <c r="D4767" s="1" t="s">
        <v>8</v>
      </c>
      <c r="E4767" s="1" t="s">
        <v>14060</v>
      </c>
      <c r="F4767" s="1" t="str">
        <f>IFERROR(__xludf.DUMMYFUNCTION("GOOGLETRANSLATE(A4767, ""zh-CN"", ""ko"")"),"보여주다")</f>
        <v>보여주다</v>
      </c>
    </row>
    <row r="4768" ht="15.75" customHeight="1">
      <c r="A4768" s="1" t="s">
        <v>14061</v>
      </c>
      <c r="B4768" s="1">
        <v>6.0</v>
      </c>
      <c r="C4768" s="1" t="s">
        <v>14062</v>
      </c>
      <c r="D4768" s="1" t="s">
        <v>52</v>
      </c>
      <c r="E4768" s="1" t="s">
        <v>14063</v>
      </c>
      <c r="F4768" s="1" t="str">
        <f>IFERROR(__xludf.DUMMYFUNCTION("GOOGLETRANSLATE(A4768, ""zh-CN"", ""ko"")"),"아주 새로운")</f>
        <v>아주 새로운</v>
      </c>
    </row>
    <row r="4769" ht="15.75" customHeight="1">
      <c r="A4769" s="1" t="s">
        <v>14064</v>
      </c>
      <c r="B4769" s="1">
        <v>6.0</v>
      </c>
      <c r="C4769" s="1" t="s">
        <v>14065</v>
      </c>
      <c r="D4769" s="1" t="s">
        <v>8</v>
      </c>
      <c r="E4769" s="1" t="s">
        <v>14066</v>
      </c>
      <c r="F4769" s="1" t="str">
        <f>IFERROR(__xludf.DUMMYFUNCTION("GOOGLETRANSLATE(A4769, ""zh-CN"", ""ko"")"),"화이팅")</f>
        <v>화이팅</v>
      </c>
    </row>
    <row r="4770" ht="15.75" customHeight="1">
      <c r="A4770" s="1" t="s">
        <v>14067</v>
      </c>
      <c r="B4770" s="1">
        <v>6.0</v>
      </c>
      <c r="C4770" s="1" t="s">
        <v>14068</v>
      </c>
      <c r="D4770" s="1" t="s">
        <v>8</v>
      </c>
      <c r="E4770" s="1" t="s">
        <v>14069</v>
      </c>
      <c r="F4770" s="1" t="str">
        <f>IFERROR(__xludf.DUMMYFUNCTION("GOOGLETRANSLATE(A4770, ""zh-CN"", ""ko"")"),"점유하다")</f>
        <v>점유하다</v>
      </c>
    </row>
    <row r="4771" ht="15.75" customHeight="1">
      <c r="A4771" s="1" t="s">
        <v>14070</v>
      </c>
      <c r="B4771" s="1">
        <v>6.0</v>
      </c>
      <c r="C4771" s="1" t="s">
        <v>14071</v>
      </c>
      <c r="D4771" s="1" t="s">
        <v>8</v>
      </c>
      <c r="E4771" s="1" t="s">
        <v>14072</v>
      </c>
      <c r="F4771" s="1" t="str">
        <f>IFERROR(__xludf.DUMMYFUNCTION("GOOGLETRANSLATE(A4771, ""zh-CN"", ""ko"")"),"가득차 있는")</f>
        <v>가득차 있는</v>
      </c>
    </row>
    <row r="4772" ht="15.75" customHeight="1">
      <c r="A4772" s="1" t="s">
        <v>14073</v>
      </c>
      <c r="B4772" s="1">
        <v>6.0</v>
      </c>
      <c r="C4772" s="1" t="s">
        <v>14074</v>
      </c>
      <c r="D4772" s="1" t="s">
        <v>16</v>
      </c>
      <c r="E4772" s="1" t="s">
        <v>14075</v>
      </c>
      <c r="F4772" s="1" t="str">
        <f>IFERROR(__xludf.DUMMYFUNCTION("GOOGLETRANSLATE(A4772, ""zh-CN"", ""ko"")"),"전략")</f>
        <v>전략</v>
      </c>
    </row>
    <row r="4773" ht="15.75" customHeight="1">
      <c r="A4773" s="1" t="s">
        <v>14076</v>
      </c>
      <c r="B4773" s="1">
        <v>6.0</v>
      </c>
      <c r="C4773" s="1" t="s">
        <v>14077</v>
      </c>
      <c r="D4773" s="1" t="s">
        <v>16</v>
      </c>
      <c r="E4773" s="1" t="s">
        <v>14078</v>
      </c>
      <c r="F4773" s="1" t="str">
        <f>IFERROR(__xludf.DUMMYFUNCTION("GOOGLETRANSLATE(A4773, ""zh-CN"", ""ko"")"),"전술")</f>
        <v>전술</v>
      </c>
    </row>
    <row r="4774" ht="15.75" customHeight="1">
      <c r="A4774" s="1" t="s">
        <v>14079</v>
      </c>
      <c r="B4774" s="1">
        <v>6.0</v>
      </c>
      <c r="C4774" s="1" t="s">
        <v>14080</v>
      </c>
      <c r="D4774" s="1" t="s">
        <v>16</v>
      </c>
      <c r="E4774" s="1" t="s">
        <v>14081</v>
      </c>
      <c r="F4774" s="1" t="str">
        <f>IFERROR(__xludf.DUMMYFUNCTION("GOOGLETRANSLATE(A4774, ""zh-CN"", ""ko"")"),"전투")</f>
        <v>전투</v>
      </c>
    </row>
    <row r="4775" ht="15.75" customHeight="1">
      <c r="A4775" s="1" t="s">
        <v>14082</v>
      </c>
      <c r="B4775" s="1">
        <v>6.0</v>
      </c>
      <c r="C4775" s="1" t="s">
        <v>14083</v>
      </c>
      <c r="D4775" s="1" t="s">
        <v>16</v>
      </c>
      <c r="E4775" s="1" t="s">
        <v>14084</v>
      </c>
      <c r="F4775" s="1" t="str">
        <f>IFERROR(__xludf.DUMMYFUNCTION("GOOGLETRANSLATE(A4775, ""zh-CN"", ""ko"")"),"정관")</f>
        <v>정관</v>
      </c>
    </row>
    <row r="4776" ht="15.75" customHeight="1">
      <c r="A4776" s="1" t="s">
        <v>14085</v>
      </c>
      <c r="B4776" s="1">
        <v>6.0</v>
      </c>
      <c r="C4776" s="1" t="s">
        <v>14086</v>
      </c>
      <c r="D4776" s="1" t="s">
        <v>16</v>
      </c>
      <c r="E4776" s="1" t="s">
        <v>14087</v>
      </c>
      <c r="F4776" s="1" t="str">
        <f>IFERROR(__xludf.DUMMYFUNCTION("GOOGLETRANSLATE(A4776, ""zh-CN"", ""ko"")"),"장애")</f>
        <v>장애</v>
      </c>
    </row>
    <row r="4777" ht="15.75" customHeight="1">
      <c r="A4777" s="1" t="s">
        <v>14088</v>
      </c>
      <c r="B4777" s="1">
        <v>6.0</v>
      </c>
      <c r="C4777" s="1" t="s">
        <v>14089</v>
      </c>
      <c r="D4777" s="1" t="s">
        <v>16</v>
      </c>
      <c r="E4777" s="1" t="s">
        <v>14090</v>
      </c>
      <c r="F4777" s="1" t="str">
        <f>IFERROR(__xludf.DUMMYFUNCTION("GOOGLETRANSLATE(A4777, ""zh-CN"", ""ko"")"),"텐트")</f>
        <v>텐트</v>
      </c>
    </row>
    <row r="4778" ht="15.75" customHeight="1">
      <c r="A4778" s="1" t="s">
        <v>14091</v>
      </c>
      <c r="B4778" s="1">
        <v>6.0</v>
      </c>
      <c r="C4778" s="1" t="s">
        <v>14092</v>
      </c>
      <c r="D4778" s="1" t="s">
        <v>8</v>
      </c>
      <c r="E4778" s="1" t="s">
        <v>14093</v>
      </c>
      <c r="F4778" s="1" t="str">
        <f>IFERROR(__xludf.DUMMYFUNCTION("GOOGLETRANSLATE(A4778, ""zh-CN"", ""ko"")"),"부드러운")</f>
        <v>부드러운</v>
      </c>
    </row>
    <row r="4779" ht="15.75" customHeight="1">
      <c r="A4779" s="1" t="s">
        <v>14094</v>
      </c>
      <c r="B4779" s="1">
        <v>6.0</v>
      </c>
      <c r="C4779" s="1" t="s">
        <v>14095</v>
      </c>
      <c r="E4779" s="1" t="s">
        <v>14096</v>
      </c>
      <c r="F4779" s="1" t="str">
        <f>IFERROR(__xludf.DUMMYFUNCTION("GOOGLETRANSLATE(A4779, ""zh-CN"", ""ko"")"),"활기찬")</f>
        <v>활기찬</v>
      </c>
    </row>
    <row r="4780" ht="15.75" customHeight="1">
      <c r="A4780" s="1" t="s">
        <v>14097</v>
      </c>
      <c r="B4780" s="1">
        <v>6.0</v>
      </c>
      <c r="C4780" s="1" t="s">
        <v>14098</v>
      </c>
      <c r="D4780" s="1" t="s">
        <v>8</v>
      </c>
      <c r="E4780" s="1" t="s">
        <v>14099</v>
      </c>
      <c r="F4780" s="1" t="str">
        <f>IFERROR(__xludf.DUMMYFUNCTION("GOOGLETRANSLATE(A4780, ""zh-CN"", ""ko"")"),"모집")</f>
        <v>모집</v>
      </c>
    </row>
    <row r="4781" ht="15.75" customHeight="1">
      <c r="A4781" s="1" t="s">
        <v>14100</v>
      </c>
      <c r="B4781" s="1">
        <v>6.0</v>
      </c>
      <c r="C4781" s="1" t="s">
        <v>14101</v>
      </c>
      <c r="D4781" s="1" t="s">
        <v>8</v>
      </c>
      <c r="E4781" s="1" t="s">
        <v>14102</v>
      </c>
      <c r="F4781" s="1" t="str">
        <f>IFERROR(__xludf.DUMMYFUNCTION("GOOGLETRANSLATE(A4781, ""zh-CN"", ""ko"")"),"매료되다")</f>
        <v>매료되다</v>
      </c>
    </row>
    <row r="4782" ht="15.75" customHeight="1">
      <c r="A4782" s="1" t="s">
        <v>14103</v>
      </c>
      <c r="B4782" s="1">
        <v>6.0</v>
      </c>
      <c r="C4782" s="1" t="s">
        <v>14104</v>
      </c>
      <c r="D4782" s="1" t="s">
        <v>16</v>
      </c>
      <c r="E4782" s="1" t="s">
        <v>14105</v>
      </c>
      <c r="F4782" s="1" t="str">
        <f>IFERROR(__xludf.DUMMYFUNCTION("GOOGLETRANSLATE(A4782, ""zh-CN"", ""ko"")"),"늪")</f>
        <v>늪</v>
      </c>
    </row>
    <row r="4783" ht="15.75" customHeight="1">
      <c r="A4783" s="1" t="s">
        <v>14106</v>
      </c>
      <c r="B4783" s="1">
        <v>6.0</v>
      </c>
      <c r="C4783" s="1" t="s">
        <v>14107</v>
      </c>
      <c r="D4783" s="1" t="s">
        <v>33</v>
      </c>
      <c r="E4783" s="1" t="s">
        <v>14108</v>
      </c>
      <c r="F4783" s="1" t="str">
        <f>IFERROR(__xludf.DUMMYFUNCTION("GOOGLETRANSLATE(A4783, ""zh-CN"", ""ko"")"),"같은")</f>
        <v>같은</v>
      </c>
    </row>
    <row r="4784" ht="15.75" customHeight="1">
      <c r="A4784" s="1" t="s">
        <v>14109</v>
      </c>
      <c r="B4784" s="1">
        <v>6.0</v>
      </c>
      <c r="C4784" s="1" t="s">
        <v>14110</v>
      </c>
      <c r="D4784" s="1" t="s">
        <v>8</v>
      </c>
      <c r="E4784" s="1" t="s">
        <v>14111</v>
      </c>
      <c r="F4784" s="1" t="str">
        <f>IFERROR(__xludf.DUMMYFUNCTION("GOOGLETRANSLATE(A4784, ""zh-CN"", ""ko"")"),"빛나는")</f>
        <v>빛나는</v>
      </c>
    </row>
    <row r="4785" ht="15.75" customHeight="1">
      <c r="A4785" s="1" t="s">
        <v>14112</v>
      </c>
      <c r="B4785" s="1">
        <v>6.0</v>
      </c>
      <c r="C4785" s="1" t="s">
        <v>14113</v>
      </c>
      <c r="D4785" s="1" t="s">
        <v>8</v>
      </c>
      <c r="E4785" s="1" t="s">
        <v>14114</v>
      </c>
      <c r="F4785" s="1" t="str">
        <f>IFERROR(__xludf.DUMMYFUNCTION("GOOGLETRANSLATE(A4785, ""zh-CN"", ""ko"")"),"방해")</f>
        <v>방해</v>
      </c>
    </row>
    <row r="4786" ht="15.75" customHeight="1">
      <c r="A4786" s="1" t="s">
        <v>14115</v>
      </c>
      <c r="B4786" s="1">
        <v>6.0</v>
      </c>
      <c r="C4786" s="1" t="s">
        <v>14116</v>
      </c>
      <c r="D4786" s="1" t="s">
        <v>8</v>
      </c>
      <c r="E4786" s="1" t="s">
        <v>14117</v>
      </c>
      <c r="F4786" s="1" t="str">
        <f>IFERROR(__xludf.DUMMYFUNCTION("GOOGLETRANSLATE(A4786, ""zh-CN"", ""ko"")"),"던져 올림")</f>
        <v>던져 올림</v>
      </c>
    </row>
    <row r="4787" ht="15.75" customHeight="1">
      <c r="A4787" s="1" t="s">
        <v>14118</v>
      </c>
      <c r="B4787" s="1">
        <v>6.0</v>
      </c>
      <c r="C4787" s="1" t="s">
        <v>14119</v>
      </c>
      <c r="D4787" s="1" t="s">
        <v>8</v>
      </c>
      <c r="E4787" s="1" t="s">
        <v>14120</v>
      </c>
      <c r="F4787" s="1" t="str">
        <f>IFERROR(__xludf.DUMMYFUNCTION("GOOGLETRANSLATE(A4787, ""zh-CN"", ""ko"")"),"겹")</f>
        <v>겹</v>
      </c>
    </row>
    <row r="4788" ht="15.75" customHeight="1">
      <c r="A4788" s="1" t="s">
        <v>14121</v>
      </c>
      <c r="B4788" s="1">
        <v>6.0</v>
      </c>
      <c r="C4788" s="1" t="s">
        <v>14122</v>
      </c>
      <c r="D4788" s="1" t="s">
        <v>8</v>
      </c>
      <c r="E4788" s="1" t="s">
        <v>14123</v>
      </c>
      <c r="F4788" s="1" t="str">
        <f>IFERROR(__xludf.DUMMYFUNCTION("GOOGLETRANSLATE(A4788, ""zh-CN"", ""ko"")"),"고문")</f>
        <v>고문</v>
      </c>
    </row>
    <row r="4789" ht="15.75" customHeight="1">
      <c r="A4789" s="1" t="s">
        <v>14124</v>
      </c>
      <c r="B4789" s="1">
        <v>6.0</v>
      </c>
      <c r="C4789" s="1" t="s">
        <v>14125</v>
      </c>
      <c r="D4789" s="1" t="s">
        <v>52</v>
      </c>
      <c r="E4789" s="1" t="s">
        <v>14126</v>
      </c>
      <c r="F4789" s="1" t="str">
        <f>IFERROR(__xludf.DUMMYFUNCTION("GOOGLETRANSLATE(A4789, ""zh-CN"", ""ko"")"),"귀중한")</f>
        <v>귀중한</v>
      </c>
    </row>
    <row r="4790" ht="15.75" customHeight="1">
      <c r="A4790" s="1" t="s">
        <v>14127</v>
      </c>
      <c r="B4790" s="1">
        <v>6.0</v>
      </c>
      <c r="C4790" s="1" t="s">
        <v>14128</v>
      </c>
      <c r="D4790" s="1" t="s">
        <v>16</v>
      </c>
      <c r="E4790" s="1" t="s">
        <v>6025</v>
      </c>
      <c r="F4790" s="1" t="str">
        <f>IFERROR(__xludf.DUMMYFUNCTION("GOOGLETRANSLATE(A4790, ""zh-CN"", ""ko"")"),"진실")</f>
        <v>진실</v>
      </c>
    </row>
    <row r="4791" ht="15.75" customHeight="1">
      <c r="A4791" s="1" t="s">
        <v>14129</v>
      </c>
      <c r="B4791" s="1">
        <v>6.0</v>
      </c>
      <c r="C4791" s="1" t="s">
        <v>14130</v>
      </c>
      <c r="D4791" s="1" t="s">
        <v>16</v>
      </c>
      <c r="E4791" s="1" t="s">
        <v>14131</v>
      </c>
      <c r="F4791" s="1" t="str">
        <f>IFERROR(__xludf.DUMMYFUNCTION("GOOGLETRANSLATE(A4791, ""zh-CN"", ""ko"")"),"형사")</f>
        <v>형사</v>
      </c>
    </row>
    <row r="4792" ht="15.75" customHeight="1">
      <c r="A4792" s="1" t="s">
        <v>14132</v>
      </c>
      <c r="B4792" s="1">
        <v>6.0</v>
      </c>
      <c r="C4792" s="1" t="s">
        <v>7055</v>
      </c>
      <c r="D4792" s="1" t="s">
        <v>52</v>
      </c>
      <c r="E4792" s="1" t="s">
        <v>14133</v>
      </c>
      <c r="F4792" s="1" t="str">
        <f>IFERROR(__xludf.DUMMYFUNCTION("GOOGLETRANSLATE(A4792, ""zh-CN"", ""ko"")"),"희귀한")</f>
        <v>희귀한</v>
      </c>
    </row>
    <row r="4793" ht="15.75" customHeight="1">
      <c r="A4793" s="1" t="s">
        <v>14134</v>
      </c>
      <c r="B4793" s="1">
        <v>6.0</v>
      </c>
      <c r="C4793" s="1" t="s">
        <v>14135</v>
      </c>
      <c r="D4793" s="1" t="s">
        <v>16</v>
      </c>
      <c r="E4793" s="1" t="s">
        <v>14136</v>
      </c>
      <c r="F4793" s="1" t="str">
        <f>IFERROR(__xludf.DUMMYFUNCTION("GOOGLETRANSLATE(A4793, ""zh-CN"", ""ko"")"),"진실")</f>
        <v>진실</v>
      </c>
    </row>
    <row r="4794" ht="15.75" customHeight="1">
      <c r="A4794" s="1" t="s">
        <v>14137</v>
      </c>
      <c r="B4794" s="1">
        <v>6.0</v>
      </c>
      <c r="C4794" s="1" t="s">
        <v>14138</v>
      </c>
      <c r="D4794" s="1" t="s">
        <v>52</v>
      </c>
      <c r="E4794" s="1" t="s">
        <v>14139</v>
      </c>
      <c r="F4794" s="1" t="str">
        <f>IFERROR(__xludf.DUMMYFUNCTION("GOOGLETRANSLATE(A4794, ""zh-CN"", ""ko"")"),"진실된")</f>
        <v>진실된</v>
      </c>
    </row>
    <row r="4795" ht="15.75" customHeight="1">
      <c r="A4795" s="1" t="s">
        <v>14140</v>
      </c>
      <c r="B4795" s="1">
        <v>6.0</v>
      </c>
      <c r="C4795" s="1" t="s">
        <v>14141</v>
      </c>
      <c r="D4795" s="1" t="s">
        <v>16</v>
      </c>
      <c r="E4795" s="1" t="s">
        <v>14142</v>
      </c>
      <c r="F4795" s="1" t="str">
        <f>IFERROR(__xludf.DUMMYFUNCTION("GOOGLETRANSLATE(A4795, ""zh-CN"", ""ko"")"),"진주")</f>
        <v>진주</v>
      </c>
    </row>
    <row r="4796" ht="15.75" customHeight="1">
      <c r="A4796" s="1" t="s">
        <v>14143</v>
      </c>
      <c r="B4796" s="1">
        <v>6.0</v>
      </c>
      <c r="C4796" s="1" t="s">
        <v>14144</v>
      </c>
      <c r="D4796" s="1" t="s">
        <v>8</v>
      </c>
      <c r="E4796" s="1" t="s">
        <v>14145</v>
      </c>
      <c r="F4796" s="1" t="str">
        <f>IFERROR(__xludf.DUMMYFUNCTION("GOOGLETRANSLATE(A4796, ""zh-CN"", ""ko"")"),"고려하다")</f>
        <v>고려하다</v>
      </c>
    </row>
    <row r="4797" ht="15.75" customHeight="1">
      <c r="A4797" s="1" t="s">
        <v>14146</v>
      </c>
      <c r="B4797" s="1">
        <v>6.0</v>
      </c>
      <c r="C4797" s="1" t="s">
        <v>14147</v>
      </c>
      <c r="D4797" s="1" t="s">
        <v>16</v>
      </c>
      <c r="E4797" s="1" t="s">
        <v>14148</v>
      </c>
      <c r="F4797" s="1" t="str">
        <f>IFERROR(__xludf.DUMMYFUNCTION("GOOGLETRANSLATE(A4797, ""zh-CN"", ""ko"")"),"베개")</f>
        <v>베개</v>
      </c>
    </row>
    <row r="4798" ht="15.75" customHeight="1">
      <c r="A4798" s="1" t="s">
        <v>14149</v>
      </c>
      <c r="B4798" s="1">
        <v>6.0</v>
      </c>
      <c r="C4798" s="1" t="s">
        <v>14150</v>
      </c>
      <c r="D4798" s="1" t="s">
        <v>16</v>
      </c>
      <c r="E4798" s="1" t="s">
        <v>14151</v>
      </c>
      <c r="F4798" s="1" t="str">
        <f>IFERROR(__xludf.DUMMYFUNCTION("GOOGLETRANSLATE(A4798, ""zh-CN"", ""ko"")"),"위치")</f>
        <v>위치</v>
      </c>
    </row>
    <row r="4799" ht="15.75" customHeight="1">
      <c r="A4799" s="1" t="s">
        <v>14152</v>
      </c>
      <c r="B4799" s="1">
        <v>6.0</v>
      </c>
      <c r="C4799" s="1" t="s">
        <v>14153</v>
      </c>
      <c r="D4799" s="1" t="s">
        <v>52</v>
      </c>
      <c r="E4799" s="1" t="s">
        <v>14154</v>
      </c>
      <c r="F4799" s="1" t="str">
        <f>IFERROR(__xludf.DUMMYFUNCTION("GOOGLETRANSLATE(A4799, ""zh-CN"", ""ko"")"),"침착한")</f>
        <v>침착한</v>
      </c>
    </row>
    <row r="4800" ht="15.75" customHeight="1">
      <c r="A4800" s="1" t="s">
        <v>14155</v>
      </c>
      <c r="B4800" s="1">
        <v>6.0</v>
      </c>
      <c r="C4800" s="1" t="s">
        <v>14156</v>
      </c>
      <c r="D4800" s="1" t="s">
        <v>1003</v>
      </c>
      <c r="E4800" s="1" t="s">
        <v>14157</v>
      </c>
      <c r="F4800" s="1" t="str">
        <f>IFERROR(__xludf.DUMMYFUNCTION("GOOGLETRANSLATE(A4800, ""zh-CN"", ""ko"")"),"활력을 주는")</f>
        <v>활력을 주는</v>
      </c>
    </row>
    <row r="4801" ht="15.75" customHeight="1">
      <c r="A4801" s="1" t="s">
        <v>14158</v>
      </c>
      <c r="B4801" s="1">
        <v>6.0</v>
      </c>
      <c r="C4801" s="1" t="s">
        <v>14159</v>
      </c>
      <c r="D4801" s="1" t="s">
        <v>8</v>
      </c>
      <c r="E4801" s="1" t="s">
        <v>14160</v>
      </c>
      <c r="F4801" s="1" t="str">
        <f>IFERROR(__xludf.DUMMYFUNCTION("GOOGLETRANSLATE(A4801, ""zh-CN"", ""ko"")"),"충격")</f>
        <v>충격</v>
      </c>
    </row>
    <row r="4802" ht="15.75" customHeight="1">
      <c r="A4802" s="1" t="s">
        <v>14161</v>
      </c>
      <c r="B4802" s="1">
        <v>6.0</v>
      </c>
      <c r="C4802" s="1" t="s">
        <v>14162</v>
      </c>
      <c r="D4802" s="1" t="s">
        <v>8</v>
      </c>
      <c r="E4802" s="1" t="s">
        <v>14163</v>
      </c>
      <c r="F4802" s="1" t="str">
        <f>IFERROR(__xludf.DUMMYFUNCTION("GOOGLETRANSLATE(A4802, ""zh-CN"", ""ko"")"),"충격")</f>
        <v>충격</v>
      </c>
    </row>
    <row r="4803" ht="15.75" customHeight="1">
      <c r="A4803" s="1" t="s">
        <v>14164</v>
      </c>
      <c r="B4803" s="1">
        <v>6.0</v>
      </c>
      <c r="C4803" s="1" t="s">
        <v>14165</v>
      </c>
      <c r="D4803" s="1" t="s">
        <v>52</v>
      </c>
      <c r="E4803" s="1" t="s">
        <v>14166</v>
      </c>
      <c r="F4803" s="1" t="str">
        <f>IFERROR(__xludf.DUMMYFUNCTION("GOOGLETRANSLATE(A4803, ""zh-CN"", ""ko"")"),"침착한")</f>
        <v>침착한</v>
      </c>
    </row>
    <row r="4804" ht="15.75" customHeight="1">
      <c r="A4804" s="1" t="s">
        <v>14167</v>
      </c>
      <c r="B4804" s="1">
        <v>6.0</v>
      </c>
      <c r="C4804" s="1" t="s">
        <v>14168</v>
      </c>
      <c r="D4804" s="1" t="s">
        <v>16</v>
      </c>
      <c r="E4804" s="1" t="s">
        <v>14169</v>
      </c>
      <c r="F4804" s="1" t="str">
        <f>IFERROR(__xludf.DUMMYFUNCTION("GOOGLETRANSLATE(A4804, ""zh-CN"", ""ko"")"),"라인업")</f>
        <v>라인업</v>
      </c>
    </row>
    <row r="4805" ht="15.75" customHeight="1">
      <c r="A4805" s="1" t="s">
        <v>14170</v>
      </c>
      <c r="B4805" s="1">
        <v>6.0</v>
      </c>
      <c r="C4805" s="1" t="s">
        <v>14171</v>
      </c>
      <c r="D4805" s="1" t="s">
        <v>8</v>
      </c>
      <c r="E4805" s="1" t="s">
        <v>14172</v>
      </c>
      <c r="F4805" s="1" t="str">
        <f>IFERROR(__xludf.DUMMYFUNCTION("GOOGLETRANSLATE(A4805, ""zh-CN"", ""ko"")"),"재활성화")</f>
        <v>재활성화</v>
      </c>
    </row>
    <row r="4806" ht="15.75" customHeight="1">
      <c r="A4806" s="1" t="s">
        <v>14173</v>
      </c>
      <c r="B4806" s="1">
        <v>6.0</v>
      </c>
      <c r="C4806" s="1" t="s">
        <v>14174</v>
      </c>
      <c r="D4806" s="1" t="s">
        <v>16</v>
      </c>
      <c r="E4806" s="1" t="s">
        <v>14175</v>
      </c>
      <c r="F4806" s="1" t="str">
        <f>IFERROR(__xludf.DUMMYFUNCTION("GOOGLETRANSLATE(A4806, ""zh-CN"", ""ko"")"),"논쟁")</f>
        <v>논쟁</v>
      </c>
    </row>
    <row r="4807" ht="15.75" customHeight="1">
      <c r="A4807" s="1" t="s">
        <v>14176</v>
      </c>
      <c r="B4807" s="1">
        <v>6.0</v>
      </c>
      <c r="C4807" s="1" t="s">
        <v>14177</v>
      </c>
      <c r="D4807" s="1" t="s">
        <v>8</v>
      </c>
      <c r="E4807" s="1" t="s">
        <v>14178</v>
      </c>
      <c r="F4807" s="1" t="str">
        <f>IFERROR(__xludf.DUMMYFUNCTION("GOOGLETRANSLATE(A4807, ""zh-CN"", ""ko"")"),"고심하다")</f>
        <v>고심하다</v>
      </c>
    </row>
    <row r="4808" ht="15.75" customHeight="1">
      <c r="A4808" s="1" t="s">
        <v>14179</v>
      </c>
      <c r="B4808" s="1">
        <v>6.0</v>
      </c>
      <c r="C4808" s="1" t="s">
        <v>14180</v>
      </c>
      <c r="D4808" s="1" t="s">
        <v>8</v>
      </c>
      <c r="E4808" s="1" t="s">
        <v>14181</v>
      </c>
      <c r="F4808" s="1" t="str">
        <f>IFERROR(__xludf.DUMMYFUNCTION("GOOGLETRANSLATE(A4808, ""zh-CN"", ""ko"")"),"증발")</f>
        <v>증발</v>
      </c>
    </row>
    <row r="4809" ht="15.75" customHeight="1">
      <c r="A4809" s="1" t="s">
        <v>14182</v>
      </c>
      <c r="B4809" s="1">
        <v>6.0</v>
      </c>
      <c r="C4809" s="1" t="s">
        <v>14183</v>
      </c>
      <c r="D4809" s="1" t="s">
        <v>8</v>
      </c>
      <c r="E4809" s="1" t="s">
        <v>14184</v>
      </c>
      <c r="F4809" s="1" t="str">
        <f>IFERROR(__xludf.DUMMYFUNCTION("GOOGLETRANSLATE(A4809, ""zh-CN"", ""ko"")"),"억누르다")</f>
        <v>억누르다</v>
      </c>
    </row>
    <row r="4810" ht="15.75" customHeight="1">
      <c r="A4810" s="1" t="s">
        <v>14185</v>
      </c>
      <c r="B4810" s="1">
        <v>6.0</v>
      </c>
      <c r="C4810" s="1" t="s">
        <v>14186</v>
      </c>
      <c r="D4810" s="1" t="s">
        <v>8</v>
      </c>
      <c r="E4810" s="1" t="s">
        <v>14187</v>
      </c>
      <c r="F4810" s="1" t="str">
        <f>IFERROR(__xludf.DUMMYFUNCTION("GOOGLETRANSLATE(A4810, ""zh-CN"", ""ko"")"),"성공을 위해 노력하세요")</f>
        <v>성공을 위해 노력하세요</v>
      </c>
    </row>
    <row r="4811" ht="15.75" customHeight="1">
      <c r="A4811" s="1" t="s">
        <v>14188</v>
      </c>
      <c r="B4811" s="1">
        <v>6.0</v>
      </c>
      <c r="C4811" s="1" t="s">
        <v>14189</v>
      </c>
      <c r="D4811" s="1" t="s">
        <v>8</v>
      </c>
      <c r="E4811" s="1" t="s">
        <v>14190</v>
      </c>
      <c r="F4811" s="1" t="str">
        <f>IFERROR(__xludf.DUMMYFUNCTION("GOOGLETRANSLATE(A4811, ""zh-CN"", ""ko"")"),"수집")</f>
        <v>수집</v>
      </c>
    </row>
    <row r="4812" ht="15.75" customHeight="1">
      <c r="A4812" s="1" t="s">
        <v>14191</v>
      </c>
      <c r="B4812" s="1">
        <v>6.0</v>
      </c>
      <c r="C4812" s="1" t="s">
        <v>14192</v>
      </c>
      <c r="E4812" s="1" t="s">
        <v>14193</v>
      </c>
      <c r="F4812" s="1" t="str">
        <f>IFERROR(__xludf.DUMMYFUNCTION("GOOGLETRANSLATE(A4812, ""zh-CN"", ""ko"")"),"1등이 되려고 서두르다")</f>
        <v>1등이 되려고 서두르다</v>
      </c>
    </row>
    <row r="4813" ht="15.75" customHeight="1">
      <c r="A4813" s="1" t="s">
        <v>14194</v>
      </c>
      <c r="B4813" s="1">
        <v>6.0</v>
      </c>
      <c r="C4813" s="1" t="s">
        <v>14195</v>
      </c>
      <c r="D4813" s="1" t="s">
        <v>8</v>
      </c>
      <c r="E4813" s="1" t="s">
        <v>14196</v>
      </c>
      <c r="F4813" s="1" t="str">
        <f>IFERROR(__xludf.DUMMYFUNCTION("GOOGLETRANSLATE(A4813, ""zh-CN"", ""ko"")"),"논쟁")</f>
        <v>논쟁</v>
      </c>
    </row>
    <row r="4814" ht="15.75" customHeight="1">
      <c r="A4814" s="1" t="s">
        <v>14197</v>
      </c>
      <c r="B4814" s="1">
        <v>6.0</v>
      </c>
      <c r="C4814" s="1" t="s">
        <v>14198</v>
      </c>
      <c r="D4814" s="1" t="s">
        <v>16</v>
      </c>
      <c r="E4814" s="1" t="s">
        <v>14199</v>
      </c>
      <c r="F4814" s="1" t="str">
        <f>IFERROR(__xludf.DUMMYFUNCTION("GOOGLETRANSLATE(A4814, ""zh-CN"", ""ko"")"),"첫 달")</f>
        <v>첫 달</v>
      </c>
    </row>
    <row r="4815" ht="15.75" customHeight="1">
      <c r="A4815" s="1" t="s">
        <v>14200</v>
      </c>
      <c r="B4815" s="1">
        <v>6.0</v>
      </c>
      <c r="C4815" s="1" t="s">
        <v>14201</v>
      </c>
      <c r="D4815" s="1" t="s">
        <v>8</v>
      </c>
      <c r="E4815" s="1" t="s">
        <v>14202</v>
      </c>
      <c r="F4815" s="1" t="str">
        <f>IFERROR(__xludf.DUMMYFUNCTION("GOOGLETRANSLATE(A4815, ""zh-CN"", ""ko"")"),"고심하다")</f>
        <v>고심하다</v>
      </c>
    </row>
    <row r="4816" ht="15.75" customHeight="1">
      <c r="A4816" s="1" t="s">
        <v>14203</v>
      </c>
      <c r="B4816" s="1">
        <v>6.0</v>
      </c>
      <c r="C4816" s="1" t="s">
        <v>14204</v>
      </c>
      <c r="D4816" s="1" t="s">
        <v>8</v>
      </c>
      <c r="E4816" s="1" t="s">
        <v>14205</v>
      </c>
      <c r="F4816" s="1" t="str">
        <f>IFERROR(__xludf.DUMMYFUNCTION("GOOGLETRANSLATE(A4816, ""zh-CN"", ""ko"")"),"정류")</f>
        <v>정류</v>
      </c>
    </row>
    <row r="4817" ht="15.75" customHeight="1">
      <c r="A4817" s="1" t="s">
        <v>14206</v>
      </c>
      <c r="B4817" s="1">
        <v>6.0</v>
      </c>
      <c r="C4817" s="1" t="s">
        <v>14207</v>
      </c>
      <c r="D4817" s="1" t="s">
        <v>16</v>
      </c>
      <c r="E4817" s="1" t="s">
        <v>14208</v>
      </c>
      <c r="F4817" s="1" t="str">
        <f>IFERROR(__xludf.DUMMYFUNCTION("GOOGLETRANSLATE(A4817, ""zh-CN"", ""ko"")"),"정책")</f>
        <v>정책</v>
      </c>
    </row>
    <row r="4818" ht="15.75" customHeight="1">
      <c r="A4818" s="1" t="s">
        <v>14209</v>
      </c>
      <c r="B4818" s="1">
        <v>6.0</v>
      </c>
      <c r="C4818" s="1" t="s">
        <v>14210</v>
      </c>
      <c r="D4818" s="1" t="s">
        <v>52</v>
      </c>
      <c r="E4818" s="1" t="s">
        <v>14211</v>
      </c>
      <c r="F4818" s="1" t="str">
        <f>IFERROR(__xludf.DUMMYFUNCTION("GOOGLETRANSLATE(A4818, ""zh-CN"", ""ko"")"),"단지")</f>
        <v>단지</v>
      </c>
    </row>
    <row r="4819" ht="15.75" customHeight="1">
      <c r="A4819" s="1" t="s">
        <v>14212</v>
      </c>
      <c r="B4819" s="1">
        <v>6.0</v>
      </c>
      <c r="C4819" s="1" t="s">
        <v>14213</v>
      </c>
      <c r="D4819" s="1" t="s">
        <v>52</v>
      </c>
      <c r="E4819" s="1" t="s">
        <v>14214</v>
      </c>
      <c r="F4819" s="1" t="str">
        <f>IFERROR(__xludf.DUMMYFUNCTION("GOOGLETRANSLATE(A4819, ""zh-CN"", ""ko"")"),"정부")</f>
        <v>정부</v>
      </c>
    </row>
    <row r="4820" ht="15.75" customHeight="1">
      <c r="A4820" s="1" t="s">
        <v>14215</v>
      </c>
      <c r="B4820" s="1">
        <v>6.0</v>
      </c>
      <c r="C4820" s="1" t="s">
        <v>14216</v>
      </c>
      <c r="D4820" s="1" t="s">
        <v>52</v>
      </c>
      <c r="E4820" s="1" t="s">
        <v>14217</v>
      </c>
      <c r="F4820" s="1" t="str">
        <f>IFERROR(__xludf.DUMMYFUNCTION("GOOGLETRANSLATE(A4820, ""zh-CN"", ""ko"")"),"정기적인")</f>
        <v>정기적인</v>
      </c>
    </row>
    <row r="4821" ht="15.75" customHeight="1">
      <c r="A4821" s="1" t="s">
        <v>14218</v>
      </c>
      <c r="B4821" s="1">
        <v>6.0</v>
      </c>
      <c r="C4821" s="1" t="s">
        <v>14219</v>
      </c>
      <c r="D4821" s="1" t="s">
        <v>52</v>
      </c>
      <c r="E4821" s="1" t="s">
        <v>14220</v>
      </c>
      <c r="F4821" s="1" t="str">
        <f>IFERROR(__xludf.DUMMYFUNCTION("GOOGLETRANSLATE(A4821, ""zh-CN"", ""ko"")"),"심각한")</f>
        <v>심각한</v>
      </c>
    </row>
    <row r="4822" ht="15.75" customHeight="1">
      <c r="A4822" s="1" t="s">
        <v>14221</v>
      </c>
      <c r="B4822" s="1">
        <v>6.0</v>
      </c>
      <c r="C4822" s="1" t="s">
        <v>14222</v>
      </c>
      <c r="D4822" s="1" t="s">
        <v>16</v>
      </c>
      <c r="E4822" s="1" t="s">
        <v>14223</v>
      </c>
      <c r="F4822" s="1" t="str">
        <f>IFERROR(__xludf.DUMMYFUNCTION("GOOGLETRANSLATE(A4822, ""zh-CN"", ""ko"")"),"정당성")</f>
        <v>정당성</v>
      </c>
    </row>
    <row r="4823" ht="15.75" customHeight="1">
      <c r="A4823" s="1" t="s">
        <v>14224</v>
      </c>
      <c r="B4823" s="1">
        <v>6.0</v>
      </c>
      <c r="C4823" s="1" t="s">
        <v>14225</v>
      </c>
      <c r="D4823" s="1" t="s">
        <v>16</v>
      </c>
      <c r="E4823" s="1" t="s">
        <v>14226</v>
      </c>
      <c r="F4823" s="1" t="str">
        <f>IFERROR(__xludf.DUMMYFUNCTION("GOOGLETRANSLATE(A4823, ""zh-CN"", ""ko"")"),"정권")</f>
        <v>정권</v>
      </c>
    </row>
    <row r="4824" ht="15.75" customHeight="1">
      <c r="A4824" s="1" t="s">
        <v>14227</v>
      </c>
      <c r="B4824" s="1">
        <v>6.0</v>
      </c>
      <c r="C4824" s="1" t="s">
        <v>14228</v>
      </c>
      <c r="D4824" s="1" t="s">
        <v>8</v>
      </c>
      <c r="E4824" s="1" t="s">
        <v>14229</v>
      </c>
      <c r="F4824" s="1" t="str">
        <f>IFERROR(__xludf.DUMMYFUNCTION("GOOGLETRANSLATE(A4824, ""zh-CN"", ""ko"")"),"확인됨")</f>
        <v>확인됨</v>
      </c>
    </row>
    <row r="4825" ht="15.75" customHeight="1">
      <c r="A4825" s="1" t="s">
        <v>14230</v>
      </c>
      <c r="B4825" s="1">
        <v>6.0</v>
      </c>
      <c r="C4825" s="1" t="s">
        <v>14231</v>
      </c>
      <c r="D4825" s="1" t="s">
        <v>16</v>
      </c>
      <c r="E4825" s="1" t="s">
        <v>14232</v>
      </c>
      <c r="F4825" s="1" t="str">
        <f>IFERROR(__xludf.DUMMYFUNCTION("GOOGLETRANSLATE(A4825, ""zh-CN"", ""ko"")"),"자격증")</f>
        <v>자격증</v>
      </c>
    </row>
    <row r="4826" ht="15.75" customHeight="1">
      <c r="A4826" s="1" t="s">
        <v>14233</v>
      </c>
      <c r="B4826" s="1">
        <v>6.0</v>
      </c>
      <c r="C4826" s="1" t="s">
        <v>14234</v>
      </c>
      <c r="D4826" s="1" t="s">
        <v>6828</v>
      </c>
      <c r="E4826" s="1" t="s">
        <v>14235</v>
      </c>
      <c r="F4826" s="1" t="str">
        <f>IFERROR(__xludf.DUMMYFUNCTION("GOOGLETRANSLATE(A4826, ""zh-CN"", ""ko"")"),"정당성")</f>
        <v>정당성</v>
      </c>
    </row>
    <row r="4827" ht="15.75" customHeight="1">
      <c r="A4827" s="1" t="s">
        <v>14236</v>
      </c>
      <c r="B4827" s="1">
        <v>6.0</v>
      </c>
      <c r="C4827" s="1" t="s">
        <v>14237</v>
      </c>
      <c r="D4827" s="1" t="s">
        <v>52</v>
      </c>
      <c r="E4827" s="1" t="s">
        <v>6747</v>
      </c>
      <c r="F4827" s="1" t="str">
        <f>IFERROR(__xludf.DUMMYFUNCTION("GOOGLETRANSLATE(A4827, ""zh-CN"", ""ko"")"),"엄숙한")</f>
        <v>엄숙한</v>
      </c>
    </row>
    <row r="4828" ht="15.75" customHeight="1">
      <c r="A4828" s="1" t="s">
        <v>14238</v>
      </c>
      <c r="B4828" s="1">
        <v>6.0</v>
      </c>
      <c r="C4828" s="1" t="s">
        <v>14239</v>
      </c>
      <c r="D4828" s="1" t="s">
        <v>16</v>
      </c>
      <c r="E4828" s="1" t="s">
        <v>14240</v>
      </c>
      <c r="F4828" s="1" t="str">
        <f>IFERROR(__xludf.DUMMYFUNCTION("GOOGLETRANSLATE(A4828, ""zh-CN"", ""ko"")"),"징후")</f>
        <v>징후</v>
      </c>
    </row>
    <row r="4829" ht="15.75" customHeight="1">
      <c r="A4829" s="1" t="s">
        <v>14241</v>
      </c>
      <c r="B4829" s="1">
        <v>6.0</v>
      </c>
      <c r="C4829" s="1" t="s">
        <v>14242</v>
      </c>
      <c r="D4829" s="1" t="s">
        <v>52</v>
      </c>
      <c r="E4829" s="1" t="s">
        <v>14243</v>
      </c>
      <c r="F4829" s="1" t="str">
        <f>IFERROR(__xludf.DUMMYFUNCTION("GOOGLETRANSLATE(A4829, ""zh-CN"", ""ko"")"),"진본인")</f>
        <v>진본인</v>
      </c>
    </row>
    <row r="4830" ht="15.75" customHeight="1">
      <c r="A4830" s="1" t="s">
        <v>14244</v>
      </c>
      <c r="B4830" s="1">
        <v>6.0</v>
      </c>
      <c r="C4830" s="1" t="s">
        <v>3429</v>
      </c>
      <c r="D4830" s="1" t="s">
        <v>26</v>
      </c>
      <c r="E4830" s="1" t="s">
        <v>14245</v>
      </c>
      <c r="F4830" s="1" t="str">
        <f>IFERROR(__xludf.DUMMYFUNCTION("GOOGLETRANSLATE(A4830, ""zh-CN"", ""ko"")"),"나뭇가지")</f>
        <v>나뭇가지</v>
      </c>
    </row>
    <row r="4831" ht="15.75" customHeight="1">
      <c r="A4831" s="1" t="s">
        <v>14246</v>
      </c>
      <c r="B4831" s="1">
        <v>6.0</v>
      </c>
      <c r="C4831" s="1" t="s">
        <v>14247</v>
      </c>
      <c r="D4831" s="1" t="s">
        <v>8</v>
      </c>
      <c r="E4831" s="1" t="s">
        <v>14248</v>
      </c>
      <c r="F4831" s="1" t="str">
        <f>IFERROR(__xludf.DUMMYFUNCTION("GOOGLETRANSLATE(A4831, ""zh-CN"", ""ko"")"),"지원하다")</f>
        <v>지원하다</v>
      </c>
    </row>
    <row r="4832" ht="15.75" customHeight="1">
      <c r="A4832" s="1" t="s">
        <v>14249</v>
      </c>
      <c r="B4832" s="1">
        <v>6.0</v>
      </c>
      <c r="C4832" s="1" t="s">
        <v>14250</v>
      </c>
      <c r="D4832" s="1" t="s">
        <v>875</v>
      </c>
      <c r="E4832" s="1" t="s">
        <v>14251</v>
      </c>
      <c r="F4832" s="1" t="str">
        <f>IFERROR(__xludf.DUMMYFUNCTION("GOOGLETRANSLATE(A4832, ""zh-CN"", ""ko"")"),"지출")</f>
        <v>지출</v>
      </c>
    </row>
    <row r="4833" ht="15.75" customHeight="1">
      <c r="A4833" s="1" t="s">
        <v>14252</v>
      </c>
      <c r="B4833" s="1">
        <v>6.0</v>
      </c>
      <c r="C4833" s="1" t="s">
        <v>14253</v>
      </c>
      <c r="D4833" s="1" t="s">
        <v>16</v>
      </c>
      <c r="E4833" s="1" t="s">
        <v>14254</v>
      </c>
      <c r="F4833" s="1" t="str">
        <f>IFERROR(__xludf.DUMMYFUNCTION("GOOGLETRANSLATE(A4833, ""zh-CN"", ""ko"")"),"지방")</f>
        <v>지방</v>
      </c>
    </row>
    <row r="4834" ht="15.75" customHeight="1">
      <c r="A4834" s="1" t="s">
        <v>14255</v>
      </c>
      <c r="B4834" s="1">
        <v>6.0</v>
      </c>
      <c r="C4834" s="1" t="s">
        <v>14256</v>
      </c>
      <c r="D4834" s="1" t="s">
        <v>16</v>
      </c>
      <c r="E4834" s="1" t="s">
        <v>14257</v>
      </c>
      <c r="F4834" s="1" t="str">
        <f>IFERROR(__xludf.DUMMYFUNCTION("GOOGLETRANSLATE(A4834, ""zh-CN"", ""ko"")"),"당시")</f>
        <v>당시</v>
      </c>
    </row>
    <row r="4835" ht="15.75" customHeight="1">
      <c r="A4835" s="1" t="s">
        <v>14258</v>
      </c>
      <c r="B4835" s="1">
        <v>6.0</v>
      </c>
      <c r="C4835" s="1" t="s">
        <v>14259</v>
      </c>
      <c r="D4835" s="1" t="s">
        <v>16</v>
      </c>
      <c r="E4835" s="1" t="s">
        <v>14260</v>
      </c>
      <c r="F4835" s="1" t="str">
        <f>IFERROR(__xludf.DUMMYFUNCTION("GOOGLETRANSLATE(A4835, ""zh-CN"", ""ko"")"),"지각")</f>
        <v>지각</v>
      </c>
    </row>
    <row r="4836" ht="15.75" customHeight="1">
      <c r="A4836" s="1" t="s">
        <v>14261</v>
      </c>
      <c r="B4836" s="1">
        <v>6.0</v>
      </c>
      <c r="C4836" s="1" t="s">
        <v>14262</v>
      </c>
      <c r="D4836" s="1" t="s">
        <v>16</v>
      </c>
      <c r="E4836" s="1" t="s">
        <v>14263</v>
      </c>
      <c r="F4836" s="1" t="str">
        <f>IFERROR(__xludf.DUMMYFUNCTION("GOOGLETRANSLATE(A4836, ""zh-CN"", ""ko"")"),"지류")</f>
        <v>지류</v>
      </c>
    </row>
    <row r="4837" ht="15.75" customHeight="1">
      <c r="A4837" s="1" t="s">
        <v>14264</v>
      </c>
      <c r="B4837" s="1">
        <v>6.0</v>
      </c>
      <c r="C4837" s="1" t="s">
        <v>14265</v>
      </c>
      <c r="D4837" s="1" t="s">
        <v>8</v>
      </c>
      <c r="E4837" s="1" t="s">
        <v>14266</v>
      </c>
      <c r="F4837" s="1" t="str">
        <f>IFERROR(__xludf.DUMMYFUNCTION("GOOGLETRANSLATE(A4837, ""zh-CN"", ""ko"")"),"빼어나게 솟다")</f>
        <v>빼어나게 솟다</v>
      </c>
    </row>
    <row r="4838" ht="15.75" customHeight="1">
      <c r="A4838" s="1" t="s">
        <v>14267</v>
      </c>
      <c r="B4838" s="1">
        <v>6.0</v>
      </c>
      <c r="C4838" s="1" t="s">
        <v>14268</v>
      </c>
      <c r="D4838" s="1" t="s">
        <v>8</v>
      </c>
      <c r="E4838" s="1" t="s">
        <v>14269</v>
      </c>
      <c r="F4838" s="1" t="str">
        <f>IFERROR(__xludf.DUMMYFUNCTION("GOOGLETRANSLATE(A4838, ""zh-CN"", ""ko"")"),"지원하다")</f>
        <v>지원하다</v>
      </c>
    </row>
    <row r="4839" ht="15.75" customHeight="1">
      <c r="A4839" s="1" t="s">
        <v>14270</v>
      </c>
      <c r="B4839" s="1">
        <v>6.0</v>
      </c>
      <c r="C4839" s="1" t="s">
        <v>14271</v>
      </c>
      <c r="D4839" s="1" t="s">
        <v>16</v>
      </c>
      <c r="E4839" s="1" t="s">
        <v>14272</v>
      </c>
      <c r="F4839" s="1" t="str">
        <f>IFERROR(__xludf.DUMMYFUNCTION("GOOGLETRANSLATE(A4839, ""zh-CN"", ""ko"")"),"기둥")</f>
        <v>기둥</v>
      </c>
    </row>
    <row r="4840" ht="15.75" customHeight="1">
      <c r="A4840" s="1" t="s">
        <v>14273</v>
      </c>
      <c r="B4840" s="1">
        <v>6.0</v>
      </c>
      <c r="C4840" s="1" t="s">
        <v>14274</v>
      </c>
      <c r="E4840" s="1" t="s">
        <v>14275</v>
      </c>
      <c r="F4840" s="1" t="str">
        <f>IFERROR(__xludf.DUMMYFUNCTION("GOOGLETRANSLATE(A4840, ""zh-CN"", ""ko"")"),"만족은 행복을 가져다준다")</f>
        <v>만족은 행복을 가져다준다</v>
      </c>
    </row>
    <row r="4841" ht="15.75" customHeight="1">
      <c r="A4841" s="1" t="s">
        <v>14276</v>
      </c>
      <c r="B4841" s="1">
        <v>6.0</v>
      </c>
      <c r="C4841" s="1" t="s">
        <v>14277</v>
      </c>
      <c r="D4841" s="1" t="s">
        <v>8</v>
      </c>
      <c r="E4841" s="1" t="s">
        <v>14278</v>
      </c>
      <c r="F4841" s="1" t="str">
        <f>IFERROR(__xludf.DUMMYFUNCTION("GOOGLETRANSLATE(A4841, ""zh-CN"", ""ko"")"),"근무 중")</f>
        <v>근무 중</v>
      </c>
    </row>
    <row r="4842" ht="15.75" customHeight="1">
      <c r="A4842" s="1" t="s">
        <v>14279</v>
      </c>
      <c r="B4842" s="1">
        <v>6.0</v>
      </c>
      <c r="C4842" s="1" t="s">
        <v>14280</v>
      </c>
      <c r="D4842" s="1" t="s">
        <v>8</v>
      </c>
      <c r="E4842" s="1" t="s">
        <v>14281</v>
      </c>
      <c r="F4842" s="1" t="str">
        <f>IFERROR(__xludf.DUMMYFUNCTION("GOOGLETRANSLATE(A4842, ""zh-CN"", ""ko"")"),"라이브 스트리밍")</f>
        <v>라이브 스트리밍</v>
      </c>
    </row>
    <row r="4843" ht="15.75" customHeight="1">
      <c r="A4843" s="1" t="s">
        <v>14282</v>
      </c>
      <c r="B4843" s="1">
        <v>6.0</v>
      </c>
      <c r="C4843" s="1" t="s">
        <v>14283</v>
      </c>
      <c r="D4843" s="1" t="s">
        <v>16</v>
      </c>
      <c r="E4843" s="1" t="s">
        <v>14284</v>
      </c>
      <c r="F4843" s="1" t="str">
        <f>IFERROR(__xludf.DUMMYFUNCTION("GOOGLETRANSLATE(A4843, ""zh-CN"", ""ko"")"),"지름")</f>
        <v>지름</v>
      </c>
    </row>
    <row r="4844" ht="15.75" customHeight="1">
      <c r="A4844" s="1" t="s">
        <v>14285</v>
      </c>
      <c r="B4844" s="1">
        <v>6.0</v>
      </c>
      <c r="C4844" s="1" t="s">
        <v>14286</v>
      </c>
      <c r="D4844" s="1" t="s">
        <v>16</v>
      </c>
      <c r="E4844" s="1" t="s">
        <v>14287</v>
      </c>
      <c r="F4844" s="1" t="str">
        <f>IFERROR(__xludf.DUMMYFUNCTION("GOOGLETRANSLATE(A4844, ""zh-CN"", ""ko"")"),"식민지")</f>
        <v>식민지</v>
      </c>
    </row>
    <row r="4845" ht="15.75" customHeight="1">
      <c r="A4845" s="1" t="s">
        <v>14288</v>
      </c>
      <c r="B4845" s="1">
        <v>6.0</v>
      </c>
      <c r="C4845" s="1" t="s">
        <v>14289</v>
      </c>
      <c r="D4845" s="1" t="s">
        <v>16</v>
      </c>
      <c r="E4845" s="1" t="s">
        <v>4514</v>
      </c>
      <c r="F4845" s="1" t="str">
        <f>IFERROR(__xludf.DUMMYFUNCTION("GOOGLETRANSLATE(A4845, ""zh-CN"", ""ko"")"),"함수")</f>
        <v>함수</v>
      </c>
    </row>
    <row r="4846" ht="15.75" customHeight="1">
      <c r="A4846" s="1" t="s">
        <v>14290</v>
      </c>
      <c r="B4846" s="1">
        <v>6.0</v>
      </c>
      <c r="C4846" s="1" t="s">
        <v>14291</v>
      </c>
      <c r="D4846" s="1" t="s">
        <v>16</v>
      </c>
      <c r="E4846" s="1" t="s">
        <v>14292</v>
      </c>
      <c r="F4846" s="1" t="str">
        <f>IFERROR(__xludf.DUMMYFUNCTION("GOOGLETRANSLATE(A4846, ""zh-CN"", ""ko"")"),"위치")</f>
        <v>위치</v>
      </c>
    </row>
    <row r="4847" ht="15.75" customHeight="1">
      <c r="A4847" s="1" t="s">
        <v>14293</v>
      </c>
      <c r="B4847" s="1">
        <v>6.0</v>
      </c>
      <c r="C4847" s="1" t="s">
        <v>3444</v>
      </c>
      <c r="D4847" s="1" t="s">
        <v>16</v>
      </c>
      <c r="E4847" s="1" t="s">
        <v>14294</v>
      </c>
      <c r="F4847" s="1" t="str">
        <f>IFERROR(__xludf.DUMMYFUNCTION("GOOGLETRANSLATE(A4847, ""zh-CN"", ""ko"")"),"직업")</f>
        <v>직업</v>
      </c>
    </row>
    <row r="4848" ht="15.75" customHeight="1">
      <c r="A4848" s="1" t="s">
        <v>14295</v>
      </c>
      <c r="B4848" s="1">
        <v>6.0</v>
      </c>
      <c r="C4848" s="1" t="s">
        <v>14296</v>
      </c>
      <c r="D4848" s="1" t="s">
        <v>8</v>
      </c>
      <c r="E4848" s="1" t="s">
        <v>14297</v>
      </c>
      <c r="F4848" s="1" t="str">
        <f>IFERROR(__xludf.DUMMYFUNCTION("GOOGLETRANSLATE(A4848, ""zh-CN"", ""ko"")"),"구현하다")</f>
        <v>구현하다</v>
      </c>
    </row>
    <row r="4849" ht="15.75" customHeight="1">
      <c r="A4849" s="1" t="s">
        <v>14298</v>
      </c>
      <c r="B4849" s="1">
        <v>6.0</v>
      </c>
      <c r="C4849" s="1" t="s">
        <v>14299</v>
      </c>
      <c r="D4849" s="1" t="s">
        <v>8</v>
      </c>
      <c r="E4849" s="1" t="s">
        <v>14300</v>
      </c>
      <c r="F4849" s="1" t="str">
        <f>IFERROR(__xludf.DUMMYFUNCTION("GOOGLETRANSLATE(A4849, ""zh-CN"", ""ko"")"),"고집")</f>
        <v>고집</v>
      </c>
    </row>
    <row r="4850" ht="15.75" customHeight="1">
      <c r="A4850" s="1" t="s">
        <v>14301</v>
      </c>
      <c r="B4850" s="1">
        <v>6.0</v>
      </c>
      <c r="C4850" s="1" t="s">
        <v>14302</v>
      </c>
      <c r="D4850" s="1" t="s">
        <v>16</v>
      </c>
      <c r="E4850" s="1" t="s">
        <v>14303</v>
      </c>
      <c r="F4850" s="1" t="str">
        <f>IFERROR(__xludf.DUMMYFUNCTION("GOOGLETRANSLATE(A4850, ""zh-CN"", ""ko"")"),"조카")</f>
        <v>조카</v>
      </c>
    </row>
    <row r="4851" ht="15.75" customHeight="1">
      <c r="A4851" s="1" t="s">
        <v>14304</v>
      </c>
      <c r="B4851" s="1">
        <v>6.0</v>
      </c>
      <c r="C4851" s="1" t="s">
        <v>14305</v>
      </c>
      <c r="D4851" s="1" t="s">
        <v>16</v>
      </c>
      <c r="E4851" s="1" t="s">
        <v>14306</v>
      </c>
      <c r="F4851" s="1" t="str">
        <f>IFERROR(__xludf.DUMMYFUNCTION("GOOGLETRANSLATE(A4851, ""zh-CN"", ""ko"")"),"색인")</f>
        <v>색인</v>
      </c>
    </row>
    <row r="4852" ht="15.75" customHeight="1">
      <c r="A4852" s="1" t="s">
        <v>14307</v>
      </c>
      <c r="B4852" s="1">
        <v>6.0</v>
      </c>
      <c r="C4852" s="1" t="s">
        <v>14308</v>
      </c>
      <c r="D4852" s="1" t="s">
        <v>8</v>
      </c>
      <c r="E4852" s="1" t="s">
        <v>14309</v>
      </c>
      <c r="F4852" s="1" t="str">
        <f>IFERROR(__xludf.DUMMYFUNCTION("GOOGLETRANSLATE(A4852, ""zh-CN"", ""ko"")"),"구체적으로 명시하세요")</f>
        <v>구체적으로 명시하세요</v>
      </c>
    </row>
    <row r="4853" ht="15.75" customHeight="1">
      <c r="A4853" s="1" t="s">
        <v>14310</v>
      </c>
      <c r="B4853" s="1">
        <v>6.0</v>
      </c>
      <c r="C4853" s="1" t="s">
        <v>14311</v>
      </c>
      <c r="D4853" s="1" t="s">
        <v>16</v>
      </c>
      <c r="E4853" s="1" t="s">
        <v>14312</v>
      </c>
      <c r="F4853" s="1" t="str">
        <f>IFERROR(__xludf.DUMMYFUNCTION("GOOGLETRANSLATE(A4853, ""zh-CN"", ""ko"")"),"못")</f>
        <v>못</v>
      </c>
    </row>
    <row r="4854" ht="15.75" customHeight="1">
      <c r="A4854" s="1" t="s">
        <v>14313</v>
      </c>
      <c r="B4854" s="1">
        <v>6.0</v>
      </c>
      <c r="C4854" s="1" t="s">
        <v>14314</v>
      </c>
      <c r="D4854" s="1" t="s">
        <v>16</v>
      </c>
      <c r="E4854" s="1" t="s">
        <v>14315</v>
      </c>
      <c r="F4854" s="1" t="str">
        <f>IFERROR(__xludf.DUMMYFUNCTION("GOOGLETRANSLATE(A4854, ""zh-CN"", ""ko"")"),"지침")</f>
        <v>지침</v>
      </c>
    </row>
    <row r="4855" ht="15.75" customHeight="1">
      <c r="A4855" s="1" t="s">
        <v>14316</v>
      </c>
      <c r="B4855" s="1">
        <v>6.0</v>
      </c>
      <c r="C4855" s="1" t="s">
        <v>14317</v>
      </c>
      <c r="D4855" s="1" t="s">
        <v>16</v>
      </c>
      <c r="E4855" s="1" t="s">
        <v>14318</v>
      </c>
      <c r="F4855" s="1" t="str">
        <f>IFERROR(__xludf.DUMMYFUNCTION("GOOGLETRANSLATE(A4855, ""zh-CN"", ""ko"")"),"나침반")</f>
        <v>나침반</v>
      </c>
    </row>
    <row r="4856" ht="15.75" customHeight="1">
      <c r="A4856" s="1" t="s">
        <v>14319</v>
      </c>
      <c r="B4856" s="1">
        <v>6.0</v>
      </c>
      <c r="C4856" s="1" t="s">
        <v>14320</v>
      </c>
      <c r="D4856" s="1" t="s">
        <v>875</v>
      </c>
      <c r="E4856" s="1" t="s">
        <v>14321</v>
      </c>
      <c r="F4856" s="1" t="str">
        <f>IFERROR(__xludf.DUMMYFUNCTION("GOOGLETRANSLATE(A4856, ""zh-CN"", ""ko"")"),"지시하다")</f>
        <v>지시하다</v>
      </c>
    </row>
    <row r="4857" ht="15.75" customHeight="1">
      <c r="A4857" s="1" t="s">
        <v>14322</v>
      </c>
      <c r="B4857" s="1">
        <v>6.0</v>
      </c>
      <c r="C4857" s="1" t="s">
        <v>14323</v>
      </c>
      <c r="D4857" s="1" t="s">
        <v>875</v>
      </c>
      <c r="E4857" s="1" t="s">
        <v>14324</v>
      </c>
      <c r="F4857" s="1" t="str">
        <f>IFERROR(__xludf.DUMMYFUNCTION("GOOGLETRANSLATE(A4857, ""zh-CN"", ""ko"")"),"희망")</f>
        <v>희망</v>
      </c>
    </row>
    <row r="4858" ht="15.75" customHeight="1">
      <c r="A4858" s="1" t="s">
        <v>14325</v>
      </c>
      <c r="B4858" s="1">
        <v>6.0</v>
      </c>
      <c r="C4858" s="1" t="s">
        <v>14326</v>
      </c>
      <c r="D4858" s="1" t="s">
        <v>8</v>
      </c>
      <c r="E4858" s="1" t="s">
        <v>14327</v>
      </c>
      <c r="F4858" s="1" t="str">
        <f>IFERROR(__xludf.DUMMYFUNCTION("GOOGLETRANSLATE(A4858, ""zh-CN"", ""ko"")"),"고발")</f>
        <v>고발</v>
      </c>
    </row>
    <row r="4859" ht="15.75" customHeight="1">
      <c r="A4859" s="1" t="s">
        <v>14328</v>
      </c>
      <c r="B4859" s="1">
        <v>6.0</v>
      </c>
      <c r="C4859" s="1" t="s">
        <v>14329</v>
      </c>
      <c r="D4859" s="1" t="s">
        <v>16</v>
      </c>
      <c r="E4859" s="1" t="s">
        <v>14330</v>
      </c>
      <c r="F4859" s="1" t="str">
        <f>IFERROR(__xludf.DUMMYFUNCTION("GOOGLETRANSLATE(A4859, ""zh-CN"", ""ko"")"),"공안")</f>
        <v>공안</v>
      </c>
    </row>
    <row r="4860" ht="15.75" customHeight="1">
      <c r="A4860" s="1" t="s">
        <v>14331</v>
      </c>
      <c r="B4860" s="1">
        <v>6.0</v>
      </c>
      <c r="C4860" s="1" t="s">
        <v>14332</v>
      </c>
      <c r="D4860" s="1" t="s">
        <v>8</v>
      </c>
      <c r="E4860" s="1" t="s">
        <v>14333</v>
      </c>
      <c r="F4860" s="1" t="str">
        <f>IFERROR(__xludf.DUMMYFUNCTION("GOOGLETRANSLATE(A4860, ""zh-CN"", ""ko"")"),"제재")</f>
        <v>제재</v>
      </c>
    </row>
    <row r="4861" ht="15.75" customHeight="1">
      <c r="A4861" s="1" t="s">
        <v>14334</v>
      </c>
      <c r="B4861" s="1">
        <v>6.0</v>
      </c>
      <c r="C4861" s="1" t="s">
        <v>14335</v>
      </c>
      <c r="D4861" s="1" t="s">
        <v>8</v>
      </c>
      <c r="E4861" s="1" t="s">
        <v>14336</v>
      </c>
      <c r="F4861" s="1" t="str">
        <f>IFERROR(__xludf.DUMMYFUNCTION("GOOGLETRANSLATE(A4861, ""zh-CN"", ""ko"")"),"연설")</f>
        <v>연설</v>
      </c>
    </row>
    <row r="4862" ht="15.75" customHeight="1">
      <c r="A4862" s="1" t="s">
        <v>14337</v>
      </c>
      <c r="B4862" s="1">
        <v>7.0</v>
      </c>
      <c r="C4862" s="1" t="s">
        <v>14338</v>
      </c>
      <c r="D4862" s="1" t="s">
        <v>8</v>
      </c>
      <c r="E4862" s="1" t="s">
        <v>14339</v>
      </c>
      <c r="F4862" s="1" t="str">
        <f>IFERROR(__xludf.DUMMYFUNCTION("GOOGLETRANSLATE(A4862, ""zh-CN"", ""ko"")"),"제복")</f>
        <v>제복</v>
      </c>
    </row>
    <row r="4863" ht="15.75" customHeight="1">
      <c r="A4863" s="1" t="s">
        <v>14340</v>
      </c>
      <c r="B4863" s="1">
        <v>6.0</v>
      </c>
      <c r="C4863" s="1" t="s">
        <v>14341</v>
      </c>
      <c r="D4863" s="1" t="s">
        <v>8</v>
      </c>
      <c r="E4863" s="1" t="s">
        <v>14342</v>
      </c>
      <c r="F4863" s="1" t="str">
        <f>IFERROR(__xludf.DUMMYFUNCTION("GOOGLETRANSLATE(A4863, ""zh-CN"", ""ko"")"),"통치")</f>
        <v>통치</v>
      </c>
    </row>
    <row r="4864" ht="15.75" customHeight="1">
      <c r="A4864" s="1" t="s">
        <v>14343</v>
      </c>
      <c r="B4864" s="1">
        <v>6.0</v>
      </c>
      <c r="C4864" s="1" t="s">
        <v>14344</v>
      </c>
      <c r="D4864" s="1" t="s">
        <v>8</v>
      </c>
      <c r="E4864" s="1" t="s">
        <v>14345</v>
      </c>
      <c r="F4864" s="1" t="str">
        <f>IFERROR(__xludf.DUMMYFUNCTION("GOOGLETRANSLATE(A4864, ""zh-CN"", ""ko"")"),"헌신적인")</f>
        <v>헌신적인</v>
      </c>
    </row>
    <row r="4865" ht="15.75" customHeight="1">
      <c r="A4865" s="1" t="s">
        <v>14346</v>
      </c>
      <c r="B4865" s="1">
        <v>6.0</v>
      </c>
      <c r="C4865" s="1" t="s">
        <v>14344</v>
      </c>
      <c r="D4865" s="1" t="s">
        <v>16</v>
      </c>
      <c r="E4865" s="1" t="s">
        <v>14347</v>
      </c>
      <c r="F4865" s="1" t="str">
        <f>IFERROR(__xludf.DUMMYFUNCTION("GOOGLETRANSLATE(A4865, ""zh-CN"", ""ko"")"),"지능")</f>
        <v>지능</v>
      </c>
    </row>
    <row r="4866" ht="15.75" customHeight="1">
      <c r="A4866" s="1" t="s">
        <v>14348</v>
      </c>
      <c r="B4866" s="1">
        <v>6.0</v>
      </c>
      <c r="C4866" s="1" t="s">
        <v>14349</v>
      </c>
      <c r="D4866" s="1" t="s">
        <v>8</v>
      </c>
      <c r="E4866" s="1" t="s">
        <v>14350</v>
      </c>
      <c r="F4866" s="1" t="str">
        <f>IFERROR(__xludf.DUMMYFUNCTION("GOOGLETRANSLATE(A4866, ""zh-CN"", ""ko"")"),"구류")</f>
        <v>구류</v>
      </c>
    </row>
    <row r="4867" ht="15.75" customHeight="1">
      <c r="A4867" s="1" t="s">
        <v>14351</v>
      </c>
      <c r="B4867" s="1">
        <v>6.0</v>
      </c>
      <c r="C4867" s="1" t="s">
        <v>14352</v>
      </c>
      <c r="D4867" s="1" t="s">
        <v>16</v>
      </c>
      <c r="E4867" s="1" t="s">
        <v>14353</v>
      </c>
      <c r="F4867" s="1" t="str">
        <f>IFERROR(__xludf.DUMMYFUNCTION("GOOGLETRANSLATE(A4867, ""zh-CN"", ""ko"")"),"지능적인")</f>
        <v>지능적인</v>
      </c>
    </row>
    <row r="4868" ht="15.75" customHeight="1">
      <c r="A4868" s="1" t="s">
        <v>14354</v>
      </c>
      <c r="B4868" s="1">
        <v>6.0</v>
      </c>
      <c r="C4868" s="1" t="s">
        <v>14355</v>
      </c>
      <c r="D4868" s="1" t="s">
        <v>16</v>
      </c>
      <c r="E4868" s="1" t="s">
        <v>14356</v>
      </c>
      <c r="F4868" s="1" t="str">
        <f>IFERROR(__xludf.DUMMYFUNCTION("GOOGLETRANSLATE(A4868, ""zh-CN"", ""ko"")"),"큰 뜻")</f>
        <v>큰 뜻</v>
      </c>
    </row>
    <row r="4869" ht="15.75" customHeight="1">
      <c r="A4869" s="1" t="s">
        <v>14357</v>
      </c>
      <c r="B4869" s="1">
        <v>6.0</v>
      </c>
      <c r="C4869" s="1" t="s">
        <v>14358</v>
      </c>
      <c r="D4869" s="1" t="s">
        <v>16</v>
      </c>
      <c r="E4869" s="1" t="s">
        <v>14359</v>
      </c>
      <c r="F4869" s="1" t="str">
        <f>IFERROR(__xludf.DUMMYFUNCTION("GOOGLETRANSLATE(A4869, ""zh-CN"", ""ko"")"),"IQ")</f>
        <v>IQ</v>
      </c>
    </row>
    <row r="4870" ht="15.75" customHeight="1">
      <c r="A4870" s="1" t="s">
        <v>14360</v>
      </c>
      <c r="B4870" s="1">
        <v>6.0</v>
      </c>
      <c r="C4870" s="1" t="s">
        <v>14361</v>
      </c>
      <c r="D4870" s="1" t="s">
        <v>8</v>
      </c>
      <c r="E4870" s="1" t="s">
        <v>14362</v>
      </c>
      <c r="F4870" s="1" t="str">
        <f>IFERROR(__xludf.DUMMYFUNCTION("GOOGLETRANSLATE(A4870, ""zh-CN"", ""ko"")"),"원인")</f>
        <v>원인</v>
      </c>
    </row>
    <row r="4871" ht="15.75" customHeight="1">
      <c r="A4871" s="1" t="s">
        <v>14363</v>
      </c>
      <c r="B4871" s="1">
        <v>6.0</v>
      </c>
      <c r="C4871" s="1" t="s">
        <v>14364</v>
      </c>
      <c r="D4871" s="1" t="s">
        <v>8</v>
      </c>
      <c r="E4871" s="1" t="s">
        <v>14365</v>
      </c>
      <c r="F4871" s="1" t="str">
        <f>IFERROR(__xludf.DUMMYFUNCTION("GOOGLETRANSLATE(A4871, ""zh-CN"", ""ko"")"),"제약 조건")</f>
        <v>제약 조건</v>
      </c>
    </row>
    <row r="4872" ht="15.75" customHeight="1">
      <c r="A4872" s="1" t="s">
        <v>14366</v>
      </c>
      <c r="B4872" s="1">
        <v>6.0</v>
      </c>
      <c r="C4872" s="1" t="s">
        <v>14367</v>
      </c>
      <c r="D4872" s="1" t="s">
        <v>8</v>
      </c>
      <c r="E4872" s="1" t="s">
        <v>14368</v>
      </c>
      <c r="F4872" s="1" t="str">
        <f>IFERROR(__xludf.DUMMYFUNCTION("GOOGLETRANSLATE(A4872, ""zh-CN"", ""ko"")"),"멈추다")</f>
        <v>멈추다</v>
      </c>
    </row>
    <row r="4873" ht="15.75" customHeight="1">
      <c r="A4873" s="1" t="s">
        <v>14369</v>
      </c>
      <c r="B4873" s="1">
        <v>6.0</v>
      </c>
      <c r="C4873" s="1" t="s">
        <v>14370</v>
      </c>
      <c r="D4873" s="1" t="s">
        <v>52</v>
      </c>
      <c r="E4873" s="1" t="s">
        <v>14371</v>
      </c>
      <c r="F4873" s="1" t="str">
        <f>IFERROR(__xludf.DUMMYFUNCTION("GOOGLETRANSLATE(A4873, ""zh-CN"", ""ko"")"),"충의")</f>
        <v>충의</v>
      </c>
    </row>
    <row r="4874" ht="15.75" customHeight="1">
      <c r="A4874" s="1" t="s">
        <v>14372</v>
      </c>
      <c r="B4874" s="1">
        <v>6.0</v>
      </c>
      <c r="C4874" s="1" t="s">
        <v>14373</v>
      </c>
      <c r="D4874" s="1" t="s">
        <v>16</v>
      </c>
      <c r="E4874" s="1" t="s">
        <v>14374</v>
      </c>
      <c r="F4874" s="1" t="str">
        <f>IFERROR(__xludf.DUMMYFUNCTION("GOOGLETRANSLATE(A4874, ""zh-CN"", ""ko"")"),"끝")</f>
        <v>끝</v>
      </c>
    </row>
    <row r="4875" ht="15.75" customHeight="1">
      <c r="A4875" s="1" t="s">
        <v>14375</v>
      </c>
      <c r="B4875" s="1">
        <v>6.0</v>
      </c>
      <c r="C4875" s="1" t="s">
        <v>14376</v>
      </c>
      <c r="D4875" s="1" t="s">
        <v>8</v>
      </c>
      <c r="E4875" s="1" t="s">
        <v>14377</v>
      </c>
      <c r="F4875" s="1" t="str">
        <f>IFERROR(__xludf.DUMMYFUNCTION("GOOGLETRANSLATE(A4875, ""zh-CN"", ""ko"")"),"중단")</f>
        <v>중단</v>
      </c>
    </row>
    <row r="4876" ht="15.75" customHeight="1">
      <c r="A4876" s="1" t="s">
        <v>14378</v>
      </c>
      <c r="B4876" s="1">
        <v>6.0</v>
      </c>
      <c r="C4876" s="1" t="s">
        <v>14379</v>
      </c>
      <c r="D4876" s="1" t="s">
        <v>33</v>
      </c>
      <c r="E4876" s="1" t="s">
        <v>14380</v>
      </c>
      <c r="F4876" s="1" t="str">
        <f>IFERROR(__xludf.DUMMYFUNCTION("GOOGLETRANSLATE(A4876, ""zh-CN"", ""ko"")"),"결국")</f>
        <v>결국</v>
      </c>
    </row>
    <row r="4877" ht="15.75" customHeight="1">
      <c r="A4877" s="1" t="s">
        <v>14381</v>
      </c>
      <c r="B4877" s="1">
        <v>6.0</v>
      </c>
      <c r="C4877" s="1" t="s">
        <v>14382</v>
      </c>
      <c r="D4877" s="1" t="s">
        <v>8</v>
      </c>
      <c r="E4877" s="1" t="s">
        <v>14383</v>
      </c>
      <c r="F4877" s="1" t="str">
        <f>IFERROR(__xludf.DUMMYFUNCTION("GOOGLETRANSLATE(A4877, ""zh-CN"", ""ko"")"),"중립적")</f>
        <v>중립적</v>
      </c>
    </row>
    <row r="4878" ht="15.75" customHeight="1">
      <c r="A4878" s="1" t="s">
        <v>14384</v>
      </c>
      <c r="B4878" s="1">
        <v>6.0</v>
      </c>
      <c r="C4878" s="1" t="s">
        <v>14385</v>
      </c>
      <c r="D4878" s="1" t="s">
        <v>16</v>
      </c>
      <c r="E4878" s="1" t="s">
        <v>14386</v>
      </c>
      <c r="F4878" s="1" t="str">
        <f>IFERROR(__xludf.DUMMYFUNCTION("GOOGLETRANSLATE(A4878, ""zh-CN"", ""ko"")"),"평생")</f>
        <v>평생</v>
      </c>
    </row>
    <row r="4879" ht="15.75" customHeight="1">
      <c r="A4879" s="1" t="s">
        <v>14387</v>
      </c>
      <c r="B4879" s="1">
        <v>6.0</v>
      </c>
      <c r="C4879" s="1" t="s">
        <v>14388</v>
      </c>
      <c r="D4879" s="1" t="s">
        <v>1624</v>
      </c>
      <c r="E4879" s="1" t="s">
        <v>14389</v>
      </c>
      <c r="F4879" s="1" t="str">
        <f>IFERROR(__xludf.DUMMYFUNCTION("GOOGLETRANSLATE(A4879, ""zh-CN"", ""ko"")"),"충실한")</f>
        <v>충실한</v>
      </c>
    </row>
    <row r="4880" ht="15.75" customHeight="1">
      <c r="A4880" s="1" t="s">
        <v>14390</v>
      </c>
      <c r="B4880" s="1">
        <v>6.0</v>
      </c>
      <c r="C4880" s="1" t="s">
        <v>7154</v>
      </c>
      <c r="D4880" s="1" t="s">
        <v>52</v>
      </c>
      <c r="E4880" s="1" t="s">
        <v>14391</v>
      </c>
      <c r="F4880" s="1" t="str">
        <f>IFERROR(__xludf.DUMMYFUNCTION("GOOGLETRANSLATE(A4880, ""zh-CN"", ""ko"")"),"진심 어린")</f>
        <v>진심 어린</v>
      </c>
    </row>
    <row r="4881" ht="15.75" customHeight="1">
      <c r="A4881" s="1" t="s">
        <v>14392</v>
      </c>
      <c r="B4881" s="1">
        <v>6.0</v>
      </c>
      <c r="C4881" s="1" t="s">
        <v>14393</v>
      </c>
      <c r="D4881" s="1" t="s">
        <v>16</v>
      </c>
      <c r="E4881" s="1" t="s">
        <v>14394</v>
      </c>
      <c r="F4881" s="1" t="str">
        <f>IFERROR(__xludf.DUMMYFUNCTION("GOOGLETRANSLATE(A4881, ""zh-CN"", ""ko"")"),"본부")</f>
        <v>본부</v>
      </c>
    </row>
    <row r="4882" ht="15.75" customHeight="1">
      <c r="A4882" s="1" t="s">
        <v>14395</v>
      </c>
      <c r="B4882" s="1">
        <v>6.0</v>
      </c>
      <c r="C4882" s="1" t="s">
        <v>14396</v>
      </c>
      <c r="D4882" s="1" t="s">
        <v>8</v>
      </c>
      <c r="E4882" s="1" t="s">
        <v>14397</v>
      </c>
      <c r="F4882" s="1" t="str">
        <f>IFERROR(__xludf.DUMMYFUNCTION("GOOGLETRANSLATE(A4882, ""zh-CN"", ""ko"")"),"종료")</f>
        <v>종료</v>
      </c>
    </row>
    <row r="4883" ht="15.75" customHeight="1">
      <c r="A4883" s="1" t="s">
        <v>14398</v>
      </c>
      <c r="B4883" s="1">
        <v>6.0</v>
      </c>
      <c r="C4883" s="1" t="s">
        <v>14399</v>
      </c>
      <c r="D4883" s="1" t="s">
        <v>16</v>
      </c>
      <c r="E4883" s="1" t="s">
        <v>14400</v>
      </c>
      <c r="F4883" s="1" t="str">
        <f>IFERROR(__xludf.DUMMYFUNCTION("GOOGLETRANSLATE(A4883, ""zh-CN"", ""ko"")"),"종양")</f>
        <v>종양</v>
      </c>
    </row>
    <row r="4884" ht="15.75" customHeight="1">
      <c r="A4884" s="1" t="s">
        <v>14401</v>
      </c>
      <c r="B4884" s="1">
        <v>6.0</v>
      </c>
      <c r="C4884" s="1" t="s">
        <v>14402</v>
      </c>
      <c r="D4884" s="1" t="s">
        <v>16</v>
      </c>
      <c r="E4884" s="1" t="s">
        <v>14403</v>
      </c>
      <c r="F4884" s="1" t="str">
        <f>IFERROR(__xludf.DUMMYFUNCTION("GOOGLETRANSLATE(A4884, ""zh-CN"", ""ko"")"),"씨앗")</f>
        <v>씨앗</v>
      </c>
    </row>
    <row r="4885" ht="15.75" customHeight="1">
      <c r="A4885" s="1" t="s">
        <v>14404</v>
      </c>
      <c r="B4885" s="1">
        <v>6.0</v>
      </c>
      <c r="C4885" s="1" t="s">
        <v>14405</v>
      </c>
      <c r="D4885" s="1" t="s">
        <v>16</v>
      </c>
      <c r="E4885" s="1" t="s">
        <v>14406</v>
      </c>
      <c r="F4885" s="1" t="str">
        <f>IFERROR(__xludf.DUMMYFUNCTION("GOOGLETRANSLATE(A4885, ""zh-CN"", ""ko"")"),"경주")</f>
        <v>경주</v>
      </c>
    </row>
    <row r="4886" ht="15.75" customHeight="1">
      <c r="A4886" s="1" t="s">
        <v>14407</v>
      </c>
      <c r="B4886" s="1">
        <v>6.0</v>
      </c>
      <c r="C4886" s="1" t="s">
        <v>14408</v>
      </c>
      <c r="E4886" s="1" t="s">
        <v>14409</v>
      </c>
      <c r="F4886" s="1" t="str">
        <f>IFERROR(__xludf.DUMMYFUNCTION("GOOGLETRANSLATE(A4886, ""zh-CN"", ""ko"")"),"잘 알려진 바와 같이")</f>
        <v>잘 알려진 바와 같이</v>
      </c>
    </row>
    <row r="4887" ht="15.75" customHeight="1">
      <c r="A4887" s="1" t="s">
        <v>14410</v>
      </c>
      <c r="B4887" s="1">
        <v>6.0</v>
      </c>
      <c r="C4887" s="1" t="s">
        <v>14411</v>
      </c>
      <c r="D4887" s="1" t="s">
        <v>16</v>
      </c>
      <c r="E4887" s="1" t="s">
        <v>14412</v>
      </c>
      <c r="F4887" s="1" t="str">
        <f>IFERROR(__xludf.DUMMYFUNCTION("GOOGLETRANSLATE(A4887, ""zh-CN"", ""ko"")"),"무게중심")</f>
        <v>무게중심</v>
      </c>
    </row>
    <row r="4888" ht="15.75" customHeight="1">
      <c r="A4888" s="1" t="s">
        <v>14413</v>
      </c>
      <c r="B4888" s="1">
        <v>6.0</v>
      </c>
      <c r="C4888" s="1" t="s">
        <v>14414</v>
      </c>
      <c r="D4888" s="1" t="s">
        <v>8</v>
      </c>
      <c r="E4888" s="1" t="s">
        <v>14415</v>
      </c>
      <c r="F4888" s="1" t="str">
        <f>IFERROR(__xludf.DUMMYFUNCTION("GOOGLETRANSLATE(A4888, ""zh-CN"", ""ko"")"),"심기")</f>
        <v>심기</v>
      </c>
    </row>
    <row r="4889" ht="15.75" customHeight="1">
      <c r="A4889" s="1" t="s">
        <v>14416</v>
      </c>
      <c r="B4889" s="1">
        <v>6.0</v>
      </c>
      <c r="C4889" s="1" t="s">
        <v>14417</v>
      </c>
      <c r="D4889" s="1" t="s">
        <v>16</v>
      </c>
      <c r="E4889" s="1" t="s">
        <v>14418</v>
      </c>
      <c r="F4889" s="1" t="str">
        <f>IFERROR(__xludf.DUMMYFUNCTION("GOOGLETRANSLATE(A4889, ""zh-CN"", ""ko"")"),"상태")</f>
        <v>상태</v>
      </c>
    </row>
    <row r="4890" ht="15.75" customHeight="1">
      <c r="A4890" s="1" t="s">
        <v>14419</v>
      </c>
      <c r="B4890" s="1">
        <v>6.0</v>
      </c>
      <c r="C4890" s="1" t="s">
        <v>14417</v>
      </c>
      <c r="D4890" s="1" t="s">
        <v>16</v>
      </c>
      <c r="E4890" s="1" t="s">
        <v>14420</v>
      </c>
      <c r="F4890" s="1" t="str">
        <f>IFERROR(__xludf.DUMMYFUNCTION("GOOGLETRANSLATE(A4890, ""zh-CN"", ""ko"")"),"죽")</f>
        <v>죽</v>
      </c>
    </row>
    <row r="4891" ht="15.75" customHeight="1">
      <c r="A4891" s="1" t="s">
        <v>14421</v>
      </c>
      <c r="B4891" s="1">
        <v>6.0</v>
      </c>
      <c r="C4891" s="1" t="s">
        <v>14417</v>
      </c>
      <c r="D4891" s="1" t="s">
        <v>16</v>
      </c>
      <c r="E4891" s="1" t="s">
        <v>14422</v>
      </c>
      <c r="F4891" s="1" t="str">
        <f>IFERROR(__xludf.DUMMYFUNCTION("GOOGLETRANSLATE(A4891, ""zh-CN"", ""ko"")"),"보트")</f>
        <v>보트</v>
      </c>
    </row>
    <row r="4892" ht="15.75" customHeight="1">
      <c r="A4892" s="1" t="s">
        <v>14423</v>
      </c>
      <c r="B4892" s="1">
        <v>6.0</v>
      </c>
      <c r="C4892" s="1" t="s">
        <v>14424</v>
      </c>
      <c r="D4892" s="1" t="s">
        <v>16</v>
      </c>
      <c r="E4892" s="1" t="s">
        <v>14425</v>
      </c>
      <c r="F4892" s="1" t="str">
        <f>IFERROR(__xludf.DUMMYFUNCTION("GOOGLETRANSLATE(A4892, ""zh-CN"", ""ko"")"),"주변 지역")</f>
        <v>주변 지역</v>
      </c>
    </row>
    <row r="4893" ht="15.75" customHeight="1">
      <c r="A4893" s="1" t="s">
        <v>14426</v>
      </c>
      <c r="B4893" s="1">
        <v>6.0</v>
      </c>
      <c r="C4893" s="1" t="s">
        <v>14427</v>
      </c>
      <c r="D4893" s="1" t="s">
        <v>52</v>
      </c>
      <c r="E4893" s="1" t="s">
        <v>14428</v>
      </c>
      <c r="F4893" s="1" t="str">
        <f>IFERROR(__xludf.DUMMYFUNCTION("GOOGLETRANSLATE(A4893, ""zh-CN"", ""ko"")"),"주의 깊은")</f>
        <v>주의 깊은</v>
      </c>
    </row>
    <row r="4894" ht="15.75" customHeight="1">
      <c r="A4894" s="1" t="s">
        <v>14429</v>
      </c>
      <c r="B4894" s="1">
        <v>6.0</v>
      </c>
      <c r="C4894" s="1" t="s">
        <v>14430</v>
      </c>
      <c r="D4894" s="1" t="s">
        <v>16</v>
      </c>
      <c r="E4894" s="1" t="s">
        <v>14431</v>
      </c>
      <c r="F4894" s="1" t="str">
        <f>IFERROR(__xludf.DUMMYFUNCTION("GOOGLETRANSLATE(A4894, ""zh-CN"", ""ko"")"),"기념일")</f>
        <v>기념일</v>
      </c>
    </row>
    <row r="4895" ht="15.75" customHeight="1">
      <c r="A4895" s="1" t="s">
        <v>14432</v>
      </c>
      <c r="B4895" s="1">
        <v>6.0</v>
      </c>
      <c r="C4895" s="1" t="s">
        <v>14433</v>
      </c>
      <c r="D4895" s="1" t="s">
        <v>16</v>
      </c>
      <c r="E4895" s="1" t="s">
        <v>14434</v>
      </c>
      <c r="F4895" s="1" t="str">
        <f>IFERROR(__xludf.DUMMYFUNCTION("GOOGLETRANSLATE(A4895, ""zh-CN"", ""ko"")"),"주기")</f>
        <v>주기</v>
      </c>
    </row>
    <row r="4896" ht="15.75" customHeight="1">
      <c r="A4896" s="1" t="s">
        <v>14435</v>
      </c>
      <c r="B4896" s="1">
        <v>6.0</v>
      </c>
      <c r="C4896" s="1" t="s">
        <v>14436</v>
      </c>
      <c r="D4896" s="1" t="s">
        <v>16</v>
      </c>
      <c r="E4896" s="1" t="s">
        <v>14437</v>
      </c>
      <c r="F4896" s="1" t="str">
        <f>IFERROR(__xludf.DUMMYFUNCTION("GOOGLETRANSLATE(A4896, ""zh-CN"", ""ko"")"),"굴곡과 변화")</f>
        <v>굴곡과 변화</v>
      </c>
    </row>
    <row r="4897" ht="15.75" customHeight="1">
      <c r="A4897" s="1" t="s">
        <v>14438</v>
      </c>
      <c r="B4897" s="1">
        <v>6.0</v>
      </c>
      <c r="C4897" s="1" t="s">
        <v>14439</v>
      </c>
      <c r="D4897" s="1" t="s">
        <v>8</v>
      </c>
      <c r="E4897" s="1" t="s">
        <v>14440</v>
      </c>
      <c r="F4897" s="1" t="str">
        <f>IFERROR(__xludf.DUMMYFUNCTION("GOOGLETRANSLATE(A4897, ""zh-CN"", ""ko"")"),"회전율")</f>
        <v>회전율</v>
      </c>
    </row>
    <row r="4898" ht="15.75" customHeight="1">
      <c r="A4898" s="1" t="s">
        <v>14441</v>
      </c>
      <c r="B4898" s="1">
        <v>6.0</v>
      </c>
      <c r="C4898" s="1" t="s">
        <v>14442</v>
      </c>
      <c r="D4898" s="1" t="s">
        <v>16</v>
      </c>
      <c r="E4898" s="1" t="s">
        <v>14443</v>
      </c>
      <c r="F4898" s="1" t="str">
        <f>IFERROR(__xludf.DUMMYFUNCTION("GOOGLETRANSLATE(A4898, ""zh-CN"", ""ko"")"),"멋진 생각")</f>
        <v>멋진 생각</v>
      </c>
    </row>
    <row r="4899" ht="15.75" customHeight="1">
      <c r="A4899" s="1" t="s">
        <v>14444</v>
      </c>
      <c r="B4899" s="1">
        <v>6.0</v>
      </c>
      <c r="C4899" s="1" t="s">
        <v>14445</v>
      </c>
      <c r="D4899" s="1" t="s">
        <v>16</v>
      </c>
      <c r="E4899" s="1" t="s">
        <v>14446</v>
      </c>
      <c r="F4899" s="1" t="str">
        <f>IFERROR(__xludf.DUMMYFUNCTION("GOOGLETRANSLATE(A4899, ""zh-CN"", ""ko"")"),"낮과 밤")</f>
        <v>낮과 밤</v>
      </c>
    </row>
    <row r="4900" ht="15.75" customHeight="1">
      <c r="A4900" s="1" t="s">
        <v>14447</v>
      </c>
      <c r="B4900" s="1">
        <v>6.0</v>
      </c>
      <c r="C4900" s="1" t="s">
        <v>7170</v>
      </c>
      <c r="D4900" s="1" t="s">
        <v>26</v>
      </c>
      <c r="E4900" s="1" t="s">
        <v>14448</v>
      </c>
      <c r="F4900" s="1" t="str">
        <f>IFERROR(__xludf.DUMMYFUNCTION("GOOGLETRANSLATE(A4900, ""zh-CN"", ""ko"")"),"부담")</f>
        <v>부담</v>
      </c>
    </row>
    <row r="4901" ht="15.75" customHeight="1">
      <c r="A4901" s="1" t="s">
        <v>14449</v>
      </c>
      <c r="B4901" s="1">
        <v>6.0</v>
      </c>
      <c r="C4901" s="1" t="s">
        <v>14450</v>
      </c>
      <c r="D4901" s="1" t="s">
        <v>88</v>
      </c>
      <c r="E4901" s="1" t="s">
        <v>14451</v>
      </c>
      <c r="F4901" s="1" t="str">
        <f>IFERROR(__xludf.DUMMYFUNCTION("GOOGLETRANSLATE(A4901, ""zh-CN"", ""ko"")"),"신사")</f>
        <v>신사</v>
      </c>
    </row>
    <row r="4902" ht="15.75" customHeight="1">
      <c r="A4902" s="1" t="s">
        <v>14452</v>
      </c>
      <c r="B4902" s="1">
        <v>6.0</v>
      </c>
      <c r="C4902" s="1" t="s">
        <v>14453</v>
      </c>
      <c r="D4902" s="1" t="s">
        <v>33</v>
      </c>
      <c r="E4902" s="1" t="s">
        <v>14454</v>
      </c>
      <c r="F4902" s="1" t="str">
        <f>IFERROR(__xludf.DUMMYFUNCTION("GOOGLETRANSLATE(A4902, ""zh-CN"", ""ko"")"),"매년")</f>
        <v>매년</v>
      </c>
    </row>
    <row r="4903" ht="15.75" customHeight="1">
      <c r="A4903" s="1" t="s">
        <v>14455</v>
      </c>
      <c r="B4903" s="1">
        <v>6.0</v>
      </c>
      <c r="C4903" s="1" t="s">
        <v>7182</v>
      </c>
      <c r="D4903" s="1" t="s">
        <v>8</v>
      </c>
      <c r="E4903" s="1" t="s">
        <v>5156</v>
      </c>
      <c r="F4903" s="1" t="str">
        <f>IFERROR(__xludf.DUMMYFUNCTION("GOOGLETRANSLATE(A4903, ""zh-CN"", ""ko"")"),"지원하다")</f>
        <v>지원하다</v>
      </c>
    </row>
    <row r="4904" ht="15.75" customHeight="1">
      <c r="A4904" s="1" t="s">
        <v>14456</v>
      </c>
      <c r="B4904" s="1">
        <v>6.0</v>
      </c>
      <c r="C4904" s="1" t="s">
        <v>14457</v>
      </c>
      <c r="D4904" s="1" t="s">
        <v>8</v>
      </c>
      <c r="E4904" s="1" t="s">
        <v>14458</v>
      </c>
      <c r="F4904" s="1" t="str">
        <f>IFERROR(__xludf.DUMMYFUNCTION("GOOGLETRANSLATE(A4904, ""zh-CN"", ""ko"")"),"주인")</f>
        <v>주인</v>
      </c>
    </row>
    <row r="4905" ht="15.75" customHeight="1">
      <c r="A4905" s="1" t="s">
        <v>14459</v>
      </c>
      <c r="B4905" s="1">
        <v>6.0</v>
      </c>
      <c r="C4905" s="1" t="s">
        <v>14460</v>
      </c>
      <c r="D4905" s="1" t="s">
        <v>8</v>
      </c>
      <c r="E4905" s="1" t="s">
        <v>14461</v>
      </c>
      <c r="F4905" s="1" t="str">
        <f>IFERROR(__xludf.DUMMYFUNCTION("GOOGLETRANSLATE(A4905, ""zh-CN"", ""ko"")"),"주요한")</f>
        <v>주요한</v>
      </c>
    </row>
    <row r="4906" ht="15.75" customHeight="1">
      <c r="A4906" s="1" t="s">
        <v>14462</v>
      </c>
      <c r="B4906" s="1">
        <v>6.0</v>
      </c>
      <c r="C4906" s="1" t="s">
        <v>14463</v>
      </c>
      <c r="D4906" s="1" t="s">
        <v>8</v>
      </c>
      <c r="E4906" s="1" t="s">
        <v>14464</v>
      </c>
      <c r="F4906" s="1" t="str">
        <f>IFERROR(__xludf.DUMMYFUNCTION("GOOGLETRANSLATE(A4906, ""zh-CN"", ""ko"")"),"지침")</f>
        <v>지침</v>
      </c>
    </row>
    <row r="4907" ht="15.75" customHeight="1">
      <c r="A4907" s="1" t="s">
        <v>14465</v>
      </c>
      <c r="B4907" s="1">
        <v>6.0</v>
      </c>
      <c r="C4907" s="1" t="s">
        <v>14466</v>
      </c>
      <c r="D4907" s="1" t="s">
        <v>875</v>
      </c>
      <c r="E4907" s="1" t="s">
        <v>14467</v>
      </c>
      <c r="F4907" s="1" t="str">
        <f>IFERROR(__xludf.DUMMYFUNCTION("GOOGLETRANSLATE(A4907, ""zh-CN"", ""ko"")"),"감독")</f>
        <v>감독</v>
      </c>
    </row>
    <row r="4908" ht="15.75" customHeight="1">
      <c r="A4908" s="1" t="s">
        <v>14468</v>
      </c>
      <c r="B4908" s="1">
        <v>6.0</v>
      </c>
      <c r="C4908" s="1" t="s">
        <v>14469</v>
      </c>
      <c r="D4908" s="1" t="s">
        <v>16</v>
      </c>
      <c r="E4908" s="1" t="s">
        <v>14470</v>
      </c>
      <c r="F4908" s="1" t="str">
        <f>IFERROR(__xludf.DUMMYFUNCTION("GOOGLETRANSLATE(A4908, ""zh-CN"", ""ko"")"),"주류")</f>
        <v>주류</v>
      </c>
    </row>
    <row r="4909" ht="15.75" customHeight="1">
      <c r="A4909" s="1" t="s">
        <v>14471</v>
      </c>
      <c r="B4909" s="1">
        <v>6.0</v>
      </c>
      <c r="C4909" s="1" t="s">
        <v>14472</v>
      </c>
      <c r="D4909" s="1" t="s">
        <v>16</v>
      </c>
      <c r="E4909" s="1" t="s">
        <v>14473</v>
      </c>
      <c r="F4909" s="1" t="str">
        <f>IFERROR(__xludf.DUMMYFUNCTION("GOOGLETRANSLATE(A4909, ""zh-CN"", ""ko"")"),"주권")</f>
        <v>주권</v>
      </c>
    </row>
    <row r="4910" ht="15.75" customHeight="1">
      <c r="A4910" s="1" t="s">
        <v>14474</v>
      </c>
      <c r="B4910" s="1">
        <v>6.0</v>
      </c>
      <c r="C4910" s="1" t="s">
        <v>14475</v>
      </c>
      <c r="D4910" s="1" t="s">
        <v>16</v>
      </c>
      <c r="E4910" s="1" t="s">
        <v>14476</v>
      </c>
      <c r="F4910" s="1" t="str">
        <f>IFERROR(__xludf.DUMMYFUNCTION("GOOGLETRANSLATE(A4910, ""zh-CN"", ""ko"")"),"주의")</f>
        <v>주의</v>
      </c>
    </row>
    <row r="4911" ht="15.75" customHeight="1">
      <c r="A4911" s="1" t="s">
        <v>14477</v>
      </c>
      <c r="B4911" s="1">
        <v>6.0</v>
      </c>
      <c r="C4911" s="1" t="s">
        <v>14478</v>
      </c>
      <c r="D4911" s="1" t="s">
        <v>16</v>
      </c>
      <c r="E4911" s="1" t="s">
        <v>14479</v>
      </c>
      <c r="F4911" s="1" t="str">
        <f>IFERROR(__xludf.DUMMYFUNCTION("GOOGLETRANSLATE(A4911, ""zh-CN"", ""ko"")"),"어시스턴트")</f>
        <v>어시스턴트</v>
      </c>
    </row>
    <row r="4912" ht="15.75" customHeight="1">
      <c r="A4912" s="1" t="s">
        <v>14480</v>
      </c>
      <c r="B4912" s="1">
        <v>6.0</v>
      </c>
      <c r="C4912" s="1" t="s">
        <v>14481</v>
      </c>
      <c r="D4912" s="1" t="s">
        <v>8</v>
      </c>
      <c r="E4912" s="1" t="s">
        <v>14482</v>
      </c>
      <c r="F4912" s="1" t="str">
        <f>IFERROR(__xludf.DUMMYFUNCTION("GOOGLETRANSLATE(A4912, ""zh-CN"", ""ko"")"),"주입")</f>
        <v>주입</v>
      </c>
    </row>
    <row r="4913" ht="15.75" customHeight="1">
      <c r="A4913" s="1" t="s">
        <v>14483</v>
      </c>
      <c r="B4913" s="1">
        <v>6.0</v>
      </c>
      <c r="C4913" s="1" t="s">
        <v>14484</v>
      </c>
      <c r="D4913" s="1" t="s">
        <v>875</v>
      </c>
      <c r="E4913" s="1" t="s">
        <v>14485</v>
      </c>
      <c r="F4913" s="1" t="str">
        <f>IFERROR(__xludf.DUMMYFUNCTION("GOOGLETRANSLATE(A4913, ""zh-CN"", ""ko"")"),"메모")</f>
        <v>메모</v>
      </c>
    </row>
    <row r="4914" ht="15.75" customHeight="1">
      <c r="A4914" s="1" t="s">
        <v>14486</v>
      </c>
      <c r="B4914" s="1">
        <v>6.0</v>
      </c>
      <c r="C4914" s="1" t="s">
        <v>14484</v>
      </c>
      <c r="D4914" s="1" t="s">
        <v>8</v>
      </c>
      <c r="E4914" s="1" t="s">
        <v>14487</v>
      </c>
      <c r="F4914" s="1" t="str">
        <f>IFERROR(__xludf.DUMMYFUNCTION("GOOGLETRANSLATE(A4914, ""zh-CN"", ""ko"")"),"시선")</f>
        <v>시선</v>
      </c>
    </row>
    <row r="4915" ht="15.75" customHeight="1">
      <c r="A4915" s="1" t="s">
        <v>14488</v>
      </c>
      <c r="B4915" s="1">
        <v>6.0</v>
      </c>
      <c r="C4915" s="1" t="s">
        <v>14489</v>
      </c>
      <c r="D4915" s="1" t="s">
        <v>16</v>
      </c>
      <c r="E4915" s="1" t="s">
        <v>14490</v>
      </c>
      <c r="F4915" s="1" t="str">
        <f>IFERROR(__xludf.DUMMYFUNCTION("GOOGLETRANSLATE(A4915, ""zh-CN"", ""ko"")"),"어시스턴트")</f>
        <v>어시스턴트</v>
      </c>
    </row>
    <row r="4916" ht="15.75" customHeight="1">
      <c r="A4916" s="1" t="s">
        <v>14491</v>
      </c>
      <c r="B4916" s="1">
        <v>6.0</v>
      </c>
      <c r="C4916" s="1" t="s">
        <v>14492</v>
      </c>
      <c r="D4916" s="1" t="s">
        <v>8</v>
      </c>
      <c r="E4916" s="1" t="s">
        <v>14493</v>
      </c>
      <c r="F4916" s="1" t="str">
        <f>IFERROR(__xludf.DUMMYFUNCTION("GOOGLETRANSLATE(A4916, ""zh-CN"", ""ko"")"),"주조")</f>
        <v>주조</v>
      </c>
    </row>
    <row r="4917" ht="15.75" customHeight="1">
      <c r="A4917" s="1" t="s">
        <v>14494</v>
      </c>
      <c r="B4917" s="1">
        <v>6.0</v>
      </c>
      <c r="C4917" s="1" t="s">
        <v>14495</v>
      </c>
      <c r="D4917" s="1" t="s">
        <v>8</v>
      </c>
      <c r="E4917" s="1" t="s">
        <v>14496</v>
      </c>
      <c r="F4917" s="1" t="str">
        <f>IFERROR(__xludf.DUMMYFUNCTION("GOOGLETRANSLATE(A4917, ""zh-CN"", ""ko"")"),"주둔")</f>
        <v>주둔</v>
      </c>
    </row>
    <row r="4918" ht="15.75" customHeight="1">
      <c r="A4918" s="1" t="s">
        <v>14497</v>
      </c>
      <c r="B4918" s="1">
        <v>6.0</v>
      </c>
      <c r="C4918" s="1" t="s">
        <v>14498</v>
      </c>
      <c r="D4918" s="1" t="s">
        <v>16</v>
      </c>
      <c r="E4918" s="1" t="s">
        <v>14499</v>
      </c>
      <c r="F4918" s="1" t="str">
        <f>IFERROR(__xludf.DUMMYFUNCTION("GOOGLETRANSLATE(A4918, ""zh-CN"", ""ko"")"),"주거용")</f>
        <v>주거용</v>
      </c>
    </row>
    <row r="4919" ht="15.75" customHeight="1">
      <c r="A4919" s="1" t="s">
        <v>14500</v>
      </c>
      <c r="B4919" s="1">
        <v>6.0</v>
      </c>
      <c r="C4919" s="1" t="s">
        <v>14501</v>
      </c>
      <c r="D4919" s="1" t="s">
        <v>8</v>
      </c>
      <c r="E4919" s="1" t="s">
        <v>14502</v>
      </c>
      <c r="F4919" s="1" t="str">
        <f>IFERROR(__xludf.DUMMYFUNCTION("GOOGLETRANSLATE(A4919, ""zh-CN"", ""ko"")"),"주의하세요")</f>
        <v>주의하세요</v>
      </c>
    </row>
    <row r="4920" ht="15.75" customHeight="1">
      <c r="A4920" s="1" t="s">
        <v>14503</v>
      </c>
      <c r="B4920" s="1">
        <v>6.0</v>
      </c>
      <c r="C4920" s="1" t="s">
        <v>14504</v>
      </c>
      <c r="D4920" s="1" t="s">
        <v>16</v>
      </c>
      <c r="E4920" s="1" t="s">
        <v>14505</v>
      </c>
      <c r="F4920" s="1" t="str">
        <f>IFERROR(__xludf.DUMMYFUNCTION("GOOGLETRANSLATE(A4920, ""zh-CN"", ""ko"")"),"책")</f>
        <v>책</v>
      </c>
    </row>
    <row r="4921" ht="15.75" customHeight="1">
      <c r="A4921" s="1" t="s">
        <v>14506</v>
      </c>
      <c r="B4921" s="1">
        <v>6.0</v>
      </c>
      <c r="C4921" s="1" t="s">
        <v>14507</v>
      </c>
      <c r="D4921" s="1" t="s">
        <v>8</v>
      </c>
      <c r="E4921" s="1" t="s">
        <v>14508</v>
      </c>
      <c r="F4921" s="1" t="str">
        <f>IFERROR(__xludf.DUMMYFUNCTION("GOOGLETRANSLATE(A4921, ""zh-CN"", ""ko"")"),"당기다")</f>
        <v>당기다</v>
      </c>
    </row>
    <row r="4922" ht="15.75" customHeight="1">
      <c r="A4922" s="1" t="s">
        <v>14509</v>
      </c>
      <c r="B4922" s="1">
        <v>6.0</v>
      </c>
      <c r="C4922" s="1" t="s">
        <v>14510</v>
      </c>
      <c r="D4922" s="1" t="s">
        <v>16</v>
      </c>
      <c r="E4922" s="1" t="s">
        <v>14511</v>
      </c>
      <c r="F4922" s="1" t="str">
        <f>IFERROR(__xludf.DUMMYFUNCTION("GOOGLETRANSLATE(A4922, ""zh-CN"", ""ko"")"),"벽돌")</f>
        <v>벽돌</v>
      </c>
    </row>
    <row r="4923" ht="15.75" customHeight="1">
      <c r="A4923" s="1" t="s">
        <v>14512</v>
      </c>
      <c r="B4923" s="1">
        <v>6.0</v>
      </c>
      <c r="C4923" s="1" t="s">
        <v>14513</v>
      </c>
      <c r="D4923" s="1" t="s">
        <v>16</v>
      </c>
      <c r="E4923" s="1" t="s">
        <v>14514</v>
      </c>
      <c r="F4923" s="1" t="str">
        <f>IFERROR(__xludf.DUMMYFUNCTION("GOOGLETRANSLATE(A4923, ""zh-CN"", ""ko"")"),"전문")</f>
        <v>전문</v>
      </c>
    </row>
    <row r="4924" ht="15.75" customHeight="1">
      <c r="A4924" s="1" t="s">
        <v>14515</v>
      </c>
      <c r="B4924" s="1">
        <v>6.0</v>
      </c>
      <c r="C4924" s="1" t="s">
        <v>14516</v>
      </c>
      <c r="D4924" s="1" t="s">
        <v>33</v>
      </c>
      <c r="E4924" s="1" t="s">
        <v>14517</v>
      </c>
      <c r="F4924" s="1" t="str">
        <f>IFERROR(__xludf.DUMMYFUNCTION("GOOGLETRANSLATE(A4924, ""zh-CN"", ""ko"")"),"특별 여행")</f>
        <v>특별 여행</v>
      </c>
    </row>
    <row r="4925" ht="15.75" customHeight="1">
      <c r="A4925" s="1" t="s">
        <v>14518</v>
      </c>
      <c r="B4925" s="1">
        <v>6.0</v>
      </c>
      <c r="C4925" s="1" t="s">
        <v>14519</v>
      </c>
      <c r="D4925" s="1" t="s">
        <v>16</v>
      </c>
      <c r="E4925" s="1" t="s">
        <v>14520</v>
      </c>
      <c r="F4925" s="1" t="str">
        <f>IFERROR(__xludf.DUMMYFUNCTION("GOOGLETRANSLATE(A4925, ""zh-CN"", ""ko"")"),"특허")</f>
        <v>특허</v>
      </c>
    </row>
    <row r="4926" ht="15.75" customHeight="1">
      <c r="A4926" s="1" t="s">
        <v>14521</v>
      </c>
      <c r="B4926" s="1">
        <v>6.0</v>
      </c>
      <c r="C4926" s="1" t="s">
        <v>14522</v>
      </c>
      <c r="D4926" s="1" t="s">
        <v>16</v>
      </c>
      <c r="E4926" s="1" t="s">
        <v>14523</v>
      </c>
      <c r="F4926" s="1" t="str">
        <f>IFERROR(__xludf.DUMMYFUNCTION("GOOGLETRANSLATE(A4926, ""zh-CN"", ""ko"")"),"특별 주제")</f>
        <v>특별 주제</v>
      </c>
    </row>
    <row r="4927" ht="15.75" customHeight="1">
      <c r="A4927" s="1" t="s">
        <v>14524</v>
      </c>
      <c r="B4927" s="1">
        <v>6.0</v>
      </c>
      <c r="C4927" s="1" t="s">
        <v>14525</v>
      </c>
      <c r="D4927" s="1" t="s">
        <v>8</v>
      </c>
      <c r="E4927" s="1" t="s">
        <v>14526</v>
      </c>
      <c r="F4927" s="1" t="str">
        <f>IFERROR(__xludf.DUMMYFUNCTION("GOOGLETRANSLATE(A4927, ""zh-CN"", ""ko"")"),"전달하다")</f>
        <v>전달하다</v>
      </c>
    </row>
    <row r="4928" ht="15.75" customHeight="1">
      <c r="A4928" s="1" t="s">
        <v>14527</v>
      </c>
      <c r="B4928" s="1">
        <v>6.0</v>
      </c>
      <c r="C4928" s="1" t="s">
        <v>14528</v>
      </c>
      <c r="D4928" s="1" t="s">
        <v>8</v>
      </c>
      <c r="E4928" s="1" t="s">
        <v>14529</v>
      </c>
      <c r="F4928" s="1" t="str">
        <f>IFERROR(__xludf.DUMMYFUNCTION("GOOGLETRANSLATE(A4928, ""zh-CN"", ""ko"")"),"옮기다")</f>
        <v>옮기다</v>
      </c>
    </row>
    <row r="4929" ht="15.75" customHeight="1">
      <c r="A4929" s="1" t="s">
        <v>14530</v>
      </c>
      <c r="B4929" s="1">
        <v>6.0</v>
      </c>
      <c r="C4929" s="1" t="s">
        <v>14531</v>
      </c>
      <c r="D4929" s="1" t="s">
        <v>8</v>
      </c>
      <c r="E4929" s="1" t="s">
        <v>14532</v>
      </c>
      <c r="F4929" s="1" t="str">
        <f>IFERROR(__xludf.DUMMYFUNCTION("GOOGLETRANSLATE(A4929, ""zh-CN"", ""ko"")"),"옮기다")</f>
        <v>옮기다</v>
      </c>
    </row>
    <row r="4930" ht="15.75" customHeight="1">
      <c r="A4930" s="1" t="s">
        <v>14533</v>
      </c>
      <c r="B4930" s="1">
        <v>6.0</v>
      </c>
      <c r="C4930" s="1" t="s">
        <v>14534</v>
      </c>
      <c r="D4930" s="1" t="s">
        <v>8</v>
      </c>
      <c r="E4930" s="1" t="s">
        <v>14535</v>
      </c>
      <c r="F4930" s="1" t="str">
        <f>IFERROR(__xludf.DUMMYFUNCTION("GOOGLETRANSLATE(A4930, ""zh-CN"", ""ko"")"),"전환점")</f>
        <v>전환점</v>
      </c>
    </row>
    <row r="4931" ht="15.75" customHeight="1">
      <c r="A4931" s="1" t="s">
        <v>14536</v>
      </c>
      <c r="B4931" s="1">
        <v>6.0</v>
      </c>
      <c r="C4931" s="1" t="s">
        <v>14537</v>
      </c>
      <c r="D4931" s="1" t="s">
        <v>16</v>
      </c>
      <c r="E4931" s="1" t="s">
        <v>14538</v>
      </c>
      <c r="F4931" s="1" t="str">
        <f>IFERROR(__xludf.DUMMYFUNCTION("GOOGLETRANSLATE(A4931, ""zh-CN"", ""ko"")"),"전기")</f>
        <v>전기</v>
      </c>
    </row>
    <row r="4932" ht="15.75" customHeight="1">
      <c r="A4932" s="1" t="s">
        <v>14539</v>
      </c>
      <c r="B4932" s="1">
        <v>6.0</v>
      </c>
      <c r="C4932" s="1" t="s">
        <v>14540</v>
      </c>
      <c r="D4932" s="1" t="s">
        <v>16</v>
      </c>
      <c r="E4932" s="1" t="s">
        <v>14541</v>
      </c>
      <c r="F4932" s="1" t="str">
        <f>IFERROR(__xludf.DUMMYFUNCTION("GOOGLETRANSLATE(A4932, ""zh-CN"", ""ko"")"),"장비")</f>
        <v>장비</v>
      </c>
    </row>
    <row r="4933" ht="15.75" customHeight="1">
      <c r="A4933" s="1" t="s">
        <v>14542</v>
      </c>
      <c r="B4933" s="1">
        <v>6.0</v>
      </c>
      <c r="C4933" s="1" t="s">
        <v>14543</v>
      </c>
      <c r="D4933" s="1" t="s">
        <v>16</v>
      </c>
      <c r="E4933" s="1" t="s">
        <v>14544</v>
      </c>
      <c r="F4933" s="1" t="str">
        <f>IFERROR(__xludf.DUMMYFUNCTION("GOOGLETRANSLATE(A4933, ""zh-CN"", ""ko"")"),"작물")</f>
        <v>작물</v>
      </c>
    </row>
    <row r="4934" ht="15.75" customHeight="1">
      <c r="A4934" s="1" t="s">
        <v>14545</v>
      </c>
      <c r="B4934" s="1">
        <v>6.0</v>
      </c>
      <c r="C4934" s="1" t="s">
        <v>14546</v>
      </c>
      <c r="D4934" s="1" t="s">
        <v>8</v>
      </c>
      <c r="E4934" s="1" t="s">
        <v>14547</v>
      </c>
      <c r="F4934" s="1" t="str">
        <f>IFERROR(__xludf.DUMMYFUNCTION("GOOGLETRANSLATE(A4934, ""zh-CN"", ""ko"")"),"적재 및 하역")</f>
        <v>적재 및 하역</v>
      </c>
    </row>
    <row r="4935" ht="15.75" customHeight="1">
      <c r="A4935" s="1" t="s">
        <v>14548</v>
      </c>
      <c r="B4935" s="1">
        <v>6.0</v>
      </c>
      <c r="C4935" s="1" t="s">
        <v>14549</v>
      </c>
      <c r="D4935" s="1" t="s">
        <v>52</v>
      </c>
      <c r="E4935" s="1" t="s">
        <v>14550</v>
      </c>
      <c r="F4935" s="1" t="str">
        <f>IFERROR(__xludf.DUMMYFUNCTION("GOOGLETRANSLATE(A4935, ""zh-CN"", ""ko"")"),"엄숙한")</f>
        <v>엄숙한</v>
      </c>
    </row>
    <row r="4936" ht="15.75" customHeight="1">
      <c r="A4936" s="1" t="s">
        <v>14551</v>
      </c>
      <c r="B4936" s="1">
        <v>6.0</v>
      </c>
      <c r="C4936" s="1" t="s">
        <v>14552</v>
      </c>
      <c r="D4936" s="1" t="s">
        <v>52</v>
      </c>
      <c r="E4936" s="1" t="s">
        <v>14553</v>
      </c>
      <c r="F4936" s="1" t="str">
        <f>IFERROR(__xludf.DUMMYFUNCTION("GOOGLETRANSLATE(A4936, ""zh-CN"", ""ko"")"),"엄숙한")</f>
        <v>엄숙한</v>
      </c>
    </row>
    <row r="4937" ht="15.75" customHeight="1">
      <c r="A4937" s="1" t="s">
        <v>14554</v>
      </c>
      <c r="B4937" s="1">
        <v>6.0</v>
      </c>
      <c r="C4937" s="1" t="s">
        <v>7241</v>
      </c>
      <c r="D4937" s="1" t="s">
        <v>26</v>
      </c>
      <c r="E4937" s="1" t="s">
        <v>14555</v>
      </c>
      <c r="F4937" s="1" t="str">
        <f>IFERROR(__xludf.DUMMYFUNCTION("GOOGLETRANSLATE(A4937, ""zh-CN"", ""ko"")"),"건물")</f>
        <v>건물</v>
      </c>
    </row>
    <row r="4938" ht="15.75" customHeight="1">
      <c r="A4938" s="1" t="s">
        <v>14556</v>
      </c>
      <c r="B4938" s="1">
        <v>6.0</v>
      </c>
      <c r="C4938" s="1" t="s">
        <v>14557</v>
      </c>
      <c r="D4938" s="1" t="s">
        <v>52</v>
      </c>
      <c r="E4938" s="1" t="s">
        <v>14558</v>
      </c>
      <c r="F4938" s="1" t="str">
        <f>IFERROR(__xludf.DUMMYFUNCTION("GOOGLETRANSLATE(A4938, ""zh-CN"", ""ko"")"),"환상적인")</f>
        <v>환상적인</v>
      </c>
    </row>
    <row r="4939" ht="15.75" customHeight="1">
      <c r="A4939" s="1" t="s">
        <v>14559</v>
      </c>
      <c r="B4939" s="1">
        <v>6.0</v>
      </c>
      <c r="C4939" s="1" t="s">
        <v>14560</v>
      </c>
      <c r="D4939" s="1" t="s">
        <v>52</v>
      </c>
      <c r="E4939" s="1" t="s">
        <v>14561</v>
      </c>
      <c r="F4939" s="1" t="str">
        <f>IFERROR(__xludf.DUMMYFUNCTION("GOOGLETRANSLATE(A4939, ""zh-CN"", ""ko"")"),"웅장한")</f>
        <v>웅장한</v>
      </c>
    </row>
    <row r="4940" ht="15.75" customHeight="1">
      <c r="A4940" s="1" t="s">
        <v>14562</v>
      </c>
      <c r="B4940" s="1">
        <v>6.0</v>
      </c>
      <c r="C4940" s="1" t="s">
        <v>14563</v>
      </c>
      <c r="D4940" s="1" t="s">
        <v>52</v>
      </c>
      <c r="E4940" s="1" t="s">
        <v>14564</v>
      </c>
      <c r="F4940" s="1" t="str">
        <f>IFERROR(__xludf.DUMMYFUNCTION("GOOGLETRANSLATE(A4940, ""zh-CN"", ""ko"")"),"과장된 감정")</f>
        <v>과장된 감정</v>
      </c>
    </row>
    <row r="4941" ht="15.75" customHeight="1">
      <c r="A4941" s="1" t="s">
        <v>14565</v>
      </c>
      <c r="B4941" s="1">
        <v>6.0</v>
      </c>
      <c r="C4941" s="1" t="s">
        <v>14566</v>
      </c>
      <c r="D4941" s="1" t="s">
        <v>8</v>
      </c>
      <c r="E4941" s="1" t="s">
        <v>14567</v>
      </c>
      <c r="F4941" s="1" t="str">
        <f>IFERROR(__xludf.DUMMYFUNCTION("GOOGLETRANSLATE(A4941, ""zh-CN"", ""ko"")"),"기념물")</f>
        <v>기념물</v>
      </c>
    </row>
    <row r="4942" ht="15.75" customHeight="1">
      <c r="A4942" s="1" t="s">
        <v>14568</v>
      </c>
      <c r="B4942" s="1">
        <v>6.0</v>
      </c>
      <c r="C4942" s="1" t="s">
        <v>14569</v>
      </c>
      <c r="D4942" s="1" t="s">
        <v>8</v>
      </c>
      <c r="E4942" s="1" t="s">
        <v>14570</v>
      </c>
      <c r="F4942" s="1" t="str">
        <f>IFERROR(__xludf.DUMMYFUNCTION("GOOGLETRANSLATE(A4942, ""zh-CN"", ""ko"")"),"추구하다")</f>
        <v>추구하다</v>
      </c>
    </row>
    <row r="4943" ht="15.75" customHeight="1">
      <c r="A4943" s="1" t="s">
        <v>14571</v>
      </c>
      <c r="B4943" s="1">
        <v>6.0</v>
      </c>
      <c r="C4943" s="1" t="s">
        <v>14572</v>
      </c>
      <c r="D4943" s="1" t="s">
        <v>8</v>
      </c>
      <c r="E4943" s="1" t="s">
        <v>14573</v>
      </c>
      <c r="F4943" s="1" t="str">
        <f>IFERROR(__xludf.DUMMYFUNCTION("GOOGLETRANSLATE(A4943, ""zh-CN"", ""ko"")"),"떨어지다")</f>
        <v>떨어지다</v>
      </c>
    </row>
    <row r="4944" ht="15.75" customHeight="1">
      <c r="A4944" s="1" t="s">
        <v>14574</v>
      </c>
      <c r="B4944" s="1">
        <v>6.0</v>
      </c>
      <c r="C4944" s="1" t="s">
        <v>14575</v>
      </c>
      <c r="D4944" s="1" t="s">
        <v>16</v>
      </c>
      <c r="E4944" s="1" t="s">
        <v>14576</v>
      </c>
      <c r="F4944" s="1" t="str">
        <f>IFERROR(__xludf.DUMMYFUNCTION("GOOGLETRANSLATE(A4944, ""zh-CN"", ""ko"")"),"지침")</f>
        <v>지침</v>
      </c>
    </row>
    <row r="4945" ht="15.75" customHeight="1">
      <c r="A4945" s="1" t="s">
        <v>14577</v>
      </c>
      <c r="B4945" s="1">
        <v>6.0</v>
      </c>
      <c r="C4945" s="1" t="s">
        <v>14578</v>
      </c>
      <c r="D4945" s="1" t="s">
        <v>8</v>
      </c>
      <c r="E4945" s="1" t="s">
        <v>14579</v>
      </c>
      <c r="F4945" s="1" t="str">
        <f>IFERROR(__xludf.DUMMYFUNCTION("GOOGLETRANSLATE(A4945, ""zh-CN"", ""ko"")"),"곰곰이 생각하다")</f>
        <v>곰곰이 생각하다</v>
      </c>
    </row>
    <row r="4946" ht="15.75" customHeight="1">
      <c r="A4946" s="1" t="s">
        <v>14580</v>
      </c>
      <c r="B4946" s="1">
        <v>6.0</v>
      </c>
      <c r="C4946" s="1" t="s">
        <v>14581</v>
      </c>
      <c r="D4946" s="1" t="s">
        <v>8</v>
      </c>
      <c r="E4946" s="1" t="s">
        <v>14582</v>
      </c>
      <c r="F4946" s="1" t="str">
        <f>IFERROR(__xludf.DUMMYFUNCTION("GOOGLETRANSLATE(A4946, ""zh-CN"", ""ko"")"),"시작")</f>
        <v>시작</v>
      </c>
    </row>
    <row r="4947" ht="15.75" customHeight="1">
      <c r="A4947" s="1" t="s">
        <v>14583</v>
      </c>
      <c r="B4947" s="1">
        <v>6.0</v>
      </c>
      <c r="C4947" s="1" t="s">
        <v>14584</v>
      </c>
      <c r="D4947" s="1" t="s">
        <v>8</v>
      </c>
      <c r="E4947" s="1" t="s">
        <v>14585</v>
      </c>
      <c r="F4947" s="1" t="str">
        <f>IFERROR(__xludf.DUMMYFUNCTION("GOOGLETRANSLATE(A4947, ""zh-CN"", ""ko"")"),"고려 사항")</f>
        <v>고려 사항</v>
      </c>
    </row>
    <row r="4948" ht="15.75" customHeight="1">
      <c r="A4948" s="1" t="s">
        <v>14586</v>
      </c>
      <c r="B4948" s="1">
        <v>6.0</v>
      </c>
      <c r="C4948" s="1" t="s">
        <v>14587</v>
      </c>
      <c r="D4948" s="1" t="s">
        <v>52</v>
      </c>
      <c r="E4948" s="1" t="s">
        <v>14588</v>
      </c>
      <c r="F4948" s="1" t="str">
        <f>IFERROR(__xludf.DUMMYFUNCTION("GOOGLETRANSLATE(A4948, ""zh-CN"", ""ko"")"),"우수")</f>
        <v>우수</v>
      </c>
    </row>
    <row r="4949" ht="15.75" customHeight="1">
      <c r="A4949" s="1" t="s">
        <v>14589</v>
      </c>
      <c r="B4949" s="1">
        <v>6.0</v>
      </c>
      <c r="C4949" s="1" t="s">
        <v>14590</v>
      </c>
      <c r="D4949" s="1" t="s">
        <v>8</v>
      </c>
      <c r="E4949" s="1" t="s">
        <v>14591</v>
      </c>
      <c r="F4949" s="1" t="str">
        <f>IFERROR(__xludf.DUMMYFUNCTION("GOOGLETRANSLATE(A4949, ""zh-CN"", ""ko"")"),"중요성")</f>
        <v>중요성</v>
      </c>
    </row>
    <row r="4950" ht="15.75" customHeight="1">
      <c r="A4950" s="1" t="s">
        <v>14592</v>
      </c>
      <c r="B4950" s="1">
        <v>6.0</v>
      </c>
      <c r="C4950" s="1" t="s">
        <v>14593</v>
      </c>
      <c r="D4950" s="1" t="s">
        <v>16</v>
      </c>
      <c r="E4950" s="1" t="s">
        <v>14594</v>
      </c>
      <c r="F4950" s="1" t="str">
        <f>IFERROR(__xludf.DUMMYFUNCTION("GOOGLETRANSLATE(A4950, ""zh-CN"", ""ko"")"),"수도")</f>
        <v>수도</v>
      </c>
    </row>
    <row r="4951" ht="15.75" customHeight="1">
      <c r="A4951" s="1" t="s">
        <v>14595</v>
      </c>
      <c r="B4951" s="1">
        <v>6.0</v>
      </c>
      <c r="C4951" s="1" t="s">
        <v>14596</v>
      </c>
      <c r="D4951" s="1" t="s">
        <v>16</v>
      </c>
      <c r="E4951" s="1" t="s">
        <v>14597</v>
      </c>
      <c r="F4951" s="1" t="str">
        <f>IFERROR(__xludf.DUMMYFUNCTION("GOOGLETRANSLATE(A4951, ""zh-CN"", ""ko"")"),"자산")</f>
        <v>자산</v>
      </c>
    </row>
    <row r="4952" ht="15.75" customHeight="1">
      <c r="A4952" s="1" t="s">
        <v>14598</v>
      </c>
      <c r="B4952" s="1">
        <v>6.0</v>
      </c>
      <c r="C4952" s="1" t="s">
        <v>14599</v>
      </c>
      <c r="D4952" s="1" t="s">
        <v>52</v>
      </c>
      <c r="E4952" s="1" t="s">
        <v>6010</v>
      </c>
      <c r="F4952" s="1" t="str">
        <f>IFERROR(__xludf.DUMMYFUNCTION("GOOGLETRANSLATE(A4952, ""zh-CN"", ""ko"")"),"보습")</f>
        <v>보습</v>
      </c>
    </row>
    <row r="4953" ht="15.75" customHeight="1">
      <c r="A4953" s="1" t="s">
        <v>14600</v>
      </c>
      <c r="B4953" s="1">
        <v>6.0</v>
      </c>
      <c r="C4953" s="1" t="s">
        <v>14601</v>
      </c>
      <c r="D4953" s="1" t="s">
        <v>52</v>
      </c>
      <c r="E4953" s="1" t="s">
        <v>14602</v>
      </c>
      <c r="F4953" s="1" t="str">
        <f>IFERROR(__xludf.DUMMYFUNCTION("GOOGLETRANSLATE(A4953, ""zh-CN"", ""ko"")"),"상위")</f>
        <v>상위</v>
      </c>
    </row>
    <row r="4954" ht="15.75" customHeight="1">
      <c r="A4954" s="1" t="s">
        <v>14603</v>
      </c>
      <c r="B4954" s="1">
        <v>6.0</v>
      </c>
      <c r="C4954" s="1" t="s">
        <v>14604</v>
      </c>
      <c r="D4954" s="1" t="s">
        <v>16</v>
      </c>
      <c r="E4954" s="1" t="s">
        <v>14605</v>
      </c>
      <c r="F4954" s="1" t="str">
        <f>IFERROR(__xludf.DUMMYFUNCTION("GOOGLETRANSLATE(A4954, ""zh-CN"", ""ko"")"),"태도")</f>
        <v>태도</v>
      </c>
    </row>
    <row r="4955" ht="15.75" customHeight="1">
      <c r="A4955" s="1" t="s">
        <v>14606</v>
      </c>
      <c r="B4955" s="1">
        <v>6.0</v>
      </c>
      <c r="C4955" s="1" t="s">
        <v>14607</v>
      </c>
      <c r="D4955" s="1" t="s">
        <v>16</v>
      </c>
      <c r="E4955" s="1" t="s">
        <v>14608</v>
      </c>
      <c r="F4955" s="1" t="str">
        <f>IFERROR(__xludf.DUMMYFUNCTION("GOOGLETRANSLATE(A4955, ""zh-CN"", ""ko"")"),"맛")</f>
        <v>맛</v>
      </c>
    </row>
    <row r="4956" ht="15.75" customHeight="1">
      <c r="A4956" s="1" t="s">
        <v>14609</v>
      </c>
      <c r="B4956" s="1">
        <v>6.0</v>
      </c>
      <c r="C4956" s="1" t="s">
        <v>14610</v>
      </c>
      <c r="D4956" s="1" t="s">
        <v>8</v>
      </c>
      <c r="E4956" s="1" t="s">
        <v>14611</v>
      </c>
      <c r="F4956" s="1" t="str">
        <f>IFERROR(__xludf.DUMMYFUNCTION("GOOGLETRANSLATE(A4956, ""zh-CN"", ""ko"")"),"자금 조달")</f>
        <v>자금 조달</v>
      </c>
    </row>
    <row r="4957" ht="15.75" customHeight="1">
      <c r="A4957" s="1" t="s">
        <v>14612</v>
      </c>
      <c r="B4957" s="1">
        <v>6.0</v>
      </c>
      <c r="C4957" s="1" t="s">
        <v>14613</v>
      </c>
      <c r="D4957" s="1" t="s">
        <v>16</v>
      </c>
      <c r="E4957" s="1" t="s">
        <v>14614</v>
      </c>
      <c r="F4957" s="1" t="str">
        <f>IFERROR(__xludf.DUMMYFUNCTION("GOOGLETRANSLATE(A4957, ""zh-CN"", ""ko"")"),"총알")</f>
        <v>총알</v>
      </c>
    </row>
    <row r="4958" ht="15.75" customHeight="1">
      <c r="A4958" s="1" t="s">
        <v>14615</v>
      </c>
      <c r="B4958" s="1">
        <v>6.0</v>
      </c>
      <c r="C4958" s="1" t="s">
        <v>14616</v>
      </c>
      <c r="D4958" s="1" t="s">
        <v>52</v>
      </c>
      <c r="E4958" s="1" t="s">
        <v>14617</v>
      </c>
      <c r="F4958" s="1" t="str">
        <f>IFERROR(__xludf.DUMMYFUNCTION("GOOGLETRANSLATE(A4958, ""zh-CN"", ""ko"")"),"자기 비하")</f>
        <v>자기 비하</v>
      </c>
    </row>
    <row r="4959" ht="15.75" customHeight="1">
      <c r="A4959" s="1" t="s">
        <v>14618</v>
      </c>
      <c r="B4959" s="1">
        <v>6.0</v>
      </c>
      <c r="C4959" s="1" t="s">
        <v>14619</v>
      </c>
      <c r="D4959" s="1" t="s">
        <v>52</v>
      </c>
      <c r="E4959" s="1" t="s">
        <v>14620</v>
      </c>
      <c r="F4959" s="1" t="str">
        <f>IFERROR(__xludf.DUMMYFUNCTION("GOOGLETRANSLATE(A4959, ""zh-CN"", ""ko"")"),"자발적인")</f>
        <v>자발적인</v>
      </c>
    </row>
    <row r="4960" ht="15.75" customHeight="1">
      <c r="A4960" s="1" t="s">
        <v>14621</v>
      </c>
      <c r="B4960" s="1">
        <v>6.0</v>
      </c>
      <c r="C4960" s="1" t="s">
        <v>14622</v>
      </c>
      <c r="E4960" s="1" t="s">
        <v>14623</v>
      </c>
      <c r="F4960" s="1" t="str">
        <f>IFERROR(__xludf.DUMMYFUNCTION("GOOGLETRANSLATE(A4960, ""zh-CN"", ""ko"")"),"자립심")</f>
        <v>자립심</v>
      </c>
    </row>
    <row r="4961" ht="15.75" customHeight="1">
      <c r="A4961" s="1" t="s">
        <v>14624</v>
      </c>
      <c r="B4961" s="1">
        <v>6.0</v>
      </c>
      <c r="C4961" s="1" t="s">
        <v>14625</v>
      </c>
      <c r="D4961" s="1" t="s">
        <v>52</v>
      </c>
      <c r="E4961" s="1" t="s">
        <v>14626</v>
      </c>
      <c r="F4961" s="1" t="str">
        <f>IFERROR(__xludf.DUMMYFUNCTION("GOOGLETRANSLATE(A4961, ""zh-CN"", ""ko"")"),"자만심에 찬")</f>
        <v>자만심에 찬</v>
      </c>
    </row>
    <row r="4962" ht="15.75" customHeight="1">
      <c r="A4962" s="1" t="s">
        <v>14627</v>
      </c>
      <c r="B4962" s="1">
        <v>6.0</v>
      </c>
      <c r="C4962" s="1" t="s">
        <v>14628</v>
      </c>
      <c r="D4962" s="1" t="s">
        <v>8</v>
      </c>
      <c r="E4962" s="1" t="s">
        <v>14629</v>
      </c>
      <c r="F4962" s="1" t="str">
        <f>IFERROR(__xludf.DUMMYFUNCTION("GOOGLETRANSLATE(A4962, ""zh-CN"", ""ko"")"),"자치")</f>
        <v>자치</v>
      </c>
    </row>
    <row r="4963" ht="15.75" customHeight="1">
      <c r="A4963" s="1" t="s">
        <v>14630</v>
      </c>
      <c r="B4963" s="1">
        <v>6.0</v>
      </c>
      <c r="C4963" s="1" t="s">
        <v>14631</v>
      </c>
      <c r="D4963" s="1" t="s">
        <v>16</v>
      </c>
      <c r="E4963" s="1" t="s">
        <v>14632</v>
      </c>
      <c r="F4963" s="1" t="str">
        <f>IFERROR(__xludf.DUMMYFUNCTION("GOOGLETRANSLATE(A4963, ""zh-CN"", ""ko"")"),"추적하다")</f>
        <v>추적하다</v>
      </c>
    </row>
    <row r="4964" ht="15.75" customHeight="1">
      <c r="A4964" s="1" t="s">
        <v>14633</v>
      </c>
      <c r="B4964" s="1">
        <v>6.0</v>
      </c>
      <c r="C4964" s="1" t="s">
        <v>14634</v>
      </c>
      <c r="D4964" s="1" t="s">
        <v>16</v>
      </c>
      <c r="E4964" s="1" t="s">
        <v>14635</v>
      </c>
      <c r="F4964" s="1" t="str">
        <f>IFERROR(__xludf.DUMMYFUNCTION("GOOGLETRANSLATE(A4964, ""zh-CN"", ""ko"")"),"종교")</f>
        <v>종교</v>
      </c>
    </row>
    <row r="4965" ht="15.75" customHeight="1">
      <c r="A4965" s="1" t="s">
        <v>14636</v>
      </c>
      <c r="B4965" s="1">
        <v>6.0</v>
      </c>
      <c r="C4965" s="1" t="s">
        <v>14637</v>
      </c>
      <c r="D4965" s="1" t="s">
        <v>16</v>
      </c>
      <c r="E4965" s="1" t="s">
        <v>14638</v>
      </c>
      <c r="F4965" s="1" t="str">
        <f>IFERROR(__xludf.DUMMYFUNCTION("GOOGLETRANSLATE(A4965, ""zh-CN"", ""ko"")"),"갈색")</f>
        <v>갈색</v>
      </c>
    </row>
    <row r="4966" ht="15.75" customHeight="1">
      <c r="A4966" s="1" t="s">
        <v>14639</v>
      </c>
      <c r="B4966" s="1">
        <v>6.0</v>
      </c>
      <c r="C4966" s="1" t="s">
        <v>14640</v>
      </c>
      <c r="D4966" s="1" t="s">
        <v>16</v>
      </c>
      <c r="E4966" s="1" t="s">
        <v>14641</v>
      </c>
      <c r="F4966" s="1" t="str">
        <f>IFERROR(__xludf.DUMMYFUNCTION("GOOGLETRANSLATE(A4966, ""zh-CN"", ""ko"")"),"목적")</f>
        <v>목적</v>
      </c>
    </row>
    <row r="4967" ht="15.75" customHeight="1">
      <c r="A4967" s="1" t="s">
        <v>14642</v>
      </c>
      <c r="B4967" s="1">
        <v>6.0</v>
      </c>
      <c r="C4967" s="1" t="s">
        <v>14643</v>
      </c>
      <c r="E4967" s="1" t="s">
        <v>14644</v>
      </c>
      <c r="F4967" s="1" t="str">
        <f>IFERROR(__xludf.DUMMYFUNCTION("GOOGLETRANSLATE(A4967, ""zh-CN"", ""ko"")"),"결론적으로")</f>
        <v>결론적으로</v>
      </c>
    </row>
    <row r="4968" ht="15.75" customHeight="1">
      <c r="A4968" s="1" t="s">
        <v>14645</v>
      </c>
      <c r="B4968" s="1">
        <v>6.0</v>
      </c>
      <c r="C4968" s="1" t="s">
        <v>14646</v>
      </c>
      <c r="D4968" s="1" t="s">
        <v>16</v>
      </c>
      <c r="E4968" s="1" t="s">
        <v>14647</v>
      </c>
      <c r="F4968" s="1" t="str">
        <f>IFERROR(__xludf.DUMMYFUNCTION("GOOGLETRANSLATE(A4968, ""zh-CN"", ""ko"")"),"합집합")</f>
        <v>합집합</v>
      </c>
    </row>
    <row r="4969" ht="15.75" customHeight="1">
      <c r="A4969" s="1" t="s">
        <v>14648</v>
      </c>
      <c r="B4969" s="1">
        <v>6.0</v>
      </c>
      <c r="C4969" s="1" t="s">
        <v>14649</v>
      </c>
      <c r="D4969" s="1" t="s">
        <v>1003</v>
      </c>
      <c r="E4969" s="1" t="s">
        <v>14650</v>
      </c>
      <c r="F4969" s="1" t="str">
        <f>IFERROR(__xludf.DUMMYFUNCTION("GOOGLETRANSLATE(A4969, ""zh-CN"", ""ko"")"),"수평의")</f>
        <v>수평의</v>
      </c>
    </row>
    <row r="4970" ht="15.75" customHeight="1">
      <c r="A4970" s="1" t="s">
        <v>14651</v>
      </c>
      <c r="B4970" s="1">
        <v>6.0</v>
      </c>
      <c r="C4970" s="1" t="s">
        <v>14652</v>
      </c>
      <c r="D4970" s="1" t="s">
        <v>16</v>
      </c>
      <c r="E4970" s="1" t="s">
        <v>14653</v>
      </c>
      <c r="F4970" s="1" t="str">
        <f>IFERROR(__xludf.DUMMYFUNCTION("GOOGLETRANSLATE(A4970, ""zh-CN"", ""ko"")"),"복도")</f>
        <v>복도</v>
      </c>
    </row>
    <row r="4971" ht="15.75" customHeight="1">
      <c r="A4971" s="1" t="s">
        <v>14654</v>
      </c>
      <c r="B4971" s="1">
        <v>6.0</v>
      </c>
      <c r="C4971" s="1" t="s">
        <v>14655</v>
      </c>
      <c r="D4971" s="1" t="s">
        <v>8</v>
      </c>
      <c r="E4971" s="1" t="s">
        <v>14656</v>
      </c>
      <c r="F4971" s="1" t="str">
        <f>IFERROR(__xludf.DUMMYFUNCTION("GOOGLETRANSLATE(A4971, ""zh-CN"", ""ko"")"),"새다")</f>
        <v>새다</v>
      </c>
    </row>
    <row r="4972" ht="15.75" customHeight="1">
      <c r="A4972" s="1" t="s">
        <v>14657</v>
      </c>
      <c r="B4972" s="1">
        <v>6.0</v>
      </c>
      <c r="C4972" s="1" t="s">
        <v>14658</v>
      </c>
      <c r="D4972" s="1" t="s">
        <v>8</v>
      </c>
      <c r="E4972" s="1" t="s">
        <v>14659</v>
      </c>
      <c r="F4972" s="1" t="str">
        <f>IFERROR(__xludf.DUMMYFUNCTION("GOOGLETRANSLATE(A4972, ""zh-CN"", ""ko"")"),"밀수")</f>
        <v>밀수</v>
      </c>
    </row>
    <row r="4973" ht="15.75" customHeight="1">
      <c r="A4973" s="1" t="s">
        <v>14660</v>
      </c>
      <c r="B4973" s="1">
        <v>6.0</v>
      </c>
      <c r="C4973" s="1" t="s">
        <v>14661</v>
      </c>
      <c r="D4973" s="1" t="s">
        <v>8</v>
      </c>
      <c r="E4973" s="1" t="s">
        <v>14662</v>
      </c>
      <c r="F4973" s="1" t="str">
        <f>IFERROR(__xludf.DUMMYFUNCTION("GOOGLETRANSLATE(A4973, ""zh-CN"", ""ko"")"),"이기다")</f>
        <v>이기다</v>
      </c>
    </row>
    <row r="4974" ht="15.75" customHeight="1">
      <c r="A4974" s="1" t="s">
        <v>14663</v>
      </c>
      <c r="B4974" s="1">
        <v>6.0</v>
      </c>
      <c r="C4974" s="1" t="s">
        <v>14664</v>
      </c>
      <c r="D4974" s="1" t="s">
        <v>8</v>
      </c>
      <c r="E4974" s="1" t="s">
        <v>14665</v>
      </c>
      <c r="F4974" s="1" t="str">
        <f>IFERROR(__xludf.DUMMYFUNCTION("GOOGLETRANSLATE(A4974, ""zh-CN"", ""ko"")"),"임차권")</f>
        <v>임차권</v>
      </c>
    </row>
    <row r="4975" ht="15.75" customHeight="1">
      <c r="A4975" s="1" t="s">
        <v>14666</v>
      </c>
      <c r="B4975" s="1">
        <v>6.0</v>
      </c>
      <c r="C4975" s="1" t="s">
        <v>14667</v>
      </c>
      <c r="D4975" s="1" t="s">
        <v>8</v>
      </c>
      <c r="E4975" s="1" t="s">
        <v>14668</v>
      </c>
      <c r="F4975" s="1" t="str">
        <f>IFERROR(__xludf.DUMMYFUNCTION("GOOGLETRANSLATE(A4975, ""zh-CN"", ""ko"")"),"충분한")</f>
        <v>충분한</v>
      </c>
    </row>
    <row r="4976" ht="15.75" customHeight="1">
      <c r="A4976" s="1" t="s">
        <v>14669</v>
      </c>
      <c r="B4976" s="1">
        <v>6.0</v>
      </c>
      <c r="C4976" s="1" t="s">
        <v>14670</v>
      </c>
      <c r="D4976" s="1" t="s">
        <v>8</v>
      </c>
      <c r="E4976" s="1" t="s">
        <v>14671</v>
      </c>
      <c r="F4976" s="1" t="str">
        <f>IFERROR(__xludf.DUMMYFUNCTION("GOOGLETRANSLATE(A4976, ""zh-CN"", ""ko"")"),"장애물")</f>
        <v>장애물</v>
      </c>
    </row>
    <row r="4977" ht="15.75" customHeight="1">
      <c r="A4977" s="1" t="s">
        <v>14672</v>
      </c>
      <c r="B4977" s="1">
        <v>6.0</v>
      </c>
      <c r="C4977" s="1" t="s">
        <v>14673</v>
      </c>
      <c r="D4977" s="1" t="s">
        <v>16</v>
      </c>
      <c r="E4977" s="1" t="s">
        <v>1657</v>
      </c>
      <c r="F4977" s="1" t="str">
        <f>IFERROR(__xludf.DUMMYFUNCTION("GOOGLETRANSLATE(A4977, ""zh-CN"", ""ko"")"),"할아버지")</f>
        <v>할아버지</v>
      </c>
    </row>
    <row r="4978" ht="15.75" customHeight="1">
      <c r="A4978" s="1" t="s">
        <v>14674</v>
      </c>
      <c r="B4978" s="1">
        <v>6.0</v>
      </c>
      <c r="C4978" s="1" t="s">
        <v>14675</v>
      </c>
      <c r="D4978" s="1" t="s">
        <v>16</v>
      </c>
      <c r="E4978" s="1" t="s">
        <v>14676</v>
      </c>
      <c r="F4978" s="1" t="str">
        <f>IFERROR(__xludf.DUMMYFUNCTION("GOOGLETRANSLATE(A4978, ""zh-CN"", ""ko"")"),"모국")</f>
        <v>모국</v>
      </c>
    </row>
    <row r="4979" ht="15.75" customHeight="1">
      <c r="A4979" s="1" t="s">
        <v>14677</v>
      </c>
      <c r="B4979" s="1">
        <v>6.0</v>
      </c>
      <c r="C4979" s="1" t="s">
        <v>14678</v>
      </c>
      <c r="D4979" s="1" t="s">
        <v>8</v>
      </c>
      <c r="E4979" s="1" t="s">
        <v>14679</v>
      </c>
      <c r="F4979" s="1" t="str">
        <f>IFERROR(__xludf.DUMMYFUNCTION("GOOGLETRANSLATE(A4979, ""zh-CN"", ""ko"")"),"멈추다")</f>
        <v>멈추다</v>
      </c>
    </row>
    <row r="4980" ht="15.75" customHeight="1">
      <c r="A4980" s="1" t="s">
        <v>14680</v>
      </c>
      <c r="B4980" s="1">
        <v>6.0</v>
      </c>
      <c r="C4980" s="1" t="s">
        <v>14681</v>
      </c>
      <c r="D4980" s="1" t="s">
        <v>8</v>
      </c>
      <c r="E4980" s="1" t="s">
        <v>14682</v>
      </c>
      <c r="F4980" s="1" t="str">
        <f>IFERROR(__xludf.DUMMYFUNCTION("GOOGLETRANSLATE(A4980, ""zh-CN"", ""ko"")"),"방해")</f>
        <v>방해</v>
      </c>
    </row>
    <row r="4981" ht="15.75" customHeight="1">
      <c r="A4981" s="1" t="s">
        <v>14683</v>
      </c>
      <c r="B4981" s="1">
        <v>6.0</v>
      </c>
      <c r="C4981" s="1" t="s">
        <v>14684</v>
      </c>
      <c r="D4981" s="1" t="s">
        <v>16</v>
      </c>
      <c r="E4981" s="1" t="s">
        <v>14685</v>
      </c>
      <c r="F4981" s="1" t="str">
        <f>IFERROR(__xludf.DUMMYFUNCTION("GOOGLETRANSLATE(A4981, ""zh-CN"", ""ko"")"),"선조")</f>
        <v>선조</v>
      </c>
    </row>
    <row r="4982" ht="15.75" customHeight="1">
      <c r="A4982" s="1" t="s">
        <v>14686</v>
      </c>
      <c r="B4982" s="1">
        <v>6.0</v>
      </c>
      <c r="C4982" s="1" t="s">
        <v>14687</v>
      </c>
      <c r="D4982" s="1" t="s">
        <v>8</v>
      </c>
      <c r="E4982" s="1" t="s">
        <v>14688</v>
      </c>
      <c r="F4982" s="1" t="str">
        <f>IFERROR(__xludf.DUMMYFUNCTION("GOOGLETRANSLATE(A4982, ""zh-CN"", ""ko"")"),"공부하다")</f>
        <v>공부하다</v>
      </c>
    </row>
    <row r="4983" ht="15.75" customHeight="1">
      <c r="A4983" s="1" t="s">
        <v>14689</v>
      </c>
      <c r="B4983" s="1">
        <v>6.0</v>
      </c>
      <c r="C4983" s="1" t="s">
        <v>14690</v>
      </c>
      <c r="D4983" s="1" t="s">
        <v>16</v>
      </c>
      <c r="E4983" s="1" t="s">
        <v>14691</v>
      </c>
      <c r="F4983" s="1" t="str">
        <f>IFERROR(__xludf.DUMMYFUNCTION("GOOGLETRANSLATE(A4983, ""zh-CN"", ""ko"")"),"다이아몬드")</f>
        <v>다이아몬드</v>
      </c>
    </row>
    <row r="4984" ht="15.75" customHeight="1">
      <c r="A4984" s="1" t="s">
        <v>14692</v>
      </c>
      <c r="B4984" s="1">
        <v>6.0</v>
      </c>
      <c r="C4984" s="1" t="s">
        <v>14693</v>
      </c>
      <c r="D4984" s="1" t="s">
        <v>16</v>
      </c>
      <c r="E4984" s="1" t="s">
        <v>14694</v>
      </c>
      <c r="F4984" s="1" t="str">
        <f>IFERROR(__xludf.DUMMYFUNCTION("GOOGLETRANSLATE(A4984, ""zh-CN"", ""ko"")"),"입술")</f>
        <v>입술</v>
      </c>
    </row>
    <row r="4985" ht="15.75" customHeight="1">
      <c r="A4985" s="1" t="s">
        <v>14695</v>
      </c>
      <c r="B4985" s="1">
        <v>6.0</v>
      </c>
      <c r="C4985" s="1" t="s">
        <v>14696</v>
      </c>
      <c r="D4985" s="1" t="s">
        <v>16</v>
      </c>
      <c r="E4985" s="1" t="s">
        <v>14697</v>
      </c>
      <c r="F4985" s="1" t="str">
        <f>IFERROR(__xludf.DUMMYFUNCTION("GOOGLETRANSLATE(A4985, ""zh-CN"", ""ko"")"),"범인")</f>
        <v>범인</v>
      </c>
    </row>
    <row r="4986" ht="15.75" customHeight="1">
      <c r="A4986" s="1" t="s">
        <v>14698</v>
      </c>
      <c r="B4986" s="1">
        <v>6.0</v>
      </c>
      <c r="C4986" s="1" t="s">
        <v>14699</v>
      </c>
      <c r="D4986" s="1" t="s">
        <v>8</v>
      </c>
      <c r="E4986" s="1" t="s">
        <v>14700</v>
      </c>
      <c r="F4986" s="1" t="str">
        <f>IFERROR(__xludf.DUMMYFUNCTION("GOOGLETRANSLATE(A4986, ""zh-CN"", ""ko"")"),"따르다")</f>
        <v>따르다</v>
      </c>
    </row>
    <row r="4987" ht="15.75" customHeight="1">
      <c r="A4987" s="1" t="s">
        <v>14701</v>
      </c>
      <c r="B4987" s="1">
        <v>6.0</v>
      </c>
      <c r="C4987" s="1" t="s">
        <v>14702</v>
      </c>
      <c r="D4987" s="1" t="s">
        <v>16</v>
      </c>
      <c r="E4987" s="1" t="s">
        <v>14703</v>
      </c>
      <c r="F4987" s="1" t="str">
        <f>IFERROR(__xludf.DUMMYFUNCTION("GOOGLETRANSLATE(A4987, ""zh-CN"", ""ko"")"),"위엄")</f>
        <v>위엄</v>
      </c>
    </row>
    <row r="4988" ht="15.75" customHeight="1">
      <c r="A4988" s="1" t="s">
        <v>14704</v>
      </c>
      <c r="B4988" s="1">
        <v>6.0</v>
      </c>
      <c r="C4988" s="1" t="s">
        <v>14705</v>
      </c>
      <c r="D4988" s="1" t="s">
        <v>8</v>
      </c>
      <c r="E4988" s="1" t="s">
        <v>14706</v>
      </c>
      <c r="F4988" s="1" t="str">
        <f>IFERROR(__xludf.DUMMYFUNCTION("GOOGLETRANSLATE(A4988, ""zh-CN"", ""ko"")"),"부정행위")</f>
        <v>부정행위</v>
      </c>
    </row>
    <row r="4989" ht="15.75" customHeight="1">
      <c r="A4989" s="1" t="s">
        <v>14707</v>
      </c>
      <c r="B4989" s="1">
        <v>6.0</v>
      </c>
      <c r="C4989" s="1" t="s">
        <v>14708</v>
      </c>
      <c r="D4989" s="1" t="s">
        <v>8</v>
      </c>
      <c r="E4989" s="1" t="s">
        <v>14709</v>
      </c>
      <c r="F4989" s="1" t="str">
        <f>IFERROR(__xludf.DUMMYFUNCTION("GOOGLETRANSLATE(A4989, ""zh-CN"", ""ko"")"),"유효하지 않은")</f>
        <v>유효하지 않은</v>
      </c>
    </row>
    <row r="4990" ht="15.75" customHeight="1">
      <c r="A4990" s="1" t="s">
        <v>14710</v>
      </c>
      <c r="B4990" s="1">
        <v>6.0</v>
      </c>
      <c r="C4990" s="1" t="s">
        <v>14711</v>
      </c>
      <c r="D4990" s="1" t="s">
        <v>16</v>
      </c>
      <c r="E4990" s="1" t="s">
        <v>14712</v>
      </c>
      <c r="F4990" s="1" t="str">
        <f>IFERROR(__xludf.DUMMYFUNCTION("GOOGLETRANSLATE(A4990, ""zh-CN"", ""ko"")"),"스타일")</f>
        <v>스타일</v>
      </c>
    </row>
    <row r="4991" ht="15.75" customHeight="1">
      <c r="A4991" s="1" t="s">
        <v>14713</v>
      </c>
      <c r="B4991" s="1">
        <v>6.0</v>
      </c>
      <c r="C4991" s="1" t="s">
        <v>14714</v>
      </c>
      <c r="D4991" s="1" t="s">
        <v>16</v>
      </c>
      <c r="E4991" s="1" t="s">
        <v>14715</v>
      </c>
      <c r="F4991" s="1" t="str">
        <f>IFERROR(__xludf.DUMMYFUNCTION("GOOGLETRANSLATE(A4991, ""zh-CN"", ""ko"")"),"일상")</f>
        <v>일상</v>
      </c>
    </row>
    <row r="4992" ht="15.75" customHeight="1">
      <c r="A4992" s="1" t="s">
        <v>14716</v>
      </c>
      <c r="B4992" s="1">
        <v>6.0</v>
      </c>
      <c r="C4992" s="1" t="s">
        <v>14717</v>
      </c>
      <c r="D4992" s="1" t="s">
        <v>16</v>
      </c>
      <c r="E4992" s="1" t="s">
        <v>14718</v>
      </c>
      <c r="F4992" s="1" t="str">
        <f>IFERROR(__xludf.DUMMYFUNCTION("GOOGLETRANSLATE(A4992, ""zh-CN"", ""ko"")"),"금언")</f>
        <v>금언</v>
      </c>
    </row>
    <row r="4993" ht="15.75" customHeight="1">
      <c r="A4993" s="1" t="s">
        <v>14719</v>
      </c>
      <c r="B4993" s="1">
        <v>6.0</v>
      </c>
      <c r="C4993" s="1" t="s">
        <v>14720</v>
      </c>
      <c r="D4993" s="1" t="s">
        <v>8</v>
      </c>
      <c r="E4993" s="1" t="s">
        <v>14721</v>
      </c>
      <c r="F4993" s="1" t="str">
        <f>IFERROR(__xludf.DUMMYFUNCTION("GOOGLETRANSLATE(A4993, ""zh-CN"", ""ko"")"),"주도권을 잡으세요")</f>
        <v>주도권을 잡으세요</v>
      </c>
    </row>
    <row r="4994" ht="15.75" customHeight="1">
      <c r="A4994" s="1" t="s">
        <v>14722</v>
      </c>
      <c r="B4994" s="1">
        <v>7.0</v>
      </c>
      <c r="C4994" s="1" t="s">
        <v>14723</v>
      </c>
      <c r="E4994" s="1" t="s">
        <v>14724</v>
      </c>
      <c r="F4994" s="1" t="str">
        <f>IFERROR(__xludf.DUMMYFUNCTION("GOOGLETRANSLATE(A4994, ""zh-CN"", ""ko"")"),"문앞까지")</f>
        <v>문앞까지</v>
      </c>
    </row>
    <row r="4995" ht="15.75" customHeight="1">
      <c r="A4995" s="1" t="s">
        <v>14725</v>
      </c>
      <c r="B4995" s="1">
        <v>7.0</v>
      </c>
      <c r="C4995" s="1" t="s">
        <v>14726</v>
      </c>
      <c r="D4995" s="1" t="s">
        <v>8</v>
      </c>
      <c r="E4995" s="1" t="s">
        <v>14727</v>
      </c>
      <c r="F4995" s="1" t="str">
        <f>IFERROR(__xludf.DUMMYFUNCTION("GOOGLETRANSLATE(A4995, ""zh-CN"", ""ko"")"),"탄원")</f>
        <v>탄원</v>
      </c>
    </row>
    <row r="4996" ht="15.75" customHeight="1">
      <c r="A4996" s="1" t="s">
        <v>14728</v>
      </c>
      <c r="B4996" s="1">
        <v>7.0</v>
      </c>
      <c r="C4996" s="1" t="s">
        <v>7361</v>
      </c>
      <c r="D4996" s="1" t="s">
        <v>16</v>
      </c>
      <c r="E4996" s="1" t="s">
        <v>14729</v>
      </c>
      <c r="F4996" s="1" t="str">
        <f>IFERROR(__xludf.DUMMYFUNCTION("GOOGLETRANSLATE(A4996, ""zh-CN"", ""ko"")"),"암")</f>
        <v>암</v>
      </c>
    </row>
    <row r="4997" ht="15.75" customHeight="1">
      <c r="A4997" s="1" t="s">
        <v>14730</v>
      </c>
      <c r="B4997" s="1">
        <v>7.0</v>
      </c>
      <c r="C4997" s="1" t="s">
        <v>14731</v>
      </c>
      <c r="D4997" s="1" t="s">
        <v>8</v>
      </c>
      <c r="E4997" s="1" t="s">
        <v>14732</v>
      </c>
      <c r="F4997" s="1" t="str">
        <f>IFERROR(__xludf.DUMMYFUNCTION("GOOGLETRANSLATE(A4997, ""zh-CN"", ""ko"")"),"동경")</f>
        <v>동경</v>
      </c>
    </row>
    <row r="4998" ht="15.75" customHeight="1">
      <c r="A4998" s="1" t="s">
        <v>14733</v>
      </c>
      <c r="B4998" s="1">
        <v>7.0</v>
      </c>
      <c r="C4998" s="1" t="s">
        <v>14734</v>
      </c>
      <c r="D4998" s="1" t="s">
        <v>14735</v>
      </c>
      <c r="E4998" s="1" t="s">
        <v>14736</v>
      </c>
      <c r="F4998" s="1" t="str">
        <f>IFERROR(__xludf.DUMMYFUNCTION("GOOGLETRANSLATE(A4998, ""zh-CN"", ""ko"")"),"장애물")</f>
        <v>장애물</v>
      </c>
    </row>
    <row r="4999" ht="15.75" customHeight="1">
      <c r="A4999" s="1" t="s">
        <v>14737</v>
      </c>
      <c r="B4999" s="1">
        <v>7.0</v>
      </c>
      <c r="C4999" s="1" t="s">
        <v>14738</v>
      </c>
      <c r="D4999" s="1" t="s">
        <v>16</v>
      </c>
      <c r="E4999" s="1" t="s">
        <v>14739</v>
      </c>
      <c r="F4999" s="1" t="str">
        <f>IFERROR(__xludf.DUMMYFUNCTION("GOOGLETRANSLATE(A4999, ""zh-CN"", ""ko"")"),"에이즈")</f>
        <v>에이즈</v>
      </c>
    </row>
    <row r="5000" ht="15.75" customHeight="1">
      <c r="A5000" s="1" t="s">
        <v>14740</v>
      </c>
      <c r="B5000" s="1">
        <v>7.0</v>
      </c>
      <c r="C5000" s="1" t="s">
        <v>14741</v>
      </c>
      <c r="D5000" s="1" t="s">
        <v>14742</v>
      </c>
      <c r="E5000" s="1" t="s">
        <v>14743</v>
      </c>
      <c r="F5000" s="1" t="str">
        <f>IFERROR(__xludf.DUMMYFUNCTION("GOOGLETRANSLATE(A5000, ""zh-CN"", ""ko"")"),"안정적인")</f>
        <v>안정적인</v>
      </c>
    </row>
    <row r="5001" ht="15.75" customHeight="1">
      <c r="A5001" s="1" t="s">
        <v>14744</v>
      </c>
      <c r="B5001" s="1">
        <v>7.0</v>
      </c>
      <c r="C5001" s="1" t="s">
        <v>14745</v>
      </c>
      <c r="D5001" s="1" t="s">
        <v>8</v>
      </c>
      <c r="E5001" s="1" t="s">
        <v>14746</v>
      </c>
      <c r="F5001" s="1" t="str">
        <f>IFERROR(__xludf.DUMMYFUNCTION("GOOGLETRANSLATE(A5001, ""zh-CN"", ""ko"")"),"달래다")</f>
        <v>달래다</v>
      </c>
    </row>
    <row r="5002" ht="15.75" customHeight="1">
      <c r="A5002" s="1" t="s">
        <v>14747</v>
      </c>
      <c r="B5002" s="1">
        <v>7.0</v>
      </c>
      <c r="C5002" s="1" t="s">
        <v>14748</v>
      </c>
      <c r="D5002" s="1" t="s">
        <v>16</v>
      </c>
      <c r="E5002" s="1" t="s">
        <v>14749</v>
      </c>
      <c r="F5002" s="1" t="str">
        <f>IFERROR(__xludf.DUMMYFUNCTION("GOOGLETRANSLATE(A5002, ""zh-CN"", ""ko"")"),"수면제")</f>
        <v>수면제</v>
      </c>
    </row>
    <row r="5003" ht="15.75" customHeight="1">
      <c r="A5003" s="1" t="s">
        <v>14750</v>
      </c>
      <c r="B5003" s="1">
        <v>7.0</v>
      </c>
      <c r="C5003" s="1" t="s">
        <v>14751</v>
      </c>
      <c r="D5003" s="1" t="s">
        <v>52</v>
      </c>
      <c r="E5003" s="1" t="s">
        <v>14752</v>
      </c>
      <c r="F5003" s="1" t="str">
        <f>IFERROR(__xludf.DUMMYFUNCTION("GOOGLETRANSLATE(A5003, ""zh-CN"", ""ko"")"),"안정적인")</f>
        <v>안정적인</v>
      </c>
    </row>
    <row r="5004" ht="15.75" customHeight="1">
      <c r="A5004" s="1" t="s">
        <v>14753</v>
      </c>
      <c r="B5004" s="1">
        <v>7.0</v>
      </c>
      <c r="C5004" s="1" t="s">
        <v>14754</v>
      </c>
      <c r="D5004" s="1" t="s">
        <v>52</v>
      </c>
      <c r="E5004" s="1" t="s">
        <v>14755</v>
      </c>
      <c r="F5004" s="1" t="str">
        <f>IFERROR(__xludf.DUMMYFUNCTION("GOOGLETRANSLATE(A5004, ""zh-CN"", ""ko"")"),"마음의 평화")</f>
        <v>마음의 평화</v>
      </c>
    </row>
    <row r="5005" ht="15.75" customHeight="1">
      <c r="A5005" s="1" t="s">
        <v>14756</v>
      </c>
      <c r="B5005" s="1">
        <v>7.0</v>
      </c>
      <c r="C5005" s="1" t="s">
        <v>14757</v>
      </c>
      <c r="D5005" s="1" t="s">
        <v>52</v>
      </c>
      <c r="E5005" s="1" t="s">
        <v>14758</v>
      </c>
      <c r="F5005" s="1" t="str">
        <f>IFERROR(__xludf.DUMMYFUNCTION("GOOGLETRANSLATE(A5005, ""zh-CN"", ""ko"")"),"편안한")</f>
        <v>편안한</v>
      </c>
    </row>
    <row r="5006" ht="15.75" customHeight="1">
      <c r="A5006" s="1" t="s">
        <v>14759</v>
      </c>
      <c r="B5006" s="1">
        <v>7.0</v>
      </c>
      <c r="C5006" s="1" t="s">
        <v>14760</v>
      </c>
      <c r="D5006" s="1" t="s">
        <v>16</v>
      </c>
      <c r="E5006" s="1" t="s">
        <v>14761</v>
      </c>
      <c r="F5006" s="1" t="str">
        <f>IFERROR(__xludf.DUMMYFUNCTION("GOOGLETRANSLATE(A5006, ""zh-CN"", ""ko"")"),"남몰래")</f>
        <v>남몰래</v>
      </c>
    </row>
    <row r="5007" ht="15.75" customHeight="1">
      <c r="A5007" s="1" t="s">
        <v>14762</v>
      </c>
      <c r="B5007" s="1">
        <v>7.0</v>
      </c>
      <c r="C5007" s="1" t="s">
        <v>14763</v>
      </c>
      <c r="D5007" s="1" t="s">
        <v>33</v>
      </c>
      <c r="E5007" s="1" t="s">
        <v>14764</v>
      </c>
      <c r="F5007" s="1" t="str">
        <f>IFERROR(__xludf.DUMMYFUNCTION("GOOGLETRANSLATE(A5007, ""zh-CN"", ""ko"")"),"논리적으로")</f>
        <v>논리적으로</v>
      </c>
    </row>
    <row r="5008" ht="15.75" customHeight="1">
      <c r="A5008" s="1" t="s">
        <v>14765</v>
      </c>
      <c r="B5008" s="1">
        <v>7.0</v>
      </c>
      <c r="C5008" s="1" t="s">
        <v>14766</v>
      </c>
      <c r="D5008" s="1" t="s">
        <v>16</v>
      </c>
      <c r="E5008" s="1" t="s">
        <v>14767</v>
      </c>
      <c r="F5008" s="1" t="str">
        <f>IFERROR(__xludf.DUMMYFUNCTION("GOOGLETRANSLATE(A5008, ""zh-CN"", ""ko"")"),"단추")</f>
        <v>단추</v>
      </c>
    </row>
    <row r="5009" ht="15.75" customHeight="1">
      <c r="A5009" s="1" t="s">
        <v>14768</v>
      </c>
      <c r="B5009" s="1">
        <v>7.0</v>
      </c>
      <c r="C5009" s="1" t="s">
        <v>14769</v>
      </c>
      <c r="D5009" s="1" t="s">
        <v>33</v>
      </c>
      <c r="E5009" s="1" t="s">
        <v>14770</v>
      </c>
      <c r="F5009" s="1" t="str">
        <f>IFERROR(__xludf.DUMMYFUNCTION("GOOGLETRANSLATE(A5009, ""zh-CN"", ""ko"")"),"에 따르면")</f>
        <v>에 따르면</v>
      </c>
    </row>
    <row r="5010" ht="15.75" customHeight="1">
      <c r="A5010" s="1" t="s">
        <v>14771</v>
      </c>
      <c r="B5010" s="1">
        <v>7.0</v>
      </c>
      <c r="C5010" s="1" t="s">
        <v>14772</v>
      </c>
      <c r="D5010" s="1" t="s">
        <v>16</v>
      </c>
      <c r="E5010" s="1" t="s">
        <v>14773</v>
      </c>
      <c r="F5010" s="1" t="str">
        <f>IFERROR(__xludf.DUMMYFUNCTION("GOOGLETRANSLATE(A5010, ""zh-CN"", ""ko"")"),"어둠 속에서")</f>
        <v>어둠 속에서</v>
      </c>
    </row>
    <row r="5011" ht="15.75" customHeight="1">
      <c r="A5011" s="1" t="s">
        <v>14774</v>
      </c>
      <c r="B5011" s="1">
        <v>7.0</v>
      </c>
      <c r="C5011" s="1" t="s">
        <v>14775</v>
      </c>
      <c r="D5011" s="1" t="s">
        <v>52</v>
      </c>
      <c r="E5011" s="1" t="s">
        <v>14776</v>
      </c>
      <c r="F5011" s="1" t="str">
        <f>IFERROR(__xludf.DUMMYFUNCTION("GOOGLETRANSLATE(A5011, ""zh-CN"", ""ko"")"),"오목한")</f>
        <v>오목한</v>
      </c>
    </row>
    <row r="5012" ht="15.75" customHeight="1">
      <c r="A5012" s="1" t="s">
        <v>14777</v>
      </c>
      <c r="B5012" s="1">
        <v>7.0</v>
      </c>
      <c r="C5012" s="1" t="s">
        <v>14778</v>
      </c>
      <c r="D5012" s="1" t="s">
        <v>52</v>
      </c>
      <c r="E5012" s="1" t="s">
        <v>14779</v>
      </c>
      <c r="F5012" s="1" t="str">
        <f>IFERROR(__xludf.DUMMYFUNCTION("GOOGLETRANSLATE(A5012, ""zh-CN"", ""ko"")"),"자랑스러운")</f>
        <v>자랑스러운</v>
      </c>
    </row>
    <row r="5013" ht="15.75" customHeight="1">
      <c r="A5013" s="1" t="s">
        <v>14780</v>
      </c>
      <c r="B5013" s="1">
        <v>7.0</v>
      </c>
      <c r="C5013" s="1" t="s">
        <v>14781</v>
      </c>
      <c r="D5013" s="1" t="s">
        <v>52</v>
      </c>
      <c r="E5013" s="1" t="s">
        <v>14782</v>
      </c>
      <c r="F5013" s="1" t="str">
        <f>IFERROR(__xludf.DUMMYFUNCTION("GOOGLETRANSLATE(A5013, ""zh-CN"", ""ko"")"),"오만한")</f>
        <v>오만한</v>
      </c>
    </row>
    <row r="5014" ht="15.75" customHeight="1">
      <c r="A5014" s="1" t="s">
        <v>14783</v>
      </c>
      <c r="B5014" s="1">
        <v>7.0</v>
      </c>
      <c r="C5014" s="1" t="s">
        <v>14784</v>
      </c>
      <c r="D5014" s="1" t="s">
        <v>14785</v>
      </c>
      <c r="E5014" s="1" t="s">
        <v>14786</v>
      </c>
      <c r="F5014" s="1" t="str">
        <f>IFERROR(__xludf.DUMMYFUNCTION("GOOGLETRANSLATE(A5014, ""zh-CN"", ""ko"")"),"80%")</f>
        <v>80%</v>
      </c>
    </row>
    <row r="5015" ht="15.75" customHeight="1">
      <c r="A5015" s="1" t="s">
        <v>14787</v>
      </c>
      <c r="B5015" s="1">
        <v>7.0</v>
      </c>
      <c r="C5015" s="1" t="s">
        <v>14788</v>
      </c>
      <c r="D5015" s="1" t="s">
        <v>16</v>
      </c>
      <c r="E5015" s="1" t="s">
        <v>14789</v>
      </c>
      <c r="F5015" s="1" t="str">
        <f>IFERROR(__xludf.DUMMYFUNCTION("GOOGLETRANSLATE(A5015, ""zh-CN"", ""ko"")"),"팔괘")</f>
        <v>팔괘</v>
      </c>
    </row>
    <row r="5016" ht="15.75" customHeight="1">
      <c r="A5016" s="1" t="s">
        <v>14790</v>
      </c>
      <c r="B5016" s="1">
        <v>7.0</v>
      </c>
      <c r="C5016" s="1" t="s">
        <v>14791</v>
      </c>
      <c r="D5016" s="1" t="s">
        <v>16</v>
      </c>
      <c r="E5016" s="1" t="s">
        <v>14792</v>
      </c>
      <c r="F5016" s="1" t="str">
        <f>IFERROR(__xludf.DUMMYFUNCTION("GOOGLETRANSLATE(A5016, ""zh-CN"", ""ko"")"),"발레")</f>
        <v>발레</v>
      </c>
    </row>
    <row r="5017" ht="15.75" customHeight="1">
      <c r="A5017" s="1" t="s">
        <v>14793</v>
      </c>
      <c r="B5017" s="1">
        <v>7.0</v>
      </c>
      <c r="C5017" s="1" t="s">
        <v>14794</v>
      </c>
      <c r="D5017" s="1" t="s">
        <v>16</v>
      </c>
      <c r="E5017" s="1" t="s">
        <v>14795</v>
      </c>
      <c r="F5017" s="1" t="str">
        <f>IFERROR(__xludf.DUMMYFUNCTION("GOOGLETRANSLATE(A5017, ""zh-CN"", ""ko"")"),"손")</f>
        <v>손</v>
      </c>
    </row>
    <row r="5018" ht="15.75" customHeight="1">
      <c r="A5018" s="1" t="s">
        <v>14796</v>
      </c>
      <c r="B5018" s="1">
        <v>7.0</v>
      </c>
      <c r="C5018" s="1" t="s">
        <v>7419</v>
      </c>
      <c r="D5018" s="1" t="s">
        <v>8</v>
      </c>
      <c r="E5018" s="1" t="s">
        <v>14797</v>
      </c>
      <c r="F5018" s="1" t="str">
        <f>IFERROR(__xludf.DUMMYFUNCTION("GOOGLETRANSLATE(A5018, ""zh-CN"", ""ko"")"),"당기다")</f>
        <v>당기다</v>
      </c>
    </row>
    <row r="5019" ht="15.75" customHeight="1">
      <c r="A5019" s="1" t="s">
        <v>14798</v>
      </c>
      <c r="B5019" s="1">
        <v>7.0</v>
      </c>
      <c r="C5019" s="1" t="s">
        <v>14799</v>
      </c>
      <c r="D5019" s="1" t="s">
        <v>16</v>
      </c>
      <c r="E5019" s="1" t="s">
        <v>14800</v>
      </c>
      <c r="F5019" s="1" t="str">
        <f>IFERROR(__xludf.DUMMYFUNCTION("GOOGLETRANSLATE(A5019, ""zh-CN"", ""ko"")"),"핸들")</f>
        <v>핸들</v>
      </c>
    </row>
    <row r="5020" ht="15.75" customHeight="1">
      <c r="A5020" s="1" t="s">
        <v>14801</v>
      </c>
      <c r="B5020" s="1">
        <v>7.0</v>
      </c>
      <c r="C5020" s="1" t="s">
        <v>14802</v>
      </c>
      <c r="D5020" s="1" t="s">
        <v>16</v>
      </c>
      <c r="E5020" s="1" t="s">
        <v>14803</v>
      </c>
      <c r="F5020" s="1" t="str">
        <f>IFERROR(__xludf.DUMMYFUNCTION("GOOGLETRANSLATE(A5020, ""zh-CN"", ""ko"")"),"목표")</f>
        <v>목표</v>
      </c>
    </row>
    <row r="5021" ht="15.75" customHeight="1">
      <c r="A5021" s="1" t="s">
        <v>14804</v>
      </c>
      <c r="B5021" s="1">
        <v>7.0</v>
      </c>
      <c r="C5021" s="1" t="s">
        <v>14805</v>
      </c>
      <c r="D5021" s="1" t="s">
        <v>16</v>
      </c>
      <c r="E5021" s="1" t="s">
        <v>14806</v>
      </c>
      <c r="F5021" s="1" t="str">
        <f>IFERROR(__xludf.DUMMYFUNCTION("GOOGLETRANSLATE(A5021, ""zh-CN"", ""ko"")"),"댐")</f>
        <v>댐</v>
      </c>
    </row>
    <row r="5022" ht="15.75" customHeight="1">
      <c r="A5022" s="1" t="s">
        <v>14807</v>
      </c>
      <c r="B5022" s="1">
        <v>7.0</v>
      </c>
      <c r="C5022" s="1" t="s">
        <v>14808</v>
      </c>
      <c r="D5022" s="1" t="s">
        <v>56</v>
      </c>
      <c r="E5022" s="1" t="s">
        <v>14809</v>
      </c>
      <c r="F5022" s="1" t="str">
        <f>IFERROR(__xludf.DUMMYFUNCTION("GOOGLETRANSLATE(A5022, ""zh-CN"", ""ko"")"),"그게 다예요.")</f>
        <v>그게 다예요.</v>
      </c>
    </row>
    <row r="5023" ht="15.75" customHeight="1">
      <c r="A5023" s="1" t="s">
        <v>14810</v>
      </c>
      <c r="B5023" s="1">
        <v>7.0</v>
      </c>
      <c r="C5023" s="1" t="s">
        <v>14811</v>
      </c>
      <c r="D5023" s="1" t="s">
        <v>8</v>
      </c>
      <c r="E5023" s="1" t="s">
        <v>14812</v>
      </c>
      <c r="F5023" s="1" t="str">
        <f>IFERROR(__xludf.DUMMYFUNCTION("GOOGLETRANSLATE(A5023, ""zh-CN"", ""ko"")"),"상기하다")</f>
        <v>상기하다</v>
      </c>
    </row>
    <row r="5024" ht="15.75" customHeight="1">
      <c r="A5024" s="1" t="s">
        <v>14813</v>
      </c>
      <c r="B5024" s="1">
        <v>7.0</v>
      </c>
      <c r="C5024" s="1" t="s">
        <v>14814</v>
      </c>
      <c r="D5024" s="1" t="s">
        <v>8</v>
      </c>
      <c r="E5024" s="1" t="s">
        <v>14815</v>
      </c>
      <c r="F5024" s="1" t="str">
        <f>IFERROR(__xludf.DUMMYFUNCTION("GOOGLETRANSLATE(A5024, ""zh-CN"", ""ko"")"),"포기하다")</f>
        <v>포기하다</v>
      </c>
    </row>
    <row r="5025" ht="15.75" customHeight="1">
      <c r="A5025" s="1" t="s">
        <v>14816</v>
      </c>
      <c r="B5025" s="1">
        <v>7.0</v>
      </c>
      <c r="C5025" s="1" t="s">
        <v>14817</v>
      </c>
      <c r="D5025" s="1" t="s">
        <v>8</v>
      </c>
      <c r="E5025" s="1" t="s">
        <v>14818</v>
      </c>
      <c r="F5025" s="1" t="str">
        <f>IFERROR(__xludf.DUMMYFUNCTION("GOOGLETRANSLATE(A5025, ""zh-CN"", ""ko"")"),"지배")</f>
        <v>지배</v>
      </c>
    </row>
    <row r="5026" ht="15.75" customHeight="1">
      <c r="A5026" s="1" t="s">
        <v>14819</v>
      </c>
      <c r="B5026" s="1">
        <v>7.0</v>
      </c>
      <c r="C5026" s="1" t="s">
        <v>14820</v>
      </c>
      <c r="D5026" s="1" t="s">
        <v>14821</v>
      </c>
      <c r="E5026" s="1" t="s">
        <v>14822</v>
      </c>
      <c r="F5026" s="1" t="str">
        <f>IFERROR(__xludf.DUMMYFUNCTION("GOOGLETRANSLATE(A5026, ""zh-CN"", ""ko"")"),"가능한 모든 방법으로")</f>
        <v>가능한 모든 방법으로</v>
      </c>
    </row>
    <row r="5027" ht="15.75" customHeight="1">
      <c r="A5027" s="1" t="s">
        <v>14823</v>
      </c>
      <c r="B5027" s="1">
        <v>7.0</v>
      </c>
      <c r="C5027" s="1" t="s">
        <v>14824</v>
      </c>
      <c r="D5027" s="1" t="s">
        <v>8</v>
      </c>
      <c r="E5027" s="1" t="s">
        <v>14825</v>
      </c>
      <c r="F5027" s="1" t="str">
        <f>IFERROR(__xludf.DUMMYFUNCTION("GOOGLETRANSLATE(A5027, ""zh-CN"", ""ko"")"),"그네")</f>
        <v>그네</v>
      </c>
    </row>
    <row r="5028" ht="15.75" customHeight="1">
      <c r="A5028" s="1" t="s">
        <v>14826</v>
      </c>
      <c r="B5028" s="1">
        <v>7.0</v>
      </c>
      <c r="C5028" s="1" t="s">
        <v>14827</v>
      </c>
      <c r="D5028" s="1" t="s">
        <v>16</v>
      </c>
      <c r="E5028" s="1" t="s">
        <v>14828</v>
      </c>
      <c r="F5028" s="1" t="str">
        <f>IFERROR(__xludf.DUMMYFUNCTION("GOOGLETRANSLATE(A5028, ""zh-CN"", ""ko"")"),"백분율")</f>
        <v>백분율</v>
      </c>
    </row>
    <row r="5029" ht="15.75" customHeight="1">
      <c r="A5029" s="1" t="s">
        <v>14829</v>
      </c>
      <c r="B5029" s="1">
        <v>7.0</v>
      </c>
      <c r="C5029" s="1" t="s">
        <v>14830</v>
      </c>
      <c r="D5029" s="1" t="s">
        <v>16</v>
      </c>
      <c r="E5029" s="1" t="s">
        <v>14831</v>
      </c>
      <c r="F5029" s="1" t="str">
        <f>IFERROR(__xludf.DUMMYFUNCTION("GOOGLETRANSLATE(A5029, ""zh-CN"", ""ko"")"),"백합")</f>
        <v>백합</v>
      </c>
    </row>
    <row r="5030" ht="15.75" customHeight="1">
      <c r="A5030" s="1" t="s">
        <v>14832</v>
      </c>
      <c r="B5030" s="1">
        <v>7.0</v>
      </c>
      <c r="C5030" s="1" t="s">
        <v>14833</v>
      </c>
      <c r="E5030" s="1" t="s">
        <v>14834</v>
      </c>
      <c r="F5030" s="1" t="str">
        <f>IFERROR(__xludf.DUMMYFUNCTION("GOOGLETRANSLATE(A5030, ""zh-CN"", ""ko"")"),"백과 사전")</f>
        <v>백과 사전</v>
      </c>
    </row>
    <row r="5031" ht="15.75" customHeight="1">
      <c r="A5031" s="1" t="s">
        <v>14835</v>
      </c>
      <c r="B5031" s="1">
        <v>7.0</v>
      </c>
      <c r="C5031" s="1" t="s">
        <v>14836</v>
      </c>
      <c r="E5031" s="1" t="s">
        <v>14837</v>
      </c>
      <c r="F5031" s="1" t="str">
        <f>IFERROR(__xludf.DUMMYFUNCTION("GOOGLETRANSLATE(A5031, ""zh-CN"", ""ko"")"),"해결하다")</f>
        <v>해결하다</v>
      </c>
    </row>
    <row r="5032" ht="15.75" customHeight="1">
      <c r="A5032" s="1" t="s">
        <v>14838</v>
      </c>
      <c r="B5032" s="1">
        <v>7.0</v>
      </c>
      <c r="C5032" s="1" t="s">
        <v>14839</v>
      </c>
      <c r="D5032" s="1" t="s">
        <v>16</v>
      </c>
      <c r="E5032" s="1" t="s">
        <v>14840</v>
      </c>
      <c r="F5032" s="1" t="str">
        <f>IFERROR(__xludf.DUMMYFUNCTION("GOOGLETRANSLATE(A5032, ""zh-CN"", ""ko"")"),"장식물")</f>
        <v>장식물</v>
      </c>
    </row>
    <row r="5033" ht="15.75" customHeight="1">
      <c r="A5033" s="1" t="s">
        <v>14841</v>
      </c>
      <c r="B5033" s="1">
        <v>7.0</v>
      </c>
      <c r="C5033" s="1" t="s">
        <v>14842</v>
      </c>
      <c r="D5033" s="1" t="s">
        <v>16</v>
      </c>
      <c r="E5033" s="1" t="s">
        <v>14843</v>
      </c>
      <c r="F5033" s="1" t="str">
        <f>IFERROR(__xludf.DUMMYFUNCTION("GOOGLETRANSLATE(A5033, ""zh-CN"", ""ko"")"),"사이프러스")</f>
        <v>사이프러스</v>
      </c>
    </row>
    <row r="5034" ht="15.75" customHeight="1">
      <c r="A5034" s="1" t="s">
        <v>14844</v>
      </c>
      <c r="B5034" s="1">
        <v>7.0</v>
      </c>
      <c r="C5034" s="1" t="s">
        <v>14845</v>
      </c>
      <c r="D5034" s="1" t="s">
        <v>8</v>
      </c>
      <c r="E5034" s="1" t="s">
        <v>14846</v>
      </c>
      <c r="F5034" s="1" t="str">
        <f>IFERROR(__xludf.DUMMYFUNCTION("GOOGLETRANSLATE(A5034, ""zh-CN"", ""ko"")"),"부르다")</f>
        <v>부르다</v>
      </c>
    </row>
    <row r="5035" ht="15.75" customHeight="1">
      <c r="A5035" s="1" t="s">
        <v>14847</v>
      </c>
      <c r="B5035" s="1">
        <v>7.0</v>
      </c>
      <c r="C5035" s="1" t="s">
        <v>14848</v>
      </c>
      <c r="D5035" s="1" t="s">
        <v>8</v>
      </c>
      <c r="E5035" s="1" t="s">
        <v>14846</v>
      </c>
      <c r="F5035" s="1" t="str">
        <f>IFERROR(__xludf.DUMMYFUNCTION("GOOGLETRANSLATE(A5035, ""zh-CN"", ""ko"")"),"존경을 표하며")</f>
        <v>존경을 표하며</v>
      </c>
    </row>
    <row r="5036" ht="15.75" customHeight="1">
      <c r="A5036" s="1" t="s">
        <v>14849</v>
      </c>
      <c r="B5036" s="1">
        <v>7.0</v>
      </c>
      <c r="C5036" s="1" t="s">
        <v>934</v>
      </c>
      <c r="D5036" s="1" t="s">
        <v>8</v>
      </c>
      <c r="E5036" s="1" t="s">
        <v>14850</v>
      </c>
      <c r="F5036" s="1" t="str">
        <f>IFERROR(__xludf.DUMMYFUNCTION("GOOGLETRANSLATE(A5036, ""zh-CN"", ""ko"")"),"당기다")</f>
        <v>당기다</v>
      </c>
    </row>
    <row r="5037" ht="15.75" customHeight="1">
      <c r="A5037" s="1" t="s">
        <v>14851</v>
      </c>
      <c r="B5037" s="1">
        <v>7.0</v>
      </c>
      <c r="C5037" s="1" t="s">
        <v>14852</v>
      </c>
      <c r="D5037" s="1" t="s">
        <v>16</v>
      </c>
      <c r="E5037" s="1" t="s">
        <v>14853</v>
      </c>
      <c r="F5037" s="1" t="str">
        <f>IFERROR(__xludf.DUMMYFUNCTION("GOOGLETRANSLATE(A5037, ""zh-CN"", ""ko"")"),"점")</f>
        <v>점</v>
      </c>
    </row>
    <row r="5038" ht="15.75" customHeight="1">
      <c r="A5038" s="1" t="s">
        <v>14854</v>
      </c>
      <c r="B5038" s="1">
        <v>7.0</v>
      </c>
      <c r="C5038" s="1" t="s">
        <v>14855</v>
      </c>
      <c r="D5038" s="1" t="s">
        <v>8</v>
      </c>
      <c r="E5038" s="1" t="s">
        <v>14856</v>
      </c>
      <c r="F5038" s="1" t="str">
        <f>IFERROR(__xludf.DUMMYFUNCTION("GOOGLETRANSLATE(A5038, ""zh-CN"", ""ko"")"),"수상")</f>
        <v>수상</v>
      </c>
    </row>
    <row r="5039" ht="15.75" customHeight="1">
      <c r="A5039" s="1" t="s">
        <v>14857</v>
      </c>
      <c r="B5039" s="1">
        <v>7.0</v>
      </c>
      <c r="C5039" s="1" t="s">
        <v>14858</v>
      </c>
      <c r="D5039" s="1" t="s">
        <v>16</v>
      </c>
      <c r="E5039" s="1" t="s">
        <v>14859</v>
      </c>
      <c r="F5039" s="1" t="str">
        <f>IFERROR(__xludf.DUMMYFUNCTION("GOOGLETRANSLATE(A5039, ""zh-CN"", ""ko"")"),"횡단보도")</f>
        <v>횡단보도</v>
      </c>
    </row>
    <row r="5040" ht="15.75" customHeight="1">
      <c r="A5040" s="1" t="s">
        <v>14860</v>
      </c>
      <c r="B5040" s="1">
        <v>7.0</v>
      </c>
      <c r="C5040" s="1" t="s">
        <v>14861</v>
      </c>
      <c r="D5040" s="1" t="s">
        <v>8</v>
      </c>
      <c r="E5040" s="1" t="s">
        <v>14862</v>
      </c>
      <c r="F5040" s="1" t="str">
        <f>IFERROR(__xludf.DUMMYFUNCTION("GOOGLETRANSLATE(A5040, ""zh-CN"", ""ko"")"),"이동하다")</f>
        <v>이동하다</v>
      </c>
    </row>
    <row r="5041" ht="15.75" customHeight="1">
      <c r="A5041" s="1" t="s">
        <v>14863</v>
      </c>
      <c r="B5041" s="1">
        <v>7.0</v>
      </c>
      <c r="C5041" s="1" t="s">
        <v>14864</v>
      </c>
      <c r="D5041" s="1" t="s">
        <v>16</v>
      </c>
      <c r="E5041" s="1" t="s">
        <v>14865</v>
      </c>
      <c r="F5041" s="1" t="str">
        <f>IFERROR(__xludf.DUMMYFUNCTION("GOOGLETRANSLATE(A5041, ""zh-CN"", ""ko"")"),"부문")</f>
        <v>부문</v>
      </c>
    </row>
    <row r="5042" ht="15.75" customHeight="1">
      <c r="A5042" s="1" t="s">
        <v>14866</v>
      </c>
      <c r="B5042" s="1">
        <v>7.0</v>
      </c>
      <c r="C5042" s="1" t="s">
        <v>14867</v>
      </c>
      <c r="D5042" s="1" t="s">
        <v>16</v>
      </c>
      <c r="E5042" s="1" t="s">
        <v>14868</v>
      </c>
      <c r="F5042" s="1" t="str">
        <f>IFERROR(__xludf.DUMMYFUNCTION("GOOGLETRANSLATE(A5042, ""zh-CN"", ""ko"")"),"저작권")</f>
        <v>저작권</v>
      </c>
    </row>
    <row r="5043" ht="15.75" customHeight="1">
      <c r="A5043" s="1" t="s">
        <v>14869</v>
      </c>
      <c r="B5043" s="1">
        <v>7.0</v>
      </c>
      <c r="C5043" s="1" t="s">
        <v>939</v>
      </c>
      <c r="D5043" s="1" t="s">
        <v>14870</v>
      </c>
      <c r="E5043" s="1" t="s">
        <v>14871</v>
      </c>
      <c r="F5043" s="1" t="str">
        <f>IFERROR(__xludf.DUMMYFUNCTION("GOOGLETRANSLATE(A5043, ""zh-CN"", ""ko"")"),"동반")</f>
        <v>동반</v>
      </c>
    </row>
    <row r="5044" ht="15.75" customHeight="1">
      <c r="A5044" s="1" t="s">
        <v>14872</v>
      </c>
      <c r="B5044" s="1">
        <v>7.0</v>
      </c>
      <c r="C5044" s="1" t="s">
        <v>939</v>
      </c>
      <c r="D5044" s="1" t="s">
        <v>8</v>
      </c>
      <c r="E5044" s="1" t="s">
        <v>14873</v>
      </c>
      <c r="F5044" s="1" t="str">
        <f>IFERROR(__xludf.DUMMYFUNCTION("GOOGLETRANSLATE(A5044, ""zh-CN"", ""ko"")"),"옷을 입으세요")</f>
        <v>옷을 입으세요</v>
      </c>
    </row>
    <row r="5045" ht="15.75" customHeight="1">
      <c r="A5045" s="1" t="s">
        <v>14874</v>
      </c>
      <c r="B5045" s="1">
        <v>7.0</v>
      </c>
      <c r="C5045" s="1" t="s">
        <v>939</v>
      </c>
      <c r="D5045" s="1" t="s">
        <v>8</v>
      </c>
      <c r="E5045" s="1" t="s">
        <v>14875</v>
      </c>
      <c r="F5045" s="1" t="str">
        <f>IFERROR(__xludf.DUMMYFUNCTION("GOOGLETRANSLATE(A5045, ""zh-CN"", ""ko"")"),"혼합")</f>
        <v>혼합</v>
      </c>
    </row>
    <row r="5046" ht="15.75" customHeight="1">
      <c r="A5046" s="1" t="s">
        <v>14876</v>
      </c>
      <c r="B5046" s="1">
        <v>7.0</v>
      </c>
      <c r="C5046" s="1" t="s">
        <v>939</v>
      </c>
      <c r="D5046" s="1" t="s">
        <v>8</v>
      </c>
      <c r="E5046" s="1" t="s">
        <v>14877</v>
      </c>
      <c r="F5046" s="1" t="str">
        <f>IFERROR(__xludf.DUMMYFUNCTION("GOOGLETRANSLATE(A5046, ""zh-CN"", ""ko"")"),"여행")</f>
        <v>여행</v>
      </c>
    </row>
    <row r="5047" ht="15.75" customHeight="1">
      <c r="A5047" s="1" t="s">
        <v>14878</v>
      </c>
      <c r="B5047" s="1">
        <v>7.0</v>
      </c>
      <c r="C5047" s="1" t="s">
        <v>14879</v>
      </c>
      <c r="D5047" s="1" t="s">
        <v>16</v>
      </c>
      <c r="E5047" s="1" t="s">
        <v>14880</v>
      </c>
      <c r="F5047" s="1" t="str">
        <f>IFERROR(__xludf.DUMMYFUNCTION("GOOGLETRANSLATE(A5047, ""zh-CN"", ""ko"")"),"하늘의 절반")</f>
        <v>하늘의 절반</v>
      </c>
    </row>
    <row r="5048" ht="15.75" customHeight="1">
      <c r="A5048" s="1" t="s">
        <v>14881</v>
      </c>
      <c r="B5048" s="1">
        <v>7.0</v>
      </c>
      <c r="C5048" s="1" t="s">
        <v>14882</v>
      </c>
      <c r="D5048" s="1" t="s">
        <v>16</v>
      </c>
      <c r="E5048" s="1" t="s">
        <v>14883</v>
      </c>
      <c r="F5048" s="1" t="str">
        <f>IFERROR(__xludf.DUMMYFUNCTION("GOOGLETRANSLATE(A5048, ""zh-CN"", ""ko"")"),"반도")</f>
        <v>반도</v>
      </c>
    </row>
    <row r="5049" ht="15.75" customHeight="1">
      <c r="A5049" s="1" t="s">
        <v>14884</v>
      </c>
      <c r="B5049" s="1">
        <v>7.0</v>
      </c>
      <c r="C5049" s="1" t="s">
        <v>14885</v>
      </c>
      <c r="D5049" s="1" t="s">
        <v>16</v>
      </c>
      <c r="E5049" s="1" t="s">
        <v>14886</v>
      </c>
      <c r="F5049" s="1" t="str">
        <f>IFERROR(__xludf.DUMMYFUNCTION("GOOGLETRANSLATE(A5049, ""zh-CN"", ""ko"")"),"반도체")</f>
        <v>반도체</v>
      </c>
    </row>
    <row r="5050" ht="15.75" customHeight="1">
      <c r="A5050" s="1" t="s">
        <v>14887</v>
      </c>
      <c r="B5050" s="1">
        <v>7.0</v>
      </c>
      <c r="C5050" s="1" t="s">
        <v>14888</v>
      </c>
      <c r="D5050" s="1" t="s">
        <v>16</v>
      </c>
      <c r="E5050" s="1" t="s">
        <v>14889</v>
      </c>
      <c r="F5050" s="1" t="str">
        <f>IFERROR(__xludf.DUMMYFUNCTION("GOOGLETRANSLATE(A5050, ""zh-CN"", ""ko"")"),"장애물")</f>
        <v>장애물</v>
      </c>
    </row>
    <row r="5051" ht="15.75" customHeight="1">
      <c r="A5051" s="1" t="s">
        <v>14890</v>
      </c>
      <c r="B5051" s="1">
        <v>7.0</v>
      </c>
      <c r="C5051" s="1" t="s">
        <v>14891</v>
      </c>
      <c r="D5051" s="1" t="s">
        <v>16</v>
      </c>
      <c r="E5051" s="1" t="s">
        <v>14892</v>
      </c>
      <c r="F5051" s="1" t="str">
        <f>IFERROR(__xludf.DUMMYFUNCTION("GOOGLETRANSLATE(A5051, ""zh-CN"", ""ko"")"),"반지름")</f>
        <v>반지름</v>
      </c>
    </row>
    <row r="5052" ht="15.75" customHeight="1">
      <c r="A5052" s="1" t="s">
        <v>14893</v>
      </c>
      <c r="B5052" s="1">
        <v>7.0</v>
      </c>
      <c r="C5052" s="1" t="s">
        <v>14894</v>
      </c>
      <c r="D5052" s="1" t="s">
        <v>16</v>
      </c>
      <c r="E5052" s="1" t="s">
        <v>14895</v>
      </c>
      <c r="F5052" s="1" t="str">
        <f>IFERROR(__xludf.DUMMYFUNCTION("GOOGLETRANSLATE(A5052, ""zh-CN"", ""ko"")"),"사무실")</f>
        <v>사무실</v>
      </c>
    </row>
    <row r="5053" ht="15.75" customHeight="1">
      <c r="A5053" s="1" t="s">
        <v>14896</v>
      </c>
      <c r="B5053" s="1">
        <v>7.0</v>
      </c>
      <c r="C5053" s="1" t="s">
        <v>14897</v>
      </c>
      <c r="D5053" s="1" t="s">
        <v>16</v>
      </c>
      <c r="E5053" s="1" t="s">
        <v>14898</v>
      </c>
      <c r="F5053" s="1" t="str">
        <f>IFERROR(__xludf.DUMMYFUNCTION("GOOGLETRANSLATE(A5053, ""zh-CN"", ""ko"")"),"반")</f>
        <v>반</v>
      </c>
    </row>
    <row r="5054" ht="15.75" customHeight="1">
      <c r="A5054" s="1" t="s">
        <v>14899</v>
      </c>
      <c r="B5054" s="1">
        <v>7.0</v>
      </c>
      <c r="C5054" s="1" t="s">
        <v>14900</v>
      </c>
      <c r="E5054" s="1" t="s">
        <v>14901</v>
      </c>
      <c r="F5054" s="1" t="str">
        <f>IFERROR(__xludf.DUMMYFUNCTION("GOOGLETRANSLATE(A5054, ""zh-CN"", ""ko"")"),"못 미더운")</f>
        <v>못 미더운</v>
      </c>
    </row>
    <row r="5055" ht="15.75" customHeight="1">
      <c r="A5055" s="1" t="s">
        <v>14902</v>
      </c>
      <c r="B5055" s="1">
        <v>7.0</v>
      </c>
      <c r="C5055" s="1" t="s">
        <v>14903</v>
      </c>
      <c r="D5055" s="1" t="s">
        <v>8</v>
      </c>
      <c r="E5055" s="1" t="s">
        <v>14904</v>
      </c>
      <c r="F5055" s="1" t="str">
        <f>IFERROR(__xludf.DUMMYFUNCTION("GOOGLETRANSLATE(A5055, ""zh-CN"", ""ko"")"),"학교 운영")</f>
        <v>학교 운영</v>
      </c>
    </row>
    <row r="5056" ht="15.75" customHeight="1">
      <c r="A5056" s="1" t="s">
        <v>14905</v>
      </c>
      <c r="B5056" s="1">
        <v>7.0</v>
      </c>
      <c r="C5056" s="1" t="s">
        <v>14906</v>
      </c>
      <c r="D5056" s="1" t="s">
        <v>8</v>
      </c>
      <c r="E5056" s="1" t="s">
        <v>14907</v>
      </c>
      <c r="F5056" s="1" t="str">
        <f>IFERROR(__xludf.DUMMYFUNCTION("GOOGLETRANSLATE(A5056, ""zh-CN"", ""ko"")"),"반주")</f>
        <v>반주</v>
      </c>
    </row>
    <row r="5057" ht="15.75" customHeight="1">
      <c r="A5057" s="1" t="s">
        <v>14908</v>
      </c>
      <c r="B5057" s="1">
        <v>7.0</v>
      </c>
      <c r="C5057" s="1" t="s">
        <v>14909</v>
      </c>
      <c r="D5057" s="1" t="s">
        <v>16</v>
      </c>
      <c r="E5057" s="1" t="s">
        <v>14910</v>
      </c>
      <c r="F5057" s="1" t="str">
        <f>IFERROR(__xludf.DUMMYFUNCTION("GOOGLETRANSLATE(A5057, ""zh-CN"", ""ko"")"),"돕는 사람")</f>
        <v>돕는 사람</v>
      </c>
    </row>
    <row r="5058" ht="15.75" customHeight="1">
      <c r="A5058" s="1" t="s">
        <v>14911</v>
      </c>
      <c r="B5058" s="1">
        <v>7.0</v>
      </c>
      <c r="C5058" s="1" t="s">
        <v>14912</v>
      </c>
      <c r="D5058" s="1" t="s">
        <v>8</v>
      </c>
      <c r="E5058" s="1" t="s">
        <v>14913</v>
      </c>
      <c r="F5058" s="1" t="str">
        <f>IFERROR(__xludf.DUMMYFUNCTION("GOOGLETRANSLATE(A5058, ""zh-CN"", ""ko"")"),"묶다")</f>
        <v>묶다</v>
      </c>
    </row>
    <row r="5059" ht="15.75" customHeight="1">
      <c r="A5059" s="1" t="s">
        <v>14914</v>
      </c>
      <c r="B5059" s="1">
        <v>7.0</v>
      </c>
      <c r="C5059" s="1" t="s">
        <v>951</v>
      </c>
      <c r="D5059" s="1" t="s">
        <v>8</v>
      </c>
      <c r="E5059" s="1" t="s">
        <v>14915</v>
      </c>
      <c r="F5059" s="1" t="str">
        <f>IFERROR(__xludf.DUMMYFUNCTION("GOOGLETRANSLATE(A5059, ""zh-CN"", ""ko"")"),"벗기다")</f>
        <v>벗기다</v>
      </c>
    </row>
    <row r="5060" ht="15.75" customHeight="1">
      <c r="A5060" s="1" t="s">
        <v>14916</v>
      </c>
      <c r="B5060" s="1">
        <v>7.0</v>
      </c>
      <c r="C5060" s="1" t="s">
        <v>951</v>
      </c>
      <c r="D5060" s="1" t="s">
        <v>14917</v>
      </c>
      <c r="E5060" s="1" t="s">
        <v>14918</v>
      </c>
      <c r="F5060" s="1" t="str">
        <f>IFERROR(__xludf.DUMMYFUNCTION("GOOGLETRANSLATE(A5060, ""zh-CN"", ""ko"")"),"냄비")</f>
        <v>냄비</v>
      </c>
    </row>
    <row r="5061" ht="15.75" customHeight="1">
      <c r="A5061" s="1" t="s">
        <v>14919</v>
      </c>
      <c r="B5061" s="1">
        <v>7.0</v>
      </c>
      <c r="C5061" s="1" t="s">
        <v>14920</v>
      </c>
      <c r="D5061" s="1" t="s">
        <v>8</v>
      </c>
      <c r="E5061" s="1" t="s">
        <v>14921</v>
      </c>
      <c r="F5061" s="1" t="str">
        <f>IFERROR(__xludf.DUMMYFUNCTION("GOOGLETRANSLATE(A5061, ""zh-CN"", ""ko"")"),"평가하다")</f>
        <v>평가하다</v>
      </c>
    </row>
    <row r="5062" ht="15.75" customHeight="1">
      <c r="A5062" s="1" t="s">
        <v>14922</v>
      </c>
      <c r="B5062" s="1">
        <v>7.0</v>
      </c>
      <c r="C5062" s="1" t="s">
        <v>14923</v>
      </c>
      <c r="E5062" s="1" t="s">
        <v>14924</v>
      </c>
      <c r="F5062" s="1" t="str">
        <f>IFERROR(__xludf.DUMMYFUNCTION("GOOGLETRANSLATE(A5062, ""zh-CN"", ""ko"")"),"모든 것을 포괄하는")</f>
        <v>모든 것을 포괄하는</v>
      </c>
    </row>
    <row r="5063" ht="15.75" customHeight="1">
      <c r="A5063" s="1" t="s">
        <v>14925</v>
      </c>
      <c r="B5063" s="1">
        <v>7.0</v>
      </c>
      <c r="C5063" s="1" t="s">
        <v>14926</v>
      </c>
      <c r="D5063" s="1" t="s">
        <v>8</v>
      </c>
      <c r="E5063" s="1" t="s">
        <v>14927</v>
      </c>
      <c r="F5063" s="1" t="str">
        <f>IFERROR(__xludf.DUMMYFUNCTION("GOOGLETRANSLATE(A5063, ""zh-CN"", ""ko"")"),"참다")</f>
        <v>참다</v>
      </c>
    </row>
    <row r="5064" ht="15.75" customHeight="1">
      <c r="A5064" s="1" t="s">
        <v>14928</v>
      </c>
      <c r="B5064" s="1">
        <v>7.0</v>
      </c>
      <c r="C5064" s="1" t="s">
        <v>14929</v>
      </c>
      <c r="D5064" s="1" t="s">
        <v>8</v>
      </c>
      <c r="E5064" s="1" t="s">
        <v>14930</v>
      </c>
      <c r="F5064" s="1" t="str">
        <f>IFERROR(__xludf.DUMMYFUNCTION("GOOGLETRANSLATE(A5064, ""zh-CN"", ""ko"")"),"붕대 감기")</f>
        <v>붕대 감기</v>
      </c>
    </row>
    <row r="5065" ht="15.75" customHeight="1">
      <c r="A5065" s="1" t="s">
        <v>14931</v>
      </c>
      <c r="B5065" s="1">
        <v>7.0</v>
      </c>
      <c r="C5065" s="1" t="s">
        <v>14932</v>
      </c>
      <c r="D5065" s="1" t="s">
        <v>16</v>
      </c>
      <c r="E5065" s="1" t="s">
        <v>14933</v>
      </c>
      <c r="F5065" s="1" t="str">
        <f>IFERROR(__xludf.DUMMYFUNCTION("GOOGLETRANSLATE(A5065, ""zh-CN"", ""ko"")"),"보물창고")</f>
        <v>보물창고</v>
      </c>
    </row>
    <row r="5066" ht="15.75" customHeight="1">
      <c r="A5066" s="1" t="s">
        <v>14934</v>
      </c>
      <c r="B5066" s="1">
        <v>7.0</v>
      </c>
      <c r="C5066" s="1" t="s">
        <v>14935</v>
      </c>
      <c r="D5066" s="1" t="s">
        <v>16</v>
      </c>
      <c r="E5066" s="1" t="s">
        <v>14936</v>
      </c>
      <c r="F5066" s="1" t="str">
        <f>IFERROR(__xludf.DUMMYFUNCTION("GOOGLETRANSLATE(A5066, ""zh-CN"", ""ko"")"),"요새")</f>
        <v>요새</v>
      </c>
    </row>
    <row r="5067" ht="15.75" customHeight="1">
      <c r="A5067" s="1" t="s">
        <v>14937</v>
      </c>
      <c r="B5067" s="1">
        <v>7.0</v>
      </c>
      <c r="C5067" s="1" t="s">
        <v>14938</v>
      </c>
      <c r="D5067" s="1" t="s">
        <v>52</v>
      </c>
      <c r="E5067" s="1" t="s">
        <v>14939</v>
      </c>
      <c r="F5067" s="1" t="str">
        <f>IFERROR(__xludf.DUMMYFUNCTION("GOOGLETRANSLATE(A5067, ""zh-CN"", ""ko"")"),"가득한")</f>
        <v>가득한</v>
      </c>
    </row>
    <row r="5068" ht="15.75" customHeight="1">
      <c r="A5068" s="1" t="s">
        <v>14940</v>
      </c>
      <c r="B5068" s="1">
        <v>7.0</v>
      </c>
      <c r="C5068" s="1" t="s">
        <v>14941</v>
      </c>
      <c r="D5068" s="1" t="s">
        <v>16</v>
      </c>
      <c r="E5068" s="1" t="s">
        <v>14942</v>
      </c>
      <c r="F5068" s="1" t="str">
        <f>IFERROR(__xludf.DUMMYFUNCTION("GOOGLETRANSLATE(A5068, ""zh-CN"", ""ko"")"),"보석")</f>
        <v>보석</v>
      </c>
    </row>
    <row r="5069" ht="15.75" customHeight="1">
      <c r="A5069" s="1" t="s">
        <v>14943</v>
      </c>
      <c r="B5069" s="1">
        <v>7.0</v>
      </c>
      <c r="C5069" s="1" t="s">
        <v>14944</v>
      </c>
      <c r="D5069" s="1" t="s">
        <v>8</v>
      </c>
      <c r="E5069" s="1" t="s">
        <v>14945</v>
      </c>
      <c r="F5069" s="1" t="str">
        <f>IFERROR(__xludf.DUMMYFUNCTION("GOOGLETRANSLATE(A5069, ""zh-CN"", ""ko"")"),"보존")</f>
        <v>보존</v>
      </c>
    </row>
    <row r="5070" ht="15.75" customHeight="1">
      <c r="A5070" s="1" t="s">
        <v>14946</v>
      </c>
      <c r="B5070" s="1">
        <v>7.0</v>
      </c>
      <c r="C5070" s="1" t="s">
        <v>14947</v>
      </c>
      <c r="D5070" s="1" t="s">
        <v>8</v>
      </c>
      <c r="E5070" s="1" t="s">
        <v>14948</v>
      </c>
      <c r="F5070" s="1" t="str">
        <f>IFERROR(__xludf.DUMMYFUNCTION("GOOGLETRANSLATE(A5070, ""zh-CN"", ""ko"")"),"신을 하다")</f>
        <v>신을 하다</v>
      </c>
    </row>
    <row r="5071" ht="15.75" customHeight="1">
      <c r="A5071" s="1" t="s">
        <v>14949</v>
      </c>
      <c r="B5071" s="1">
        <v>7.0</v>
      </c>
      <c r="C5071" s="1" t="s">
        <v>14950</v>
      </c>
      <c r="D5071" s="1" t="s">
        <v>16</v>
      </c>
      <c r="E5071" s="1" t="s">
        <v>14951</v>
      </c>
      <c r="F5071" s="1" t="str">
        <f>IFERROR(__xludf.DUMMYFUNCTION("GOOGLETRANSLATE(A5071, ""zh-CN"", ""ko"")"),"보물")</f>
        <v>보물</v>
      </c>
    </row>
    <row r="5072" ht="15.75" customHeight="1">
      <c r="A5072" s="1" t="s">
        <v>14952</v>
      </c>
      <c r="B5072" s="1">
        <v>7.0</v>
      </c>
      <c r="C5072" s="1" t="s">
        <v>1815</v>
      </c>
      <c r="D5072" s="1" t="s">
        <v>16</v>
      </c>
      <c r="E5072" s="1" t="s">
        <v>14953</v>
      </c>
      <c r="F5072" s="1" t="str">
        <f>IFERROR(__xludf.DUMMYFUNCTION("GOOGLETRANSLATE(A5072, ""zh-CN"", ""ko"")"),"표범")</f>
        <v>표범</v>
      </c>
    </row>
    <row r="5073" ht="15.75" customHeight="1">
      <c r="A5073" s="1" t="s">
        <v>14954</v>
      </c>
      <c r="B5073" s="1">
        <v>7.0</v>
      </c>
      <c r="C5073" s="1" t="s">
        <v>1815</v>
      </c>
      <c r="D5073" s="1" t="s">
        <v>8</v>
      </c>
      <c r="E5073" s="1" t="s">
        <v>14955</v>
      </c>
      <c r="F5073" s="1" t="str">
        <f>IFERROR(__xludf.DUMMYFUNCTION("GOOGLETRANSLATE(A5073, ""zh-CN"", ""ko"")"),"보고서")</f>
        <v>보고서</v>
      </c>
    </row>
    <row r="5074" ht="15.75" customHeight="1">
      <c r="A5074" s="1" t="s">
        <v>14956</v>
      </c>
      <c r="B5074" s="1">
        <v>7.0</v>
      </c>
      <c r="C5074" s="1" t="s">
        <v>14957</v>
      </c>
      <c r="D5074" s="1" t="s">
        <v>8</v>
      </c>
      <c r="E5074" s="1" t="s">
        <v>14958</v>
      </c>
      <c r="F5074" s="1" t="str">
        <f>IFERROR(__xludf.DUMMYFUNCTION("GOOGLETRANSLATE(A5074, ""zh-CN"", ""ko"")"),"범죄를 신고하세요")</f>
        <v>범죄를 신고하세요</v>
      </c>
    </row>
    <row r="5075" ht="15.75" customHeight="1">
      <c r="A5075" s="1" t="s">
        <v>14959</v>
      </c>
      <c r="B5075" s="1">
        <v>7.0</v>
      </c>
      <c r="C5075" s="1" t="s">
        <v>14960</v>
      </c>
      <c r="D5075" s="1" t="s">
        <v>8</v>
      </c>
      <c r="E5075" s="1" t="s">
        <v>14961</v>
      </c>
      <c r="F5075" s="1" t="str">
        <f>IFERROR(__xludf.DUMMYFUNCTION("GOOGLETRANSLATE(A5075, ""zh-CN"", ""ko"")"),"폐기됨")</f>
        <v>폐기됨</v>
      </c>
    </row>
    <row r="5076" ht="15.75" customHeight="1">
      <c r="A5076" s="1" t="s">
        <v>14962</v>
      </c>
      <c r="B5076" s="1">
        <v>7.0</v>
      </c>
      <c r="C5076" s="1" t="s">
        <v>14963</v>
      </c>
      <c r="E5076" s="1" t="s">
        <v>14964</v>
      </c>
      <c r="F5076" s="1" t="str">
        <f>IFERROR(__xludf.DUMMYFUNCTION("GOOGLETRANSLATE(A5076, ""zh-CN"", ""ko"")"),"허리케인")</f>
        <v>허리케인</v>
      </c>
    </row>
    <row r="5077" ht="15.75" customHeight="1">
      <c r="A5077" s="1" t="s">
        <v>14965</v>
      </c>
      <c r="B5077" s="1">
        <v>7.0</v>
      </c>
      <c r="C5077" s="1" t="s">
        <v>7551</v>
      </c>
      <c r="D5077" s="1" t="s">
        <v>16</v>
      </c>
      <c r="E5077" s="1" t="s">
        <v>14966</v>
      </c>
      <c r="F5077" s="1" t="str">
        <f>IFERROR(__xludf.DUMMYFUNCTION("GOOGLETRANSLATE(A5077, ""zh-CN"", ""ko"")"),"과도한 이익")</f>
        <v>과도한 이익</v>
      </c>
    </row>
    <row r="5078" ht="15.75" customHeight="1">
      <c r="A5078" s="1" t="s">
        <v>14967</v>
      </c>
      <c r="B5078" s="1">
        <v>7.0</v>
      </c>
      <c r="C5078" s="1" t="s">
        <v>14968</v>
      </c>
      <c r="D5078" s="1" t="s">
        <v>8</v>
      </c>
      <c r="E5078" s="1" t="s">
        <v>14969</v>
      </c>
      <c r="F5078" s="1" t="str">
        <f>IFERROR(__xludf.DUMMYFUNCTION("GOOGLETRANSLATE(A5078, ""zh-CN"", ""ko"")"),"가득한")</f>
        <v>가득한</v>
      </c>
    </row>
    <row r="5079" ht="15.75" customHeight="1">
      <c r="A5079" s="1" t="s">
        <v>14970</v>
      </c>
      <c r="B5079" s="1">
        <v>7.0</v>
      </c>
      <c r="C5079" s="1" t="s">
        <v>14971</v>
      </c>
      <c r="D5079" s="1" t="s">
        <v>52</v>
      </c>
      <c r="E5079" s="1" t="s">
        <v>14972</v>
      </c>
      <c r="F5079" s="1" t="str">
        <f>IFERROR(__xludf.DUMMYFUNCTION("GOOGLETRANSLATE(A5079, ""zh-CN"", ""ko"")"),"민감한")</f>
        <v>민감한</v>
      </c>
    </row>
    <row r="5080" ht="15.75" customHeight="1">
      <c r="A5080" s="1" t="s">
        <v>14973</v>
      </c>
      <c r="B5080" s="1">
        <v>7.0</v>
      </c>
      <c r="C5080" s="1" t="s">
        <v>14974</v>
      </c>
      <c r="D5080" s="1" t="s">
        <v>16</v>
      </c>
      <c r="E5080" s="1" t="s">
        <v>14975</v>
      </c>
      <c r="F5080" s="1" t="str">
        <f>IFERROR(__xludf.DUMMYFUNCTION("GOOGLETRANSLATE(A5080, ""zh-CN"", ""ko"")"),"폭죽")</f>
        <v>폭죽</v>
      </c>
    </row>
    <row r="5081" ht="15.75" customHeight="1">
      <c r="A5081" s="1" t="s">
        <v>14976</v>
      </c>
      <c r="B5081" s="1">
        <v>7.0</v>
      </c>
      <c r="C5081" s="1" t="s">
        <v>14977</v>
      </c>
      <c r="D5081" s="1" t="s">
        <v>16</v>
      </c>
      <c r="E5081" s="1" t="s">
        <v>14978</v>
      </c>
      <c r="F5081" s="1" t="str">
        <f>IFERROR(__xludf.DUMMYFUNCTION("GOOGLETRANSLATE(A5081, ""zh-CN"", ""ko"")"),"기념물")</f>
        <v>기념물</v>
      </c>
    </row>
    <row r="5082" ht="15.75" customHeight="1">
      <c r="A5082" s="1" t="s">
        <v>14979</v>
      </c>
      <c r="B5082" s="1">
        <v>7.0</v>
      </c>
      <c r="C5082" s="1" t="s">
        <v>14980</v>
      </c>
      <c r="D5082" s="1" t="s">
        <v>8</v>
      </c>
      <c r="E5082" s="1" t="s">
        <v>14981</v>
      </c>
      <c r="F5082" s="1" t="str">
        <f>IFERROR(__xludf.DUMMYFUNCTION("GOOGLETRANSLATE(A5082, ""zh-CN"", ""ko"")"),"곰")</f>
        <v>곰</v>
      </c>
    </row>
    <row r="5083" ht="15.75" customHeight="1">
      <c r="A5083" s="1" t="s">
        <v>14982</v>
      </c>
      <c r="B5083" s="1">
        <v>7.0</v>
      </c>
      <c r="C5083" s="1" t="s">
        <v>14983</v>
      </c>
      <c r="E5083" s="1" t="s">
        <v>14984</v>
      </c>
      <c r="F5083" s="1" t="str">
        <f>IFERROR(__xludf.DUMMYFUNCTION("GOOGLETRANSLATE(A5083, ""zh-CN"", ""ko"")"),"기쁨과 슬픔, 이별과 재회")</f>
        <v>기쁨과 슬픔, 이별과 재회</v>
      </c>
    </row>
    <row r="5084" ht="15.75" customHeight="1">
      <c r="A5084" s="1" t="s">
        <v>14985</v>
      </c>
      <c r="B5084" s="1">
        <v>7.0</v>
      </c>
      <c r="C5084" s="1" t="s">
        <v>14986</v>
      </c>
      <c r="D5084" s="1" t="s">
        <v>52</v>
      </c>
      <c r="E5084" s="1" t="s">
        <v>14987</v>
      </c>
      <c r="F5084" s="1" t="str">
        <f>IFERROR(__xludf.DUMMYFUNCTION("GOOGLETRANSLATE(A5084, ""zh-CN"", ""ko"")"),"고통")</f>
        <v>고통</v>
      </c>
    </row>
    <row r="5085" ht="15.75" customHeight="1">
      <c r="A5085" s="1" t="s">
        <v>14988</v>
      </c>
      <c r="B5085" s="1">
        <v>7.0</v>
      </c>
      <c r="C5085" s="1" t="s">
        <v>14989</v>
      </c>
      <c r="D5085" s="1" t="s">
        <v>52</v>
      </c>
      <c r="E5085" s="1" t="s">
        <v>14990</v>
      </c>
      <c r="F5085" s="1" t="str">
        <f>IFERROR(__xludf.DUMMYFUNCTION("GOOGLETRANSLATE(A5085, ""zh-CN"", ""ko"")"),"겸손한")</f>
        <v>겸손한</v>
      </c>
    </row>
    <row r="5086" ht="15.75" customHeight="1">
      <c r="A5086" s="1" t="s">
        <v>14991</v>
      </c>
      <c r="B5086" s="1">
        <v>7.0</v>
      </c>
      <c r="C5086" s="1" t="s">
        <v>960</v>
      </c>
      <c r="D5086" s="1" t="s">
        <v>14992</v>
      </c>
      <c r="E5086" s="1" t="s">
        <v>14993</v>
      </c>
      <c r="F5086" s="1" t="str">
        <f>IFERROR(__xludf.DUMMYFUNCTION("GOOGLETRANSLATE(A5086, ""zh-CN"", ""ko"")"),"준비")</f>
        <v>준비</v>
      </c>
    </row>
    <row r="5087" ht="15.75" customHeight="1">
      <c r="A5087" s="1" t="s">
        <v>14994</v>
      </c>
      <c r="B5087" s="1">
        <v>7.0</v>
      </c>
      <c r="C5087" s="1" t="s">
        <v>14995</v>
      </c>
      <c r="D5087" s="1" t="s">
        <v>8</v>
      </c>
      <c r="E5087" s="1" t="s">
        <v>14996</v>
      </c>
      <c r="F5087" s="1" t="str">
        <f>IFERROR(__xludf.DUMMYFUNCTION("GOOGLETRANSLATE(A5087, ""zh-CN"", ""ko"")"),"수업 준비")</f>
        <v>수업 준비</v>
      </c>
    </row>
    <row r="5088" ht="15.75" customHeight="1">
      <c r="A5088" s="1" t="s">
        <v>14997</v>
      </c>
      <c r="B5088" s="1">
        <v>7.0</v>
      </c>
      <c r="C5088" s="1" t="s">
        <v>14998</v>
      </c>
      <c r="D5088" s="1" t="s">
        <v>16</v>
      </c>
      <c r="E5088" s="1" t="s">
        <v>14999</v>
      </c>
      <c r="F5088" s="1" t="str">
        <f>IFERROR(__xludf.DUMMYFUNCTION("GOOGLETRANSLATE(A5088, ""zh-CN"", ""ko"")"),"뒤쪽에")</f>
        <v>뒤쪽에</v>
      </c>
    </row>
    <row r="5089" ht="15.75" customHeight="1">
      <c r="A5089" s="1" t="s">
        <v>15000</v>
      </c>
      <c r="B5089" s="1">
        <v>7.0</v>
      </c>
      <c r="C5089" s="1" t="s">
        <v>15001</v>
      </c>
      <c r="D5089" s="1" t="s">
        <v>16</v>
      </c>
      <c r="E5089" s="1" t="s">
        <v>15002</v>
      </c>
      <c r="F5089" s="1" t="str">
        <f>IFERROR(__xludf.DUMMYFUNCTION("GOOGLETRANSLATE(A5089, ""zh-CN"", ""ko"")"),"뒷모습")</f>
        <v>뒷모습</v>
      </c>
    </row>
    <row r="5090" ht="15.75" customHeight="1">
      <c r="A5090" s="1" t="s">
        <v>15003</v>
      </c>
      <c r="B5090" s="1">
        <v>7.0</v>
      </c>
      <c r="C5090" s="1" t="s">
        <v>15004</v>
      </c>
      <c r="D5090" s="1" t="s">
        <v>8</v>
      </c>
      <c r="E5090" s="1" t="s">
        <v>15005</v>
      </c>
      <c r="F5090" s="1" t="str">
        <f>IFERROR(__xludf.DUMMYFUNCTION("GOOGLETRANSLATE(A5090, ""zh-CN"", ""ko"")"),"준비")</f>
        <v>준비</v>
      </c>
    </row>
    <row r="5091" ht="15.75" customHeight="1">
      <c r="A5091" s="1" t="s">
        <v>15006</v>
      </c>
      <c r="B5091" s="1">
        <v>7.0</v>
      </c>
      <c r="C5091" s="1" t="s">
        <v>15007</v>
      </c>
      <c r="D5091" s="1" t="s">
        <v>8</v>
      </c>
      <c r="E5091" s="1" t="s">
        <v>15008</v>
      </c>
      <c r="F5091" s="1" t="str">
        <f>IFERROR(__xludf.DUMMYFUNCTION("GOOGLETRANSLATE(A5091, ""zh-CN"", ""ko"")"),"서두르다")</f>
        <v>서두르다</v>
      </c>
    </row>
    <row r="5092" ht="15.75" customHeight="1">
      <c r="A5092" s="1" t="s">
        <v>15009</v>
      </c>
      <c r="B5092" s="1">
        <v>7.0</v>
      </c>
      <c r="C5092" s="1" t="s">
        <v>15010</v>
      </c>
      <c r="D5092" s="1" t="s">
        <v>15011</v>
      </c>
      <c r="E5092" s="1" t="s">
        <v>15012</v>
      </c>
      <c r="F5092" s="1" t="str">
        <f>IFERROR(__xludf.DUMMYFUNCTION("GOOGLETRANSLATE(A5092, ""zh-CN"", ""ko"")"),"의무")</f>
        <v>의무</v>
      </c>
    </row>
    <row r="5093" ht="15.75" customHeight="1">
      <c r="A5093" s="1" t="s">
        <v>15013</v>
      </c>
      <c r="B5093" s="1">
        <v>7.0</v>
      </c>
      <c r="C5093" s="1" t="s">
        <v>15014</v>
      </c>
      <c r="D5093" s="1" t="s">
        <v>16</v>
      </c>
      <c r="E5093" s="1" t="s">
        <v>15015</v>
      </c>
      <c r="F5093" s="1" t="str">
        <f>IFERROR(__xludf.DUMMYFUNCTION("GOOGLETRANSLATE(A5093, ""zh-CN"", ""ko"")"),"트루 컬러")</f>
        <v>트루 컬러</v>
      </c>
    </row>
    <row r="5094" ht="15.75" customHeight="1">
      <c r="A5094" s="1" t="s">
        <v>15016</v>
      </c>
      <c r="B5094" s="1">
        <v>7.0</v>
      </c>
      <c r="C5094" s="1" t="s">
        <v>15017</v>
      </c>
      <c r="D5094" s="1" t="s">
        <v>16</v>
      </c>
      <c r="E5094" s="1" t="s">
        <v>15018</v>
      </c>
      <c r="F5094" s="1" t="str">
        <f>IFERROR(__xludf.DUMMYFUNCTION("GOOGLETRANSLATE(A5094, ""zh-CN"", ""ko"")"),"자연")</f>
        <v>자연</v>
      </c>
    </row>
    <row r="5095" ht="15.75" customHeight="1">
      <c r="A5095" s="1" t="s">
        <v>15019</v>
      </c>
      <c r="B5095" s="1">
        <v>7.0</v>
      </c>
      <c r="C5095" s="1" t="s">
        <v>15020</v>
      </c>
      <c r="D5095" s="1" t="s">
        <v>16</v>
      </c>
      <c r="E5095" s="1" t="s">
        <v>15021</v>
      </c>
      <c r="F5095" s="1" t="str">
        <f>IFERROR(__xludf.DUMMYFUNCTION("GOOGLETRANSLATE(A5095, ""zh-CN"", ""ko"")"),"원래 의도")</f>
        <v>원래 의도</v>
      </c>
    </row>
    <row r="5096" ht="15.75" customHeight="1">
      <c r="A5096" s="1" t="s">
        <v>15022</v>
      </c>
      <c r="B5096" s="1">
        <v>7.0</v>
      </c>
      <c r="C5096" s="1" t="s">
        <v>15023</v>
      </c>
      <c r="D5096" s="1" t="s">
        <v>486</v>
      </c>
      <c r="E5096" s="1" t="s">
        <v>15024</v>
      </c>
      <c r="F5096" s="1" t="str">
        <f>IFERROR(__xludf.DUMMYFUNCTION("GOOGLETRANSLATE(A5096, ""zh-CN"", ""ko"")"),"정신적으로")</f>
        <v>정신적으로</v>
      </c>
    </row>
    <row r="5097" ht="15.75" customHeight="1">
      <c r="A5097" s="1" t="s">
        <v>15025</v>
      </c>
      <c r="B5097" s="1">
        <v>7.0</v>
      </c>
      <c r="C5097" s="1" t="s">
        <v>1829</v>
      </c>
      <c r="D5097" s="1" t="s">
        <v>8</v>
      </c>
      <c r="E5097" s="1" t="s">
        <v>15026</v>
      </c>
      <c r="F5097" s="1" t="str">
        <f>IFERROR(__xludf.DUMMYFUNCTION("GOOGLETRANSLATE(A5097, ""zh-CN"", ""ko"")"),"달리다")</f>
        <v>달리다</v>
      </c>
    </row>
    <row r="5098" ht="15.75" customHeight="1">
      <c r="A5098" s="1" t="s">
        <v>15027</v>
      </c>
      <c r="B5098" s="1">
        <v>7.0</v>
      </c>
      <c r="C5098" s="1" t="s">
        <v>15028</v>
      </c>
      <c r="D5098" s="1" t="s">
        <v>16</v>
      </c>
      <c r="E5098" s="1" t="s">
        <v>15029</v>
      </c>
      <c r="F5098" s="1" t="str">
        <f>IFERROR(__xludf.DUMMYFUNCTION("GOOGLETRANSLATE(A5098, ""zh-CN"", ""ko"")"),"바보")</f>
        <v>바보</v>
      </c>
    </row>
    <row r="5099" ht="15.75" customHeight="1">
      <c r="A5099" s="1" t="s">
        <v>15030</v>
      </c>
      <c r="B5099" s="1">
        <v>7.0</v>
      </c>
      <c r="C5099" s="1" t="s">
        <v>15031</v>
      </c>
      <c r="D5099" s="1" t="s">
        <v>52</v>
      </c>
      <c r="E5099" s="1" t="s">
        <v>15032</v>
      </c>
      <c r="F5099" s="1" t="str">
        <f>IFERROR(__xludf.DUMMYFUNCTION("GOOGLETRANSLATE(A5099, ""zh-CN"", ""ko"")"),"부피가 큰")</f>
        <v>부피가 큰</v>
      </c>
    </row>
    <row r="5100" ht="15.75" customHeight="1">
      <c r="A5100" s="1" t="s">
        <v>15033</v>
      </c>
      <c r="B5100" s="1">
        <v>7.0</v>
      </c>
      <c r="C5100" s="1" t="s">
        <v>15034</v>
      </c>
      <c r="D5100" s="1" t="s">
        <v>8</v>
      </c>
      <c r="E5100" s="1" t="s">
        <v>15035</v>
      </c>
      <c r="F5100" s="1" t="str">
        <f>IFERROR(__xludf.DUMMYFUNCTION("GOOGLETRANSLATE(A5100, ""zh-CN"", ""ko"")"),"뻗기")</f>
        <v>뻗기</v>
      </c>
    </row>
    <row r="5101" ht="15.75" customHeight="1">
      <c r="A5101" s="1" t="s">
        <v>15036</v>
      </c>
      <c r="B5101" s="1">
        <v>7.0</v>
      </c>
      <c r="C5101" s="1" t="s">
        <v>15037</v>
      </c>
      <c r="D5101" s="1" t="s">
        <v>16</v>
      </c>
      <c r="E5101" s="1" t="s">
        <v>15038</v>
      </c>
      <c r="F5101" s="1" t="str">
        <f>IFERROR(__xludf.DUMMYFUNCTION("GOOGLETRANSLATE(A5101, ""zh-CN"", ""ko"")"),"붕대")</f>
        <v>붕대</v>
      </c>
    </row>
    <row r="5102" ht="15.75" customHeight="1">
      <c r="A5102" s="1" t="s">
        <v>15039</v>
      </c>
      <c r="B5102" s="1">
        <v>7.0</v>
      </c>
      <c r="C5102" s="1" t="s">
        <v>15040</v>
      </c>
      <c r="D5102" s="1" t="s">
        <v>8</v>
      </c>
      <c r="E5102" s="1" t="s">
        <v>15041</v>
      </c>
      <c r="F5102" s="1" t="str">
        <f>IFERROR(__xludf.DUMMYFUNCTION("GOOGLETRANSLATE(A5102, ""zh-CN"", ""ko"")"),"접근 중")</f>
        <v>접근 중</v>
      </c>
    </row>
    <row r="5103" ht="15.75" customHeight="1">
      <c r="A5103" s="1" t="s">
        <v>15042</v>
      </c>
      <c r="B5103" s="1">
        <v>7.0</v>
      </c>
      <c r="C5103" s="1" t="s">
        <v>15043</v>
      </c>
      <c r="D5103" s="1" t="s">
        <v>52</v>
      </c>
      <c r="E5103" s="1" t="s">
        <v>15044</v>
      </c>
      <c r="F5103" s="1" t="str">
        <f>IFERROR(__xludf.DUMMYFUNCTION("GOOGLETRANSLATE(A5103, ""zh-CN"", ""ko"")"),"살아 있는 것 같은")</f>
        <v>살아 있는 것 같은</v>
      </c>
    </row>
    <row r="5104" ht="15.75" customHeight="1">
      <c r="A5104" s="1" t="s">
        <v>15045</v>
      </c>
      <c r="B5104" s="1">
        <v>7.0</v>
      </c>
      <c r="C5104" s="1" t="s">
        <v>15046</v>
      </c>
      <c r="E5104" s="1" t="s">
        <v>15047</v>
      </c>
      <c r="F5104" s="1" t="str">
        <f>IFERROR(__xludf.DUMMYFUNCTION("GOOGLETRANSLATE(A5104, ""zh-CN"", ""ko"")"),"어디에나")</f>
        <v>어디에나</v>
      </c>
    </row>
    <row r="5105" ht="15.75" customHeight="1">
      <c r="A5105" s="1" t="s">
        <v>15048</v>
      </c>
      <c r="B5105" s="1">
        <v>7.0</v>
      </c>
      <c r="C5105" s="1" t="s">
        <v>15049</v>
      </c>
      <c r="D5105" s="1" t="s">
        <v>16</v>
      </c>
      <c r="E5105" s="1" t="s">
        <v>15050</v>
      </c>
      <c r="F5105" s="1" t="str">
        <f>IFERROR(__xludf.DUMMYFUNCTION("GOOGLETRANSLATE(A5105, ""zh-CN"", ""ko"")"),"필연")</f>
        <v>필연</v>
      </c>
    </row>
    <row r="5106" ht="15.75" customHeight="1">
      <c r="A5106" s="1" t="s">
        <v>15051</v>
      </c>
      <c r="B5106" s="1">
        <v>7.0</v>
      </c>
      <c r="C5106" s="1" t="s">
        <v>15052</v>
      </c>
      <c r="D5106" s="1" t="s">
        <v>8</v>
      </c>
      <c r="E5106" s="1" t="s">
        <v>15053</v>
      </c>
      <c r="F5106" s="1" t="str">
        <f>IFERROR(__xludf.DUMMYFUNCTION("GOOGLETRANSLATE(A5106, ""zh-CN"", ""ko"")"),"경쟁")</f>
        <v>경쟁</v>
      </c>
    </row>
    <row r="5107" ht="15.75" customHeight="1">
      <c r="A5107" s="1" t="s">
        <v>15054</v>
      </c>
      <c r="B5107" s="1">
        <v>7.0</v>
      </c>
      <c r="C5107" s="1" t="s">
        <v>15055</v>
      </c>
      <c r="E5107" s="1" t="s">
        <v>15056</v>
      </c>
      <c r="F5107" s="1" t="str">
        <f>IFERROR(__xludf.DUMMYFUNCTION("GOOGLETRANSLATE(A5107, ""zh-CN"", ""ko"")"),"필수적인")</f>
        <v>필수적인</v>
      </c>
    </row>
    <row r="5108" ht="15.75" customHeight="1">
      <c r="A5108" s="1" t="s">
        <v>15057</v>
      </c>
      <c r="B5108" s="1">
        <v>7.0</v>
      </c>
      <c r="C5108" s="1" t="s">
        <v>15058</v>
      </c>
      <c r="D5108" s="1" t="s">
        <v>33</v>
      </c>
      <c r="E5108" s="1" t="s">
        <v>15059</v>
      </c>
      <c r="F5108" s="1" t="str">
        <f>IFERROR(__xludf.DUMMYFUNCTION("GOOGLETRANSLATE(A5108, ""zh-CN"", ""ko"")"),"해야 하다")</f>
        <v>해야 하다</v>
      </c>
    </row>
    <row r="5109" ht="15.75" customHeight="1">
      <c r="A5109" s="1" t="s">
        <v>15060</v>
      </c>
      <c r="B5109" s="1">
        <v>7.0</v>
      </c>
      <c r="C5109" s="1" t="s">
        <v>15061</v>
      </c>
      <c r="D5109" s="1" t="s">
        <v>16</v>
      </c>
      <c r="E5109" s="1" t="s">
        <v>15062</v>
      </c>
      <c r="F5109" s="1" t="str">
        <f>IFERROR(__xludf.DUMMYFUNCTION("GOOGLETRANSLATE(A5109, ""zh-CN"", ""ko"")"),"벽화")</f>
        <v>벽화</v>
      </c>
    </row>
    <row r="5110" ht="15.75" customHeight="1">
      <c r="A5110" s="1" t="s">
        <v>15063</v>
      </c>
      <c r="B5110" s="1">
        <v>7.0</v>
      </c>
      <c r="C5110" s="1" t="s">
        <v>15064</v>
      </c>
      <c r="D5110" s="1" t="s">
        <v>33</v>
      </c>
      <c r="E5110" s="1" t="s">
        <v>15065</v>
      </c>
      <c r="F5110" s="1" t="str">
        <f>IFERROR(__xludf.DUMMYFUNCTION("GOOGLETRANSLATE(A5110, ""zh-CN"", ""ko"")"),"반드시")</f>
        <v>반드시</v>
      </c>
    </row>
    <row r="5111" ht="15.75" customHeight="1">
      <c r="A5111" s="1" t="s">
        <v>15066</v>
      </c>
      <c r="B5111" s="1">
        <v>7.0</v>
      </c>
      <c r="C5111" s="1" t="s">
        <v>15067</v>
      </c>
      <c r="D5111" s="1" t="s">
        <v>16</v>
      </c>
      <c r="E5111" s="1" t="s">
        <v>15068</v>
      </c>
      <c r="F5111" s="1" t="str">
        <f>IFERROR(__xludf.DUMMYFUNCTION("GOOGLETRANSLATE(A5111, ""zh-CN"", ""ko"")"),"장벽")</f>
        <v>장벽</v>
      </c>
    </row>
    <row r="5112" ht="15.75" customHeight="1">
      <c r="A5112" s="1" t="s">
        <v>15069</v>
      </c>
      <c r="B5112" s="1">
        <v>7.0</v>
      </c>
      <c r="C5112" s="1" t="s">
        <v>15070</v>
      </c>
      <c r="D5112" s="1" t="s">
        <v>52</v>
      </c>
      <c r="E5112" s="1" t="s">
        <v>15071</v>
      </c>
      <c r="F5112" s="1" t="str">
        <f>IFERROR(__xludf.DUMMYFUNCTION("GOOGLETRANSLATE(A5112, ""zh-CN"", ""ko"")"),"에메랄드 그린")</f>
        <v>에메랄드 그린</v>
      </c>
    </row>
    <row r="5113" ht="15.75" customHeight="1">
      <c r="A5113" s="1" t="s">
        <v>15072</v>
      </c>
      <c r="B5113" s="1">
        <v>7.0</v>
      </c>
      <c r="C5113" s="1" t="s">
        <v>15073</v>
      </c>
      <c r="D5113" s="1" t="s">
        <v>8</v>
      </c>
      <c r="E5113" s="1" t="s">
        <v>15074</v>
      </c>
      <c r="F5113" s="1" t="str">
        <f>IFERROR(__xludf.DUMMYFUNCTION("GOOGLETRANSLATE(A5113, ""zh-CN"", ""ko"")"),"피난")</f>
        <v>피난</v>
      </c>
    </row>
    <row r="5114" ht="15.75" customHeight="1">
      <c r="A5114" s="1" t="s">
        <v>15075</v>
      </c>
      <c r="B5114" s="1">
        <v>7.0</v>
      </c>
      <c r="C5114" s="1" t="s">
        <v>15076</v>
      </c>
      <c r="D5114" s="1" t="s">
        <v>8</v>
      </c>
      <c r="E5114" s="1" t="s">
        <v>15077</v>
      </c>
      <c r="F5114" s="1" t="str">
        <f>IFERROR(__xludf.DUMMYFUNCTION("GOOGLETRANSLATE(A5114, ""zh-CN"", ""ko"")"),"피하다")</f>
        <v>피하다</v>
      </c>
    </row>
    <row r="5115" ht="15.75" customHeight="1">
      <c r="A5115" s="1" t="s">
        <v>15078</v>
      </c>
      <c r="B5115" s="1">
        <v>7.0</v>
      </c>
      <c r="C5115" s="1" t="s">
        <v>15079</v>
      </c>
      <c r="D5115" s="1" t="s">
        <v>16</v>
      </c>
      <c r="E5115" s="1" t="s">
        <v>15080</v>
      </c>
      <c r="F5115" s="1" t="str">
        <f>IFERROR(__xludf.DUMMYFUNCTION("GOOGLETRANSLATE(A5115, ""zh-CN"", ""ko"")"),"일생")</f>
        <v>일생</v>
      </c>
    </row>
    <row r="5116" ht="15.75" customHeight="1">
      <c r="A5116" s="1" t="s">
        <v>15081</v>
      </c>
      <c r="B5116" s="1">
        <v>7.0</v>
      </c>
      <c r="C5116" s="1" t="s">
        <v>15082</v>
      </c>
      <c r="D5116" s="1" t="s">
        <v>8</v>
      </c>
      <c r="E5116" s="1" t="s">
        <v>15083</v>
      </c>
      <c r="F5116" s="1" t="str">
        <f>IFERROR(__xludf.DUMMYFUNCTION("GOOGLETRANSLATE(A5116, ""zh-CN"", ""ko"")"),"여름 휴양지")</f>
        <v>여름 휴양지</v>
      </c>
    </row>
    <row r="5117" ht="15.75" customHeight="1">
      <c r="A5117" s="1" t="s">
        <v>15084</v>
      </c>
      <c r="B5117" s="1">
        <v>7.0</v>
      </c>
      <c r="C5117" s="1" t="s">
        <v>15085</v>
      </c>
      <c r="D5117" s="1" t="s">
        <v>8</v>
      </c>
      <c r="E5117" s="1" t="s">
        <v>15086</v>
      </c>
      <c r="F5117" s="1" t="str">
        <f>IFERROR(__xludf.DUMMYFUNCTION("GOOGLETRANSLATE(A5117, ""zh-CN"", ""ko"")"),"프로그램 작성")</f>
        <v>프로그램 작성</v>
      </c>
    </row>
    <row r="5118" ht="15.75" customHeight="1">
      <c r="A5118" s="1" t="s">
        <v>15087</v>
      </c>
      <c r="B5118" s="1">
        <v>7.0</v>
      </c>
      <c r="C5118" s="1" t="s">
        <v>15088</v>
      </c>
      <c r="D5118" s="1" t="s">
        <v>16</v>
      </c>
      <c r="E5118" s="1" t="s">
        <v>15089</v>
      </c>
      <c r="F5118" s="1" t="str">
        <f>IFERROR(__xludf.DUMMYFUNCTION("GOOGLETRANSLATE(A5118, ""zh-CN"", ""ko"")"),"일련 번호")</f>
        <v>일련 번호</v>
      </c>
    </row>
    <row r="5119" ht="15.75" customHeight="1">
      <c r="A5119" s="1" t="s">
        <v>15090</v>
      </c>
      <c r="B5119" s="1">
        <v>7.0</v>
      </c>
      <c r="C5119" s="1" t="s">
        <v>15091</v>
      </c>
      <c r="D5119" s="1" t="s">
        <v>16</v>
      </c>
      <c r="E5119" s="1" t="s">
        <v>15092</v>
      </c>
      <c r="F5119" s="1" t="str">
        <f>IFERROR(__xludf.DUMMYFUNCTION("GOOGLETRANSLATE(A5119, ""zh-CN"", ""ko"")"),"시나리오 작가")</f>
        <v>시나리오 작가</v>
      </c>
    </row>
    <row r="5120" ht="15.75" customHeight="1">
      <c r="A5120" s="1" t="s">
        <v>15093</v>
      </c>
      <c r="B5120" s="1">
        <v>7.0</v>
      </c>
      <c r="C5120" s="1" t="s">
        <v>15094</v>
      </c>
      <c r="D5120" s="1" t="s">
        <v>8</v>
      </c>
      <c r="E5120" s="1" t="s">
        <v>15095</v>
      </c>
      <c r="F5120" s="1" t="str">
        <f>IFERROR(__xludf.DUMMYFUNCTION("GOOGLETRANSLATE(A5120, ""zh-CN"", ""ko"")"),"준비")</f>
        <v>준비</v>
      </c>
    </row>
    <row r="5121" ht="15.75" customHeight="1">
      <c r="A5121" s="1" t="s">
        <v>15096</v>
      </c>
      <c r="B5121" s="1">
        <v>7.0</v>
      </c>
      <c r="C5121" s="1" t="s">
        <v>15097</v>
      </c>
      <c r="D5121" s="1" t="s">
        <v>52</v>
      </c>
      <c r="E5121" s="1" t="s">
        <v>15098</v>
      </c>
      <c r="F5121" s="1" t="str">
        <f>IFERROR(__xludf.DUMMYFUNCTION("GOOGLETRANSLATE(A5121, ""zh-CN"", ""ko"")"),"원격")</f>
        <v>원격</v>
      </c>
    </row>
    <row r="5122" ht="15.75" customHeight="1">
      <c r="A5122" s="1" t="s">
        <v>15099</v>
      </c>
      <c r="B5122" s="1">
        <v>7.0</v>
      </c>
      <c r="C5122" s="1" t="s">
        <v>15100</v>
      </c>
      <c r="D5122" s="1" t="s">
        <v>8</v>
      </c>
      <c r="E5122" s="1" t="s">
        <v>15101</v>
      </c>
      <c r="F5122" s="1" t="str">
        <f>IFERROR(__xludf.DUMMYFUNCTION("GOOGLETRANSLATE(A5122, ""zh-CN"", ""ko"")"),"만드는")</f>
        <v>만드는</v>
      </c>
    </row>
    <row r="5123" ht="15.75" customHeight="1">
      <c r="A5123" s="1" t="s">
        <v>15102</v>
      </c>
      <c r="B5123" s="1">
        <v>7.0</v>
      </c>
      <c r="C5123" s="1" t="s">
        <v>15103</v>
      </c>
      <c r="D5123" s="1" t="s">
        <v>8</v>
      </c>
      <c r="E5123" s="1" t="s">
        <v>15104</v>
      </c>
      <c r="F5123" s="1" t="str">
        <f>IFERROR(__xludf.DUMMYFUNCTION("GOOGLETRANSLATE(A5123, ""zh-CN"", ""ko"")"),"작성자")</f>
        <v>작성자</v>
      </c>
    </row>
    <row r="5124" ht="15.75" customHeight="1">
      <c r="A5124" s="1" t="s">
        <v>15105</v>
      </c>
      <c r="B5124" s="1">
        <v>7.0</v>
      </c>
      <c r="C5124" s="1" t="s">
        <v>15106</v>
      </c>
      <c r="D5124" s="1" t="s">
        <v>8</v>
      </c>
      <c r="E5124" s="1" t="s">
        <v>15107</v>
      </c>
      <c r="F5124" s="1" t="str">
        <f>IFERROR(__xludf.DUMMYFUNCTION("GOOGLETRANSLATE(A5124, ""zh-CN"", ""ko"")"),"평가절하")</f>
        <v>평가절하</v>
      </c>
    </row>
    <row r="5125" ht="15.75" customHeight="1">
      <c r="A5125" s="1" t="s">
        <v>15108</v>
      </c>
      <c r="B5125" s="1">
        <v>7.0</v>
      </c>
      <c r="C5125" s="1" t="s">
        <v>1838</v>
      </c>
      <c r="D5125" s="1" t="s">
        <v>8</v>
      </c>
      <c r="E5125" s="1" t="s">
        <v>15109</v>
      </c>
      <c r="F5125" s="1" t="str">
        <f>IFERROR(__xludf.DUMMYFUNCTION("GOOGLETRANSLATE(A5125, ""zh-CN"", ""ko"")"),"토론")</f>
        <v>토론</v>
      </c>
    </row>
    <row r="5126" ht="15.75" customHeight="1">
      <c r="A5126" s="1" t="s">
        <v>15110</v>
      </c>
      <c r="B5126" s="1">
        <v>7.0</v>
      </c>
      <c r="C5126" s="1" t="s">
        <v>15111</v>
      </c>
      <c r="D5126" s="1" t="s">
        <v>8</v>
      </c>
      <c r="E5126" s="1" t="s">
        <v>15112</v>
      </c>
      <c r="F5126" s="1" t="str">
        <f>IFERROR(__xludf.DUMMYFUNCTION("GOOGLETRANSLATE(A5126, ""zh-CN"", ""ko"")"),"구별하다")</f>
        <v>구별하다</v>
      </c>
    </row>
    <row r="5127" ht="15.75" customHeight="1">
      <c r="A5127" s="1" t="s">
        <v>15113</v>
      </c>
      <c r="B5127" s="1">
        <v>7.0</v>
      </c>
      <c r="C5127" s="1" t="s">
        <v>15114</v>
      </c>
      <c r="D5127" s="1" t="s">
        <v>16</v>
      </c>
      <c r="E5127" s="1" t="s">
        <v>15115</v>
      </c>
      <c r="F5127" s="1" t="str">
        <f>IFERROR(__xludf.DUMMYFUNCTION("GOOGLETRANSLATE(A5127, ""zh-CN"", ""ko"")"),"포트럭")</f>
        <v>포트럭</v>
      </c>
    </row>
    <row r="5128" ht="15.75" customHeight="1">
      <c r="A5128" s="1" t="s">
        <v>15116</v>
      </c>
      <c r="B5128" s="1">
        <v>7.0</v>
      </c>
      <c r="C5128" s="1" t="s">
        <v>15117</v>
      </c>
      <c r="D5128" s="1" t="s">
        <v>8</v>
      </c>
      <c r="E5128" s="1" t="s">
        <v>15118</v>
      </c>
      <c r="F5128" s="1" t="str">
        <f>IFERROR(__xludf.DUMMYFUNCTION("GOOGLETRANSLATE(A5128, ""zh-CN"", ""ko"")"),"변화")</f>
        <v>변화</v>
      </c>
    </row>
    <row r="5129" ht="15.75" customHeight="1">
      <c r="A5129" s="1" t="s">
        <v>15119</v>
      </c>
      <c r="B5129" s="1">
        <v>7.0</v>
      </c>
      <c r="C5129" s="1" t="s">
        <v>15120</v>
      </c>
      <c r="D5129" s="1" t="s">
        <v>8</v>
      </c>
      <c r="E5129" s="1" t="s">
        <v>15121</v>
      </c>
      <c r="F5129" s="1" t="str">
        <f>IFERROR(__xludf.DUMMYFUNCTION("GOOGLETRANSLATE(A5129, ""zh-CN"", ""ko"")"),"변화")</f>
        <v>변화</v>
      </c>
    </row>
    <row r="5130" ht="15.75" customHeight="1">
      <c r="A5130" s="1" t="s">
        <v>15122</v>
      </c>
      <c r="B5130" s="1">
        <v>7.0</v>
      </c>
      <c r="C5130" s="1" t="s">
        <v>15123</v>
      </c>
      <c r="D5130" s="1" t="s">
        <v>8</v>
      </c>
      <c r="E5130" s="1" t="s">
        <v>15124</v>
      </c>
      <c r="F5130" s="1" t="str">
        <f>IFERROR(__xludf.DUMMYFUNCTION("GOOGLETRANSLATE(A5130, ""zh-CN"", ""ko"")"),"변환")</f>
        <v>변환</v>
      </c>
    </row>
    <row r="5131" ht="15.75" customHeight="1">
      <c r="A5131" s="1" t="s">
        <v>15125</v>
      </c>
      <c r="B5131" s="1">
        <v>7.0</v>
      </c>
      <c r="C5131" s="1" t="s">
        <v>15126</v>
      </c>
      <c r="E5131" s="1" t="s">
        <v>15127</v>
      </c>
      <c r="F5131" s="1" t="str">
        <f>IFERROR(__xludf.DUMMYFUNCTION("GOOGLETRANSLATE(A5131, ""zh-CN"", ""ko"")"),"예측 불가능한")</f>
        <v>예측 불가능한</v>
      </c>
    </row>
    <row r="5132" ht="15.75" customHeight="1">
      <c r="A5132" s="1" t="s">
        <v>15128</v>
      </c>
      <c r="B5132" s="1">
        <v>7.0</v>
      </c>
      <c r="C5132" s="1" t="s">
        <v>15129</v>
      </c>
      <c r="D5132" s="1" t="s">
        <v>8</v>
      </c>
      <c r="E5132" s="1" t="s">
        <v>15130</v>
      </c>
      <c r="F5132" s="1" t="str">
        <f>IFERROR(__xludf.DUMMYFUNCTION("GOOGLETRANSLATE(A5132, ""zh-CN"", ""ko"")"),"유연성")</f>
        <v>유연성</v>
      </c>
    </row>
    <row r="5133" ht="15.75" customHeight="1">
      <c r="A5133" s="1" t="s">
        <v>15131</v>
      </c>
      <c r="B5133" s="1">
        <v>7.0</v>
      </c>
      <c r="C5133" s="1" t="s">
        <v>15132</v>
      </c>
      <c r="D5133" s="1" t="s">
        <v>52</v>
      </c>
      <c r="E5133" s="1" t="s">
        <v>15133</v>
      </c>
      <c r="F5133" s="1" t="str">
        <f>IFERROR(__xludf.DUMMYFUNCTION("GOOGLETRANSLATE(A5133, ""zh-CN"", ""ko"")"),"가지고 다닐 수 있는")</f>
        <v>가지고 다닐 수 있는</v>
      </c>
    </row>
    <row r="5134" ht="15.75" customHeight="1">
      <c r="A5134" s="1" t="s">
        <v>15134</v>
      </c>
      <c r="B5134" s="1">
        <v>7.0</v>
      </c>
      <c r="C5134" s="1" t="s">
        <v>15135</v>
      </c>
      <c r="D5134" s="1" t="s">
        <v>8</v>
      </c>
      <c r="E5134" s="1" t="s">
        <v>15136</v>
      </c>
      <c r="F5134" s="1" t="str">
        <f>IFERROR(__xludf.DUMMYFUNCTION("GOOGLETRANSLATE(A5134, ""zh-CN"", ""ko"")"),"흉한 모습")</f>
        <v>흉한 모습</v>
      </c>
    </row>
    <row r="5135" ht="15.75" customHeight="1">
      <c r="A5135" s="1" t="s">
        <v>15137</v>
      </c>
      <c r="B5135" s="1">
        <v>7.0</v>
      </c>
      <c r="C5135" s="1" t="s">
        <v>15138</v>
      </c>
      <c r="D5135" s="1" t="s">
        <v>8</v>
      </c>
      <c r="E5135" s="1" t="s">
        <v>15139</v>
      </c>
      <c r="F5135" s="1" t="str">
        <f>IFERROR(__xludf.DUMMYFUNCTION("GOOGLETRANSLATE(A5135, ""zh-CN"", ""ko"")"),"돌연변이")</f>
        <v>돌연변이</v>
      </c>
    </row>
    <row r="5136" ht="15.75" customHeight="1">
      <c r="A5136" s="1" t="s">
        <v>15140</v>
      </c>
      <c r="B5136" s="1">
        <v>7.0</v>
      </c>
      <c r="C5136" s="1" t="s">
        <v>15141</v>
      </c>
      <c r="D5136" s="1" t="s">
        <v>8</v>
      </c>
      <c r="E5136" s="1" t="s">
        <v>15142</v>
      </c>
      <c r="F5136" s="1" t="str">
        <f>IFERROR(__xludf.DUMMYFUNCTION("GOOGLETRANSLATE(A5136, ""zh-CN"", ""ko"")"),"기준")</f>
        <v>기준</v>
      </c>
    </row>
    <row r="5137" ht="15.75" customHeight="1">
      <c r="A5137" s="1" t="s">
        <v>15143</v>
      </c>
      <c r="B5137" s="1">
        <v>7.0</v>
      </c>
      <c r="C5137" s="1" t="s">
        <v>15144</v>
      </c>
      <c r="D5137" s="1" t="s">
        <v>8</v>
      </c>
      <c r="E5137" s="1" t="s">
        <v>15145</v>
      </c>
      <c r="F5137" s="1" t="str">
        <f>IFERROR(__xludf.DUMMYFUNCTION("GOOGLETRANSLATE(A5137, ""zh-CN"", ""ko"")"),"과시하다")</f>
        <v>과시하다</v>
      </c>
    </row>
    <row r="5138" ht="15.75" customHeight="1">
      <c r="A5138" s="1" t="s">
        <v>15146</v>
      </c>
      <c r="B5138" s="1">
        <v>7.0</v>
      </c>
      <c r="C5138" s="1" t="s">
        <v>15147</v>
      </c>
      <c r="D5138" s="1" t="s">
        <v>16</v>
      </c>
      <c r="E5138" s="1" t="s">
        <v>15148</v>
      </c>
      <c r="F5138" s="1" t="str">
        <f>IFERROR(__xludf.DUMMYFUNCTION("GOOGLETRANSLATE(A5138, ""zh-CN"", ""ko"")"),"상표")</f>
        <v>상표</v>
      </c>
    </row>
    <row r="5139" ht="15.75" customHeight="1">
      <c r="A5139" s="1" t="s">
        <v>15149</v>
      </c>
      <c r="B5139" s="1">
        <v>7.0</v>
      </c>
      <c r="C5139" s="1" t="s">
        <v>15150</v>
      </c>
      <c r="D5139" s="1" t="s">
        <v>8</v>
      </c>
      <c r="E5139" s="1" t="s">
        <v>15151</v>
      </c>
      <c r="F5139" s="1" t="str">
        <f>IFERROR(__xludf.DUMMYFUNCTION("GOOGLETRANSLATE(A5139, ""zh-CN"", ""ko"")"),"활상")</f>
        <v>활상</v>
      </c>
    </row>
    <row r="5140" ht="15.75" customHeight="1">
      <c r="A5140" s="1" t="s">
        <v>15152</v>
      </c>
      <c r="B5140" s="1">
        <v>7.0</v>
      </c>
      <c r="C5140" s="1" t="s">
        <v>15153</v>
      </c>
      <c r="D5140" s="1" t="s">
        <v>14870</v>
      </c>
      <c r="E5140" s="1" t="s">
        <v>15154</v>
      </c>
      <c r="F5140" s="1" t="str">
        <f>IFERROR(__xludf.DUMMYFUNCTION("GOOGLETRANSLATE(A5140, ""zh-CN"", ""ko"")"),"심벌 마크")</f>
        <v>심벌 마크</v>
      </c>
    </row>
    <row r="5141" ht="15.75" customHeight="1">
      <c r="A5141" s="1" t="s">
        <v>15155</v>
      </c>
      <c r="B5141" s="1">
        <v>7.0</v>
      </c>
      <c r="C5141" s="1" t="s">
        <v>15156</v>
      </c>
      <c r="D5141" s="1" t="s">
        <v>8</v>
      </c>
      <c r="E5141" s="1" t="s">
        <v>15157</v>
      </c>
      <c r="F5141" s="1" t="str">
        <f>IFERROR(__xludf.DUMMYFUNCTION("GOOGLETRANSLATE(A5141, ""zh-CN"", ""ko"")"),"표시")</f>
        <v>표시</v>
      </c>
    </row>
    <row r="5142" ht="15.75" customHeight="1">
      <c r="A5142" s="1" t="s">
        <v>15158</v>
      </c>
      <c r="B5142" s="1">
        <v>7.0</v>
      </c>
      <c r="C5142" s="1" t="s">
        <v>15159</v>
      </c>
      <c r="D5142" s="1" t="s">
        <v>16</v>
      </c>
      <c r="E5142" s="1" t="s">
        <v>15160</v>
      </c>
      <c r="F5142" s="1" t="str">
        <f>IFERROR(__xludf.DUMMYFUNCTION("GOOGLETRANSLATE(A5142, ""zh-CN"", ""ko"")"),"슬로건")</f>
        <v>슬로건</v>
      </c>
    </row>
    <row r="5143" ht="15.75" customHeight="1">
      <c r="A5143" s="1" t="s">
        <v>15161</v>
      </c>
      <c r="B5143" s="1">
        <v>7.0</v>
      </c>
      <c r="C5143" s="1" t="s">
        <v>3676</v>
      </c>
      <c r="D5143" s="1" t="s">
        <v>52</v>
      </c>
      <c r="E5143" s="1" t="s">
        <v>15162</v>
      </c>
      <c r="F5143" s="1" t="str">
        <f>IFERROR(__xludf.DUMMYFUNCTION("GOOGLETRANSLATE(A5143, ""zh-CN"", ""ko"")"),"푸조")</f>
        <v>푸조</v>
      </c>
    </row>
    <row r="5144" ht="15.75" customHeight="1">
      <c r="A5144" s="1" t="s">
        <v>15163</v>
      </c>
      <c r="B5144" s="1">
        <v>7.0</v>
      </c>
      <c r="C5144" s="1" t="s">
        <v>15164</v>
      </c>
      <c r="D5144" s="1" t="s">
        <v>8</v>
      </c>
      <c r="E5144" s="1" t="s">
        <v>15165</v>
      </c>
      <c r="F5144" s="1" t="str">
        <f>IFERROR(__xludf.DUMMYFUNCTION("GOOGLETRANSLATE(A5144, ""zh-CN"", ""ko"")"),"사랑을 고백하다")</f>
        <v>사랑을 고백하다</v>
      </c>
    </row>
    <row r="5145" ht="15.75" customHeight="1">
      <c r="A5145" s="1" t="s">
        <v>15166</v>
      </c>
      <c r="B5145" s="1">
        <v>7.0</v>
      </c>
      <c r="C5145" s="1" t="s">
        <v>15167</v>
      </c>
      <c r="D5145" s="1" t="s">
        <v>8</v>
      </c>
      <c r="E5145" s="1" t="s">
        <v>15168</v>
      </c>
      <c r="F5145" s="1" t="str">
        <f>IFERROR(__xludf.DUMMYFUNCTION("GOOGLETRANSLATE(A5145, ""zh-CN"", ""ko"")"),"표현")</f>
        <v>표현</v>
      </c>
    </row>
    <row r="5146" ht="15.75" customHeight="1">
      <c r="A5146" s="1" t="s">
        <v>15169</v>
      </c>
      <c r="B5146" s="1">
        <v>7.0</v>
      </c>
      <c r="C5146" s="1" t="s">
        <v>15170</v>
      </c>
      <c r="D5146" s="1" t="s">
        <v>16</v>
      </c>
      <c r="E5146" s="1" t="s">
        <v>15171</v>
      </c>
      <c r="F5146" s="1" t="str">
        <f>IFERROR(__xludf.DUMMYFUNCTION("GOOGLETRANSLATE(A5146, ""zh-CN"", ""ko"")"),"예")</f>
        <v>예</v>
      </c>
    </row>
    <row r="5147" ht="15.75" customHeight="1">
      <c r="A5147" s="1" t="s">
        <v>15172</v>
      </c>
      <c r="B5147" s="1">
        <v>7.0</v>
      </c>
      <c r="C5147" s="1" t="s">
        <v>15173</v>
      </c>
      <c r="E5147" s="1" t="s">
        <v>15174</v>
      </c>
      <c r="F5147" s="1" t="str">
        <f>IFERROR(__xludf.DUMMYFUNCTION("GOOGLETRANSLATE(A5147, ""zh-CN"", ""ko"")"),"영리한")</f>
        <v>영리한</v>
      </c>
    </row>
    <row r="5148" ht="15.75" customHeight="1">
      <c r="A5148" s="1" t="s">
        <v>15175</v>
      </c>
      <c r="B5148" s="1">
        <v>7.0</v>
      </c>
      <c r="C5148" s="1" t="s">
        <v>15176</v>
      </c>
      <c r="D5148" s="1" t="s">
        <v>1473</v>
      </c>
      <c r="E5148" s="1" t="s">
        <v>15177</v>
      </c>
      <c r="F5148" s="1" t="str">
        <f>IFERROR(__xludf.DUMMYFUNCTION("GOOGLETRANSLATE(A5148, ""zh-CN"", ""ko"")"),"보지 마세요")</f>
        <v>보지 마세요</v>
      </c>
    </row>
    <row r="5149" ht="15.75" customHeight="1">
      <c r="A5149" s="1" t="s">
        <v>15178</v>
      </c>
      <c r="B5149" s="1">
        <v>7.0</v>
      </c>
      <c r="C5149" s="1" t="s">
        <v>15179</v>
      </c>
      <c r="D5149" s="1" t="s">
        <v>1473</v>
      </c>
      <c r="E5149" s="1" t="s">
        <v>15180</v>
      </c>
      <c r="F5149" s="1" t="str">
        <f>IFERROR(__xludf.DUMMYFUNCTION("GOOGLETRANSLATE(A5149, ""zh-CN"", ""ko"")"),"말하지 마세요")</f>
        <v>말하지 마세요</v>
      </c>
    </row>
    <row r="5150" ht="15.75" customHeight="1">
      <c r="A5150" s="1" t="s">
        <v>15181</v>
      </c>
      <c r="B5150" s="1">
        <v>7.0</v>
      </c>
      <c r="C5150" s="1" t="s">
        <v>15182</v>
      </c>
      <c r="E5150" s="1" t="s">
        <v>15183</v>
      </c>
      <c r="F5150" s="1" t="str">
        <f>IFERROR(__xludf.DUMMYFUNCTION("GOOGLETRANSLATE(A5150, ""zh-CN"", ""ko"")"),"예의 바른")</f>
        <v>예의 바른</v>
      </c>
    </row>
    <row r="5151" ht="15.75" customHeight="1">
      <c r="A5151" s="1" t="s">
        <v>15184</v>
      </c>
      <c r="B5151" s="1">
        <v>7.0</v>
      </c>
      <c r="C5151" s="1" t="s">
        <v>15185</v>
      </c>
      <c r="D5151" s="1" t="s">
        <v>52</v>
      </c>
      <c r="E5151" s="1" t="s">
        <v>15186</v>
      </c>
      <c r="F5151" s="1" t="str">
        <f>IFERROR(__xludf.DUMMYFUNCTION("GOOGLETRANSLATE(A5151, ""zh-CN"", ""ko"")"),"화려한")</f>
        <v>화려한</v>
      </c>
    </row>
    <row r="5152" ht="15.75" customHeight="1">
      <c r="A5152" s="1" t="s">
        <v>15187</v>
      </c>
      <c r="B5152" s="1">
        <v>7.0</v>
      </c>
      <c r="C5152" s="1" t="s">
        <v>15188</v>
      </c>
      <c r="D5152" s="1" t="s">
        <v>8</v>
      </c>
      <c r="E5152" s="1" t="s">
        <v>15189</v>
      </c>
      <c r="F5152" s="1" t="str">
        <f>IFERROR(__xludf.DUMMYFUNCTION("GOOGLETRANSLATE(A5152, ""zh-CN"", ""ko"")"),"멸종 위기에 처한")</f>
        <v>멸종 위기에 처한</v>
      </c>
    </row>
    <row r="5153" ht="15.75" customHeight="1">
      <c r="A5153" s="1" t="s">
        <v>15190</v>
      </c>
      <c r="B5153" s="1">
        <v>7.0</v>
      </c>
      <c r="C5153" s="1" t="s">
        <v>15191</v>
      </c>
      <c r="D5153" s="1" t="s">
        <v>16</v>
      </c>
      <c r="E5153" s="1" t="s">
        <v>15192</v>
      </c>
      <c r="F5153" s="1" t="str">
        <f>IFERROR(__xludf.DUMMYFUNCTION("GOOGLETRANSLATE(A5153, ""zh-CN"", ""ko"")"),"아이스크림 막대")</f>
        <v>아이스크림 막대</v>
      </c>
    </row>
    <row r="5154" ht="15.75" customHeight="1">
      <c r="A5154" s="1" t="s">
        <v>15193</v>
      </c>
      <c r="B5154" s="1">
        <v>7.0</v>
      </c>
      <c r="C5154" s="1" t="s">
        <v>15194</v>
      </c>
      <c r="E5154" s="1" t="s">
        <v>15195</v>
      </c>
      <c r="F5154" s="1" t="str">
        <f>IFERROR(__xludf.DUMMYFUNCTION("GOOGLETRANSLATE(A5154, ""zh-CN"", ""ko"")"),"빙산의 일각")</f>
        <v>빙산의 일각</v>
      </c>
    </row>
    <row r="5155" ht="15.75" customHeight="1">
      <c r="A5155" s="1" t="s">
        <v>15196</v>
      </c>
      <c r="B5155" s="1">
        <v>7.0</v>
      </c>
      <c r="C5155" s="1" t="s">
        <v>15197</v>
      </c>
      <c r="E5155" s="1" t="s">
        <v>15198</v>
      </c>
      <c r="F5155" s="1" t="str">
        <f>IFERROR(__xludf.DUMMYFUNCTION("GOOGLETRANSLATE(A5155, ""zh-CN"", ""ko"")"),"얼음과 눈")</f>
        <v>얼음과 눈</v>
      </c>
    </row>
    <row r="5156" ht="15.75" customHeight="1">
      <c r="A5156" s="1" t="s">
        <v>15199</v>
      </c>
      <c r="B5156" s="1">
        <v>7.0</v>
      </c>
      <c r="C5156" s="1" t="s">
        <v>15200</v>
      </c>
      <c r="D5156" s="1" t="s">
        <v>8</v>
      </c>
      <c r="E5156" s="1" t="s">
        <v>15201</v>
      </c>
      <c r="F5156" s="1" t="str">
        <f>IFERROR(__xludf.DUMMYFUNCTION("GOOGLETRANSLATE(A5156, ""zh-CN"", ""ko"")"),"준수하다")</f>
        <v>준수하다</v>
      </c>
    </row>
    <row r="5157" ht="15.75" customHeight="1">
      <c r="A5157" s="1" t="s">
        <v>15202</v>
      </c>
      <c r="B5157" s="1">
        <v>7.0</v>
      </c>
      <c r="C5157" s="1" t="s">
        <v>15203</v>
      </c>
      <c r="D5157" s="1" t="s">
        <v>8</v>
      </c>
      <c r="E5157" s="1" t="s">
        <v>15204</v>
      </c>
      <c r="F5157" s="1" t="str">
        <f>IFERROR(__xludf.DUMMYFUNCTION("GOOGLETRANSLATE(A5157, ""zh-CN"", ""ko"")"),"받치다")</f>
        <v>받치다</v>
      </c>
    </row>
    <row r="5158" ht="15.75" customHeight="1">
      <c r="A5158" s="1" t="s">
        <v>15205</v>
      </c>
      <c r="B5158" s="1">
        <v>7.0</v>
      </c>
      <c r="C5158" s="1" t="s">
        <v>15206</v>
      </c>
      <c r="D5158" s="1" t="s">
        <v>16</v>
      </c>
      <c r="E5158" s="1" t="s">
        <v>15207</v>
      </c>
      <c r="F5158" s="1" t="str">
        <f>IFERROR(__xludf.DUMMYFUNCTION("GOOGLETRANSLATE(A5158, ""zh-CN"", ""ko"")"),"복잡")</f>
        <v>복잡</v>
      </c>
    </row>
    <row r="5159" ht="15.75" customHeight="1">
      <c r="A5159" s="1" t="s">
        <v>15208</v>
      </c>
      <c r="B5159" s="1">
        <v>7.0</v>
      </c>
      <c r="C5159" s="1" t="s">
        <v>15209</v>
      </c>
      <c r="D5159" s="1" t="s">
        <v>8</v>
      </c>
      <c r="E5159" s="1" t="s">
        <v>15210</v>
      </c>
      <c r="F5159" s="1" t="str">
        <f>IFERROR(__xludf.DUMMYFUNCTION("GOOGLETRANSLATE(A5159, ""zh-CN"", ""ko"")"),"인수합병")</f>
        <v>인수합병</v>
      </c>
    </row>
    <row r="5160" ht="15.75" customHeight="1">
      <c r="A5160" s="1" t="s">
        <v>15211</v>
      </c>
      <c r="B5160" s="1">
        <v>7.0</v>
      </c>
      <c r="C5160" s="1" t="s">
        <v>15212</v>
      </c>
      <c r="D5160" s="1" t="s">
        <v>14992</v>
      </c>
      <c r="E5160" s="1" t="s">
        <v>15213</v>
      </c>
      <c r="F5160" s="1" t="str">
        <f>IFERROR(__xludf.DUMMYFUNCTION("GOOGLETRANSLATE(A5160, ""zh-CN"", ""ko"")"),"나란히")</f>
        <v>나란히</v>
      </c>
    </row>
    <row r="5161" ht="15.75" customHeight="1">
      <c r="A5161" s="1" t="s">
        <v>15214</v>
      </c>
      <c r="B5161" s="1">
        <v>7.0</v>
      </c>
      <c r="C5161" s="1" t="s">
        <v>15215</v>
      </c>
      <c r="D5161" s="1" t="s">
        <v>16</v>
      </c>
      <c r="E5161" s="1" t="s">
        <v>15216</v>
      </c>
      <c r="F5161" s="1" t="str">
        <f>IFERROR(__xludf.DUMMYFUNCTION("GOOGLETRANSLATE(A5161, ""zh-CN"", ""ko"")"),"의료 기록")</f>
        <v>의료 기록</v>
      </c>
    </row>
    <row r="5162" ht="15.75" customHeight="1">
      <c r="A5162" s="1" t="s">
        <v>15217</v>
      </c>
      <c r="B5162" s="1">
        <v>7.0</v>
      </c>
      <c r="C5162" s="1" t="s">
        <v>15218</v>
      </c>
      <c r="D5162" s="1" t="s">
        <v>8</v>
      </c>
      <c r="E5162" s="1" t="s">
        <v>15219</v>
      </c>
      <c r="F5162" s="1" t="str">
        <f>IFERROR(__xludf.DUMMYFUNCTION("GOOGLETRANSLATE(A5162, ""zh-CN"", ""ko"")"),"평행한")</f>
        <v>평행한</v>
      </c>
    </row>
    <row r="5163" ht="15.75" customHeight="1">
      <c r="A5163" s="1" t="s">
        <v>15220</v>
      </c>
      <c r="B5163" s="1">
        <v>7.0</v>
      </c>
      <c r="C5163" s="1" t="s">
        <v>15221</v>
      </c>
      <c r="D5163" s="1" t="s">
        <v>16</v>
      </c>
      <c r="E5163" s="1" t="s">
        <v>15222</v>
      </c>
      <c r="F5163" s="1" t="str">
        <f>IFERROR(__xludf.DUMMYFUNCTION("GOOGLETRANSLATE(A5163, ""zh-CN"", ""ko"")"),"질병")</f>
        <v>질병</v>
      </c>
    </row>
    <row r="5164" ht="15.75" customHeight="1">
      <c r="A5164" s="1" t="s">
        <v>15223</v>
      </c>
      <c r="B5164" s="1">
        <v>7.0</v>
      </c>
      <c r="C5164" s="1" t="s">
        <v>15224</v>
      </c>
      <c r="D5164" s="1" t="s">
        <v>8</v>
      </c>
      <c r="E5164" s="1" t="s">
        <v>15225</v>
      </c>
      <c r="F5164" s="1" t="str">
        <f>IFERROR(__xludf.DUMMYFUNCTION("GOOGLETRANSLATE(A5164, ""zh-CN"", ""ko"")"),"파동")</f>
        <v>파동</v>
      </c>
    </row>
    <row r="5165" ht="15.75" customHeight="1">
      <c r="A5165" s="1" t="s">
        <v>15226</v>
      </c>
      <c r="B5165" s="1">
        <v>7.0</v>
      </c>
      <c r="C5165" s="1" t="s">
        <v>15227</v>
      </c>
      <c r="D5165" s="1" t="s">
        <v>8</v>
      </c>
      <c r="E5165" s="1" t="s">
        <v>15228</v>
      </c>
      <c r="F5165" s="1" t="str">
        <f>IFERROR(__xludf.DUMMYFUNCTION("GOOGLETRANSLATE(A5165, ""zh-CN"", ""ko"")"),"박탈")</f>
        <v>박탈</v>
      </c>
    </row>
    <row r="5166" ht="15.75" customHeight="1">
      <c r="A5166" s="1" t="s">
        <v>15229</v>
      </c>
      <c r="B5166" s="1">
        <v>7.0</v>
      </c>
      <c r="C5166" s="1" t="s">
        <v>15230</v>
      </c>
      <c r="D5166" s="1" t="s">
        <v>8</v>
      </c>
      <c r="E5166" s="1" t="s">
        <v>15231</v>
      </c>
      <c r="F5166" s="1" t="str">
        <f>IFERROR(__xludf.DUMMYFUNCTION("GOOGLETRANSLATE(A5166, ""zh-CN"", ""ko"")"),"확산")</f>
        <v>확산</v>
      </c>
    </row>
    <row r="5167" ht="15.75" customHeight="1">
      <c r="A5167" s="1" t="s">
        <v>15232</v>
      </c>
      <c r="B5167" s="1">
        <v>7.0</v>
      </c>
      <c r="C5167" s="1" t="s">
        <v>15233</v>
      </c>
      <c r="D5167" s="1" t="s">
        <v>16</v>
      </c>
      <c r="E5167" s="1" t="s">
        <v>15234</v>
      </c>
      <c r="F5167" s="1" t="str">
        <f>IFERROR(__xludf.DUMMYFUNCTION("GOOGLETRANSLATE(A5167, ""zh-CN"", ""ko"")"),"자금 조달")</f>
        <v>자금 조달</v>
      </c>
    </row>
    <row r="5168" ht="15.75" customHeight="1">
      <c r="A5168" s="1" t="s">
        <v>15235</v>
      </c>
      <c r="B5168" s="1">
        <v>7.0</v>
      </c>
      <c r="C5168" s="1" t="s">
        <v>15236</v>
      </c>
      <c r="D5168" s="1" t="s">
        <v>16</v>
      </c>
      <c r="E5168" s="1" t="s">
        <v>15237</v>
      </c>
      <c r="F5168" s="1" t="str">
        <f>IFERROR(__xludf.DUMMYFUNCTION("GOOGLETRANSLATE(A5168, ""zh-CN"", ""ko"")"),"파도")</f>
        <v>파도</v>
      </c>
    </row>
    <row r="5169" ht="15.75" customHeight="1">
      <c r="A5169" s="1" t="s">
        <v>15238</v>
      </c>
      <c r="B5169" s="1">
        <v>7.0</v>
      </c>
      <c r="C5169" s="1" t="s">
        <v>15239</v>
      </c>
      <c r="D5169" s="1" t="s">
        <v>16</v>
      </c>
      <c r="E5169" s="1" t="s">
        <v>15240</v>
      </c>
      <c r="F5169" s="1" t="str">
        <f>IFERROR(__xludf.DUMMYFUNCTION("GOOGLETRANSLATE(A5169, ""zh-CN"", ""ko"")"),"굴곡과 변화")</f>
        <v>굴곡과 변화</v>
      </c>
    </row>
    <row r="5170" ht="15.75" customHeight="1">
      <c r="A5170" s="1" t="s">
        <v>15241</v>
      </c>
      <c r="B5170" s="1">
        <v>7.0</v>
      </c>
      <c r="C5170" s="1" t="s">
        <v>15242</v>
      </c>
      <c r="D5170" s="1" t="s">
        <v>16</v>
      </c>
      <c r="E5170" s="1" t="s">
        <v>15243</v>
      </c>
      <c r="F5170" s="1" t="str">
        <f>IFERROR(__xludf.DUMMYFUNCTION("GOOGLETRANSLATE(A5170, ""zh-CN"", ""ko"")"),"삼촌")</f>
        <v>삼촌</v>
      </c>
    </row>
    <row r="5171" ht="15.75" customHeight="1">
      <c r="A5171" s="1" t="s">
        <v>15244</v>
      </c>
      <c r="B5171" s="1">
        <v>7.0</v>
      </c>
      <c r="C5171" s="1" t="s">
        <v>15245</v>
      </c>
      <c r="D5171" s="1" t="s">
        <v>16</v>
      </c>
      <c r="E5171" s="1" t="s">
        <v>15243</v>
      </c>
      <c r="F5171" s="1" t="str">
        <f>IFERROR(__xludf.DUMMYFUNCTION("GOOGLETRANSLATE(A5171, ""zh-CN"", ""ko"")"),"삼촌")</f>
        <v>삼촌</v>
      </c>
    </row>
    <row r="5172" ht="15.75" customHeight="1">
      <c r="A5172" s="1" t="s">
        <v>15246</v>
      </c>
      <c r="B5172" s="1">
        <v>7.0</v>
      </c>
      <c r="C5172" s="1" t="s">
        <v>15247</v>
      </c>
      <c r="D5172" s="1" t="s">
        <v>8</v>
      </c>
      <c r="E5172" s="1" t="s">
        <v>15248</v>
      </c>
      <c r="F5172" s="1" t="str">
        <f>IFERROR(__xludf.DUMMYFUNCTION("GOOGLETRANSLATE(A5172, ""zh-CN"", ""ko"")"),"거절하다")</f>
        <v>거절하다</v>
      </c>
    </row>
    <row r="5173" ht="15.75" customHeight="1">
      <c r="A5173" s="1" t="s">
        <v>15249</v>
      </c>
      <c r="B5173" s="1">
        <v>7.0</v>
      </c>
      <c r="C5173" s="1" t="s">
        <v>15250</v>
      </c>
      <c r="D5173" s="1" t="s">
        <v>52</v>
      </c>
      <c r="E5173" s="1" t="s">
        <v>15251</v>
      </c>
      <c r="F5173" s="1" t="str">
        <f>IFERROR(__xludf.DUMMYFUNCTION("GOOGLETRANSLATE(A5173, ""zh-CN"", ""ko"")"),"배웠다")</f>
        <v>배웠다</v>
      </c>
    </row>
    <row r="5174" ht="15.75" customHeight="1">
      <c r="A5174" s="1" t="s">
        <v>15252</v>
      </c>
      <c r="B5174" s="1">
        <v>7.0</v>
      </c>
      <c r="C5174" s="1" t="s">
        <v>15253</v>
      </c>
      <c r="D5174" s="1" t="s">
        <v>8</v>
      </c>
      <c r="E5174" s="1" t="s">
        <v>15254</v>
      </c>
      <c r="F5174" s="1" t="str">
        <f>IFERROR(__xludf.DUMMYFUNCTION("GOOGLETRANSLATE(A5174, ""zh-CN"", ""ko"")"),"게임 이론")</f>
        <v>게임 이론</v>
      </c>
    </row>
    <row r="5175" ht="15.75" customHeight="1">
      <c r="A5175" s="1" t="s">
        <v>15255</v>
      </c>
      <c r="B5175" s="1">
        <v>7.0</v>
      </c>
      <c r="C5175" s="1" t="s">
        <v>15256</v>
      </c>
      <c r="D5175" s="1" t="s">
        <v>15257</v>
      </c>
      <c r="E5175" s="1" t="s">
        <v>15258</v>
      </c>
      <c r="F5175" s="1" t="str">
        <f>IFERROR(__xludf.DUMMYFUNCTION("GOOGLETRANSLATE(A5175, ""zh-CN"", ""ko"")"),"무기한")</f>
        <v>무기한</v>
      </c>
    </row>
    <row r="5176" ht="15.75" customHeight="1">
      <c r="A5176" s="1" t="s">
        <v>15259</v>
      </c>
      <c r="B5176" s="1">
        <v>7.0</v>
      </c>
      <c r="C5176" s="1" t="s">
        <v>15260</v>
      </c>
      <c r="D5176" s="1" t="s">
        <v>52</v>
      </c>
      <c r="E5176" s="1" t="s">
        <v>15261</v>
      </c>
      <c r="F5176" s="1" t="str">
        <f>IFERROR(__xludf.DUMMYFUNCTION("GOOGLETRANSLATE(A5176, ""zh-CN"", ""ko"")"),"효과적인")</f>
        <v>효과적인</v>
      </c>
    </row>
    <row r="5177" ht="15.75" customHeight="1">
      <c r="A5177" s="1" t="s">
        <v>15262</v>
      </c>
      <c r="B5177" s="1">
        <v>7.0</v>
      </c>
      <c r="C5177" s="1" t="s">
        <v>15263</v>
      </c>
      <c r="D5177" s="1" t="s">
        <v>52</v>
      </c>
      <c r="E5177" s="1" t="s">
        <v>15264</v>
      </c>
      <c r="F5177" s="1" t="str">
        <f>IFERROR(__xludf.DUMMYFUNCTION("GOOGLETRANSLATE(A5177, ""zh-CN"", ""ko"")"),"이건 안 좋은 일이야.")</f>
        <v>이건 안 좋은 일이야.</v>
      </c>
    </row>
    <row r="5178" ht="15.75" customHeight="1">
      <c r="A5178" s="1" t="s">
        <v>15265</v>
      </c>
      <c r="B5178" s="1">
        <v>7.0</v>
      </c>
      <c r="C5178" s="1" t="s">
        <v>15266</v>
      </c>
      <c r="D5178" s="1" t="s">
        <v>52</v>
      </c>
      <c r="E5178" s="1" t="s">
        <v>15267</v>
      </c>
      <c r="F5178" s="1" t="str">
        <f>IFERROR(__xludf.DUMMYFUNCTION("GOOGLETRANSLATE(A5178, ""zh-CN"", ""ko"")"),"마구")</f>
        <v>마구</v>
      </c>
    </row>
    <row r="5179" ht="15.75" customHeight="1">
      <c r="A5179" s="1" t="s">
        <v>15268</v>
      </c>
      <c r="B5179" s="1">
        <v>7.0</v>
      </c>
      <c r="C5179" s="1" t="s">
        <v>15269</v>
      </c>
      <c r="D5179" s="1" t="s">
        <v>8</v>
      </c>
      <c r="E5179" s="1" t="s">
        <v>15270</v>
      </c>
      <c r="F5179" s="1" t="str">
        <f>IFERROR(__xludf.DUMMYFUNCTION("GOOGLETRANSLATE(A5179, ""zh-CN"", ""ko"")"),"포함되지 않음")</f>
        <v>포함되지 않음</v>
      </c>
    </row>
    <row r="5180" ht="15.75" customHeight="1">
      <c r="A5180" s="1" t="s">
        <v>15271</v>
      </c>
      <c r="B5180" s="1">
        <v>7.0</v>
      </c>
      <c r="C5180" s="1" t="s">
        <v>15272</v>
      </c>
      <c r="D5180" s="1" t="s">
        <v>8</v>
      </c>
      <c r="E5180" s="1" t="s">
        <v>15273</v>
      </c>
      <c r="F5180" s="1" t="str">
        <f>IFERROR(__xludf.DUMMYFUNCTION("GOOGLETRANSLATE(A5180, ""zh-CN"", ""ko"")"),"경멸감")</f>
        <v>경멸감</v>
      </c>
    </row>
    <row r="5181" ht="15.75" customHeight="1">
      <c r="A5181" s="1" t="s">
        <v>15274</v>
      </c>
      <c r="B5181" s="1">
        <v>7.0</v>
      </c>
      <c r="C5181" s="1" t="s">
        <v>15272</v>
      </c>
      <c r="D5181" s="1" t="s">
        <v>52</v>
      </c>
      <c r="E5181" s="1" t="s">
        <v>15275</v>
      </c>
      <c r="F5181" s="1" t="str">
        <f>IFERROR(__xludf.DUMMYFUNCTION("GOOGLETRANSLATE(A5181, ""zh-CN"", ""ko"")"),"끊임없이")</f>
        <v>끊임없이</v>
      </c>
    </row>
    <row r="5182" ht="15.75" customHeight="1">
      <c r="A5182" s="1" t="s">
        <v>15276</v>
      </c>
      <c r="B5182" s="1">
        <v>7.0</v>
      </c>
      <c r="C5182" s="1" t="s">
        <v>15277</v>
      </c>
      <c r="D5182" s="1" t="s">
        <v>8</v>
      </c>
      <c r="E5182" s="1" t="s">
        <v>15278</v>
      </c>
      <c r="F5182" s="1" t="str">
        <f>IFERROR(__xludf.DUMMYFUNCTION("GOOGLETRANSLATE(A5182, ""zh-CN"", ""ko"")"),"적어도")</f>
        <v>적어도</v>
      </c>
    </row>
    <row r="5183" ht="15.75" customHeight="1">
      <c r="A5183" s="1" t="s">
        <v>15279</v>
      </c>
      <c r="B5183" s="1">
        <v>7.0</v>
      </c>
      <c r="C5183" s="1" t="s">
        <v>15280</v>
      </c>
      <c r="E5183" s="1" t="s">
        <v>15281</v>
      </c>
      <c r="F5183" s="1" t="str">
        <f>IFERROR(__xludf.DUMMYFUNCTION("GOOGLETRANSLATE(A5183, ""zh-CN"", ""ko"")"),"사라진")</f>
        <v>사라진</v>
      </c>
    </row>
    <row r="5184" ht="15.75" customHeight="1">
      <c r="A5184" s="1" t="s">
        <v>15282</v>
      </c>
      <c r="B5184" s="1">
        <v>7.0</v>
      </c>
      <c r="C5184" s="1" t="s">
        <v>15283</v>
      </c>
      <c r="E5184" s="1" t="s">
        <v>15284</v>
      </c>
      <c r="F5184" s="1" t="str">
        <f>IFERROR(__xludf.DUMMYFUNCTION("GOOGLETRANSLATE(A5184, ""zh-CN"", ""ko"")"),"정말 멋지지 않나요?")</f>
        <v>정말 멋지지 않나요?</v>
      </c>
    </row>
    <row r="5185" ht="15.75" customHeight="1">
      <c r="A5185" s="1" t="s">
        <v>15285</v>
      </c>
      <c r="B5185" s="1">
        <v>7.0</v>
      </c>
      <c r="C5185" s="1" t="s">
        <v>15286</v>
      </c>
      <c r="E5185" s="1" t="s">
        <v>15287</v>
      </c>
      <c r="F5185" s="1" t="str">
        <f>IFERROR(__xludf.DUMMYFUNCTION("GOOGLETRANSLATE(A5185, ""zh-CN"", ""ko"")"),"건강에 해로운 관행")</f>
        <v>건강에 해로운 관행</v>
      </c>
    </row>
    <row r="5186" ht="15.75" customHeight="1">
      <c r="A5186" s="1" t="s">
        <v>15288</v>
      </c>
      <c r="B5186" s="1">
        <v>7.0</v>
      </c>
      <c r="C5186" s="1" t="s">
        <v>15289</v>
      </c>
      <c r="D5186" s="1" t="s">
        <v>8</v>
      </c>
      <c r="E5186" s="1" t="s">
        <v>15290</v>
      </c>
      <c r="F5186" s="1" t="str">
        <f>IFERROR(__xludf.DUMMYFUNCTION("GOOGLETRANSLATE(A5186, ""zh-CN"", ""ko"")"),"포착")</f>
        <v>포착</v>
      </c>
    </row>
    <row r="5187" ht="15.75" customHeight="1">
      <c r="A5187" s="1" t="s">
        <v>15291</v>
      </c>
      <c r="B5187" s="1">
        <v>7.0</v>
      </c>
      <c r="C5187" s="1" t="s">
        <v>15292</v>
      </c>
      <c r="D5187" s="1" t="s">
        <v>14870</v>
      </c>
      <c r="E5187" s="1" t="s">
        <v>15293</v>
      </c>
      <c r="F5187" s="1" t="str">
        <f>IFERROR(__xludf.DUMMYFUNCTION("GOOGLETRANSLATE(A5187, ""zh-CN"", ""ko"")"),"공급")</f>
        <v>공급</v>
      </c>
    </row>
    <row r="5188" ht="15.75" customHeight="1">
      <c r="A5188" s="1" t="s">
        <v>15294</v>
      </c>
      <c r="B5188" s="1">
        <v>7.0</v>
      </c>
      <c r="C5188" s="1" t="s">
        <v>15295</v>
      </c>
      <c r="D5188" s="1" t="s">
        <v>8</v>
      </c>
      <c r="E5188" s="1" t="s">
        <v>15296</v>
      </c>
      <c r="F5188" s="1" t="str">
        <f>IFERROR(__xludf.DUMMYFUNCTION("GOOGLETRANSLATE(A5188, ""zh-CN"", ""ko"")"),"먹이")</f>
        <v>먹이</v>
      </c>
    </row>
    <row r="5189" ht="15.75" customHeight="1">
      <c r="A5189" s="1" t="s">
        <v>15297</v>
      </c>
      <c r="B5189" s="1">
        <v>7.0</v>
      </c>
      <c r="C5189" s="1" t="s">
        <v>15298</v>
      </c>
      <c r="D5189" s="1" t="s">
        <v>8</v>
      </c>
      <c r="E5189" s="1" t="s">
        <v>15299</v>
      </c>
      <c r="F5189" s="1" t="str">
        <f>IFERROR(__xludf.DUMMYFUNCTION("GOOGLETRANSLATE(A5189, ""zh-CN"", ""ko"")"),"양육")</f>
        <v>양육</v>
      </c>
    </row>
    <row r="5190" ht="15.75" customHeight="1">
      <c r="A5190" s="1" t="s">
        <v>15300</v>
      </c>
      <c r="B5190" s="1">
        <v>7.0</v>
      </c>
      <c r="C5190" s="1" t="s">
        <v>15301</v>
      </c>
      <c r="D5190" s="1" t="s">
        <v>14870</v>
      </c>
      <c r="E5190" s="1" t="s">
        <v>15302</v>
      </c>
      <c r="F5190" s="1" t="str">
        <f>IFERROR(__xludf.DUMMYFUNCTION("GOOGLETRANSLATE(A5190, ""zh-CN"", ""ko"")"),"보조금")</f>
        <v>보조금</v>
      </c>
    </row>
    <row r="5191" ht="15.75" customHeight="1">
      <c r="A5191" s="1" t="s">
        <v>15303</v>
      </c>
      <c r="B5191" s="1">
        <v>7.0</v>
      </c>
      <c r="C5191" s="1" t="s">
        <v>15304</v>
      </c>
      <c r="E5191" s="1" t="s">
        <v>15305</v>
      </c>
      <c r="F5191" s="1" t="str">
        <f>IFERROR(__xludf.DUMMYFUNCTION("GOOGLETRANSLATE(A5191, ""zh-CN"", ""ko"")"),"질문하는 것을 부끄러워하지 않습니다")</f>
        <v>질문하는 것을 부끄러워하지 않습니다</v>
      </c>
    </row>
    <row r="5192" ht="15.75" customHeight="1">
      <c r="A5192" s="1" t="s">
        <v>15306</v>
      </c>
      <c r="B5192" s="1">
        <v>7.0</v>
      </c>
      <c r="C5192" s="1" t="s">
        <v>15307</v>
      </c>
      <c r="E5192" s="1" t="s">
        <v>15308</v>
      </c>
      <c r="F5192" s="1" t="str">
        <f>IFERROR(__xludf.DUMMYFUNCTION("GOOGLETRANSLATE(A5192, ""zh-CN"", ""ko"")"),"작별 인사도 없이 떠나다")</f>
        <v>작별 인사도 없이 떠나다</v>
      </c>
    </row>
    <row r="5193" ht="15.75" customHeight="1">
      <c r="A5193" s="1" t="s">
        <v>15309</v>
      </c>
      <c r="B5193" s="1">
        <v>7.0</v>
      </c>
      <c r="C5193" s="1" t="s">
        <v>15310</v>
      </c>
      <c r="D5193" s="1" t="s">
        <v>52</v>
      </c>
      <c r="E5193" s="1" t="s">
        <v>15311</v>
      </c>
      <c r="F5193" s="1" t="str">
        <f>IFERROR(__xludf.DUMMYFUNCTION("GOOGLETRANSLATE(A5193, ""zh-CN"", ""ko"")"),"부적절한")</f>
        <v>부적절한</v>
      </c>
    </row>
    <row r="5194" ht="15.75" customHeight="1">
      <c r="A5194" s="1" t="s">
        <v>15312</v>
      </c>
      <c r="B5194" s="1">
        <v>7.0</v>
      </c>
      <c r="C5194" s="1" t="s">
        <v>15313</v>
      </c>
      <c r="E5194" s="1" t="s">
        <v>15314</v>
      </c>
      <c r="F5194" s="1" t="str">
        <f>IFERROR(__xludf.DUMMYFUNCTION("GOOGLETRANSLATE(A5194, ""zh-CN"", ""ko"")"),"알려지지 않은")</f>
        <v>알려지지 않은</v>
      </c>
    </row>
    <row r="5195" ht="15.75" customHeight="1">
      <c r="A5195" s="1" t="s">
        <v>15315</v>
      </c>
      <c r="B5195" s="1">
        <v>7.0</v>
      </c>
      <c r="C5195" s="1" t="s">
        <v>15316</v>
      </c>
      <c r="D5195" s="1" t="s">
        <v>16</v>
      </c>
      <c r="E5195" s="1" t="s">
        <v>15317</v>
      </c>
      <c r="F5195" s="1" t="str">
        <f>IFERROR(__xludf.DUMMYFUNCTION("GOOGLETRANSLATE(A5195, ""zh-CN"", ""ko"")"),"부동산")</f>
        <v>부동산</v>
      </c>
    </row>
    <row r="5196" ht="15.75" customHeight="1">
      <c r="A5196" s="1" t="s">
        <v>15318</v>
      </c>
      <c r="B5196" s="1">
        <v>7.0</v>
      </c>
      <c r="C5196" s="1" t="s">
        <v>7828</v>
      </c>
      <c r="D5196" s="1" t="s">
        <v>8</v>
      </c>
      <c r="E5196" s="1" t="s">
        <v>15319</v>
      </c>
      <c r="F5196" s="1" t="str">
        <f>IFERROR(__xludf.DUMMYFUNCTION("GOOGLETRANSLATE(A5196, ""zh-CN"", ""ko"")"),"부족하지 않음")</f>
        <v>부족하지 않음</v>
      </c>
    </row>
    <row r="5197" ht="15.75" customHeight="1">
      <c r="A5197" s="1" t="s">
        <v>15320</v>
      </c>
      <c r="B5197" s="1">
        <v>7.0</v>
      </c>
      <c r="C5197" s="1" t="s">
        <v>15321</v>
      </c>
      <c r="D5197" s="1" t="s">
        <v>52</v>
      </c>
      <c r="E5197" s="1" t="s">
        <v>15322</v>
      </c>
      <c r="F5197" s="1" t="str">
        <f>IFERROR(__xludf.DUMMYFUNCTION("GOOGLETRANSLATE(A5197, ""zh-CN"", ""ko"")"),"불법적인")</f>
        <v>불법적인</v>
      </c>
    </row>
    <row r="5198" ht="15.75" customHeight="1">
      <c r="A5198" s="1" t="s">
        <v>15323</v>
      </c>
      <c r="B5198" s="1">
        <v>7.0</v>
      </c>
      <c r="C5198" s="1" t="s">
        <v>15324</v>
      </c>
      <c r="D5198" s="1" t="s">
        <v>8</v>
      </c>
      <c r="E5198" s="1" t="s">
        <v>15325</v>
      </c>
      <c r="F5198" s="1" t="str">
        <f>IFERROR(__xludf.DUMMYFUNCTION("GOOGLETRANSLATE(A5198, ""zh-CN"", ""ko"")"),"불만족스러운")</f>
        <v>불만족스러운</v>
      </c>
    </row>
    <row r="5199" ht="15.75" customHeight="1">
      <c r="A5199" s="1" t="s">
        <v>15326</v>
      </c>
      <c r="B5199" s="1">
        <v>7.0</v>
      </c>
      <c r="C5199" s="1" t="s">
        <v>15327</v>
      </c>
      <c r="D5199" s="1" t="s">
        <v>8</v>
      </c>
      <c r="E5199" s="1" t="s">
        <v>15328</v>
      </c>
      <c r="F5199" s="1" t="str">
        <f>IFERROR(__xludf.DUMMYFUNCTION("GOOGLETRANSLATE(A5199, ""zh-CN"", ""ko"")"),"~만큼 좋지는 않다")</f>
        <v>~만큼 좋지는 않다</v>
      </c>
    </row>
    <row r="5200" ht="15.75" customHeight="1">
      <c r="A5200" s="1" t="s">
        <v>15329</v>
      </c>
      <c r="B5200" s="1">
        <v>7.0</v>
      </c>
      <c r="C5200" s="1" t="s">
        <v>15330</v>
      </c>
      <c r="E5200" s="1" t="s">
        <v>15331</v>
      </c>
      <c r="F5200" s="1" t="str">
        <f>IFERROR(__xludf.DUMMYFUNCTION("GOOGLETRANSLATE(A5200, ""zh-CN"", ""ko"")"),"생각하지 않고")</f>
        <v>생각하지 않고</v>
      </c>
    </row>
    <row r="5201" ht="15.75" customHeight="1">
      <c r="A5201" s="1" t="s">
        <v>15332</v>
      </c>
      <c r="B5201" s="1">
        <v>7.0</v>
      </c>
      <c r="C5201" s="1" t="s">
        <v>15333</v>
      </c>
      <c r="D5201" s="1" t="s">
        <v>16</v>
      </c>
      <c r="E5201" s="1" t="s">
        <v>15334</v>
      </c>
      <c r="F5201" s="1" t="str">
        <f>IFERROR(__xludf.DUMMYFUNCTION("GOOGLETRANSLATE(A5201, ""zh-CN"", ""ko"")"),"부분")</f>
        <v>부분</v>
      </c>
    </row>
    <row r="5202" ht="15.75" customHeight="1">
      <c r="A5202" s="1" t="s">
        <v>15335</v>
      </c>
      <c r="B5202" s="1">
        <v>7.0</v>
      </c>
      <c r="C5202" s="1" t="s">
        <v>15336</v>
      </c>
      <c r="D5202" s="1" t="s">
        <v>8</v>
      </c>
      <c r="E5202" s="1" t="s">
        <v>15337</v>
      </c>
      <c r="F5202" s="1" t="str">
        <f>IFERROR(__xludf.DUMMYFUNCTION("GOOGLETRANSLATE(A5202, ""zh-CN"", ""ko"")"),"수수께끼 같은")</f>
        <v>수수께끼 같은</v>
      </c>
    </row>
    <row r="5203" ht="15.75" customHeight="1">
      <c r="A5203" s="1" t="s">
        <v>15338</v>
      </c>
      <c r="B5203" s="1">
        <v>7.0</v>
      </c>
      <c r="C5203" s="1" t="s">
        <v>15339</v>
      </c>
      <c r="D5203" s="1" t="s">
        <v>8</v>
      </c>
      <c r="E5203" s="1" t="s">
        <v>15340</v>
      </c>
      <c r="F5203" s="1" t="str">
        <f>IFERROR(__xludf.DUMMYFUNCTION("GOOGLETRANSLATE(A5203, ""zh-CN"", ""ko"")"),"의도치 않게")</f>
        <v>의도치 않게</v>
      </c>
    </row>
    <row r="5204" ht="15.75" customHeight="1">
      <c r="A5204" s="1" t="s">
        <v>15341</v>
      </c>
      <c r="B5204" s="1">
        <v>7.0</v>
      </c>
      <c r="C5204" s="1" t="s">
        <v>15342</v>
      </c>
      <c r="D5204" s="1" t="s">
        <v>52</v>
      </c>
      <c r="E5204" s="1" t="s">
        <v>15343</v>
      </c>
      <c r="F5204" s="1" t="str">
        <f>IFERROR(__xludf.DUMMYFUNCTION("GOOGLETRANSLATE(A5204, ""zh-CN"", ""ko"")"),"경기 후퇴")</f>
        <v>경기 후퇴</v>
      </c>
    </row>
    <row r="5205" ht="15.75" customHeight="1">
      <c r="A5205" s="1" t="s">
        <v>15344</v>
      </c>
      <c r="B5205" s="1">
        <v>7.0</v>
      </c>
      <c r="C5205" s="1" t="s">
        <v>15345</v>
      </c>
      <c r="E5205" s="1" t="s">
        <v>15346</v>
      </c>
      <c r="F5205" s="1" t="str">
        <f>IFERROR(__xludf.DUMMYFUNCTION("GOOGLETRANSLATE(A5205, ""zh-CN"", ""ko"")"),"없어서는 안될")</f>
        <v>없어서는 안될</v>
      </c>
    </row>
    <row r="5206" ht="15.75" customHeight="1">
      <c r="A5206" s="1" t="s">
        <v>15347</v>
      </c>
      <c r="B5206" s="1">
        <v>7.0</v>
      </c>
      <c r="C5206" s="1" t="s">
        <v>15348</v>
      </c>
      <c r="E5206" s="1" t="s">
        <v>15349</v>
      </c>
      <c r="F5206" s="1" t="str">
        <f>IFERROR(__xludf.DUMMYFUNCTION("GOOGLETRANSLATE(A5206, ""zh-CN"", ""ko"")"),"결론 없이 끝났다.")</f>
        <v>결론 없이 끝났다.</v>
      </c>
    </row>
    <row r="5207" ht="15.75" customHeight="1">
      <c r="A5207" s="1" t="s">
        <v>15350</v>
      </c>
      <c r="B5207" s="1">
        <v>7.0</v>
      </c>
      <c r="C5207" s="1" t="s">
        <v>15351</v>
      </c>
      <c r="D5207" s="1" t="s">
        <v>15352</v>
      </c>
      <c r="E5207" s="1" t="s">
        <v>15353</v>
      </c>
      <c r="F5207" s="1" t="str">
        <f>IFERROR(__xludf.DUMMYFUNCTION("GOOGLETRANSLATE(A5207, ""zh-CN"", ""ko"")"),"부당")</f>
        <v>부당</v>
      </c>
    </row>
    <row r="5208" ht="15.75" customHeight="1">
      <c r="A5208" s="1" t="s">
        <v>15354</v>
      </c>
      <c r="B5208" s="1">
        <v>7.0</v>
      </c>
      <c r="C5208" s="1" t="s">
        <v>15355</v>
      </c>
      <c r="D5208" s="1" t="s">
        <v>8</v>
      </c>
      <c r="E5208" s="1" t="s">
        <v>15356</v>
      </c>
      <c r="F5208" s="1" t="str">
        <f>IFERROR(__xludf.DUMMYFUNCTION("GOOGLETRANSLATE(A5208, ""zh-CN"", ""ko"")"),"허용되지 않음")</f>
        <v>허용되지 않음</v>
      </c>
    </row>
    <row r="5209" ht="15.75" customHeight="1">
      <c r="A5209" s="1" t="s">
        <v>15357</v>
      </c>
      <c r="B5209" s="1">
        <v>7.0</v>
      </c>
      <c r="C5209" s="1" t="s">
        <v>15358</v>
      </c>
      <c r="D5209" s="1" t="s">
        <v>8</v>
      </c>
      <c r="E5209" s="1" t="s">
        <v>15359</v>
      </c>
      <c r="F5209" s="1" t="str">
        <f>IFERROR(__xludf.DUMMYFUNCTION("GOOGLETRANSLATE(A5209, ""zh-CN"", ""ko"")"),"안으로 들어가세요")</f>
        <v>안으로 들어가세요</v>
      </c>
    </row>
    <row r="5210" ht="15.75" customHeight="1">
      <c r="A5210" s="1" t="s">
        <v>15360</v>
      </c>
      <c r="B5210" s="1">
        <v>7.0</v>
      </c>
      <c r="C5210" s="1" t="s">
        <v>15361</v>
      </c>
      <c r="D5210" s="1" t="s">
        <v>16</v>
      </c>
      <c r="E5210" s="1" t="s">
        <v>15362</v>
      </c>
      <c r="F5210" s="1" t="str">
        <f>IFERROR(__xludf.DUMMYFUNCTION("GOOGLETRANSLATE(A5210, ""zh-CN"", ""ko"")"),"근본적인")</f>
        <v>근본적인</v>
      </c>
    </row>
    <row r="5211" ht="15.75" customHeight="1">
      <c r="A5211" s="1" t="s">
        <v>15363</v>
      </c>
      <c r="B5211" s="1">
        <v>7.0</v>
      </c>
      <c r="C5211" s="1" t="s">
        <v>15364</v>
      </c>
      <c r="D5211" s="1" t="s">
        <v>8</v>
      </c>
      <c r="E5211" s="1" t="s">
        <v>15365</v>
      </c>
      <c r="F5211" s="1" t="str">
        <f>IFERROR(__xludf.DUMMYFUNCTION("GOOGLETRANSLATE(A5211, ""zh-CN"", ""ko"")"),"아래로 내려가지 않음")</f>
        <v>아래로 내려가지 않음</v>
      </c>
    </row>
    <row r="5212" ht="15.75" customHeight="1">
      <c r="A5212" s="1" t="s">
        <v>15366</v>
      </c>
      <c r="B5212" s="1">
        <v>7.0</v>
      </c>
      <c r="C5212" s="1" t="s">
        <v>15367</v>
      </c>
      <c r="D5212" s="1" t="s">
        <v>52</v>
      </c>
      <c r="E5212" s="1" t="s">
        <v>15368</v>
      </c>
      <c r="F5212" s="1" t="str">
        <f>IFERROR(__xludf.DUMMYFUNCTION("GOOGLETRANSLATE(A5212, ""zh-CN"", ""ko"")"),"가치 없는")</f>
        <v>가치 없는</v>
      </c>
    </row>
    <row r="5213" ht="15.75" customHeight="1">
      <c r="A5213" s="1" t="s">
        <v>15369</v>
      </c>
      <c r="B5213" s="1">
        <v>7.0</v>
      </c>
      <c r="C5213" s="1" t="s">
        <v>15370</v>
      </c>
      <c r="E5213" s="1" t="s">
        <v>15371</v>
      </c>
      <c r="F5213" s="1" t="str">
        <f>IFERROR(__xludf.DUMMYFUNCTION("GOOGLETRANSLATE(A5213, ""zh-CN"", ""ko"")"),"지치지 않고")</f>
        <v>지치지 않고</v>
      </c>
    </row>
    <row r="5214" ht="15.75" customHeight="1">
      <c r="A5214" s="1" t="s">
        <v>15372</v>
      </c>
      <c r="B5214" s="1">
        <v>7.0</v>
      </c>
      <c r="C5214" s="1" t="s">
        <v>15373</v>
      </c>
      <c r="E5214" s="1" t="s">
        <v>15374</v>
      </c>
      <c r="F5214" s="1" t="str">
        <f>IFERROR(__xludf.DUMMYFUNCTION("GOOGLETRANSLATE(A5214, ""zh-CN"", ""ko"")"),"맞지 않다")</f>
        <v>맞지 않다</v>
      </c>
    </row>
    <row r="5215" ht="15.75" customHeight="1">
      <c r="A5215" s="1" t="s">
        <v>15375</v>
      </c>
      <c r="B5215" s="1">
        <v>7.0</v>
      </c>
      <c r="C5215" s="1" t="s">
        <v>15376</v>
      </c>
      <c r="E5215" s="1" t="s">
        <v>15377</v>
      </c>
      <c r="F5215" s="1" t="str">
        <f>IFERROR(__xludf.DUMMYFUNCTION("GOOGLETRANSLATE(A5215, ""zh-CN"", ""ko"")"),"비자발적으로")</f>
        <v>비자발적으로</v>
      </c>
    </row>
    <row r="5216" ht="15.75" customHeight="1">
      <c r="A5216" s="1" t="s">
        <v>15378</v>
      </c>
      <c r="B5216" s="1">
        <v>7.0</v>
      </c>
      <c r="C5216" s="1" t="s">
        <v>15379</v>
      </c>
      <c r="D5216" s="1" t="s">
        <v>8</v>
      </c>
      <c r="E5216" s="1" t="s">
        <v>15380</v>
      </c>
      <c r="F5216" s="1" t="str">
        <f>IFERROR(__xludf.DUMMYFUNCTION("GOOGLETRANSLATE(A5216, ""zh-CN"", ""ko"")"),"주어지지 않음")</f>
        <v>주어지지 않음</v>
      </c>
    </row>
    <row r="5217" ht="15.75" customHeight="1">
      <c r="A5217" s="1" t="s">
        <v>15381</v>
      </c>
      <c r="B5217" s="1">
        <v>7.0</v>
      </c>
      <c r="C5217" s="1" t="s">
        <v>15382</v>
      </c>
      <c r="E5217" s="1" t="s">
        <v>15383</v>
      </c>
      <c r="F5217" s="1" t="str">
        <f>IFERROR(__xludf.DUMMYFUNCTION("GOOGLETRANSLATE(A5217, ""zh-CN"", ""ko"")"),"만장일치로")</f>
        <v>만장일치로</v>
      </c>
    </row>
    <row r="5218" ht="15.75" customHeight="1">
      <c r="A5218" s="1" t="s">
        <v>15384</v>
      </c>
      <c r="B5218" s="1">
        <v>7.0</v>
      </c>
      <c r="C5218" s="1" t="s">
        <v>15385</v>
      </c>
      <c r="E5218" s="1" t="s">
        <v>15386</v>
      </c>
      <c r="F5218" s="1" t="str">
        <f>IFERROR(__xludf.DUMMYFUNCTION("GOOGLETRANSLATE(A5218, ""zh-CN"", ""ko"")"),"틀림없이")</f>
        <v>틀림없이</v>
      </c>
    </row>
    <row r="5219" ht="15.75" customHeight="1">
      <c r="A5219" s="1" t="s">
        <v>15387</v>
      </c>
      <c r="B5219" s="1">
        <v>7.0</v>
      </c>
      <c r="C5219" s="1" t="s">
        <v>15388</v>
      </c>
      <c r="E5219" s="1" t="s">
        <v>15389</v>
      </c>
      <c r="F5219" s="1" t="str">
        <f>IFERROR(__xludf.DUMMYFUNCTION("GOOGLETRANSLATE(A5219, ""zh-CN"", ""ko"")"),"무의식적으로")</f>
        <v>무의식적으로</v>
      </c>
    </row>
    <row r="5220" ht="15.75" customHeight="1">
      <c r="A5220" s="1" t="s">
        <v>15390</v>
      </c>
      <c r="B5220" s="1">
        <v>7.0</v>
      </c>
      <c r="C5220" s="1" t="s">
        <v>15391</v>
      </c>
      <c r="E5220" s="1" t="s">
        <v>15392</v>
      </c>
      <c r="F5220" s="1" t="str">
        <f>IFERROR(__xludf.DUMMYFUNCTION("GOOGLETRANSLATE(A5220, ""zh-CN"", ""ko"")"),"어찌할 바를 모르겠다")</f>
        <v>어찌할 바를 모르겠다</v>
      </c>
    </row>
    <row r="5221" ht="15.75" customHeight="1">
      <c r="A5221" s="1" t="s">
        <v>15393</v>
      </c>
      <c r="B5221" s="1">
        <v>7.0</v>
      </c>
      <c r="C5221" s="1" t="s">
        <v>15394</v>
      </c>
      <c r="D5221" s="1" t="s">
        <v>8</v>
      </c>
      <c r="E5221" s="1" t="s">
        <v>15395</v>
      </c>
      <c r="F5221" s="1" t="str">
        <f>IFERROR(__xludf.DUMMYFUNCTION("GOOGLETRANSLATE(A5221, ""zh-CN"", ""ko"")"),"아니요")</f>
        <v>아니요</v>
      </c>
    </row>
    <row r="5222" ht="15.75" customHeight="1">
      <c r="A5222" s="1" t="s">
        <v>15396</v>
      </c>
      <c r="B5222" s="1">
        <v>7.0</v>
      </c>
      <c r="C5222" s="1" t="s">
        <v>15397</v>
      </c>
      <c r="D5222" s="1" t="s">
        <v>8</v>
      </c>
      <c r="E5222" s="1" t="s">
        <v>15398</v>
      </c>
      <c r="F5222" s="1" t="str">
        <f>IFERROR(__xludf.DUMMYFUNCTION("GOOGLETRANSLATE(A5222, ""zh-CN"", ""ko"")"),"추측하다")</f>
        <v>추측하다</v>
      </c>
    </row>
    <row r="5223" ht="15.75" customHeight="1">
      <c r="A5223" s="1" t="s">
        <v>15399</v>
      </c>
      <c r="B5223" s="1">
        <v>7.0</v>
      </c>
      <c r="C5223" s="1" t="s">
        <v>15400</v>
      </c>
      <c r="D5223" s="1" t="s">
        <v>8</v>
      </c>
      <c r="E5223" s="1" t="s">
        <v>15401</v>
      </c>
      <c r="F5223" s="1" t="str">
        <f>IFERROR(__xludf.DUMMYFUNCTION("GOOGLETRANSLATE(A5223, ""zh-CN"", ""ko"")"),"자르다")</f>
        <v>자르다</v>
      </c>
    </row>
    <row r="5224" ht="15.75" customHeight="1">
      <c r="A5224" s="1" t="s">
        <v>15402</v>
      </c>
      <c r="B5224" s="1">
        <v>7.0</v>
      </c>
      <c r="C5224" s="1" t="s">
        <v>15403</v>
      </c>
      <c r="D5224" s="1" t="s">
        <v>8</v>
      </c>
      <c r="E5224" s="1" t="s">
        <v>15404</v>
      </c>
      <c r="F5224" s="1" t="str">
        <f>IFERROR(__xludf.DUMMYFUNCTION("GOOGLETRANSLATE(A5224, ""zh-CN"", ""ko"")"),"지배")</f>
        <v>지배</v>
      </c>
    </row>
    <row r="5225" ht="15.75" customHeight="1">
      <c r="A5225" s="1" t="s">
        <v>15405</v>
      </c>
      <c r="B5225" s="1">
        <v>7.0</v>
      </c>
      <c r="C5225" s="1" t="s">
        <v>15406</v>
      </c>
      <c r="D5225" s="1" t="s">
        <v>16</v>
      </c>
      <c r="E5225" s="1" t="s">
        <v>15407</v>
      </c>
      <c r="F5225" s="1" t="str">
        <f>IFERROR(__xludf.DUMMYFUNCTION("GOOGLETRANSLATE(A5225, ""zh-CN"", ""ko"")"),"재원")</f>
        <v>재원</v>
      </c>
    </row>
    <row r="5226" ht="15.75" customHeight="1">
      <c r="A5226" s="1" t="s">
        <v>15408</v>
      </c>
      <c r="B5226" s="1">
        <v>7.0</v>
      </c>
      <c r="C5226" s="1" t="s">
        <v>15409</v>
      </c>
      <c r="D5226" s="1" t="s">
        <v>8</v>
      </c>
      <c r="E5226" s="1" t="s">
        <v>15410</v>
      </c>
      <c r="F5226" s="1" t="str">
        <f>IFERROR(__xludf.DUMMYFUNCTION("GOOGLETRANSLATE(A5226, ""zh-CN"", ""ko"")"),"지배")</f>
        <v>지배</v>
      </c>
    </row>
    <row r="5227" ht="15.75" customHeight="1">
      <c r="A5227" s="1" t="s">
        <v>15411</v>
      </c>
      <c r="B5227" s="1">
        <v>7.0</v>
      </c>
      <c r="C5227" s="1" t="s">
        <v>15412</v>
      </c>
      <c r="D5227" s="1" t="s">
        <v>16</v>
      </c>
      <c r="E5227" s="1" t="s">
        <v>15413</v>
      </c>
      <c r="F5227" s="1" t="str">
        <f>IFERROR(__xludf.DUMMYFUNCTION("GOOGLETRANSLATE(A5227, ""zh-CN"", ""ko"")"),"재원")</f>
        <v>재원</v>
      </c>
    </row>
    <row r="5228" ht="15.75" customHeight="1">
      <c r="A5228" s="1" t="s">
        <v>15414</v>
      </c>
      <c r="B5228" s="1">
        <v>7.0</v>
      </c>
      <c r="C5228" s="1" t="s">
        <v>3752</v>
      </c>
      <c r="D5228" s="1" t="s">
        <v>8</v>
      </c>
      <c r="E5228" s="1" t="s">
        <v>15415</v>
      </c>
      <c r="F5228" s="1" t="str">
        <f>IFERROR(__xludf.DUMMYFUNCTION("GOOGLETRANSLATE(A5228, ""zh-CN"", ""ko"")"),"선택하다")</f>
        <v>선택하다</v>
      </c>
    </row>
    <row r="5229" ht="15.75" customHeight="1">
      <c r="A5229" s="1" t="s">
        <v>15416</v>
      </c>
      <c r="B5229" s="1">
        <v>7.0</v>
      </c>
      <c r="C5229" s="1" t="s">
        <v>15417</v>
      </c>
      <c r="D5229" s="1" t="s">
        <v>8</v>
      </c>
      <c r="E5229" s="1" t="s">
        <v>15418</v>
      </c>
      <c r="F5229" s="1" t="str">
        <f>IFERROR(__xludf.DUMMYFUNCTION("GOOGLETRANSLATE(A5229, ""zh-CN"", ""ko"")"),"채광")</f>
        <v>채광</v>
      </c>
    </row>
    <row r="5230" ht="15.75" customHeight="1">
      <c r="A5230" s="1" t="s">
        <v>15419</v>
      </c>
      <c r="B5230" s="1">
        <v>7.0</v>
      </c>
      <c r="C5230" s="1" t="s">
        <v>15420</v>
      </c>
      <c r="D5230" s="1" t="s">
        <v>8</v>
      </c>
      <c r="E5230" s="1" t="s">
        <v>15421</v>
      </c>
      <c r="F5230" s="1" t="str">
        <f>IFERROR(__xludf.DUMMYFUNCTION("GOOGLETRANSLATE(A5230, ""zh-CN"", ""ko"")"),"선택하다")</f>
        <v>선택하다</v>
      </c>
    </row>
    <row r="5231" ht="15.75" customHeight="1">
      <c r="A5231" s="1" t="s">
        <v>15422</v>
      </c>
      <c r="B5231" s="1">
        <v>7.0</v>
      </c>
      <c r="C5231" s="1" t="s">
        <v>15423</v>
      </c>
      <c r="D5231" s="1" t="s">
        <v>16</v>
      </c>
      <c r="E5231" s="1" t="s">
        <v>15424</v>
      </c>
      <c r="F5231" s="1" t="str">
        <f>IFERROR(__xludf.DUMMYFUNCTION("GOOGLETRANSLATE(A5231, ""zh-CN"", ""ko"")"),"그릇")</f>
        <v>그릇</v>
      </c>
    </row>
    <row r="5232" ht="15.75" customHeight="1">
      <c r="A5232" s="1" t="s">
        <v>15425</v>
      </c>
      <c r="B5232" s="1">
        <v>7.0</v>
      </c>
      <c r="C5232" s="1" t="s">
        <v>15426</v>
      </c>
      <c r="D5232" s="1" t="s">
        <v>8</v>
      </c>
      <c r="E5232" s="1" t="s">
        <v>15427</v>
      </c>
      <c r="F5232" s="1" t="str">
        <f>IFERROR(__xludf.DUMMYFUNCTION("GOOGLETRANSLATE(A5232, ""zh-CN"", ""ko"")"),"보다")</f>
        <v>보다</v>
      </c>
    </row>
    <row r="5233" ht="15.75" customHeight="1">
      <c r="A5233" s="1" t="s">
        <v>15428</v>
      </c>
      <c r="B5233" s="1">
        <v>7.0</v>
      </c>
      <c r="C5233" s="1" t="s">
        <v>15429</v>
      </c>
      <c r="D5233" s="1" t="s">
        <v>8</v>
      </c>
      <c r="E5233" s="1" t="s">
        <v>15430</v>
      </c>
      <c r="F5233" s="1" t="str">
        <f>IFERROR(__xludf.DUMMYFUNCTION("GOOGLETRANSLATE(A5233, ""zh-CN"", ""ko"")"),"잔해")</f>
        <v>잔해</v>
      </c>
    </row>
    <row r="5234" ht="15.75" customHeight="1">
      <c r="A5234" s="1" t="s">
        <v>15431</v>
      </c>
      <c r="B5234" s="1">
        <v>7.0</v>
      </c>
      <c r="C5234" s="1" t="s">
        <v>15432</v>
      </c>
      <c r="D5234" s="1" t="s">
        <v>8</v>
      </c>
      <c r="E5234" s="1" t="s">
        <v>15433</v>
      </c>
      <c r="F5234" s="1" t="str">
        <f>IFERROR(__xludf.DUMMYFUNCTION("GOOGLETRANSLATE(A5234, ""zh-CN"", ""ko"")"),"불완전한")</f>
        <v>불완전한</v>
      </c>
    </row>
    <row r="5235" ht="15.75" customHeight="1">
      <c r="A5235" s="1" t="s">
        <v>15434</v>
      </c>
      <c r="B5235" s="1">
        <v>7.0</v>
      </c>
      <c r="C5235" s="1" t="s">
        <v>15435</v>
      </c>
      <c r="D5235" s="1" t="s">
        <v>52</v>
      </c>
      <c r="E5235" s="1" t="s">
        <v>7570</v>
      </c>
      <c r="F5235" s="1" t="str">
        <f>IFERROR(__xludf.DUMMYFUNCTION("GOOGLETRANSLATE(A5235, ""zh-CN"", ""ko"")"),"비참한")</f>
        <v>비참한</v>
      </c>
    </row>
    <row r="5236" ht="15.75" customHeight="1">
      <c r="A5236" s="1" t="s">
        <v>15436</v>
      </c>
      <c r="B5236" s="1">
        <v>7.0</v>
      </c>
      <c r="C5236" s="1" t="s">
        <v>15437</v>
      </c>
      <c r="D5236" s="1" t="s">
        <v>52</v>
      </c>
      <c r="E5236" s="1" t="s">
        <v>15438</v>
      </c>
      <c r="F5236" s="1" t="str">
        <f>IFERROR(__xludf.DUMMYFUNCTION("GOOGLETRANSLATE(A5236, ""zh-CN"", ""ko"")"),"창백한")</f>
        <v>창백한</v>
      </c>
    </row>
    <row r="5237" ht="15.75" customHeight="1">
      <c r="A5237" s="1" t="s">
        <v>15439</v>
      </c>
      <c r="B5237" s="1">
        <v>7.0</v>
      </c>
      <c r="C5237" s="1" t="s">
        <v>15440</v>
      </c>
      <c r="D5237" s="1" t="s">
        <v>52</v>
      </c>
      <c r="E5237" s="1" t="s">
        <v>15441</v>
      </c>
      <c r="F5237" s="1" t="str">
        <f>IFERROR(__xludf.DUMMYFUNCTION("GOOGLETRANSLATE(A5237, ""zh-CN"", ""ko"")"),"격렬한")</f>
        <v>격렬한</v>
      </c>
    </row>
    <row r="5238" ht="15.75" customHeight="1">
      <c r="A5238" s="1" t="s">
        <v>15442</v>
      </c>
      <c r="B5238" s="1">
        <v>7.0</v>
      </c>
      <c r="C5238" s="1" t="s">
        <v>15443</v>
      </c>
      <c r="D5238" s="1" t="s">
        <v>52</v>
      </c>
      <c r="E5238" s="1" t="s">
        <v>15444</v>
      </c>
      <c r="F5238" s="1" t="str">
        <f>IFERROR(__xludf.DUMMYFUNCTION("GOOGLETRANSLATE(A5238, ""zh-CN"", ""ko"")"),"무거운")</f>
        <v>무거운</v>
      </c>
    </row>
    <row r="5239" ht="15.75" customHeight="1">
      <c r="A5239" s="1" t="s">
        <v>15445</v>
      </c>
      <c r="B5239" s="1">
        <v>7.0</v>
      </c>
      <c r="C5239" s="1" t="s">
        <v>15446</v>
      </c>
      <c r="D5239" s="1" t="s">
        <v>16</v>
      </c>
      <c r="E5239" s="1" t="s">
        <v>15447</v>
      </c>
      <c r="F5239" s="1" t="str">
        <f>IFERROR(__xludf.DUMMYFUNCTION("GOOGLETRANSLATE(A5239, ""zh-CN"", ""ko"")"),"변천사")</f>
        <v>변천사</v>
      </c>
    </row>
    <row r="5240" ht="15.75" customHeight="1">
      <c r="A5240" s="1" t="s">
        <v>15448</v>
      </c>
      <c r="B5240" s="1">
        <v>7.0</v>
      </c>
      <c r="C5240" s="1" t="s">
        <v>15449</v>
      </c>
      <c r="D5240" s="1" t="s">
        <v>16</v>
      </c>
      <c r="E5240" s="1" t="s">
        <v>15450</v>
      </c>
      <c r="F5240" s="1" t="str">
        <f>IFERROR(__xludf.DUMMYFUNCTION("GOOGLETRANSLATE(A5240, ""zh-CN"", ""ko"")"),"파리")</f>
        <v>파리</v>
      </c>
    </row>
    <row r="5241" ht="15.75" customHeight="1">
      <c r="A5241" s="1" t="s">
        <v>15451</v>
      </c>
      <c r="B5241" s="1">
        <v>7.0</v>
      </c>
      <c r="C5241" s="1" t="s">
        <v>15452</v>
      </c>
      <c r="D5241" s="1" t="s">
        <v>8</v>
      </c>
      <c r="E5241" s="1" t="s">
        <v>15453</v>
      </c>
      <c r="F5241" s="1" t="str">
        <f>IFERROR(__xludf.DUMMYFUNCTION("GOOGLETRANSLATE(A5241, ""zh-CN"", ""ko"")"),"숨다")</f>
        <v>숨다</v>
      </c>
    </row>
    <row r="5242" ht="15.75" customHeight="1">
      <c r="A5242" s="1" t="s">
        <v>15454</v>
      </c>
      <c r="B5242" s="1">
        <v>7.0</v>
      </c>
      <c r="C5242" s="1" t="s">
        <v>15455</v>
      </c>
      <c r="D5242" s="1" t="s">
        <v>16</v>
      </c>
      <c r="E5242" s="1" t="s">
        <v>15456</v>
      </c>
      <c r="F5242" s="1" t="str">
        <f>IFERROR(__xludf.DUMMYFUNCTION("GOOGLETRANSLATE(A5242, ""zh-CN"", ""ko"")"),"수집")</f>
        <v>수집</v>
      </c>
    </row>
    <row r="5243" ht="15.75" customHeight="1">
      <c r="A5243" s="1" t="s">
        <v>15457</v>
      </c>
      <c r="B5243" s="1">
        <v>7.0</v>
      </c>
      <c r="C5243" s="1" t="s">
        <v>15458</v>
      </c>
      <c r="D5243" s="1" t="s">
        <v>8</v>
      </c>
      <c r="E5243" s="1" t="s">
        <v>15074</v>
      </c>
      <c r="F5243" s="1" t="str">
        <f>IFERROR(__xludf.DUMMYFUNCTION("GOOGLETRANSLATE(A5243, ""zh-CN"", ""ko"")"),"숨김")</f>
        <v>숨김</v>
      </c>
    </row>
    <row r="5244" ht="15.75" customHeight="1">
      <c r="A5244" s="1" t="s">
        <v>15459</v>
      </c>
      <c r="B5244" s="1">
        <v>7.0</v>
      </c>
      <c r="C5244" s="1" t="s">
        <v>15460</v>
      </c>
      <c r="D5244" s="1" t="s">
        <v>8</v>
      </c>
      <c r="E5244" s="1" t="s">
        <v>15461</v>
      </c>
      <c r="F5244" s="1" t="str">
        <f>IFERROR(__xludf.DUMMYFUNCTION("GOOGLETRANSLATE(A5244, ""zh-CN"", ""ko"")"),"제어")</f>
        <v>제어</v>
      </c>
    </row>
    <row r="5245" ht="15.75" customHeight="1">
      <c r="A5245" s="1" t="s">
        <v>15462</v>
      </c>
      <c r="B5245" s="1">
        <v>7.0</v>
      </c>
      <c r="C5245" s="1" t="s">
        <v>15463</v>
      </c>
      <c r="D5245" s="1" t="s">
        <v>16</v>
      </c>
      <c r="E5245" s="1" t="s">
        <v>15464</v>
      </c>
      <c r="F5245" s="1" t="str">
        <f>IFERROR(__xludf.DUMMYFUNCTION("GOOGLETRANSLATE(A5245, ""zh-CN"", ""ko"")"),"잔디")</f>
        <v>잔디</v>
      </c>
    </row>
    <row r="5246" ht="15.75" customHeight="1">
      <c r="A5246" s="1" t="s">
        <v>15465</v>
      </c>
      <c r="B5246" s="1">
        <v>7.0</v>
      </c>
      <c r="C5246" s="1" t="s">
        <v>15466</v>
      </c>
      <c r="D5246" s="1" t="s">
        <v>16</v>
      </c>
      <c r="E5246" s="1" t="s">
        <v>15467</v>
      </c>
      <c r="F5246" s="1" t="str">
        <f>IFERROR(__xludf.DUMMYFUNCTION("GOOGLETRANSLATE(A5246, ""zh-CN"", ""ko"")"),"잔디")</f>
        <v>잔디</v>
      </c>
    </row>
    <row r="5247" ht="15.75" customHeight="1">
      <c r="A5247" s="1" t="s">
        <v>15468</v>
      </c>
      <c r="B5247" s="1">
        <v>7.0</v>
      </c>
      <c r="C5247" s="1" t="s">
        <v>15469</v>
      </c>
      <c r="D5247" s="1" t="s">
        <v>16</v>
      </c>
      <c r="E5247" s="1" t="s">
        <v>15470</v>
      </c>
      <c r="F5247" s="1" t="str">
        <f>IFERROR(__xludf.DUMMYFUNCTION("GOOGLETRANSLATE(A5247, ""zh-CN"", ""ko"")"),"허브")</f>
        <v>허브</v>
      </c>
    </row>
    <row r="5248" ht="15.75" customHeight="1">
      <c r="A5248" s="1" t="s">
        <v>15471</v>
      </c>
      <c r="B5248" s="1">
        <v>7.0</v>
      </c>
      <c r="C5248" s="1" t="s">
        <v>15472</v>
      </c>
      <c r="D5248" s="1" t="s">
        <v>8</v>
      </c>
      <c r="E5248" s="1" t="s">
        <v>15473</v>
      </c>
      <c r="F5248" s="1" t="str">
        <f>IFERROR(__xludf.DUMMYFUNCTION("GOOGLETRANSLATE(A5248, ""zh-CN"", ""ko"")"),"측정")</f>
        <v>측정</v>
      </c>
    </row>
    <row r="5249" ht="15.75" customHeight="1">
      <c r="A5249" s="1" t="s">
        <v>15474</v>
      </c>
      <c r="B5249" s="1">
        <v>7.0</v>
      </c>
      <c r="C5249" s="1" t="s">
        <v>15475</v>
      </c>
      <c r="D5249" s="1" t="s">
        <v>8</v>
      </c>
      <c r="E5249" s="1" t="s">
        <v>15476</v>
      </c>
      <c r="F5249" s="1" t="str">
        <f>IFERROR(__xludf.DUMMYFUNCTION("GOOGLETRANSLATE(A5249, ""zh-CN"", ""ko"")"),"측정")</f>
        <v>측정</v>
      </c>
    </row>
    <row r="5250" ht="15.75" customHeight="1">
      <c r="A5250" s="1" t="s">
        <v>15477</v>
      </c>
      <c r="B5250" s="1">
        <v>7.0</v>
      </c>
      <c r="C5250" s="1" t="s">
        <v>15478</v>
      </c>
      <c r="D5250" s="1" t="s">
        <v>8</v>
      </c>
      <c r="E5250" s="1" t="s">
        <v>15479</v>
      </c>
      <c r="F5250" s="1" t="str">
        <f>IFERROR(__xludf.DUMMYFUNCTION("GOOGLETRANSLATE(A5250, ""zh-CN"", ""ko"")"),"중요성")</f>
        <v>중요성</v>
      </c>
    </row>
    <row r="5251" ht="15.75" customHeight="1">
      <c r="A5251" s="1" t="s">
        <v>15480</v>
      </c>
      <c r="B5251" s="1">
        <v>7.0</v>
      </c>
      <c r="C5251" s="1" t="s">
        <v>15481</v>
      </c>
      <c r="D5251" s="1" t="s">
        <v>8</v>
      </c>
      <c r="E5251" s="1" t="s">
        <v>15482</v>
      </c>
      <c r="F5251" s="1" t="str">
        <f>IFERROR(__xludf.DUMMYFUNCTION("GOOGLETRANSLATE(A5251, ""zh-CN"", ""ko"")"),"장애")</f>
        <v>장애</v>
      </c>
    </row>
    <row r="5252" ht="15.75" customHeight="1">
      <c r="A5252" s="1" t="s">
        <v>15483</v>
      </c>
      <c r="B5252" s="1">
        <v>7.0</v>
      </c>
      <c r="C5252" s="1" t="s">
        <v>15484</v>
      </c>
      <c r="D5252" s="1" t="s">
        <v>16</v>
      </c>
      <c r="E5252" s="1" t="s">
        <v>15485</v>
      </c>
      <c r="F5252" s="1" t="str">
        <f>IFERROR(__xludf.DUMMYFUNCTION("GOOGLETRANSLATE(A5252, ""zh-CN"", ""ko"")"),"오류")</f>
        <v>오류</v>
      </c>
    </row>
    <row r="5253" ht="15.75" customHeight="1">
      <c r="A5253" s="1" t="s">
        <v>15486</v>
      </c>
      <c r="B5253" s="1">
        <v>7.0</v>
      </c>
      <c r="C5253" s="1" t="s">
        <v>15487</v>
      </c>
      <c r="D5253" s="1" t="s">
        <v>16</v>
      </c>
      <c r="E5253" s="1" t="s">
        <v>15488</v>
      </c>
      <c r="F5253" s="1" t="str">
        <f>IFERROR(__xludf.DUMMYFUNCTION("GOOGLETRANSLATE(A5253, ""zh-CN"", ""ko"")"),"차이점")</f>
        <v>차이점</v>
      </c>
    </row>
    <row r="5254" ht="15.75" customHeight="1">
      <c r="A5254" s="1" t="s">
        <v>15489</v>
      </c>
      <c r="B5254" s="1">
        <v>7.0</v>
      </c>
      <c r="C5254" s="1" t="s">
        <v>15490</v>
      </c>
      <c r="D5254" s="1" t="s">
        <v>16</v>
      </c>
      <c r="E5254" s="1" t="s">
        <v>15491</v>
      </c>
      <c r="F5254" s="1" t="str">
        <f>IFERROR(__xludf.DUMMYFUNCTION("GOOGLETRANSLATE(A5254, ""zh-CN"", ""ko"")"),"삽화")</f>
        <v>삽화</v>
      </c>
    </row>
    <row r="5255" ht="15.75" customHeight="1">
      <c r="A5255" s="1" t="s">
        <v>15492</v>
      </c>
      <c r="B5255" s="1">
        <v>7.0</v>
      </c>
      <c r="C5255" s="1" t="s">
        <v>15493</v>
      </c>
      <c r="D5255" s="1" t="s">
        <v>8</v>
      </c>
      <c r="E5255" s="1" t="s">
        <v>15494</v>
      </c>
      <c r="F5255" s="1" t="str">
        <f>IFERROR(__xludf.DUMMYFUNCTION("GOOGLETRANSLATE(A5255, ""zh-CN"", ""ko"")"),"개입하다")</f>
        <v>개입하다</v>
      </c>
    </row>
    <row r="5256" ht="15.75" customHeight="1">
      <c r="A5256" s="1" t="s">
        <v>15495</v>
      </c>
      <c r="B5256" s="1">
        <v>7.0</v>
      </c>
      <c r="C5256" s="1" t="s">
        <v>15496</v>
      </c>
      <c r="D5256" s="1" t="s">
        <v>16</v>
      </c>
      <c r="E5256" s="1" t="s">
        <v>15497</v>
      </c>
      <c r="F5256" s="1" t="str">
        <f>IFERROR(__xludf.DUMMYFUNCTION("GOOGLETRANSLATE(A5256, ""zh-CN"", ""ko"")"),"삽화")</f>
        <v>삽화</v>
      </c>
    </row>
    <row r="5257" ht="15.75" customHeight="1">
      <c r="A5257" s="1" t="s">
        <v>15498</v>
      </c>
      <c r="B5257" s="1">
        <v>7.0</v>
      </c>
      <c r="C5257" s="1" t="s">
        <v>15499</v>
      </c>
      <c r="D5257" s="1" t="s">
        <v>8</v>
      </c>
      <c r="E5257" s="1" t="s">
        <v>15500</v>
      </c>
      <c r="F5257" s="1" t="str">
        <f>IFERROR(__xludf.DUMMYFUNCTION("GOOGLETRANSLATE(A5257, ""zh-CN"", ""ko"")"),"방해하다")</f>
        <v>방해하다</v>
      </c>
    </row>
    <row r="5258" ht="15.75" customHeight="1">
      <c r="A5258" s="1" t="s">
        <v>15501</v>
      </c>
      <c r="B5258" s="1">
        <v>7.0</v>
      </c>
      <c r="C5258" s="1" t="s">
        <v>15502</v>
      </c>
      <c r="D5258" s="1" t="s">
        <v>8</v>
      </c>
      <c r="E5258" s="1" t="s">
        <v>15503</v>
      </c>
      <c r="F5258" s="1" t="str">
        <f>IFERROR(__xludf.DUMMYFUNCTION("GOOGLETRANSLATE(A5258, ""zh-CN"", ""ko"")"),"조사 및 처리")</f>
        <v>조사 및 처리</v>
      </c>
    </row>
    <row r="5259" ht="15.75" customHeight="1">
      <c r="A5259" s="1" t="s">
        <v>15504</v>
      </c>
      <c r="B5259" s="1">
        <v>7.0</v>
      </c>
      <c r="C5259" s="1" t="s">
        <v>15505</v>
      </c>
      <c r="D5259" s="1" t="s">
        <v>8</v>
      </c>
      <c r="E5259" s="1" t="s">
        <v>15506</v>
      </c>
      <c r="F5259" s="1" t="str">
        <f>IFERROR(__xludf.DUMMYFUNCTION("GOOGLETRANSLATE(A5259, ""zh-CN"", ""ko"")"),"알고 있는")</f>
        <v>알고 있는</v>
      </c>
    </row>
    <row r="5260" ht="15.75" customHeight="1">
      <c r="A5260" s="1" t="s">
        <v>15507</v>
      </c>
      <c r="B5260" s="1">
        <v>7.0</v>
      </c>
      <c r="C5260" s="1" t="s">
        <v>15508</v>
      </c>
      <c r="D5260" s="1" t="s">
        <v>8</v>
      </c>
      <c r="E5260" s="1" t="s">
        <v>15509</v>
      </c>
      <c r="F5260" s="1" t="str">
        <f>IFERROR(__xludf.DUMMYFUNCTION("GOOGLETRANSLATE(A5260, ""zh-CN"", ""ko"")"),"관찰하다")</f>
        <v>관찰하다</v>
      </c>
    </row>
    <row r="5261" ht="15.75" customHeight="1">
      <c r="A5261" s="1" t="s">
        <v>15510</v>
      </c>
      <c r="B5261" s="1">
        <v>7.0</v>
      </c>
      <c r="C5261" s="1" t="s">
        <v>15511</v>
      </c>
      <c r="D5261" s="1" t="s">
        <v>8</v>
      </c>
      <c r="E5261" s="1" t="s">
        <v>15512</v>
      </c>
      <c r="F5261" s="1" t="str">
        <f>IFERROR(__xludf.DUMMYFUNCTION("GOOGLETRANSLATE(A5261, ""zh-CN"", ""ko"")"),"조사하다")</f>
        <v>조사하다</v>
      </c>
    </row>
    <row r="5262" ht="15.75" customHeight="1">
      <c r="A5262" s="1" t="s">
        <v>15513</v>
      </c>
      <c r="B5262" s="1">
        <v>7.0</v>
      </c>
      <c r="C5262" s="1" t="s">
        <v>15514</v>
      </c>
      <c r="D5262" s="1" t="s">
        <v>8</v>
      </c>
      <c r="E5262" s="1" t="s">
        <v>15515</v>
      </c>
      <c r="F5262" s="1" t="str">
        <f>IFERROR(__xludf.DUMMYFUNCTION("GOOGLETRANSLATE(A5262, ""zh-CN"", ""ko"")"),"파괴")</f>
        <v>파괴</v>
      </c>
    </row>
    <row r="5263" ht="15.75" customHeight="1">
      <c r="A5263" s="1" t="s">
        <v>15516</v>
      </c>
      <c r="B5263" s="1">
        <v>7.0</v>
      </c>
      <c r="C5263" s="1" t="s">
        <v>8007</v>
      </c>
      <c r="D5263" s="1" t="s">
        <v>8</v>
      </c>
      <c r="E5263" s="1" t="s">
        <v>15517</v>
      </c>
      <c r="F5263" s="1" t="str">
        <f>IFERROR(__xludf.DUMMYFUNCTION("GOOGLETRANSLATE(A5263, ""zh-CN"", ""ko"")"),"첨가제")</f>
        <v>첨가제</v>
      </c>
    </row>
    <row r="5264" ht="15.75" customHeight="1">
      <c r="A5264" s="1" t="s">
        <v>15518</v>
      </c>
      <c r="B5264" s="1">
        <v>7.0</v>
      </c>
      <c r="C5264" s="1" t="s">
        <v>8010</v>
      </c>
      <c r="D5264" s="1" t="s">
        <v>8</v>
      </c>
      <c r="E5264" s="1" t="s">
        <v>15519</v>
      </c>
      <c r="F5264" s="1" t="str">
        <f>IFERROR(__xludf.DUMMYFUNCTION("GOOGLETRANSLATE(A5264, ""zh-CN"", ""ko"")"),"녹채")</f>
        <v>녹채</v>
      </c>
    </row>
    <row r="5265" ht="15.75" customHeight="1">
      <c r="A5265" s="1" t="s">
        <v>15520</v>
      </c>
      <c r="B5265" s="1">
        <v>7.0</v>
      </c>
      <c r="C5265" s="1" t="s">
        <v>15521</v>
      </c>
      <c r="D5265" s="1" t="s">
        <v>8</v>
      </c>
      <c r="E5265" s="1" t="s">
        <v>15522</v>
      </c>
      <c r="F5265" s="1" t="str">
        <f>IFERROR(__xludf.DUMMYFUNCTION("GOOGLETRANSLATE(A5265, ""zh-CN"", ""ko"")"),"삽")</f>
        <v>삽</v>
      </c>
    </row>
    <row r="5266" ht="15.75" customHeight="1">
      <c r="A5266" s="1" t="s">
        <v>15523</v>
      </c>
      <c r="B5266" s="1">
        <v>7.0</v>
      </c>
      <c r="C5266" s="1" t="s">
        <v>15524</v>
      </c>
      <c r="D5266" s="1" t="s">
        <v>16</v>
      </c>
      <c r="E5266" s="1" t="s">
        <v>15525</v>
      </c>
      <c r="F5266" s="1" t="str">
        <f>IFERROR(__xludf.DUMMYFUNCTION("GOOGLETRANSLATE(A5266, ""zh-CN"", ""ko"")"),"재산")</f>
        <v>재산</v>
      </c>
    </row>
    <row r="5267" ht="15.75" customHeight="1">
      <c r="A5267" s="1" t="s">
        <v>15526</v>
      </c>
      <c r="B5267" s="1">
        <v>7.0</v>
      </c>
      <c r="C5267" s="1" t="s">
        <v>15527</v>
      </c>
      <c r="D5267" s="1" t="s">
        <v>8</v>
      </c>
      <c r="E5267" s="1" t="s">
        <v>15528</v>
      </c>
      <c r="F5267" s="1" t="str">
        <f>IFERROR(__xludf.DUMMYFUNCTION("GOOGLETRANSLATE(A5267, ""zh-CN"", ""ko"")"),"설명")</f>
        <v>설명</v>
      </c>
    </row>
    <row r="5268" ht="15.75" customHeight="1">
      <c r="A5268" s="1" t="s">
        <v>15529</v>
      </c>
      <c r="B5268" s="1">
        <v>7.0</v>
      </c>
      <c r="C5268" s="1" t="s">
        <v>15530</v>
      </c>
      <c r="D5268" s="1" t="s">
        <v>16</v>
      </c>
      <c r="E5268" s="1" t="s">
        <v>15531</v>
      </c>
      <c r="F5268" s="1" t="str">
        <f>IFERROR(__xludf.DUMMYFUNCTION("GOOGLETRANSLATE(A5268, ""zh-CN"", ""ko"")"),"제품")</f>
        <v>제품</v>
      </c>
    </row>
    <row r="5269" ht="15.75" customHeight="1">
      <c r="A5269" s="1" t="s">
        <v>15532</v>
      </c>
      <c r="B5269" s="1">
        <v>7.0</v>
      </c>
      <c r="C5269" s="1" t="s">
        <v>15533</v>
      </c>
      <c r="D5269" s="1" t="s">
        <v>16</v>
      </c>
      <c r="E5269" s="1" t="s">
        <v>15534</v>
      </c>
      <c r="F5269" s="1" t="str">
        <f>IFERROR(__xludf.DUMMYFUNCTION("GOOGLETRANSLATE(A5269, ""zh-CN"", ""ko"")"),"산업 사슬")</f>
        <v>산업 사슬</v>
      </c>
    </row>
    <row r="5270" ht="15.75" customHeight="1">
      <c r="A5270" s="1" t="s">
        <v>15535</v>
      </c>
      <c r="B5270" s="1">
        <v>7.0</v>
      </c>
      <c r="C5270" s="1" t="s">
        <v>15536</v>
      </c>
      <c r="D5270" s="1" t="s">
        <v>16</v>
      </c>
      <c r="E5270" s="1" t="s">
        <v>15537</v>
      </c>
      <c r="F5270" s="1" t="str">
        <f>IFERROR(__xludf.DUMMYFUNCTION("GOOGLETRANSLATE(A5270, ""zh-CN"", ""ko"")"),"출력값")</f>
        <v>출력값</v>
      </c>
    </row>
    <row r="5271" ht="15.75" customHeight="1">
      <c r="A5271" s="1" t="s">
        <v>15538</v>
      </c>
      <c r="B5271" s="1">
        <v>7.0</v>
      </c>
      <c r="C5271" s="1" t="s">
        <v>15539</v>
      </c>
      <c r="D5271" s="1" t="s">
        <v>52</v>
      </c>
      <c r="E5271" s="1" t="s">
        <v>15540</v>
      </c>
      <c r="F5271" s="1" t="str">
        <f>IFERROR(__xludf.DUMMYFUNCTION("GOOGLETRANSLATE(A5271, ""zh-CN"", ""ko"")"),"맹렬한")</f>
        <v>맹렬한</v>
      </c>
    </row>
    <row r="5272" ht="15.75" customHeight="1">
      <c r="A5272" s="1" t="s">
        <v>15541</v>
      </c>
      <c r="B5272" s="1">
        <v>7.0</v>
      </c>
      <c r="C5272" s="1" t="s">
        <v>15542</v>
      </c>
      <c r="D5272" s="1" t="s">
        <v>16</v>
      </c>
      <c r="E5272" s="1" t="s">
        <v>15543</v>
      </c>
      <c r="F5272" s="1" t="str">
        <f>IFERROR(__xludf.DUMMYFUNCTION("GOOGLETRANSLATE(A5272, ""zh-CN"", ""ko"")"),"상식")</f>
        <v>상식</v>
      </c>
    </row>
    <row r="5273" ht="15.75" customHeight="1">
      <c r="A5273" s="1" t="s">
        <v>15544</v>
      </c>
      <c r="B5273" s="1">
        <v>7.0</v>
      </c>
      <c r="C5273" s="1" t="s">
        <v>15545</v>
      </c>
      <c r="E5273" s="1" t="s">
        <v>15546</v>
      </c>
      <c r="F5273" s="1" t="str">
        <f>IFERROR(__xludf.DUMMYFUNCTION("GOOGLETRANSLATE(A5273, ""zh-CN"", ""ko"")"),"오랜 시간 동안")</f>
        <v>오랜 시간 동안</v>
      </c>
    </row>
    <row r="5274" ht="15.75" customHeight="1">
      <c r="A5274" s="1" t="s">
        <v>15547</v>
      </c>
      <c r="B5274" s="1">
        <v>7.0</v>
      </c>
      <c r="C5274" s="1" t="s">
        <v>15548</v>
      </c>
      <c r="D5274" s="1" t="s">
        <v>16</v>
      </c>
      <c r="E5274" s="1" t="s">
        <v>15549</v>
      </c>
      <c r="F5274" s="1" t="str">
        <f>IFERROR(__xludf.DUMMYFUNCTION("GOOGLETRANSLATE(A5274, ""zh-CN"", ""ko"")"),"평범한 사람들")</f>
        <v>평범한 사람들</v>
      </c>
    </row>
    <row r="5275" ht="15.75" customHeight="1">
      <c r="A5275" s="1" t="s">
        <v>15550</v>
      </c>
      <c r="B5275" s="1">
        <v>7.0</v>
      </c>
      <c r="C5275" s="1" t="s">
        <v>15551</v>
      </c>
      <c r="D5275" s="1" t="s">
        <v>16</v>
      </c>
      <c r="E5275" s="1" t="s">
        <v>15552</v>
      </c>
      <c r="F5275" s="1" t="str">
        <f>IFERROR(__xludf.DUMMYFUNCTION("GOOGLETRANSLATE(A5275, ""zh-CN"", ""ko"")"),"정상")</f>
        <v>정상</v>
      </c>
    </row>
    <row r="5276" ht="15.75" customHeight="1">
      <c r="A5276" s="1" t="s">
        <v>15553</v>
      </c>
      <c r="B5276" s="1">
        <v>7.0</v>
      </c>
      <c r="C5276" s="1" t="s">
        <v>15554</v>
      </c>
      <c r="D5276" s="1" t="s">
        <v>15011</v>
      </c>
      <c r="E5276" s="1" t="s">
        <v>15555</v>
      </c>
      <c r="F5276" s="1" t="str">
        <f>IFERROR(__xludf.DUMMYFUNCTION("GOOGLETRANSLATE(A5276, ""zh-CN"", ""ko"")"),"오래 지속되는")</f>
        <v>오래 지속되는</v>
      </c>
    </row>
    <row r="5277" ht="15.75" customHeight="1">
      <c r="A5277" s="1" t="s">
        <v>15556</v>
      </c>
      <c r="B5277" s="1">
        <v>7.0</v>
      </c>
      <c r="C5277" s="1" t="s">
        <v>15557</v>
      </c>
      <c r="D5277" s="1" t="s">
        <v>16</v>
      </c>
      <c r="E5277" s="1" t="s">
        <v>15558</v>
      </c>
      <c r="F5277" s="1" t="str">
        <f>IFERROR(__xludf.DUMMYFUNCTION("GOOGLETRANSLATE(A5277, ""zh-CN"", ""ko"")"),"장정")</f>
        <v>장정</v>
      </c>
    </row>
    <row r="5278" ht="15.75" customHeight="1">
      <c r="A5278" s="1" t="s">
        <v>15559</v>
      </c>
      <c r="B5278" s="1">
        <v>7.0</v>
      </c>
      <c r="C5278" s="1" t="s">
        <v>15560</v>
      </c>
      <c r="D5278" s="1" t="s">
        <v>52</v>
      </c>
      <c r="E5278" s="1" t="s">
        <v>15561</v>
      </c>
      <c r="F5278" s="1" t="str">
        <f>IFERROR(__xludf.DUMMYFUNCTION("GOOGLETRANSLATE(A5278, ""zh-CN"", ""ko"")"),"긴 다리")</f>
        <v>긴 다리</v>
      </c>
    </row>
    <row r="5279" ht="15.75" customHeight="1">
      <c r="A5279" s="1" t="s">
        <v>15562</v>
      </c>
      <c r="B5279" s="1">
        <v>7.0</v>
      </c>
      <c r="C5279" s="1" t="s">
        <v>15563</v>
      </c>
      <c r="D5279" s="1" t="s">
        <v>16</v>
      </c>
      <c r="E5279" s="1" t="s">
        <v>15564</v>
      </c>
      <c r="F5279" s="1" t="str">
        <f>IFERROR(__xludf.DUMMYFUNCTION("GOOGLETRANSLATE(A5279, ""zh-CN"", ""ko"")"),"기록")</f>
        <v>기록</v>
      </c>
    </row>
    <row r="5280" ht="15.75" customHeight="1">
      <c r="A5280" s="1" t="s">
        <v>15565</v>
      </c>
      <c r="B5280" s="1">
        <v>7.0</v>
      </c>
      <c r="C5280" s="1" t="s">
        <v>15566</v>
      </c>
      <c r="D5280" s="1" t="s">
        <v>8</v>
      </c>
      <c r="E5280" s="1" t="s">
        <v>15567</v>
      </c>
      <c r="F5280" s="1" t="str">
        <f>IFERROR(__xludf.DUMMYFUNCTION("GOOGLETRANSLATE(A5280, ""zh-CN"", ""ko"")"),"이야기해 봅시다")</f>
        <v>이야기해 봅시다</v>
      </c>
    </row>
    <row r="5281" ht="15.75" customHeight="1">
      <c r="A5281" s="1" t="s">
        <v>15568</v>
      </c>
      <c r="B5281" s="1">
        <v>7.0</v>
      </c>
      <c r="C5281" s="1" t="s">
        <v>15569</v>
      </c>
      <c r="D5281" s="1" t="s">
        <v>8</v>
      </c>
      <c r="E5281" s="1" t="s">
        <v>15570</v>
      </c>
      <c r="F5281" s="1" t="str">
        <f>IFERROR(__xludf.DUMMYFUNCTION("GOOGLETRANSLATE(A5281, ""zh-CN"", ""ko"")"),"기준을 뛰어넘다")</f>
        <v>기준을 뛰어넘다</v>
      </c>
    </row>
    <row r="5282" ht="15.75" customHeight="1">
      <c r="A5282" s="1" t="s">
        <v>15571</v>
      </c>
      <c r="B5282" s="1">
        <v>7.0</v>
      </c>
      <c r="C5282" s="1" t="s">
        <v>15572</v>
      </c>
      <c r="D5282" s="1" t="s">
        <v>14742</v>
      </c>
      <c r="E5282" s="1" t="s">
        <v>15573</v>
      </c>
      <c r="F5282" s="1" t="str">
        <f>IFERROR(__xludf.DUMMYFUNCTION("GOOGLETRANSLATE(A5282, ""zh-CN"", ""ko"")"),"고급의")</f>
        <v>고급의</v>
      </c>
    </row>
    <row r="5283" ht="15.75" customHeight="1">
      <c r="A5283" s="1" t="s">
        <v>15574</v>
      </c>
      <c r="B5283" s="1">
        <v>7.0</v>
      </c>
      <c r="C5283" s="1" t="s">
        <v>15575</v>
      </c>
      <c r="D5283" s="1" t="s">
        <v>8</v>
      </c>
      <c r="E5283" s="1" t="s">
        <v>15576</v>
      </c>
      <c r="F5283" s="1" t="str">
        <f>IFERROR(__xludf.DUMMYFUNCTION("GOOGLETRANSLATE(A5283, ""zh-CN"", ""ko"")"),"표절")</f>
        <v>표절</v>
      </c>
    </row>
    <row r="5284" ht="15.75" customHeight="1">
      <c r="A5284" s="1" t="s">
        <v>15577</v>
      </c>
      <c r="B5284" s="1">
        <v>7.0</v>
      </c>
      <c r="C5284" s="1" t="s">
        <v>3820</v>
      </c>
      <c r="D5284" s="1" t="s">
        <v>15011</v>
      </c>
      <c r="E5284" s="1" t="s">
        <v>15578</v>
      </c>
      <c r="F5284" s="1" t="str">
        <f>IFERROR(__xludf.DUMMYFUNCTION("GOOGLETRANSLATE(A5284, ""zh-CN"", ""ko"")"),"조류")</f>
        <v>조류</v>
      </c>
    </row>
    <row r="5285" ht="15.75" customHeight="1">
      <c r="A5285" s="1" t="s">
        <v>15579</v>
      </c>
      <c r="B5285" s="1">
        <v>7.0</v>
      </c>
      <c r="C5285" s="1" t="s">
        <v>15580</v>
      </c>
      <c r="D5285" s="1" t="s">
        <v>8</v>
      </c>
      <c r="E5285" s="1" t="s">
        <v>15581</v>
      </c>
      <c r="F5285" s="1" t="str">
        <f>IFERROR(__xludf.DUMMYFUNCTION("GOOGLETRANSLATE(A5285, ""zh-CN"", ""ko"")"),"모조품")</f>
        <v>모조품</v>
      </c>
    </row>
    <row r="5286" ht="15.75" customHeight="1">
      <c r="A5286" s="1" t="s">
        <v>15582</v>
      </c>
      <c r="B5286" s="1">
        <v>7.0</v>
      </c>
      <c r="C5286" s="1" t="s">
        <v>15583</v>
      </c>
      <c r="D5286" s="1" t="s">
        <v>16</v>
      </c>
      <c r="E5286" s="1" t="s">
        <v>15584</v>
      </c>
      <c r="F5286" s="1" t="str">
        <f>IFERROR(__xludf.DUMMYFUNCTION("GOOGLETRANSLATE(A5286, ""zh-CN"", ""ko"")"),"조류")</f>
        <v>조류</v>
      </c>
    </row>
    <row r="5287" ht="15.75" customHeight="1">
      <c r="A5287" s="1" t="s">
        <v>15585</v>
      </c>
      <c r="B5287" s="1">
        <v>7.0</v>
      </c>
      <c r="C5287" s="1" t="s">
        <v>15586</v>
      </c>
      <c r="D5287" s="1" t="s">
        <v>8</v>
      </c>
      <c r="E5287" s="1" t="s">
        <v>15587</v>
      </c>
      <c r="F5287" s="1" t="str">
        <f>IFERROR(__xludf.DUMMYFUNCTION("GOOGLETRANSLATE(A5287, ""zh-CN"", ""ko"")"),"과장 광고")</f>
        <v>과장 광고</v>
      </c>
    </row>
    <row r="5288" ht="15.75" customHeight="1">
      <c r="A5288" s="1" t="s">
        <v>15588</v>
      </c>
      <c r="B5288" s="1">
        <v>7.0</v>
      </c>
      <c r="C5288" s="1" t="s">
        <v>15589</v>
      </c>
      <c r="D5288" s="1" t="s">
        <v>16</v>
      </c>
      <c r="E5288" s="1" t="s">
        <v>15590</v>
      </c>
      <c r="F5288" s="1" t="str">
        <f>IFERROR(__xludf.DUMMYFUNCTION("GOOGLETRANSLATE(A5288, ""zh-CN"", ""ko"")"),"작업장")</f>
        <v>작업장</v>
      </c>
    </row>
    <row r="5289" ht="15.75" customHeight="1">
      <c r="A5289" s="1" t="s">
        <v>15591</v>
      </c>
      <c r="B5289" s="1">
        <v>7.0</v>
      </c>
      <c r="C5289" s="1" t="s">
        <v>15592</v>
      </c>
      <c r="D5289" s="1" t="s">
        <v>8</v>
      </c>
      <c r="E5289" s="1" t="s">
        <v>15593</v>
      </c>
      <c r="F5289" s="1" t="str">
        <f>IFERROR(__xludf.DUMMYFUNCTION("GOOGLETRANSLATE(A5289, ""zh-CN"", ""ko"")"),"당기다")</f>
        <v>당기다</v>
      </c>
    </row>
    <row r="5290" ht="15.75" customHeight="1">
      <c r="A5290" s="1" t="s">
        <v>15594</v>
      </c>
      <c r="B5290" s="1">
        <v>7.0</v>
      </c>
      <c r="C5290" s="1" t="s">
        <v>15595</v>
      </c>
      <c r="D5290" s="1" t="s">
        <v>8</v>
      </c>
      <c r="E5290" s="1" t="s">
        <v>15596</v>
      </c>
      <c r="F5290" s="1" t="str">
        <f>IFERROR(__xludf.DUMMYFUNCTION("GOOGLETRANSLATE(A5290, ""zh-CN"", ""ko"")"),"철회하다")</f>
        <v>철회하다</v>
      </c>
    </row>
    <row r="5291" ht="15.75" customHeight="1">
      <c r="A5291" s="1" t="s">
        <v>15597</v>
      </c>
      <c r="B5291" s="1">
        <v>7.0</v>
      </c>
      <c r="C5291" s="1" t="s">
        <v>15598</v>
      </c>
      <c r="D5291" s="1" t="s">
        <v>8</v>
      </c>
      <c r="E5291" s="1" t="s">
        <v>15599</v>
      </c>
      <c r="F5291" s="1" t="str">
        <f>IFERROR(__xludf.DUMMYFUNCTION("GOOGLETRANSLATE(A5291, ""zh-CN"", ""ko"")"),"소개")</f>
        <v>소개</v>
      </c>
    </row>
    <row r="5292" ht="15.75" customHeight="1">
      <c r="A5292" s="1" t="s">
        <v>15600</v>
      </c>
      <c r="B5292" s="1">
        <v>7.0</v>
      </c>
      <c r="C5292" s="1" t="s">
        <v>15601</v>
      </c>
      <c r="D5292" s="1" t="s">
        <v>33</v>
      </c>
      <c r="E5292" s="1" t="s">
        <v>15602</v>
      </c>
      <c r="F5292" s="1" t="str">
        <f>IFERROR(__xludf.DUMMYFUNCTION("GOOGLETRANSLATE(A5292, ""zh-CN"", ""ko"")"),"밤새도록")</f>
        <v>밤새도록</v>
      </c>
    </row>
    <row r="5293" ht="15.75" customHeight="1">
      <c r="A5293" s="1" t="s">
        <v>15603</v>
      </c>
      <c r="B5293" s="1">
        <v>7.0</v>
      </c>
      <c r="C5293" s="1" t="s">
        <v>15604</v>
      </c>
      <c r="D5293" s="1" t="s">
        <v>52</v>
      </c>
      <c r="E5293" s="1" t="s">
        <v>15605</v>
      </c>
      <c r="F5293" s="1" t="str">
        <f>IFERROR(__xludf.DUMMYFUNCTION("GOOGLETRANSLATE(A5293, ""zh-CN"", ""ko"")"),"무거운")</f>
        <v>무거운</v>
      </c>
    </row>
    <row r="5294" ht="15.75" customHeight="1">
      <c r="A5294" s="1" t="s">
        <v>15606</v>
      </c>
      <c r="B5294" s="1">
        <v>7.0</v>
      </c>
      <c r="C5294" s="1" t="s">
        <v>15607</v>
      </c>
      <c r="D5294" s="1" t="s">
        <v>8</v>
      </c>
      <c r="E5294" s="1" t="s">
        <v>15608</v>
      </c>
      <c r="F5294" s="1" t="str">
        <f>IFERROR(__xludf.DUMMYFUNCTION("GOOGLETRANSLATE(A5294, ""zh-CN"", ""ko"")"),"몰입형")</f>
        <v>몰입형</v>
      </c>
    </row>
    <row r="5295" ht="15.75" customHeight="1">
      <c r="A5295" s="1" t="s">
        <v>15609</v>
      </c>
      <c r="B5295" s="1">
        <v>7.0</v>
      </c>
      <c r="C5295" s="1" t="s">
        <v>15610</v>
      </c>
      <c r="D5295" s="1" t="s">
        <v>8</v>
      </c>
      <c r="E5295" s="1" t="s">
        <v>15611</v>
      </c>
      <c r="F5295" s="1" t="str">
        <f>IFERROR(__xludf.DUMMYFUNCTION("GOOGLETRANSLATE(A5295, ""zh-CN"", ""ko"")"),"중독자")</f>
        <v>중독자</v>
      </c>
    </row>
    <row r="5296" ht="15.75" customHeight="1">
      <c r="A5296" s="1" t="s">
        <v>15612</v>
      </c>
      <c r="B5296" s="1">
        <v>7.0</v>
      </c>
      <c r="C5296" s="1" t="s">
        <v>15613</v>
      </c>
      <c r="D5296" s="1" t="s">
        <v>8</v>
      </c>
      <c r="E5296" s="1" t="s">
        <v>15614</v>
      </c>
      <c r="F5296" s="1" t="str">
        <f>IFERROR(__xludf.DUMMYFUNCTION("GOOGLETRANSLATE(A5296, ""zh-CN"", ""ko"")"),"잠")</f>
        <v>잠</v>
      </c>
    </row>
    <row r="5297" ht="15.75" customHeight="1">
      <c r="A5297" s="1" t="s">
        <v>15615</v>
      </c>
      <c r="B5297" s="1">
        <v>7.0</v>
      </c>
      <c r="C5297" s="1" t="s">
        <v>15616</v>
      </c>
      <c r="D5297" s="1" t="s">
        <v>52</v>
      </c>
      <c r="E5297" s="1" t="s">
        <v>15617</v>
      </c>
      <c r="F5297" s="1" t="str">
        <f>IFERROR(__xludf.DUMMYFUNCTION("GOOGLETRANSLATE(A5297, ""zh-CN"", ""ko"")"),"침착한")</f>
        <v>침착한</v>
      </c>
    </row>
    <row r="5298" ht="15.75" customHeight="1">
      <c r="A5298" s="1" t="s">
        <v>15618</v>
      </c>
      <c r="B5298" s="1">
        <v>7.0</v>
      </c>
      <c r="C5298" s="1" t="s">
        <v>15619</v>
      </c>
      <c r="D5298" s="1" t="s">
        <v>33</v>
      </c>
      <c r="E5298" s="1" t="s">
        <v>15620</v>
      </c>
      <c r="F5298" s="1" t="str">
        <f>IFERROR(__xludf.DUMMYFUNCTION("GOOGLETRANSLATE(A5298, ""zh-CN"", ""ko"")"),"기회를 잡으세요")</f>
        <v>기회를 잡으세요</v>
      </c>
    </row>
    <row r="5299" ht="15.75" customHeight="1">
      <c r="A5299" s="1" t="s">
        <v>15621</v>
      </c>
      <c r="B5299" s="1">
        <v>7.0</v>
      </c>
      <c r="C5299" s="1" t="s">
        <v>15622</v>
      </c>
      <c r="D5299" s="1" t="s">
        <v>33</v>
      </c>
      <c r="E5299" s="1" t="s">
        <v>15623</v>
      </c>
      <c r="F5299" s="1" t="str">
        <f>IFERROR(__xludf.DUMMYFUNCTION("GOOGLETRANSLATE(A5299, ""zh-CN"", ""ko"")"),"가능한 한 빨리")</f>
        <v>가능한 한 빨리</v>
      </c>
    </row>
    <row r="5300" ht="15.75" customHeight="1">
      <c r="A5300" s="1" t="s">
        <v>15624</v>
      </c>
      <c r="B5300" s="1">
        <v>7.0</v>
      </c>
      <c r="C5300" s="1" t="s">
        <v>8113</v>
      </c>
      <c r="D5300" s="1" t="s">
        <v>8</v>
      </c>
      <c r="E5300" s="1" t="s">
        <v>15625</v>
      </c>
      <c r="F5300" s="1" t="str">
        <f>IFERROR(__xludf.DUMMYFUNCTION("GOOGLETRANSLATE(A5300, ""zh-CN"", ""ko"")"),"현재의")</f>
        <v>현재의</v>
      </c>
    </row>
    <row r="5301" ht="15.75" customHeight="1">
      <c r="A5301" s="1" t="s">
        <v>15626</v>
      </c>
      <c r="B5301" s="1">
        <v>7.0</v>
      </c>
      <c r="C5301" s="1" t="s">
        <v>15627</v>
      </c>
      <c r="D5301" s="1" t="s">
        <v>8</v>
      </c>
      <c r="E5301" s="1" t="s">
        <v>15628</v>
      </c>
      <c r="F5301" s="1" t="str">
        <f>IFERROR(__xludf.DUMMYFUNCTION("GOOGLETRANSLATE(A5301, ""zh-CN"", ""ko"")"),"청차이")</f>
        <v>청차이</v>
      </c>
    </row>
    <row r="5302" ht="15.75" customHeight="1">
      <c r="A5302" s="1" t="s">
        <v>15629</v>
      </c>
      <c r="B5302" s="1">
        <v>7.0</v>
      </c>
      <c r="C5302" s="1" t="s">
        <v>15630</v>
      </c>
      <c r="D5302" s="1" t="s">
        <v>8</v>
      </c>
      <c r="E5302" s="1" t="s">
        <v>15631</v>
      </c>
      <c r="F5302" s="1" t="str">
        <f>IFERROR(__xludf.DUMMYFUNCTION("GOOGLETRANSLATE(A5302, ""zh-CN"", ""ko"")"),"결혼하다")</f>
        <v>결혼하다</v>
      </c>
    </row>
    <row r="5303" ht="15.75" customHeight="1">
      <c r="A5303" s="1" t="s">
        <v>15632</v>
      </c>
      <c r="B5303" s="1">
        <v>7.0</v>
      </c>
      <c r="C5303" s="1" t="s">
        <v>15633</v>
      </c>
      <c r="E5303" s="1" t="s">
        <v>15634</v>
      </c>
      <c r="F5303" s="1" t="str">
        <f>IFERROR(__xludf.DUMMYFUNCTION("GOOGLETRANSLATE(A5303, ""zh-CN"", ""ko"")"),"정착해서 가정을 꾸리세요")</f>
        <v>정착해서 가정을 꾸리세요</v>
      </c>
    </row>
    <row r="5304" ht="15.75" customHeight="1">
      <c r="A5304" s="1" t="s">
        <v>15635</v>
      </c>
      <c r="B5304" s="1">
        <v>7.0</v>
      </c>
      <c r="C5304" s="1" t="s">
        <v>15636</v>
      </c>
      <c r="D5304" s="1" t="s">
        <v>8</v>
      </c>
      <c r="E5304" s="1" t="s">
        <v>15637</v>
      </c>
      <c r="F5304" s="1" t="str">
        <f>IFERROR(__xludf.DUMMYFUNCTION("GOOGLETRANSLATE(A5304, ""zh-CN"", ""ko"")"),"수용하다")</f>
        <v>수용하다</v>
      </c>
    </row>
    <row r="5305" ht="15.75" customHeight="1">
      <c r="A5305" s="1" t="s">
        <v>15638</v>
      </c>
      <c r="B5305" s="1">
        <v>7.0</v>
      </c>
      <c r="C5305" s="1" t="s">
        <v>15639</v>
      </c>
      <c r="D5305" s="1" t="s">
        <v>33</v>
      </c>
      <c r="E5305" s="1" t="s">
        <v>15640</v>
      </c>
      <c r="F5305" s="1" t="str">
        <f>IFERROR(__xludf.DUMMYFUNCTION("GOOGLETRANSLATE(A5305, ""zh-CN"", ""ko"")"),"성인")</f>
        <v>성인</v>
      </c>
    </row>
    <row r="5306" ht="15.75" customHeight="1">
      <c r="A5306" s="1" t="s">
        <v>15641</v>
      </c>
      <c r="B5306" s="1">
        <v>7.0</v>
      </c>
      <c r="C5306" s="1" t="s">
        <v>15642</v>
      </c>
      <c r="D5306" s="1" t="s">
        <v>16</v>
      </c>
      <c r="E5306" s="1" t="s">
        <v>15643</v>
      </c>
      <c r="F5306" s="1" t="str">
        <f>IFERROR(__xludf.DUMMYFUNCTION("GOOGLETRANSLATE(A5306, ""zh-CN"", ""ko"")"),"완제품")</f>
        <v>완제품</v>
      </c>
    </row>
    <row r="5307" ht="15.75" customHeight="1">
      <c r="A5307" s="1" t="s">
        <v>15644</v>
      </c>
      <c r="B5307" s="1">
        <v>7.0</v>
      </c>
      <c r="C5307" s="1" t="s">
        <v>15645</v>
      </c>
      <c r="D5307" s="1" t="s">
        <v>16</v>
      </c>
      <c r="E5307" s="1" t="s">
        <v>15646</v>
      </c>
      <c r="F5307" s="1" t="str">
        <f>IFERROR(__xludf.DUMMYFUNCTION("GOOGLETRANSLATE(A5307, ""zh-CN"", ""ko"")"),"성벽")</f>
        <v>성벽</v>
      </c>
    </row>
    <row r="5308" ht="15.75" customHeight="1">
      <c r="A5308" s="1" t="s">
        <v>15647</v>
      </c>
      <c r="B5308" s="1">
        <v>7.0</v>
      </c>
      <c r="C5308" s="1" t="s">
        <v>15648</v>
      </c>
      <c r="D5308" s="1" t="s">
        <v>8</v>
      </c>
      <c r="E5308" s="1" t="s">
        <v>15649</v>
      </c>
      <c r="F5308" s="1" t="str">
        <f>IFERROR(__xludf.DUMMYFUNCTION("GOOGLETRANSLATE(A5308, ""zh-CN"", ""ko"")"),"다하다")</f>
        <v>다하다</v>
      </c>
    </row>
    <row r="5309" ht="15.75" customHeight="1">
      <c r="A5309" s="1" t="s">
        <v>15650</v>
      </c>
      <c r="B5309" s="1">
        <v>7.0</v>
      </c>
      <c r="C5309" s="1" t="s">
        <v>15651</v>
      </c>
      <c r="E5309" s="1" t="s">
        <v>15652</v>
      </c>
      <c r="F5309" s="1" t="str">
        <f>IFERROR(__xludf.DUMMYFUNCTION("GOOGLETRANSLATE(A5309, ""zh-CN"", ""ko"")"),"그룹으로")</f>
        <v>그룹으로</v>
      </c>
    </row>
    <row r="5310" ht="15.75" customHeight="1">
      <c r="A5310" s="1" t="s">
        <v>15653</v>
      </c>
      <c r="B5310" s="1">
        <v>7.0</v>
      </c>
      <c r="C5310" s="1" t="s">
        <v>15654</v>
      </c>
      <c r="D5310" s="1" t="s">
        <v>8</v>
      </c>
      <c r="E5310" s="1" t="s">
        <v>15655</v>
      </c>
      <c r="F5310" s="1" t="str">
        <f>IFERROR(__xludf.DUMMYFUNCTION("GOOGLETRANSLATE(A5310, ""zh-CN"", ""ko"")"),"형성")</f>
        <v>형성</v>
      </c>
    </row>
    <row r="5311" ht="15.75" customHeight="1">
      <c r="A5311" s="1" t="s">
        <v>15656</v>
      </c>
      <c r="B5311" s="1">
        <v>7.0</v>
      </c>
      <c r="C5311" s="1" t="s">
        <v>15657</v>
      </c>
      <c r="D5311" s="1" t="s">
        <v>16</v>
      </c>
      <c r="E5311" s="1" t="s">
        <v>15658</v>
      </c>
      <c r="F5311" s="1" t="str">
        <f>IFERROR(__xludf.DUMMYFUNCTION("GOOGLETRANSLATE(A5311, ""zh-CN"", ""ko"")"),"성실")</f>
        <v>성실</v>
      </c>
    </row>
    <row r="5312" ht="15.75" customHeight="1">
      <c r="A5312" s="1" t="s">
        <v>15659</v>
      </c>
      <c r="B5312" s="1">
        <v>7.0</v>
      </c>
      <c r="C5312" s="1" t="s">
        <v>15660</v>
      </c>
      <c r="D5312" s="1" t="s">
        <v>8</v>
      </c>
      <c r="E5312" s="1" t="s">
        <v>15661</v>
      </c>
      <c r="F5312" s="1" t="str">
        <f>IFERROR(__xludf.DUMMYFUNCTION("GOOGLETRANSLATE(A5312, ""zh-CN"", ""ko"")"),"베어링")</f>
        <v>베어링</v>
      </c>
    </row>
    <row r="5313" ht="15.75" customHeight="1">
      <c r="A5313" s="1" t="s">
        <v>15662</v>
      </c>
      <c r="B5313" s="1">
        <v>7.0</v>
      </c>
      <c r="C5313" s="1" t="s">
        <v>15663</v>
      </c>
      <c r="D5313" s="1" t="s">
        <v>52</v>
      </c>
      <c r="E5313" s="1" t="s">
        <v>15664</v>
      </c>
      <c r="F5313" s="1" t="str">
        <f>IFERROR(__xludf.DUMMYFUNCTION("GOOGLETRANSLATE(A5313, ""zh-CN"", ""ko"")"),"과시하다")</f>
        <v>과시하다</v>
      </c>
    </row>
    <row r="5314" ht="15.75" customHeight="1">
      <c r="A5314" s="1" t="s">
        <v>15665</v>
      </c>
      <c r="B5314" s="1">
        <v>7.0</v>
      </c>
      <c r="C5314" s="1" t="s">
        <v>15666</v>
      </c>
      <c r="D5314" s="1" t="s">
        <v>52</v>
      </c>
      <c r="E5314" s="1" t="s">
        <v>15667</v>
      </c>
      <c r="F5314" s="1" t="str">
        <f>IFERROR(__xludf.DUMMYFUNCTION("GOOGLETRANSLATE(A5314, ""zh-CN"", ""ko"")"),"백치")</f>
        <v>백치</v>
      </c>
    </row>
    <row r="5315" ht="15.75" customHeight="1">
      <c r="A5315" s="1" t="s">
        <v>15668</v>
      </c>
      <c r="B5315" s="1">
        <v>7.0</v>
      </c>
      <c r="C5315" s="1" t="s">
        <v>15669</v>
      </c>
      <c r="E5315" s="1" t="s">
        <v>15670</v>
      </c>
      <c r="F5315" s="1" t="str">
        <f>IFERROR(__xludf.DUMMYFUNCTION("GOOGLETRANSLATE(A5315, ""zh-CN"", ""ko"")"),"음식, 음료 및 엔터테인먼트")</f>
        <v>음식, 음료 및 엔터테인먼트</v>
      </c>
    </row>
    <row r="5316" ht="15.75" customHeight="1">
      <c r="A5316" s="1" t="s">
        <v>15671</v>
      </c>
      <c r="B5316" s="1">
        <v>7.0</v>
      </c>
      <c r="C5316" s="1" t="s">
        <v>15672</v>
      </c>
      <c r="D5316" s="1" t="s">
        <v>8</v>
      </c>
      <c r="E5316" s="1" t="s">
        <v>15673</v>
      </c>
      <c r="F5316" s="1" t="str">
        <f>IFERROR(__xludf.DUMMYFUNCTION("GOOGLETRANSLATE(A5316, ""zh-CN"", ""ko"")"),"중독된")</f>
        <v>중독된</v>
      </c>
    </row>
    <row r="5317" ht="15.75" customHeight="1">
      <c r="A5317" s="1" t="s">
        <v>15674</v>
      </c>
      <c r="B5317" s="1">
        <v>7.0</v>
      </c>
      <c r="C5317" s="1" t="s">
        <v>15675</v>
      </c>
      <c r="D5317" s="1" t="s">
        <v>16</v>
      </c>
      <c r="E5317" s="1" t="s">
        <v>15676</v>
      </c>
      <c r="F5317" s="1" t="str">
        <f>IFERROR(__xludf.DUMMYFUNCTION("GOOGLETRANSLATE(A5317, ""zh-CN"", ""ko"")"),"열정")</f>
        <v>열정</v>
      </c>
    </row>
    <row r="5318" ht="15.75" customHeight="1">
      <c r="A5318" s="1" t="s">
        <v>15677</v>
      </c>
      <c r="B5318" s="1">
        <v>7.0</v>
      </c>
      <c r="C5318" s="1" t="s">
        <v>15678</v>
      </c>
      <c r="D5318" s="1" t="s">
        <v>8</v>
      </c>
      <c r="E5318" s="1" t="s">
        <v>15679</v>
      </c>
      <c r="F5318" s="1" t="str">
        <f>IFERROR(__xludf.DUMMYFUNCTION("GOOGLETRANSLATE(A5318, ""zh-CN"", ""ko"")"),"잡고 있다")</f>
        <v>잡고 있다</v>
      </c>
    </row>
    <row r="5319" ht="15.75" customHeight="1">
      <c r="A5319" s="1" t="s">
        <v>15680</v>
      </c>
      <c r="B5319" s="1">
        <v>7.0</v>
      </c>
      <c r="C5319" s="1" t="s">
        <v>15681</v>
      </c>
      <c r="D5319" s="1" t="s">
        <v>33</v>
      </c>
      <c r="E5319" s="1" t="s">
        <v>15682</v>
      </c>
      <c r="F5319" s="1" t="str">
        <f>IFERROR(__xludf.DUMMYFUNCTION("GOOGLETRANSLATE(A5319, ""zh-CN"", ""ko"")"),"느리게")</f>
        <v>느리게</v>
      </c>
    </row>
    <row r="5320" ht="15.75" customHeight="1">
      <c r="A5320" s="1" t="s">
        <v>15683</v>
      </c>
      <c r="B5320" s="1">
        <v>7.0</v>
      </c>
      <c r="C5320" s="1" t="s">
        <v>15684</v>
      </c>
      <c r="D5320" s="1" t="s">
        <v>8</v>
      </c>
      <c r="E5320" s="1" t="s">
        <v>15685</v>
      </c>
      <c r="F5320" s="1" t="str">
        <f>IFERROR(__xludf.DUMMYFUNCTION("GOOGLETRANSLATE(A5320, ""zh-CN"", ""ko"")"),"유명한")</f>
        <v>유명한</v>
      </c>
    </row>
    <row r="5321" ht="15.75" customHeight="1">
      <c r="A5321" s="1" t="s">
        <v>15686</v>
      </c>
      <c r="B5321" s="1">
        <v>7.0</v>
      </c>
      <c r="C5321" s="1" t="s">
        <v>15687</v>
      </c>
      <c r="D5321" s="1" t="s">
        <v>8</v>
      </c>
      <c r="E5321" s="1" t="s">
        <v>15688</v>
      </c>
      <c r="F5321" s="1" t="str">
        <f>IFERROR(__xludf.DUMMYFUNCTION("GOOGLETRANSLATE(A5321, ""zh-CN"", ""ko"")"),"평평한")</f>
        <v>평평한</v>
      </c>
    </row>
    <row r="5322" ht="15.75" customHeight="1">
      <c r="A5322" s="1" t="s">
        <v>15689</v>
      </c>
      <c r="B5322" s="1">
        <v>7.0</v>
      </c>
      <c r="C5322" s="1" t="s">
        <v>15690</v>
      </c>
      <c r="E5322" s="1" t="s">
        <v>15691</v>
      </c>
      <c r="F5322" s="1" t="str">
        <f>IFERROR(__xludf.DUMMYFUNCTION("GOOGLETRANSLATE(A5322, ""zh-CN"", ""ko"")"),"인내")</f>
        <v>인내</v>
      </c>
    </row>
    <row r="5323" ht="15.75" customHeight="1">
      <c r="A5323" s="1" t="s">
        <v>15692</v>
      </c>
      <c r="B5323" s="1">
        <v>7.0</v>
      </c>
      <c r="C5323" s="1" t="s">
        <v>15693</v>
      </c>
      <c r="D5323" s="1" t="s">
        <v>16</v>
      </c>
      <c r="E5323" s="1" t="s">
        <v>15694</v>
      </c>
      <c r="F5323" s="1" t="str">
        <f>IFERROR(__xludf.DUMMYFUNCTION("GOOGLETRANSLATE(A5323, ""zh-CN"", ""ko"")"),"규모")</f>
        <v>규모</v>
      </c>
    </row>
    <row r="5324" ht="15.75" customHeight="1">
      <c r="A5324" s="1" t="s">
        <v>15695</v>
      </c>
      <c r="B5324" s="1">
        <v>7.0</v>
      </c>
      <c r="C5324" s="1" t="s">
        <v>15696</v>
      </c>
      <c r="D5324" s="1" t="s">
        <v>16</v>
      </c>
      <c r="E5324" s="1" t="s">
        <v>15697</v>
      </c>
      <c r="F5324" s="1" t="str">
        <f>IFERROR(__xludf.DUMMYFUNCTION("GOOGLETRANSLATE(A5324, ""zh-CN"", ""ko"")"),"창피")</f>
        <v>창피</v>
      </c>
    </row>
    <row r="5325" ht="15.75" customHeight="1">
      <c r="A5325" s="1" t="s">
        <v>15698</v>
      </c>
      <c r="B5325" s="1">
        <v>7.0</v>
      </c>
      <c r="C5325" s="1" t="s">
        <v>15699</v>
      </c>
      <c r="D5325" s="1" t="s">
        <v>8</v>
      </c>
      <c r="E5325" s="1" t="s">
        <v>15700</v>
      </c>
      <c r="F5325" s="1" t="str">
        <f>IFERROR(__xludf.DUMMYFUNCTION("GOOGLETRANSLATE(A5325, ""zh-CN"", ""ko"")"),"조소")</f>
        <v>조소</v>
      </c>
    </row>
    <row r="5326" ht="15.75" customHeight="1">
      <c r="A5326" s="1" t="s">
        <v>15701</v>
      </c>
      <c r="B5326" s="1">
        <v>7.0</v>
      </c>
      <c r="C5326" s="1" t="s">
        <v>3918</v>
      </c>
      <c r="D5326" s="1" t="s">
        <v>8</v>
      </c>
      <c r="E5326" s="1" t="s">
        <v>15702</v>
      </c>
      <c r="F5326" s="1" t="str">
        <f>IFERROR(__xludf.DUMMYFUNCTION("GOOGLETRANSLATE(A5326, ""zh-CN"", ""ko"")"),"요금")</f>
        <v>요금</v>
      </c>
    </row>
    <row r="5327" ht="15.75" customHeight="1">
      <c r="A5327" s="1" t="s">
        <v>15703</v>
      </c>
      <c r="B5327" s="1">
        <v>7.0</v>
      </c>
      <c r="C5327" s="1" t="s">
        <v>15704</v>
      </c>
      <c r="D5327" s="1" t="s">
        <v>8</v>
      </c>
      <c r="E5327" s="1" t="s">
        <v>15705</v>
      </c>
      <c r="F5327" s="1" t="str">
        <f>IFERROR(__xludf.DUMMYFUNCTION("GOOGLETRANSLATE(A5327, ""zh-CN"", ""ko"")"),"채우는")</f>
        <v>채우는</v>
      </c>
    </row>
    <row r="5328" ht="15.75" customHeight="1">
      <c r="A5328" s="1" t="s">
        <v>15706</v>
      </c>
      <c r="B5328" s="1">
        <v>7.0</v>
      </c>
      <c r="C5328" s="1" t="s">
        <v>15707</v>
      </c>
      <c r="D5328" s="1" t="s">
        <v>8</v>
      </c>
      <c r="E5328" s="1" t="s">
        <v>15708</v>
      </c>
      <c r="F5328" s="1" t="str">
        <f>IFERROR(__xludf.DUMMYFUNCTION("GOOGLETRANSLATE(A5328, ""zh-CN"", ""ko"")"),"스프린트")</f>
        <v>스프린트</v>
      </c>
    </row>
    <row r="5329" ht="15.75" customHeight="1">
      <c r="A5329" s="1" t="s">
        <v>15709</v>
      </c>
      <c r="B5329" s="1">
        <v>7.0</v>
      </c>
      <c r="C5329" s="1" t="s">
        <v>15710</v>
      </c>
      <c r="D5329" s="1" t="s">
        <v>8</v>
      </c>
      <c r="E5329" s="1" t="s">
        <v>15711</v>
      </c>
      <c r="F5329" s="1" t="str">
        <f>IFERROR(__xludf.DUMMYFUNCTION("GOOGLETRANSLATE(A5329, ""zh-CN"", ""ko"")"),"갈망")</f>
        <v>갈망</v>
      </c>
    </row>
    <row r="5330" ht="15.75" customHeight="1">
      <c r="A5330" s="1" t="s">
        <v>15712</v>
      </c>
      <c r="B5330" s="1">
        <v>7.0</v>
      </c>
      <c r="C5330" s="1" t="s">
        <v>15713</v>
      </c>
      <c r="D5330" s="1" t="s">
        <v>8</v>
      </c>
      <c r="E5330" s="1" t="s">
        <v>15714</v>
      </c>
      <c r="F5330" s="1" t="str">
        <f>IFERROR(__xludf.DUMMYFUNCTION("GOOGLETRANSLATE(A5330, ""zh-CN"", ""ko"")"),"서핑")</f>
        <v>서핑</v>
      </c>
    </row>
    <row r="5331" ht="15.75" customHeight="1">
      <c r="A5331" s="1" t="s">
        <v>15715</v>
      </c>
      <c r="B5331" s="1">
        <v>7.0</v>
      </c>
      <c r="C5331" s="1" t="s">
        <v>15716</v>
      </c>
      <c r="D5331" s="1" t="s">
        <v>8</v>
      </c>
      <c r="E5331" s="1" t="s">
        <v>15717</v>
      </c>
      <c r="F5331" s="1" t="str">
        <f>IFERROR(__xludf.DUMMYFUNCTION("GOOGLETRANSLATE(A5331, ""zh-CN"", ""ko"")"),"헹구기")</f>
        <v>헹구기</v>
      </c>
    </row>
    <row r="5332" ht="15.75" customHeight="1">
      <c r="A5332" s="1" t="s">
        <v>15718</v>
      </c>
      <c r="B5332" s="1">
        <v>7.0</v>
      </c>
      <c r="C5332" s="1" t="s">
        <v>15719</v>
      </c>
      <c r="D5332" s="1" t="s">
        <v>52</v>
      </c>
      <c r="E5332" s="1" t="s">
        <v>15720</v>
      </c>
      <c r="F5332" s="1" t="str">
        <f>IFERROR(__xludf.DUMMYFUNCTION("GOOGLETRANSLATE(A5332, ""zh-CN"", ""ko"")"),"충분한")</f>
        <v>충분한</v>
      </c>
    </row>
    <row r="5333" ht="15.75" customHeight="1">
      <c r="A5333" s="1" t="s">
        <v>15721</v>
      </c>
      <c r="B5333" s="1">
        <v>7.0</v>
      </c>
      <c r="C5333" s="1" t="s">
        <v>15722</v>
      </c>
      <c r="D5333" s="1" t="s">
        <v>8</v>
      </c>
      <c r="E5333" s="1" t="s">
        <v>15723</v>
      </c>
      <c r="F5333" s="1" t="str">
        <f>IFERROR(__xludf.DUMMYFUNCTION("GOOGLETRANSLATE(A5333, ""zh-CN"", ""ko"")"),"충돌")</f>
        <v>충돌</v>
      </c>
    </row>
    <row r="5334" ht="15.75" customHeight="1">
      <c r="A5334" s="1" t="s">
        <v>15724</v>
      </c>
      <c r="B5334" s="1">
        <v>7.0</v>
      </c>
      <c r="C5334" s="1" t="s">
        <v>15725</v>
      </c>
      <c r="D5334" s="1" t="s">
        <v>52</v>
      </c>
      <c r="E5334" s="1" t="s">
        <v>15605</v>
      </c>
      <c r="F5334" s="1" t="str">
        <f>IFERROR(__xludf.DUMMYFUNCTION("GOOGLETRANSLATE(A5334, ""zh-CN"", ""ko"")"),"겹겹이 쌓인")</f>
        <v>겹겹이 쌓인</v>
      </c>
    </row>
    <row r="5335" ht="15.75" customHeight="1">
      <c r="A5335" s="1" t="s">
        <v>15726</v>
      </c>
      <c r="B5335" s="1">
        <v>7.0</v>
      </c>
      <c r="C5335" s="1" t="s">
        <v>15727</v>
      </c>
      <c r="D5335" s="1" t="s">
        <v>8</v>
      </c>
      <c r="E5335" s="1" t="s">
        <v>15728</v>
      </c>
      <c r="F5335" s="1" t="str">
        <f>IFERROR(__xludf.DUMMYFUNCTION("GOOGLETRANSLATE(A5335, ""zh-CN"", ""ko"")"),"반품")</f>
        <v>반품</v>
      </c>
    </row>
    <row r="5336" ht="15.75" customHeight="1">
      <c r="A5336" s="1" t="s">
        <v>15729</v>
      </c>
      <c r="B5336" s="1">
        <v>7.0</v>
      </c>
      <c r="C5336" s="1" t="s">
        <v>15730</v>
      </c>
      <c r="D5336" s="1" t="s">
        <v>8</v>
      </c>
      <c r="E5336" s="1" t="s">
        <v>15731</v>
      </c>
      <c r="F5336" s="1" t="str">
        <f>IFERROR(__xludf.DUMMYFUNCTION("GOOGLETRANSLATE(A5336, ""zh-CN"", ""ko"")"),"일치")</f>
        <v>일치</v>
      </c>
    </row>
    <row r="5337" ht="15.75" customHeight="1">
      <c r="A5337" s="1" t="s">
        <v>15732</v>
      </c>
      <c r="B5337" s="1">
        <v>7.0</v>
      </c>
      <c r="C5337" s="1" t="s">
        <v>15733</v>
      </c>
      <c r="D5337" s="1" t="s">
        <v>8</v>
      </c>
      <c r="E5337" s="1" t="s">
        <v>15734</v>
      </c>
      <c r="F5337" s="1" t="str">
        <f>IFERROR(__xludf.DUMMYFUNCTION("GOOGLETRANSLATE(A5337, ""zh-CN"", ""ko"")"),"지지하다")</f>
        <v>지지하다</v>
      </c>
    </row>
    <row r="5338" ht="15.75" customHeight="1">
      <c r="A5338" s="1" t="s">
        <v>15735</v>
      </c>
      <c r="B5338" s="1">
        <v>7.0</v>
      </c>
      <c r="C5338" s="1" t="s">
        <v>15736</v>
      </c>
      <c r="D5338" s="1" t="s">
        <v>8</v>
      </c>
      <c r="E5338" s="1" t="s">
        <v>15737</v>
      </c>
      <c r="F5338" s="1" t="str">
        <f>IFERROR(__xludf.DUMMYFUNCTION("GOOGLETRANSLATE(A5338, ""zh-CN"", ""ko"")"),"다시 한번 강조합니다")</f>
        <v>다시 한번 강조합니다</v>
      </c>
    </row>
    <row r="5339" ht="15.75" customHeight="1">
      <c r="A5339" s="1" t="s">
        <v>15738</v>
      </c>
      <c r="B5339" s="1">
        <v>7.0</v>
      </c>
      <c r="C5339" s="1" t="s">
        <v>15739</v>
      </c>
      <c r="D5339" s="1" t="s">
        <v>8</v>
      </c>
      <c r="E5339" s="1" t="s">
        <v>15740</v>
      </c>
      <c r="F5339" s="1" t="str">
        <f>IFERROR(__xludf.DUMMYFUNCTION("GOOGLETRANSLATE(A5339, ""zh-CN"", ""ko"")"),"낳다")</f>
        <v>낳다</v>
      </c>
    </row>
    <row r="5340" ht="15.75" customHeight="1">
      <c r="A5340" s="1" t="s">
        <v>15741</v>
      </c>
      <c r="B5340" s="1">
        <v>7.0</v>
      </c>
      <c r="C5340" s="1" t="s">
        <v>15742</v>
      </c>
      <c r="D5340" s="1" t="s">
        <v>8</v>
      </c>
      <c r="E5340" s="1" t="s">
        <v>15743</v>
      </c>
      <c r="F5340" s="1" t="str">
        <f>IFERROR(__xludf.DUMMYFUNCTION("GOOGLETRANSLATE(A5340, ""zh-CN"", ""ko"")"),"재편성")</f>
        <v>재편성</v>
      </c>
    </row>
    <row r="5341" ht="15.75" customHeight="1">
      <c r="A5341" s="1" t="s">
        <v>15744</v>
      </c>
      <c r="B5341" s="1">
        <v>7.0</v>
      </c>
      <c r="C5341" s="1" t="s">
        <v>15745</v>
      </c>
      <c r="D5341" s="1" t="s">
        <v>8</v>
      </c>
      <c r="E5341" s="1" t="s">
        <v>15746</v>
      </c>
      <c r="F5341" s="1" t="str">
        <f>IFERROR(__xludf.DUMMYFUNCTION("GOOGLETRANSLATE(A5341, ""zh-CN"", ""ko"")"),"애완 동물")</f>
        <v>애완 동물</v>
      </c>
    </row>
    <row r="5342" ht="15.75" customHeight="1">
      <c r="A5342" s="1" t="s">
        <v>15747</v>
      </c>
      <c r="B5342" s="1">
        <v>7.0</v>
      </c>
      <c r="C5342" s="1" t="s">
        <v>15748</v>
      </c>
      <c r="D5342" s="1" t="s">
        <v>8</v>
      </c>
      <c r="E5342" s="1" t="s">
        <v>15749</v>
      </c>
      <c r="F5342" s="1" t="str">
        <f>IFERROR(__xludf.DUMMYFUNCTION("GOOGLETRANSLATE(A5342, ""zh-CN"", ""ko"")"),"애완 동물")</f>
        <v>애완 동물</v>
      </c>
    </row>
    <row r="5343" ht="15.75" customHeight="1">
      <c r="A5343" s="1" t="s">
        <v>15750</v>
      </c>
      <c r="B5343" s="1">
        <v>7.0</v>
      </c>
      <c r="C5343" s="1" t="s">
        <v>15751</v>
      </c>
      <c r="E5343" s="1" t="s">
        <v>15752</v>
      </c>
      <c r="F5343" s="1" t="str">
        <f>IFERROR(__xludf.DUMMYFUNCTION("GOOGLETRANSLATE(A5343, ""zh-CN"", ""ko"")"),"그리다")</f>
        <v>그리다</v>
      </c>
    </row>
    <row r="5344" ht="15.75" customHeight="1">
      <c r="A5344" s="1" t="s">
        <v>15753</v>
      </c>
      <c r="B5344" s="1">
        <v>7.0</v>
      </c>
      <c r="C5344" s="1" t="s">
        <v>15754</v>
      </c>
      <c r="D5344" s="1" t="s">
        <v>8</v>
      </c>
      <c r="E5344" s="1" t="s">
        <v>15755</v>
      </c>
      <c r="F5344" s="1" t="str">
        <f>IFERROR(__xludf.DUMMYFUNCTION("GOOGLETRANSLATE(A5344, ""zh-CN"", ""ko"")"),"견본 추출")</f>
        <v>견본 추출</v>
      </c>
    </row>
    <row r="5345" ht="15.75" customHeight="1">
      <c r="A5345" s="1" t="s">
        <v>15756</v>
      </c>
      <c r="B5345" s="1">
        <v>7.0</v>
      </c>
      <c r="C5345" s="1" t="s">
        <v>15757</v>
      </c>
      <c r="D5345" s="1" t="s">
        <v>8</v>
      </c>
      <c r="E5345" s="1" t="s">
        <v>15758</v>
      </c>
      <c r="F5345" s="1" t="str">
        <f>IFERROR(__xludf.DUMMYFUNCTION("GOOGLETRANSLATE(A5345, ""zh-CN"", ""ko"")"),"불시 점검")</f>
        <v>불시 점검</v>
      </c>
    </row>
    <row r="5346" ht="15.75" customHeight="1">
      <c r="A5346" s="1" t="s">
        <v>15759</v>
      </c>
      <c r="B5346" s="1">
        <v>7.0</v>
      </c>
      <c r="C5346" s="1" t="s">
        <v>15760</v>
      </c>
      <c r="D5346" s="1" t="s">
        <v>16</v>
      </c>
      <c r="E5346" s="1" t="s">
        <v>15761</v>
      </c>
      <c r="F5346" s="1" t="str">
        <f>IFERROR(__xludf.DUMMYFUNCTION("GOOGLETRANSLATE(A5346, ""zh-CN"", ""ko"")"),"증오")</f>
        <v>증오</v>
      </c>
    </row>
    <row r="5347" ht="15.75" customHeight="1">
      <c r="A5347" s="1" t="s">
        <v>15762</v>
      </c>
      <c r="B5347" s="1">
        <v>7.0</v>
      </c>
      <c r="C5347" s="1" t="s">
        <v>15760</v>
      </c>
      <c r="D5347" s="1" t="s">
        <v>52</v>
      </c>
      <c r="E5347" s="1" t="s">
        <v>15763</v>
      </c>
      <c r="F5347" s="1" t="str">
        <f>IFERROR(__xludf.DUMMYFUNCTION("GOOGLETRANSLATE(A5347, ""zh-CN"", ""ko"")"),"두꺼운")</f>
        <v>두꺼운</v>
      </c>
    </row>
    <row r="5348" ht="15.75" customHeight="1">
      <c r="A5348" s="1" t="s">
        <v>15764</v>
      </c>
      <c r="B5348" s="1">
        <v>7.0</v>
      </c>
      <c r="C5348" s="1" t="s">
        <v>15760</v>
      </c>
      <c r="D5348" s="1" t="s">
        <v>8</v>
      </c>
      <c r="E5348" s="1" t="s">
        <v>15765</v>
      </c>
      <c r="F5348" s="1" t="str">
        <f>IFERROR(__xludf.DUMMYFUNCTION("GOOGLETRANSLATE(A5348, ""zh-CN"", ""ko"")"),"모금 활동")</f>
        <v>모금 활동</v>
      </c>
    </row>
    <row r="5349" ht="15.75" customHeight="1">
      <c r="A5349" s="1" t="s">
        <v>15766</v>
      </c>
      <c r="B5349" s="1">
        <v>7.0</v>
      </c>
      <c r="C5349" s="1" t="s">
        <v>15767</v>
      </c>
      <c r="D5349" s="1" t="s">
        <v>8</v>
      </c>
      <c r="E5349" s="1" t="s">
        <v>15768</v>
      </c>
      <c r="F5349" s="1" t="str">
        <f>IFERROR(__xludf.DUMMYFUNCTION("GOOGLETRANSLATE(A5349, ""zh-CN"", ""ko"")"),"준비")</f>
        <v>준비</v>
      </c>
    </row>
    <row r="5350" ht="15.75" customHeight="1">
      <c r="A5350" s="1" t="s">
        <v>15769</v>
      </c>
      <c r="B5350" s="1">
        <v>7.0</v>
      </c>
      <c r="C5350" s="1" t="s">
        <v>15770</v>
      </c>
      <c r="D5350" s="1" t="s">
        <v>8</v>
      </c>
      <c r="E5350" s="1" t="s">
        <v>15771</v>
      </c>
      <c r="F5350" s="1" t="str">
        <f>IFERROR(__xludf.DUMMYFUNCTION("GOOGLETRANSLATE(A5350, ""zh-CN"", ""ko"")"),"모금 활동")</f>
        <v>모금 활동</v>
      </c>
    </row>
    <row r="5351" ht="15.75" customHeight="1">
      <c r="A5351" s="1" t="s">
        <v>15772</v>
      </c>
      <c r="B5351" s="1">
        <v>7.0</v>
      </c>
      <c r="C5351" s="1" t="s">
        <v>15773</v>
      </c>
      <c r="D5351" s="1" t="s">
        <v>14870</v>
      </c>
      <c r="E5351" s="1" t="s">
        <v>15774</v>
      </c>
      <c r="F5351" s="1" t="str">
        <f>IFERROR(__xludf.DUMMYFUNCTION("GOOGLETRANSLATE(A5351, ""zh-CN"", ""ko"")"),"증오")</f>
        <v>증오</v>
      </c>
    </row>
    <row r="5352" ht="15.75" customHeight="1">
      <c r="A5352" s="1" t="s">
        <v>15775</v>
      </c>
      <c r="B5352" s="1">
        <v>7.0</v>
      </c>
      <c r="C5352" s="1" t="s">
        <v>15776</v>
      </c>
      <c r="D5352" s="1" t="s">
        <v>14870</v>
      </c>
      <c r="E5352" s="1" t="s">
        <v>15777</v>
      </c>
      <c r="F5352" s="1" t="str">
        <f>IFERROR(__xludf.DUMMYFUNCTION("GOOGLETRANSLATE(A5352, ""zh-CN"", ""ko"")"),"계획")</f>
        <v>계획</v>
      </c>
    </row>
    <row r="5353" ht="15.75" customHeight="1">
      <c r="A5353" s="1" t="s">
        <v>15778</v>
      </c>
      <c r="B5353" s="1">
        <v>7.0</v>
      </c>
      <c r="C5353" s="1" t="s">
        <v>15779</v>
      </c>
      <c r="D5353" s="1" t="s">
        <v>8</v>
      </c>
      <c r="E5353" s="1" t="s">
        <v>15780</v>
      </c>
      <c r="F5353" s="1" t="str">
        <f>IFERROR(__xludf.DUMMYFUNCTION("GOOGLETRANSLATE(A5353, ""zh-CN"", ""ko"")"),"모금 활동")</f>
        <v>모금 활동</v>
      </c>
    </row>
    <row r="5354" ht="15.75" customHeight="1">
      <c r="A5354" s="1" t="s">
        <v>15781</v>
      </c>
      <c r="B5354" s="1">
        <v>7.0</v>
      </c>
      <c r="C5354" s="1" t="s">
        <v>15782</v>
      </c>
      <c r="D5354" s="1" t="s">
        <v>16</v>
      </c>
      <c r="E5354" s="1" t="s">
        <v>15783</v>
      </c>
      <c r="F5354" s="1" t="str">
        <f>IFERROR(__xludf.DUMMYFUNCTION("GOOGLETRANSLATE(A5354, ""zh-CN"", ""ko"")"),"작은 조각")</f>
        <v>작은 조각</v>
      </c>
    </row>
    <row r="5355" ht="15.75" customHeight="1">
      <c r="A5355" s="1" t="s">
        <v>15784</v>
      </c>
      <c r="B5355" s="1">
        <v>7.0</v>
      </c>
      <c r="C5355" s="1" t="s">
        <v>15785</v>
      </c>
      <c r="E5355" s="1" t="s">
        <v>15786</v>
      </c>
      <c r="F5355" s="1" t="str">
        <f>IFERROR(__xludf.DUMMYFUNCTION("GOOGLETRANSLATE(A5355, ""zh-CN"", ""ko"")"),"찌푸린 얼굴")</f>
        <v>찌푸린 얼굴</v>
      </c>
    </row>
    <row r="5356" ht="15.75" customHeight="1">
      <c r="A5356" s="1" t="s">
        <v>15787</v>
      </c>
      <c r="B5356" s="1">
        <v>7.0</v>
      </c>
      <c r="C5356" s="1" t="s">
        <v>15788</v>
      </c>
      <c r="D5356" s="1" t="s">
        <v>16</v>
      </c>
      <c r="E5356" s="1" t="s">
        <v>15789</v>
      </c>
      <c r="F5356" s="1" t="str">
        <f>IFERROR(__xludf.DUMMYFUNCTION("GOOGLETRANSLATE(A5356, ""zh-CN"", ""ko"")"),"적")</f>
        <v>적</v>
      </c>
    </row>
    <row r="5357" ht="15.75" customHeight="1">
      <c r="A5357" s="1" t="s">
        <v>15790</v>
      </c>
      <c r="B5357" s="1">
        <v>7.0</v>
      </c>
      <c r="C5357" s="1" t="s">
        <v>3942</v>
      </c>
      <c r="D5357" s="1" t="s">
        <v>8</v>
      </c>
      <c r="E5357" s="1" t="s">
        <v>15791</v>
      </c>
      <c r="F5357" s="1" t="str">
        <f>IFERROR(__xludf.DUMMYFUNCTION("GOOGLETRANSLATE(A5357, ""zh-CN"", ""ko"")"),"바라보다")</f>
        <v>바라보다</v>
      </c>
    </row>
    <row r="5358" ht="15.75" customHeight="1">
      <c r="A5358" s="1" t="s">
        <v>15792</v>
      </c>
      <c r="B5358" s="1">
        <v>7.0</v>
      </c>
      <c r="C5358" s="1" t="s">
        <v>15793</v>
      </c>
      <c r="D5358" s="1" t="s">
        <v>52</v>
      </c>
      <c r="E5358" s="1" t="s">
        <v>15794</v>
      </c>
      <c r="F5358" s="1" t="str">
        <f>IFERROR(__xludf.DUMMYFUNCTION("GOOGLETRANSLATE(A5358, ""zh-CN"", ""ko"")"),"못생긴")</f>
        <v>못생긴</v>
      </c>
    </row>
    <row r="5359" ht="15.75" customHeight="1">
      <c r="A5359" s="1" t="s">
        <v>15795</v>
      </c>
      <c r="B5359" s="1">
        <v>7.0</v>
      </c>
      <c r="C5359" s="1" t="s">
        <v>15796</v>
      </c>
      <c r="D5359" s="1" t="s">
        <v>16</v>
      </c>
      <c r="E5359" s="1" t="s">
        <v>15797</v>
      </c>
      <c r="F5359" s="1" t="str">
        <f>IFERROR(__xludf.DUMMYFUNCTION("GOOGLETRANSLATE(A5359, ""zh-CN"", ""ko"")"),"추문")</f>
        <v>추문</v>
      </c>
    </row>
    <row r="5360" ht="15.75" customHeight="1">
      <c r="A5360" s="1" t="s">
        <v>15798</v>
      </c>
      <c r="B5360" s="1">
        <v>7.0</v>
      </c>
      <c r="C5360" s="1" t="s">
        <v>15799</v>
      </c>
      <c r="D5360" s="1" t="s">
        <v>8</v>
      </c>
      <c r="E5360" s="1" t="s">
        <v>15800</v>
      </c>
      <c r="F5360" s="1" t="str">
        <f>IFERROR(__xludf.DUMMYFUNCTION("GOOGLETRANSLATE(A5360, ""zh-CN"", ""ko"")"),"공장")</f>
        <v>공장</v>
      </c>
    </row>
    <row r="5361" ht="15.75" customHeight="1">
      <c r="A5361" s="1" t="s">
        <v>15801</v>
      </c>
      <c r="B5361" s="1">
        <v>7.0</v>
      </c>
      <c r="C5361" s="1" t="s">
        <v>15802</v>
      </c>
      <c r="D5361" s="1" t="s">
        <v>8</v>
      </c>
      <c r="E5361" s="1" t="s">
        <v>15803</v>
      </c>
      <c r="F5361" s="1" t="str">
        <f>IFERROR(__xludf.DUMMYFUNCTION("GOOGLETRANSLATE(A5361, ""zh-CN"", ""ko"")"),"당황")</f>
        <v>당황</v>
      </c>
    </row>
    <row r="5362" ht="15.75" customHeight="1">
      <c r="A5362" s="1" t="s">
        <v>15804</v>
      </c>
      <c r="B5362" s="1">
        <v>7.0</v>
      </c>
      <c r="C5362" s="1" t="s">
        <v>15805</v>
      </c>
      <c r="D5362" s="1" t="s">
        <v>8</v>
      </c>
      <c r="E5362" s="1" t="s">
        <v>15806</v>
      </c>
      <c r="F5362" s="1" t="str">
        <f>IFERROR(__xludf.DUMMYFUNCTION("GOOGLETRANSLATE(A5362, ""zh-CN"", ""ko"")"),"배포됨")</f>
        <v>배포됨</v>
      </c>
    </row>
    <row r="5363" ht="15.75" customHeight="1">
      <c r="A5363" s="1" t="s">
        <v>15807</v>
      </c>
      <c r="B5363" s="1">
        <v>7.0</v>
      </c>
      <c r="C5363" s="1" t="s">
        <v>15808</v>
      </c>
      <c r="D5363" s="1" t="s">
        <v>16</v>
      </c>
      <c r="E5363" s="1" t="s">
        <v>15809</v>
      </c>
      <c r="F5363" s="1" t="str">
        <f>IFERROR(__xludf.DUMMYFUNCTION("GOOGLETRANSLATE(A5363, ""zh-CN"", ""ko"")"),"출발점")</f>
        <v>출발점</v>
      </c>
    </row>
    <row r="5364" ht="15.75" customHeight="1">
      <c r="A5364" s="1" t="s">
        <v>15810</v>
      </c>
      <c r="B5364" s="1">
        <v>7.0</v>
      </c>
      <c r="C5364" s="1" t="s">
        <v>15811</v>
      </c>
      <c r="D5364" s="1" t="s">
        <v>8</v>
      </c>
      <c r="E5364" s="1" t="s">
        <v>15812</v>
      </c>
      <c r="F5364" s="1" t="str">
        <f>IFERROR(__xludf.DUMMYFUNCTION("GOOGLETRANSLATE(A5364, ""zh-CN"", ""ko"")"),"해외 방문")</f>
        <v>해외 방문</v>
      </c>
    </row>
    <row r="5365" ht="15.75" customHeight="1">
      <c r="A5365" s="1" t="s">
        <v>15813</v>
      </c>
      <c r="B5365" s="1">
        <v>7.0</v>
      </c>
      <c r="C5365" s="1" t="s">
        <v>15814</v>
      </c>
      <c r="D5365" s="1" t="s">
        <v>8</v>
      </c>
      <c r="E5365" s="1" t="s">
        <v>15815</v>
      </c>
      <c r="F5365" s="1" t="str">
        <f>IFERROR(__xludf.DUMMYFUNCTION("GOOGLETRANSLATE(A5365, ""zh-CN"", ""ko"")"),"제거됨")</f>
        <v>제거됨</v>
      </c>
    </row>
    <row r="5366" ht="15.75" customHeight="1">
      <c r="A5366" s="1" t="s">
        <v>15816</v>
      </c>
      <c r="B5366" s="1">
        <v>7.0</v>
      </c>
      <c r="C5366" s="1" t="s">
        <v>15817</v>
      </c>
      <c r="D5366" s="1" t="s">
        <v>8</v>
      </c>
      <c r="E5366" s="1" t="s">
        <v>15818</v>
      </c>
      <c r="F5366" s="1" t="str">
        <f>IFERROR(__xludf.DUMMYFUNCTION("GOOGLETRANSLATE(A5366, ""zh-CN"", ""ko"")"),"문제")</f>
        <v>문제</v>
      </c>
    </row>
    <row r="5367" ht="15.75" customHeight="1">
      <c r="A5367" s="1" t="s">
        <v>15819</v>
      </c>
      <c r="B5367" s="1">
        <v>7.0</v>
      </c>
      <c r="C5367" s="1" t="s">
        <v>15820</v>
      </c>
      <c r="E5367" s="1" t="s">
        <v>15821</v>
      </c>
      <c r="F5367" s="1" t="str">
        <f>IFERROR(__xludf.DUMMYFUNCTION("GOOGLETRANSLATE(A5367, ""zh-CN"", ""ko"")"),"유창하게 말하다")</f>
        <v>유창하게 말하다</v>
      </c>
    </row>
    <row r="5368" ht="15.75" customHeight="1">
      <c r="A5368" s="1" t="s">
        <v>15822</v>
      </c>
      <c r="B5368" s="1">
        <v>7.0</v>
      </c>
      <c r="C5368" s="1" t="s">
        <v>15823</v>
      </c>
      <c r="D5368" s="1" t="s">
        <v>8</v>
      </c>
      <c r="E5368" s="1" t="s">
        <v>15824</v>
      </c>
      <c r="F5368" s="1" t="str">
        <f>IFERROR(__xludf.DUMMYFUNCTION("GOOGLETRANSLATE(A5368, ""zh-CN"", ""ko"")"),"앞으로 나아가다")</f>
        <v>앞으로 나아가다</v>
      </c>
    </row>
    <row r="5369" ht="15.75" customHeight="1">
      <c r="A5369" s="1" t="s">
        <v>15825</v>
      </c>
      <c r="B5369" s="1">
        <v>7.0</v>
      </c>
      <c r="C5369" s="1" t="s">
        <v>15826</v>
      </c>
      <c r="E5369" s="1" t="s">
        <v>15827</v>
      </c>
      <c r="F5369" s="1" t="str">
        <f>IFERROR(__xludf.DUMMYFUNCTION("GOOGLETRANSLATE(A5369, ""zh-CN"", ""ko"")"),"예기치 않은")</f>
        <v>예기치 않은</v>
      </c>
    </row>
    <row r="5370" ht="15.75" customHeight="1">
      <c r="A5370" s="1" t="s">
        <v>15828</v>
      </c>
      <c r="B5370" s="1">
        <v>7.0</v>
      </c>
      <c r="C5370" s="1" t="s">
        <v>15829</v>
      </c>
      <c r="D5370" s="1" t="s">
        <v>8</v>
      </c>
      <c r="E5370" s="1" t="s">
        <v>15830</v>
      </c>
      <c r="F5370" s="1" t="str">
        <f>IFERROR(__xludf.DUMMYFUNCTION("GOOGLETRANSLATE(A5370, ""zh-CN"", ""ko"")"),"정해진")</f>
        <v>정해진</v>
      </c>
    </row>
    <row r="5371" ht="15.75" customHeight="1">
      <c r="A5371" s="1" t="s">
        <v>15831</v>
      </c>
      <c r="B5371" s="1">
        <v>7.0</v>
      </c>
      <c r="C5371" s="1" t="s">
        <v>15832</v>
      </c>
      <c r="D5371" s="1" t="s">
        <v>8</v>
      </c>
      <c r="E5371" s="1" t="s">
        <v>15833</v>
      </c>
      <c r="F5371" s="1" t="str">
        <f>IFERROR(__xludf.DUMMYFUNCTION("GOOGLETRANSLATE(A5371, ""zh-CN"", ""ko"")"),"행동에 나서세요")</f>
        <v>행동에 나서세요</v>
      </c>
    </row>
    <row r="5372" ht="15.75" customHeight="1">
      <c r="A5372" s="1" t="s">
        <v>15834</v>
      </c>
      <c r="B5372" s="1">
        <v>7.0</v>
      </c>
      <c r="C5372" s="1" t="s">
        <v>15835</v>
      </c>
      <c r="D5372" s="1" t="s">
        <v>8</v>
      </c>
      <c r="E5372" s="1" t="s">
        <v>15836</v>
      </c>
      <c r="F5372" s="1" t="str">
        <f>IFERROR(__xludf.DUMMYFUNCTION("GOOGLETRANSLATE(A5372, ""zh-CN"", ""ko"")"),"발행됨")</f>
        <v>발행됨</v>
      </c>
    </row>
    <row r="5373" ht="15.75" customHeight="1">
      <c r="A5373" s="1" t="s">
        <v>15837</v>
      </c>
      <c r="B5373" s="1">
        <v>7.0</v>
      </c>
      <c r="C5373" s="1" t="s">
        <v>15838</v>
      </c>
      <c r="D5373" s="1" t="s">
        <v>8</v>
      </c>
      <c r="E5373" s="1" t="s">
        <v>15839</v>
      </c>
      <c r="F5373" s="1" t="str">
        <f>IFERROR(__xludf.DUMMYFUNCTION("GOOGLETRANSLATE(A5373, ""zh-CN"", ""ko"")"),"돋보이다")</f>
        <v>돋보이다</v>
      </c>
    </row>
    <row r="5374" ht="15.75" customHeight="1">
      <c r="A5374" s="1" t="s">
        <v>15840</v>
      </c>
      <c r="B5374" s="1">
        <v>7.0</v>
      </c>
      <c r="C5374" s="1" t="s">
        <v>15841</v>
      </c>
      <c r="D5374" s="1" t="s">
        <v>8</v>
      </c>
      <c r="E5374" s="1" t="s">
        <v>15842</v>
      </c>
      <c r="F5374" s="1" t="str">
        <f>IFERROR(__xludf.DUMMYFUNCTION("GOOGLETRANSLATE(A5374, ""zh-CN"", ""ko"")"),"발굴된")</f>
        <v>발굴된</v>
      </c>
    </row>
    <row r="5375" ht="15.75" customHeight="1">
      <c r="A5375" s="1" t="s">
        <v>15843</v>
      </c>
      <c r="B5375" s="1">
        <v>7.0</v>
      </c>
      <c r="C5375" s="1" t="s">
        <v>15844</v>
      </c>
      <c r="D5375" s="1" t="s">
        <v>8</v>
      </c>
      <c r="E5375" s="1" t="s">
        <v>15845</v>
      </c>
      <c r="F5375" s="1" t="str">
        <f>IFERROR(__xludf.DUMMYFUNCTION("GOOGLETRANSLATE(A5375, ""zh-CN"", ""ko"")"),"원정")</f>
        <v>원정</v>
      </c>
    </row>
    <row r="5376" ht="15.75" customHeight="1">
      <c r="A5376" s="1" t="s">
        <v>15846</v>
      </c>
      <c r="B5376" s="1">
        <v>7.0</v>
      </c>
      <c r="C5376" s="1" t="s">
        <v>15847</v>
      </c>
      <c r="D5376" s="1" t="s">
        <v>16</v>
      </c>
      <c r="E5376" s="1" t="s">
        <v>15848</v>
      </c>
      <c r="F5376" s="1" t="str">
        <f>IFERROR(__xludf.DUMMYFUNCTION("GOOGLETRANSLATE(A5376, ""zh-CN"", ""ko"")"),"원래 의도")</f>
        <v>원래 의도</v>
      </c>
    </row>
    <row r="5377" ht="15.75" customHeight="1">
      <c r="A5377" s="1" t="s">
        <v>15849</v>
      </c>
      <c r="B5377" s="1">
        <v>7.0</v>
      </c>
      <c r="C5377" s="1" t="s">
        <v>15850</v>
      </c>
      <c r="D5377" s="1" t="s">
        <v>52</v>
      </c>
      <c r="E5377" s="1" t="s">
        <v>15851</v>
      </c>
      <c r="F5377" s="1" t="str">
        <f>IFERROR(__xludf.DUMMYFUNCTION("GOOGLETRANSLATE(A5377, ""zh-CN"", ""ko"")"),"뛰어난")</f>
        <v>뛰어난</v>
      </c>
    </row>
    <row r="5378" ht="15.75" customHeight="1">
      <c r="A5378" s="1" t="s">
        <v>15852</v>
      </c>
      <c r="B5378" s="1">
        <v>7.0</v>
      </c>
      <c r="C5378" s="1" t="s">
        <v>15853</v>
      </c>
      <c r="D5378" s="1" t="s">
        <v>8</v>
      </c>
      <c r="E5378" s="1" t="s">
        <v>15854</v>
      </c>
      <c r="F5378" s="1" t="str">
        <f>IFERROR(__xludf.DUMMYFUNCTION("GOOGLETRANSLATE(A5378, ""zh-CN"", ""ko"")"),"투자")</f>
        <v>투자</v>
      </c>
    </row>
    <row r="5379" ht="15.75" customHeight="1">
      <c r="A5379" s="1" t="s">
        <v>15855</v>
      </c>
      <c r="B5379" s="1">
        <v>7.0</v>
      </c>
      <c r="C5379" s="1" t="s">
        <v>15856</v>
      </c>
      <c r="D5379" s="1" t="s">
        <v>8</v>
      </c>
      <c r="E5379" s="1" t="s">
        <v>15857</v>
      </c>
      <c r="F5379" s="1" t="str">
        <f>IFERROR(__xludf.DUMMYFUNCTION("GOOGLETRANSLATE(A5379, ""zh-CN"", ""ko"")"),"도망치다")</f>
        <v>도망치다</v>
      </c>
    </row>
    <row r="5380" ht="15.75" customHeight="1">
      <c r="A5380" s="1" t="s">
        <v>15858</v>
      </c>
      <c r="B5380" s="1">
        <v>7.0</v>
      </c>
      <c r="C5380" s="1" t="s">
        <v>8249</v>
      </c>
      <c r="D5380" s="1" t="s">
        <v>14917</v>
      </c>
      <c r="E5380" s="1" t="s">
        <v>15859</v>
      </c>
      <c r="F5380" s="1" t="str">
        <f>IFERROR(__xludf.DUMMYFUNCTION("GOOGLETRANSLATE(A5380, ""zh-CN"", ""ko"")"),"괭이")</f>
        <v>괭이</v>
      </c>
    </row>
    <row r="5381" ht="15.75" customHeight="1">
      <c r="A5381" s="1" t="s">
        <v>15860</v>
      </c>
      <c r="B5381" s="1">
        <v>7.0</v>
      </c>
      <c r="C5381" s="1" t="s">
        <v>15861</v>
      </c>
      <c r="D5381" s="1" t="s">
        <v>16</v>
      </c>
      <c r="E5381" s="1" t="s">
        <v>15862</v>
      </c>
      <c r="F5381" s="1" t="str">
        <f>IFERROR(__xludf.DUMMYFUNCTION("GOOGLETRANSLATE(A5381, ""zh-CN"", ""ko"")"),"쇼윈도")</f>
        <v>쇼윈도</v>
      </c>
    </row>
    <row r="5382" ht="15.75" customHeight="1">
      <c r="A5382" s="1" t="s">
        <v>15863</v>
      </c>
      <c r="B5382" s="1">
        <v>7.0</v>
      </c>
      <c r="C5382" s="1" t="s">
        <v>15864</v>
      </c>
      <c r="D5382" s="1" t="s">
        <v>15865</v>
      </c>
      <c r="E5382" s="1" t="s">
        <v>15866</v>
      </c>
      <c r="F5382" s="1" t="str">
        <f>IFERROR(__xludf.DUMMYFUNCTION("GOOGLETRANSLATE(A5382, ""zh-CN"", ""ko"")"),"제거하다")</f>
        <v>제거하다</v>
      </c>
    </row>
    <row r="5383" ht="15.75" customHeight="1">
      <c r="A5383" s="1" t="s">
        <v>15867</v>
      </c>
      <c r="B5383" s="1">
        <v>7.0</v>
      </c>
      <c r="C5383" s="1" t="s">
        <v>15868</v>
      </c>
      <c r="D5383" s="1" t="s">
        <v>8</v>
      </c>
      <c r="E5383" s="1" t="s">
        <v>15869</v>
      </c>
      <c r="F5383" s="1" t="str">
        <f>IFERROR(__xludf.DUMMYFUNCTION("GOOGLETRANSLATE(A5383, ""zh-CN"", ""ko"")"),"제외하고")</f>
        <v>제외하고</v>
      </c>
    </row>
    <row r="5384" ht="15.75" customHeight="1">
      <c r="A5384" s="1" t="s">
        <v>15870</v>
      </c>
      <c r="B5384" s="1">
        <v>7.0</v>
      </c>
      <c r="C5384" s="1" t="s">
        <v>15871</v>
      </c>
      <c r="D5384" s="1" t="s">
        <v>14870</v>
      </c>
      <c r="E5384" s="1" t="s">
        <v>15872</v>
      </c>
      <c r="F5384" s="1" t="str">
        <f>IFERROR(__xludf.DUMMYFUNCTION("GOOGLETRANSLATE(A5384, ""zh-CN"", ""ko"")"),"처방")</f>
        <v>처방</v>
      </c>
    </row>
    <row r="5385" ht="15.75" customHeight="1">
      <c r="A5385" s="1" t="s">
        <v>15873</v>
      </c>
      <c r="B5385" s="1">
        <v>7.0</v>
      </c>
      <c r="C5385" s="1" t="s">
        <v>15874</v>
      </c>
      <c r="D5385" s="1" t="s">
        <v>16</v>
      </c>
      <c r="E5385" s="1" t="s">
        <v>15875</v>
      </c>
      <c r="F5385" s="1" t="str">
        <f>IFERROR(__xludf.DUMMYFUNCTION("GOOGLETRANSLATE(A5385, ""zh-CN"", ""ko"")"),"예비")</f>
        <v>예비</v>
      </c>
    </row>
    <row r="5386" ht="15.75" customHeight="1">
      <c r="A5386" s="1" t="s">
        <v>15876</v>
      </c>
      <c r="B5386" s="1">
        <v>7.0</v>
      </c>
      <c r="C5386" s="1" t="s">
        <v>15877</v>
      </c>
      <c r="D5386" s="1" t="s">
        <v>8</v>
      </c>
      <c r="E5386" s="1" t="s">
        <v>15878</v>
      </c>
      <c r="F5386" s="1" t="str">
        <f>IFERROR(__xludf.DUMMYFUNCTION("GOOGLETRANSLATE(A5386, ""zh-CN"", ""ko"")"),"처리 사항")</f>
        <v>처리 사항</v>
      </c>
    </row>
    <row r="5387" ht="15.75" customHeight="1">
      <c r="A5387" s="1" t="s">
        <v>15879</v>
      </c>
      <c r="B5387" s="1">
        <v>7.0</v>
      </c>
      <c r="C5387" s="1" t="s">
        <v>15880</v>
      </c>
      <c r="D5387" s="1" t="s">
        <v>8</v>
      </c>
      <c r="E5387" s="1" t="s">
        <v>15881</v>
      </c>
      <c r="F5387" s="1" t="str">
        <f>IFERROR(__xludf.DUMMYFUNCTION("GOOGLETRANSLATE(A5387, ""zh-CN"", ""ko"")"),"만지다")</f>
        <v>만지다</v>
      </c>
    </row>
    <row r="5388" ht="15.75" customHeight="1">
      <c r="A5388" s="1" t="s">
        <v>15882</v>
      </c>
      <c r="B5388" s="1">
        <v>7.0</v>
      </c>
      <c r="C5388" s="1" t="s">
        <v>15883</v>
      </c>
      <c r="D5388" s="1" t="s">
        <v>16</v>
      </c>
      <c r="E5388" s="1" t="s">
        <v>15881</v>
      </c>
      <c r="F5388" s="1" t="str">
        <f>IFERROR(__xludf.DUMMYFUNCTION("GOOGLETRANSLATE(A5388, ""zh-CN"", ""ko"")"),"만지다")</f>
        <v>만지다</v>
      </c>
    </row>
    <row r="5389" ht="15.75" customHeight="1">
      <c r="A5389" s="1" t="s">
        <v>15884</v>
      </c>
      <c r="B5389" s="1">
        <v>7.0</v>
      </c>
      <c r="C5389" s="1" t="s">
        <v>15885</v>
      </c>
      <c r="D5389" s="1" t="s">
        <v>8</v>
      </c>
      <c r="E5389" s="1" t="s">
        <v>15886</v>
      </c>
      <c r="F5389" s="1" t="str">
        <f>IFERROR(__xludf.DUMMYFUNCTION("GOOGLETRANSLATE(A5389, ""zh-CN"", ""ko"")"),"서다")</f>
        <v>서다</v>
      </c>
    </row>
    <row r="5390" ht="15.75" customHeight="1">
      <c r="A5390" s="1" t="s">
        <v>15887</v>
      </c>
      <c r="B5390" s="1">
        <v>7.0</v>
      </c>
      <c r="C5390" s="1" t="s">
        <v>15888</v>
      </c>
      <c r="D5390" s="1" t="s">
        <v>8</v>
      </c>
      <c r="E5390" s="1" t="s">
        <v>15881</v>
      </c>
      <c r="F5390" s="1" t="str">
        <f>IFERROR(__xludf.DUMMYFUNCTION("GOOGLETRANSLATE(A5390, ""zh-CN"", ""ko"")"),"만지다")</f>
        <v>만지다</v>
      </c>
    </row>
    <row r="5391" ht="15.75" customHeight="1">
      <c r="A5391" s="1" t="s">
        <v>15889</v>
      </c>
      <c r="B5391" s="1">
        <v>7.0</v>
      </c>
      <c r="C5391" s="1" t="s">
        <v>15890</v>
      </c>
      <c r="E5391" s="1" t="s">
        <v>15891</v>
      </c>
      <c r="F5391" s="1" t="str">
        <f>IFERROR(__xludf.DUMMYFUNCTION("GOOGLETRANSLATE(A5391, ""zh-CN"", ""ko"")"),"충격적인")</f>
        <v>충격적인</v>
      </c>
    </row>
    <row r="5392" ht="15.75" customHeight="1">
      <c r="A5392" s="1" t="s">
        <v>15892</v>
      </c>
      <c r="B5392" s="1">
        <v>7.0</v>
      </c>
      <c r="C5392" s="1" t="s">
        <v>15893</v>
      </c>
      <c r="D5392" s="1" t="s">
        <v>8</v>
      </c>
      <c r="E5392" s="1" t="s">
        <v>15894</v>
      </c>
      <c r="F5392" s="1" t="str">
        <f>IFERROR(__xludf.DUMMYFUNCTION("GOOGLETRANSLATE(A5392, ""zh-CN"", ""ko"")"),"추량")</f>
        <v>추량</v>
      </c>
    </row>
    <row r="5393" ht="15.75" customHeight="1">
      <c r="A5393" s="1" t="s">
        <v>15895</v>
      </c>
      <c r="B5393" s="1">
        <v>7.0</v>
      </c>
      <c r="C5393" s="1" t="s">
        <v>15896</v>
      </c>
      <c r="D5393" s="1" t="s">
        <v>8</v>
      </c>
      <c r="E5393" s="1" t="s">
        <v>15897</v>
      </c>
      <c r="F5393" s="1" t="str">
        <f>IFERROR(__xludf.DUMMYFUNCTION("GOOGLETRANSLATE(A5393, ""zh-CN"", ""ko"")"),"추측")</f>
        <v>추측</v>
      </c>
    </row>
    <row r="5394" ht="15.75" customHeight="1">
      <c r="A5394" s="1" t="s">
        <v>15898</v>
      </c>
      <c r="B5394" s="1">
        <v>7.0</v>
      </c>
      <c r="C5394" s="1" t="s">
        <v>15899</v>
      </c>
      <c r="D5394" s="1" t="s">
        <v>8</v>
      </c>
      <c r="E5394" s="1" t="s">
        <v>15897</v>
      </c>
      <c r="F5394" s="1" t="str">
        <f>IFERROR(__xludf.DUMMYFUNCTION("GOOGLETRANSLATE(A5394, ""zh-CN"", ""ko"")"),"알아내려고 노력해 보세요")</f>
        <v>알아내려고 노력해 보세요</v>
      </c>
    </row>
    <row r="5395" ht="15.75" customHeight="1">
      <c r="A5395" s="1" t="s">
        <v>15900</v>
      </c>
      <c r="B5395" s="1">
        <v>7.0</v>
      </c>
      <c r="C5395" s="1" t="s">
        <v>15901</v>
      </c>
      <c r="D5395" s="1" t="s">
        <v>8</v>
      </c>
      <c r="E5395" s="1" t="s">
        <v>15902</v>
      </c>
      <c r="F5395" s="1" t="str">
        <f>IFERROR(__xludf.DUMMYFUNCTION("GOOGLETRANSLATE(A5395, ""zh-CN"", ""ko"")"),"차기")</f>
        <v>차기</v>
      </c>
    </row>
    <row r="5396" ht="15.75" customHeight="1">
      <c r="A5396" s="1" t="s">
        <v>15903</v>
      </c>
      <c r="B5396" s="1">
        <v>7.0</v>
      </c>
      <c r="C5396" s="1" t="s">
        <v>15904</v>
      </c>
      <c r="D5396" s="1" t="s">
        <v>8</v>
      </c>
      <c r="E5396" s="1" t="s">
        <v>15905</v>
      </c>
      <c r="F5396" s="1" t="str">
        <f>IFERROR(__xludf.DUMMYFUNCTION("GOOGLETRANSLATE(A5396, ""zh-CN"", ""ko"")"),"우주선")</f>
        <v>우주선</v>
      </c>
    </row>
    <row r="5397" ht="15.75" customHeight="1">
      <c r="A5397" s="1" t="s">
        <v>15906</v>
      </c>
      <c r="B5397" s="1">
        <v>7.0</v>
      </c>
      <c r="C5397" s="1" t="s">
        <v>15907</v>
      </c>
      <c r="D5397" s="1" t="s">
        <v>16</v>
      </c>
      <c r="E5397" s="1" t="s">
        <v>15908</v>
      </c>
      <c r="F5397" s="1" t="str">
        <f>IFERROR(__xludf.DUMMYFUNCTION("GOOGLETRANSLATE(A5397, ""zh-CN"", ""ko"")"),"착용")</f>
        <v>착용</v>
      </c>
    </row>
    <row r="5398" ht="15.75" customHeight="1">
      <c r="A5398" s="1" t="s">
        <v>15909</v>
      </c>
      <c r="B5398" s="1">
        <v>7.0</v>
      </c>
      <c r="C5398" s="1" t="s">
        <v>15910</v>
      </c>
      <c r="D5398" s="1" t="s">
        <v>16</v>
      </c>
      <c r="E5398" s="1" t="s">
        <v>15911</v>
      </c>
      <c r="F5398" s="1" t="str">
        <f>IFERROR(__xludf.DUMMYFUNCTION("GOOGLETRANSLATE(A5398, ""zh-CN"", ""ko"")"),"메디아")</f>
        <v>메디아</v>
      </c>
    </row>
    <row r="5399" ht="15.75" customHeight="1">
      <c r="A5399" s="1" t="s">
        <v>15912</v>
      </c>
      <c r="B5399" s="1">
        <v>7.0</v>
      </c>
      <c r="C5399" s="1" t="s">
        <v>15913</v>
      </c>
      <c r="D5399" s="1" t="s">
        <v>16</v>
      </c>
      <c r="E5399" s="1" t="s">
        <v>15914</v>
      </c>
      <c r="F5399" s="1" t="str">
        <f>IFERROR(__xludf.DUMMYFUNCTION("GOOGLETRANSLATE(A5399, ""zh-CN"", ""ko"")"),"전설")</f>
        <v>전설</v>
      </c>
    </row>
    <row r="5400" ht="15.75" customHeight="1">
      <c r="A5400" s="1" t="s">
        <v>15915</v>
      </c>
      <c r="B5400" s="1">
        <v>7.0</v>
      </c>
      <c r="C5400" s="1" t="s">
        <v>15916</v>
      </c>
      <c r="D5400" s="1" t="s">
        <v>16</v>
      </c>
      <c r="E5400" s="1" t="s">
        <v>15917</v>
      </c>
      <c r="F5400" s="1" t="str">
        <f>IFERROR(__xludf.DUMMYFUNCTION("GOOGLETRANSLATE(A5400, ""zh-CN"", ""ko"")"),"후임")</f>
        <v>후임</v>
      </c>
    </row>
    <row r="5401" ht="15.75" customHeight="1">
      <c r="A5401" s="1" t="s">
        <v>15918</v>
      </c>
      <c r="B5401" s="1">
        <v>7.0</v>
      </c>
      <c r="C5401" s="1" t="s">
        <v>15919</v>
      </c>
      <c r="D5401" s="1" t="s">
        <v>14870</v>
      </c>
      <c r="E5401" s="1" t="s">
        <v>15920</v>
      </c>
      <c r="F5401" s="1" t="str">
        <f>IFERROR(__xludf.DUMMYFUNCTION("GOOGLETRANSLATE(A5401, ""zh-CN"", ""ko"")"),"소문")</f>
        <v>소문</v>
      </c>
    </row>
    <row r="5402" ht="15.75" customHeight="1">
      <c r="A5402" s="1" t="s">
        <v>15921</v>
      </c>
      <c r="B5402" s="1">
        <v>7.0</v>
      </c>
      <c r="C5402" s="1" t="s">
        <v>15922</v>
      </c>
      <c r="D5402" s="1" t="s">
        <v>14917</v>
      </c>
      <c r="E5402" s="1" t="s">
        <v>15920</v>
      </c>
      <c r="F5402" s="1" t="str">
        <f>IFERROR(__xludf.DUMMYFUNCTION("GOOGLETRANSLATE(A5402, ""zh-CN"", ""ko"")"),"소문")</f>
        <v>소문</v>
      </c>
    </row>
    <row r="5403" ht="15.75" customHeight="1">
      <c r="A5403" s="1" t="s">
        <v>15923</v>
      </c>
      <c r="B5403" s="1">
        <v>7.0</v>
      </c>
      <c r="C5403" s="1" t="s">
        <v>15924</v>
      </c>
      <c r="D5403" s="1" t="s">
        <v>8</v>
      </c>
      <c r="E5403" s="1" t="s">
        <v>15925</v>
      </c>
      <c r="F5403" s="1" t="str">
        <f>IFERROR(__xludf.DUMMYFUNCTION("GOOGLETRANSLATE(A5403, ""zh-CN"", ""ko"")"),"천식")</f>
        <v>천식</v>
      </c>
    </row>
    <row r="5404" ht="15.75" customHeight="1">
      <c r="A5404" s="1" t="s">
        <v>15926</v>
      </c>
      <c r="B5404" s="1">
        <v>7.0</v>
      </c>
      <c r="C5404" s="1" t="s">
        <v>15927</v>
      </c>
      <c r="D5404" s="1" t="s">
        <v>8</v>
      </c>
      <c r="E5404" s="1" t="s">
        <v>15928</v>
      </c>
      <c r="F5404" s="1" t="str">
        <f>IFERROR(__xludf.DUMMYFUNCTION("GOOGLETRANSLATE(A5404, ""zh-CN"", ""ko"")"),"유예")</f>
        <v>유예</v>
      </c>
    </row>
    <row r="5405" ht="15.75" customHeight="1">
      <c r="A5405" s="1" t="s">
        <v>15929</v>
      </c>
      <c r="B5405" s="1">
        <v>7.0</v>
      </c>
      <c r="C5405" s="1" t="s">
        <v>15930</v>
      </c>
      <c r="D5405" s="1" t="s">
        <v>8</v>
      </c>
      <c r="E5405" s="1" t="s">
        <v>15931</v>
      </c>
      <c r="F5405" s="1" t="str">
        <f>IFERROR(__xludf.DUMMYFUNCTION("GOOGLETRANSLATE(A5405, ""zh-CN"", ""ko"")"),"방문")</f>
        <v>방문</v>
      </c>
    </row>
    <row r="5406" ht="15.75" customHeight="1">
      <c r="A5406" s="1" t="s">
        <v>15932</v>
      </c>
      <c r="B5406" s="1">
        <v>7.0</v>
      </c>
      <c r="C5406" s="1" t="s">
        <v>15933</v>
      </c>
      <c r="D5406" s="1" t="s">
        <v>16</v>
      </c>
      <c r="E5406" s="1" t="s">
        <v>15934</v>
      </c>
      <c r="F5406" s="1" t="str">
        <f>IFERROR(__xludf.DUMMYFUNCTION("GOOGLETRANSLATE(A5406, ""zh-CN"", ""ko"")"),"외상")</f>
        <v>외상</v>
      </c>
    </row>
    <row r="5407" ht="15.75" customHeight="1">
      <c r="A5407" s="1" t="s">
        <v>15935</v>
      </c>
      <c r="B5407" s="1">
        <v>7.0</v>
      </c>
      <c r="C5407" s="1" t="s">
        <v>15936</v>
      </c>
      <c r="D5407" s="1" t="s">
        <v>16</v>
      </c>
      <c r="E5407" s="1" t="s">
        <v>15937</v>
      </c>
      <c r="F5407" s="1" t="str">
        <f>IFERROR(__xludf.DUMMYFUNCTION("GOOGLETRANSLATE(A5407, ""zh-CN"", ""ko"")"),"침대")</f>
        <v>침대</v>
      </c>
    </row>
    <row r="5408" ht="15.75" customHeight="1">
      <c r="A5408" s="1" t="s">
        <v>15938</v>
      </c>
      <c r="B5408" s="1">
        <v>7.0</v>
      </c>
      <c r="C5408" s="1" t="s">
        <v>15939</v>
      </c>
      <c r="D5408" s="1" t="s">
        <v>8</v>
      </c>
      <c r="E5408" s="1" t="s">
        <v>15940</v>
      </c>
      <c r="F5408" s="1" t="str">
        <f>IFERROR(__xludf.DUMMYFUNCTION("GOOGLETRANSLATE(A5408, ""zh-CN"", ""ko"")"),"창조")</f>
        <v>창조</v>
      </c>
    </row>
    <row r="5409" ht="15.75" customHeight="1">
      <c r="A5409" s="1" t="s">
        <v>15941</v>
      </c>
      <c r="B5409" s="1">
        <v>7.0</v>
      </c>
      <c r="C5409" s="1" t="s">
        <v>15942</v>
      </c>
      <c r="D5409" s="1" t="s">
        <v>16</v>
      </c>
      <c r="E5409" s="1" t="s">
        <v>15943</v>
      </c>
      <c r="F5409" s="1" t="str">
        <f>IFERROR(__xludf.DUMMYFUNCTION("GOOGLETRANSLATE(A5409, ""zh-CN"", ""ko"")"),"설립자")</f>
        <v>설립자</v>
      </c>
    </row>
    <row r="5410" ht="15.75" customHeight="1">
      <c r="A5410" s="1" t="s">
        <v>15944</v>
      </c>
      <c r="B5410" s="1">
        <v>7.0</v>
      </c>
      <c r="C5410" s="1" t="s">
        <v>8320</v>
      </c>
      <c r="D5410" s="1" t="s">
        <v>8</v>
      </c>
      <c r="E5410" s="1" t="s">
        <v>15945</v>
      </c>
      <c r="F5410" s="1" t="str">
        <f>IFERROR(__xludf.DUMMYFUNCTION("GOOGLETRANSLATE(A5410, ""zh-CN"", ""ko"")"),"하수")</f>
        <v>하수</v>
      </c>
    </row>
    <row r="5411" ht="15.75" customHeight="1">
      <c r="A5411" s="1" t="s">
        <v>15946</v>
      </c>
      <c r="B5411" s="1">
        <v>7.0</v>
      </c>
      <c r="C5411" s="1" t="s">
        <v>8320</v>
      </c>
      <c r="D5411" s="1" t="s">
        <v>8</v>
      </c>
      <c r="E5411" s="1" t="s">
        <v>15947</v>
      </c>
      <c r="F5411" s="1" t="str">
        <f>IFERROR(__xludf.DUMMYFUNCTION("GOOGLETRANSLATE(A5411, ""zh-CN"", ""ko"")"),"망치")</f>
        <v>망치</v>
      </c>
    </row>
    <row r="5412" ht="15.75" customHeight="1">
      <c r="A5412" s="1" t="s">
        <v>15948</v>
      </c>
      <c r="B5412" s="1">
        <v>7.0</v>
      </c>
      <c r="C5412" s="1" t="s">
        <v>15949</v>
      </c>
      <c r="E5412" s="1" t="s">
        <v>15950</v>
      </c>
      <c r="F5412" s="1" t="str">
        <f>IFERROR(__xludf.DUMMYFUNCTION("GOOGLETRANSLATE(A5412, ""zh-CN"", ""ko"")"),"낙담한")</f>
        <v>낙담한</v>
      </c>
    </row>
    <row r="5413" ht="15.75" customHeight="1">
      <c r="A5413" s="1" t="s">
        <v>15951</v>
      </c>
      <c r="B5413" s="1">
        <v>7.0</v>
      </c>
      <c r="C5413" s="1" t="s">
        <v>15952</v>
      </c>
      <c r="D5413" s="1" t="s">
        <v>52</v>
      </c>
      <c r="E5413" s="1" t="s">
        <v>15953</v>
      </c>
      <c r="F5413" s="1" t="str">
        <f>IFERROR(__xludf.DUMMYFUNCTION("GOOGLETRANSLATE(A5413, ""zh-CN"", ""ko"")"),"부드러운")</f>
        <v>부드러운</v>
      </c>
    </row>
    <row r="5414" ht="15.75" customHeight="1">
      <c r="A5414" s="1" t="s">
        <v>15954</v>
      </c>
      <c r="B5414" s="1">
        <v>7.0</v>
      </c>
      <c r="C5414" s="1" t="s">
        <v>15955</v>
      </c>
      <c r="D5414" s="1" t="s">
        <v>52</v>
      </c>
      <c r="E5414" s="1" t="s">
        <v>15956</v>
      </c>
      <c r="F5414" s="1" t="str">
        <f>IFERROR(__xludf.DUMMYFUNCTION("GOOGLETRANSLATE(A5414, ""zh-CN"", ""ko"")"),"단순한")</f>
        <v>단순한</v>
      </c>
    </row>
    <row r="5415" ht="15.75" customHeight="1">
      <c r="A5415" s="1" t="s">
        <v>15957</v>
      </c>
      <c r="B5415" s="1">
        <v>7.0</v>
      </c>
      <c r="C5415" s="1" t="s">
        <v>15955</v>
      </c>
      <c r="D5415" s="1" t="s">
        <v>52</v>
      </c>
      <c r="E5415" s="1" t="s">
        <v>15958</v>
      </c>
      <c r="F5415" s="1" t="str">
        <f>IFERROR(__xludf.DUMMYFUNCTION("GOOGLETRANSLATE(A5415, ""zh-CN"", ""ko"")"),"단순한")</f>
        <v>단순한</v>
      </c>
    </row>
    <row r="5416" ht="15.75" customHeight="1">
      <c r="A5416" s="1" t="s">
        <v>15959</v>
      </c>
      <c r="B5416" s="1">
        <v>7.0</v>
      </c>
      <c r="C5416" s="1" t="s">
        <v>15960</v>
      </c>
      <c r="D5416" s="1" t="s">
        <v>52</v>
      </c>
      <c r="E5416" s="1" t="s">
        <v>15961</v>
      </c>
      <c r="F5416" s="1" t="str">
        <f>IFERROR(__xludf.DUMMYFUNCTION("GOOGLETRANSLATE(A5416, ""zh-CN"", ""ko"")"),"멍청한")</f>
        <v>멍청한</v>
      </c>
    </row>
    <row r="5417" ht="15.75" customHeight="1">
      <c r="A5417" s="1" t="s">
        <v>15962</v>
      </c>
      <c r="B5417" s="1">
        <v>7.0</v>
      </c>
      <c r="C5417" s="1" t="s">
        <v>15963</v>
      </c>
      <c r="D5417" s="1" t="s">
        <v>14870</v>
      </c>
      <c r="E5417" s="1" t="s">
        <v>15964</v>
      </c>
      <c r="F5417" s="1" t="str">
        <f>IFERROR(__xludf.DUMMYFUNCTION("GOOGLETRANSLATE(A5417, ""zh-CN"", ""ko"")"),"우표")</f>
        <v>우표</v>
      </c>
    </row>
    <row r="5418" ht="15.75" customHeight="1">
      <c r="A5418" s="1" t="s">
        <v>15965</v>
      </c>
      <c r="B5418" s="1">
        <v>7.0</v>
      </c>
      <c r="C5418" s="1" t="s">
        <v>15966</v>
      </c>
      <c r="D5418" s="1" t="s">
        <v>16</v>
      </c>
      <c r="E5418" s="1" t="s">
        <v>15967</v>
      </c>
      <c r="F5418" s="1" t="str">
        <f>IFERROR(__xludf.DUMMYFUNCTION("GOOGLETRANSLATE(A5418, ""zh-CN"", ""ko"")"),"별명")</f>
        <v>별명</v>
      </c>
    </row>
    <row r="5419" ht="15.75" customHeight="1">
      <c r="A5419" s="1" t="s">
        <v>15968</v>
      </c>
      <c r="B5419" s="1">
        <v>7.0</v>
      </c>
      <c r="C5419" s="1" t="s">
        <v>15969</v>
      </c>
      <c r="D5419" s="1" t="s">
        <v>8</v>
      </c>
      <c r="E5419" s="1" t="s">
        <v>15970</v>
      </c>
      <c r="F5419" s="1" t="str">
        <f>IFERROR(__xludf.DUMMYFUNCTION("GOOGLETRANSLATE(A5419, ""zh-CN"", ""ko"")"),"사직")</f>
        <v>사직</v>
      </c>
    </row>
    <row r="5420" ht="15.75" customHeight="1">
      <c r="A5420" s="1" t="s">
        <v>15971</v>
      </c>
      <c r="B5420" s="1">
        <v>7.0</v>
      </c>
      <c r="C5420" s="1" t="s">
        <v>15972</v>
      </c>
      <c r="D5420" s="1" t="s">
        <v>16</v>
      </c>
      <c r="E5420" s="1" t="s">
        <v>15973</v>
      </c>
      <c r="F5420" s="1" t="str">
        <f>IFERROR(__xludf.DUMMYFUNCTION("GOOGLETRANSLATE(A5420, ""zh-CN"", ""ko"")"),"사직")</f>
        <v>사직</v>
      </c>
    </row>
    <row r="5421" ht="15.75" customHeight="1">
      <c r="A5421" s="1" t="s">
        <v>15974</v>
      </c>
      <c r="B5421" s="1">
        <v>7.0</v>
      </c>
      <c r="C5421" s="1" t="s">
        <v>1033</v>
      </c>
      <c r="D5421" s="1" t="s">
        <v>16</v>
      </c>
      <c r="E5421" s="1" t="s">
        <v>15975</v>
      </c>
      <c r="F5421" s="1" t="str">
        <f>IFERROR(__xludf.DUMMYFUNCTION("GOOGLETRANSLATE(A5421, ""zh-CN"", ""ko"")"),"사전")</f>
        <v>사전</v>
      </c>
    </row>
    <row r="5422" ht="15.75" customHeight="1">
      <c r="A5422" s="1" t="s">
        <v>15976</v>
      </c>
      <c r="B5422" s="1">
        <v>7.0</v>
      </c>
      <c r="C5422" s="1" t="s">
        <v>15977</v>
      </c>
      <c r="D5422" s="1" t="s">
        <v>16</v>
      </c>
      <c r="E5422" s="1" t="s">
        <v>15978</v>
      </c>
      <c r="F5422" s="1" t="str">
        <f>IFERROR(__xludf.DUMMYFUNCTION("GOOGLETRANSLATE(A5422, ""zh-CN"", ""ko"")"),"자석")</f>
        <v>자석</v>
      </c>
    </row>
    <row r="5423" ht="15.75" customHeight="1">
      <c r="A5423" s="1" t="s">
        <v>15979</v>
      </c>
      <c r="B5423" s="1">
        <v>7.0</v>
      </c>
      <c r="C5423" s="1" t="s">
        <v>15980</v>
      </c>
      <c r="D5423" s="1" t="s">
        <v>8</v>
      </c>
      <c r="E5423" s="1" t="s">
        <v>15981</v>
      </c>
      <c r="F5423" s="1" t="str">
        <f>IFERROR(__xludf.DUMMYFUNCTION("GOOGLETRANSLATE(A5423, ""zh-CN"", ""ko"")"),"해고하다")</f>
        <v>해고하다</v>
      </c>
    </row>
    <row r="5424" ht="15.75" customHeight="1">
      <c r="A5424" s="1" t="s">
        <v>15982</v>
      </c>
      <c r="B5424" s="1">
        <v>7.0</v>
      </c>
      <c r="C5424" s="1" t="s">
        <v>15983</v>
      </c>
      <c r="D5424" s="1" t="s">
        <v>16</v>
      </c>
      <c r="E5424" s="1" t="s">
        <v>15984</v>
      </c>
      <c r="F5424" s="1" t="str">
        <f>IFERROR(__xludf.DUMMYFUNCTION("GOOGLETRANSLATE(A5424, ""zh-CN"", ""ko"")"),"여성")</f>
        <v>여성</v>
      </c>
    </row>
    <row r="5425" ht="15.75" customHeight="1">
      <c r="A5425" s="1" t="s">
        <v>15985</v>
      </c>
      <c r="B5425" s="1">
        <v>7.0</v>
      </c>
      <c r="C5425" s="1" t="s">
        <v>15986</v>
      </c>
      <c r="E5425" s="1" t="s">
        <v>15987</v>
      </c>
      <c r="F5425" s="1" t="str">
        <f>IFERROR(__xludf.DUMMYFUNCTION("GOOGLETRANSLATE(A5425, ""zh-CN"", ""ko"")"),"오르내림")</f>
        <v>오르내림</v>
      </c>
    </row>
    <row r="5426" ht="15.75" customHeight="1">
      <c r="A5426" s="1" t="s">
        <v>15988</v>
      </c>
      <c r="B5426" s="1">
        <v>7.0</v>
      </c>
      <c r="C5426" s="1" t="s">
        <v>15989</v>
      </c>
      <c r="D5426" s="1" t="s">
        <v>8</v>
      </c>
      <c r="E5426" s="1" t="s">
        <v>15990</v>
      </c>
      <c r="F5426" s="1" t="str">
        <f>IFERROR(__xludf.DUMMYFUNCTION("GOOGLETRANSLATE(A5426, ""zh-CN"", ""ko"")"),"진심으로")</f>
        <v>진심으로</v>
      </c>
    </row>
    <row r="5427" ht="15.75" customHeight="1">
      <c r="A5427" s="1" t="s">
        <v>15991</v>
      </c>
      <c r="B5427" s="1">
        <v>7.0</v>
      </c>
      <c r="C5427" s="1" t="s">
        <v>507</v>
      </c>
      <c r="D5427" s="1" t="s">
        <v>8</v>
      </c>
      <c r="E5427" s="1" t="s">
        <v>15992</v>
      </c>
      <c r="F5427" s="1" t="str">
        <f>IFERROR(__xludf.DUMMYFUNCTION("GOOGLETRANSLATE(A5427, ""zh-CN"", ""ko"")"),"두다")</f>
        <v>두다</v>
      </c>
    </row>
    <row r="5428" ht="15.75" customHeight="1">
      <c r="A5428" s="1" t="s">
        <v>15993</v>
      </c>
      <c r="B5428" s="1">
        <v>7.0</v>
      </c>
      <c r="C5428" s="1" t="s">
        <v>15994</v>
      </c>
      <c r="D5428" s="1" t="s">
        <v>52</v>
      </c>
      <c r="E5428" s="1" t="s">
        <v>15995</v>
      </c>
      <c r="F5428" s="1" t="str">
        <f>IFERROR(__xludf.DUMMYFUNCTION("GOOGLETRANSLATE(A5428, ""zh-CN"", ""ko"")"),"날카로운")</f>
        <v>날카로운</v>
      </c>
    </row>
    <row r="5429" ht="15.75" customHeight="1">
      <c r="A5429" s="1" t="s">
        <v>15996</v>
      </c>
      <c r="B5429" s="1">
        <v>7.0</v>
      </c>
      <c r="C5429" s="1" t="s">
        <v>15997</v>
      </c>
      <c r="D5429" s="1" t="s">
        <v>8</v>
      </c>
      <c r="E5429" s="1" t="s">
        <v>15998</v>
      </c>
      <c r="F5429" s="1" t="str">
        <f>IFERROR(__xludf.DUMMYFUNCTION("GOOGLETRANSLATE(A5429, ""zh-CN"", ""ko"")"),"소름 끼치는")</f>
        <v>소름 끼치는</v>
      </c>
    </row>
    <row r="5430" ht="15.75" customHeight="1">
      <c r="A5430" s="1" t="s">
        <v>15999</v>
      </c>
      <c r="B5430" s="1">
        <v>7.0</v>
      </c>
      <c r="C5430" s="1" t="s">
        <v>16000</v>
      </c>
      <c r="D5430" s="1" t="s">
        <v>8</v>
      </c>
      <c r="E5430" s="1" t="s">
        <v>16001</v>
      </c>
      <c r="F5430" s="1" t="str">
        <f>IFERROR(__xludf.DUMMYFUNCTION("GOOGLETRANSLATE(A5430, ""zh-CN"", ""ko"")"),"조언 부탁드립니다.")</f>
        <v>조언 부탁드립니다.</v>
      </c>
    </row>
    <row r="5431" ht="15.75" customHeight="1">
      <c r="A5431" s="1" t="s">
        <v>16002</v>
      </c>
      <c r="B5431" s="1">
        <v>7.0</v>
      </c>
      <c r="C5431" s="1" t="s">
        <v>16003</v>
      </c>
      <c r="D5431" s="1" t="s">
        <v>16</v>
      </c>
      <c r="E5431" s="1" t="s">
        <v>16004</v>
      </c>
      <c r="F5431" s="1" t="str">
        <f>IFERROR(__xludf.DUMMYFUNCTION("GOOGLETRANSLATE(A5431, ""zh-CN"", ""ko"")"),"이튿날")</f>
        <v>이튿날</v>
      </c>
    </row>
    <row r="5432" ht="15.75" customHeight="1">
      <c r="A5432" s="1" t="s">
        <v>16005</v>
      </c>
      <c r="B5432" s="1">
        <v>7.0</v>
      </c>
      <c r="C5432" s="1" t="s">
        <v>16006</v>
      </c>
      <c r="D5432" s="1" t="s">
        <v>14870</v>
      </c>
      <c r="E5432" s="1" t="s">
        <v>16007</v>
      </c>
      <c r="F5432" s="1" t="str">
        <f>IFERROR(__xludf.DUMMYFUNCTION("GOOGLETRANSLATE(A5432, ""zh-CN"", ""ko"")"),"자수")</f>
        <v>자수</v>
      </c>
    </row>
    <row r="5433" ht="15.75" customHeight="1">
      <c r="A5433" s="1" t="s">
        <v>16008</v>
      </c>
      <c r="B5433" s="1">
        <v>7.0</v>
      </c>
      <c r="C5433" s="1" t="s">
        <v>16009</v>
      </c>
      <c r="D5433" s="1" t="s">
        <v>52</v>
      </c>
      <c r="E5433" s="1" t="s">
        <v>16010</v>
      </c>
      <c r="F5433" s="1" t="str">
        <f>IFERROR(__xludf.DUMMYFUNCTION("GOOGLETRANSLATE(A5433, ""zh-CN"", ""ko"")"),"눈부신")</f>
        <v>눈부신</v>
      </c>
    </row>
    <row r="5434" ht="15.75" customHeight="1">
      <c r="A5434" s="1" t="s">
        <v>16011</v>
      </c>
      <c r="B5434" s="1">
        <v>7.0</v>
      </c>
      <c r="C5434" s="1" t="s">
        <v>16012</v>
      </c>
      <c r="D5434" s="1" t="s">
        <v>16</v>
      </c>
      <c r="E5434" s="1" t="s">
        <v>16013</v>
      </c>
      <c r="F5434" s="1" t="str">
        <f>IFERROR(__xludf.DUMMYFUNCTION("GOOGLETRANSLATE(A5434, ""zh-CN"", ""ko"")"),"양파")</f>
        <v>양파</v>
      </c>
    </row>
    <row r="5435" ht="15.75" customHeight="1">
      <c r="A5435" s="1" t="s">
        <v>16014</v>
      </c>
      <c r="B5435" s="1">
        <v>7.0</v>
      </c>
      <c r="C5435" s="1" t="s">
        <v>16015</v>
      </c>
      <c r="D5435" s="1" t="s">
        <v>16</v>
      </c>
      <c r="E5435" s="1" t="s">
        <v>16016</v>
      </c>
      <c r="F5435" s="1" t="str">
        <f>IFERROR(__xludf.DUMMYFUNCTION("GOOGLETRANSLATE(A5435, ""zh-CN"", ""ko"")"),"밀림")</f>
        <v>밀림</v>
      </c>
    </row>
    <row r="5436" ht="15.75" customHeight="1">
      <c r="A5436" s="1" t="s">
        <v>16017</v>
      </c>
      <c r="B5436" s="1">
        <v>7.0</v>
      </c>
      <c r="C5436" s="1" t="s">
        <v>16018</v>
      </c>
      <c r="E5436" s="1" t="s">
        <v>16019</v>
      </c>
      <c r="F5436" s="1" t="str">
        <f>IFERROR(__xludf.DUMMYFUNCTION("GOOGLETRANSLATE(A5436, ""zh-CN"", ""ko"")"),"차분하고 침착함")</f>
        <v>차분하고 침착함</v>
      </c>
    </row>
    <row r="5437" ht="15.75" customHeight="1">
      <c r="A5437" s="1" t="s">
        <v>16020</v>
      </c>
      <c r="B5437" s="1">
        <v>7.0</v>
      </c>
      <c r="C5437" s="1" t="s">
        <v>16021</v>
      </c>
      <c r="D5437" s="1" t="s">
        <v>33</v>
      </c>
      <c r="E5437" s="1" t="s">
        <v>16022</v>
      </c>
      <c r="F5437" s="1" t="str">
        <f>IFERROR(__xludf.DUMMYFUNCTION("GOOGLETRANSLATE(A5437, ""zh-CN"", ""ko"")"),"처음부터")</f>
        <v>처음부터</v>
      </c>
    </row>
    <row r="5438" ht="15.75" customHeight="1">
      <c r="A5438" s="1" t="s">
        <v>16023</v>
      </c>
      <c r="B5438" s="1">
        <v>7.0</v>
      </c>
      <c r="C5438" s="1" t="s">
        <v>16024</v>
      </c>
      <c r="D5438" s="1" t="s">
        <v>8</v>
      </c>
      <c r="E5438" s="1" t="s">
        <v>16025</v>
      </c>
      <c r="F5438" s="1" t="str">
        <f>IFERROR(__xludf.DUMMYFUNCTION("GOOGLETRANSLATE(A5438, ""zh-CN"", ""ko"")"),"모으다")</f>
        <v>모으다</v>
      </c>
    </row>
    <row r="5439" ht="15.75" customHeight="1">
      <c r="A5439" s="1" t="s">
        <v>16026</v>
      </c>
      <c r="B5439" s="1">
        <v>7.0</v>
      </c>
      <c r="C5439" s="1" t="s">
        <v>16027</v>
      </c>
      <c r="D5439" s="1" t="s">
        <v>52</v>
      </c>
      <c r="E5439" s="1" t="s">
        <v>16028</v>
      </c>
      <c r="F5439" s="1" t="str">
        <f>IFERROR(__xludf.DUMMYFUNCTION("GOOGLETRANSLATE(A5439, ""zh-CN"", ""ko"")"),"우연의 일치")</f>
        <v>우연의 일치</v>
      </c>
    </row>
    <row r="5440" ht="15.75" customHeight="1">
      <c r="A5440" s="1" t="s">
        <v>16029</v>
      </c>
      <c r="B5440" s="1">
        <v>7.0</v>
      </c>
      <c r="C5440" s="1" t="s">
        <v>16030</v>
      </c>
      <c r="D5440" s="1" t="s">
        <v>52</v>
      </c>
      <c r="E5440" s="1" t="s">
        <v>16031</v>
      </c>
      <c r="F5440" s="1" t="str">
        <f>IFERROR(__xludf.DUMMYFUNCTION("GOOGLETRANSLATE(A5440, ""zh-CN"", ""ko"")"),"거친")</f>
        <v>거친</v>
      </c>
    </row>
    <row r="5441" ht="15.75" customHeight="1">
      <c r="A5441" s="1" t="s">
        <v>16032</v>
      </c>
      <c r="B5441" s="1">
        <v>7.0</v>
      </c>
      <c r="C5441" s="1" t="s">
        <v>16033</v>
      </c>
      <c r="D5441" s="1" t="s">
        <v>52</v>
      </c>
      <c r="E5441" s="1" t="s">
        <v>16034</v>
      </c>
      <c r="F5441" s="1" t="str">
        <f>IFERROR(__xludf.DUMMYFUNCTION("GOOGLETRANSLATE(A5441, ""zh-CN"", ""ko"")"),"대충")</f>
        <v>대충</v>
      </c>
    </row>
    <row r="5442" ht="15.75" customHeight="1">
      <c r="A5442" s="1" t="s">
        <v>16035</v>
      </c>
      <c r="B5442" s="1">
        <v>7.0</v>
      </c>
      <c r="C5442" s="1" t="s">
        <v>16036</v>
      </c>
      <c r="E5442" s="1" t="s">
        <v>16037</v>
      </c>
      <c r="F5442" s="1" t="str">
        <f>IFERROR(__xludf.DUMMYFUNCTION("GOOGLETRANSLATE(A5442, ""zh-CN"", ""ko"")"),"경솔한")</f>
        <v>경솔한</v>
      </c>
    </row>
    <row r="5443" ht="15.75" customHeight="1">
      <c r="A5443" s="1" t="s">
        <v>16038</v>
      </c>
      <c r="B5443" s="1">
        <v>7.0</v>
      </c>
      <c r="C5443" s="1" t="s">
        <v>16039</v>
      </c>
      <c r="D5443" s="1" t="s">
        <v>8</v>
      </c>
      <c r="E5443" s="1" t="s">
        <v>16040</v>
      </c>
      <c r="F5443" s="1" t="str">
        <f>IFERROR(__xludf.DUMMYFUNCTION("GOOGLETRANSLATE(A5443, ""zh-CN"", ""ko"")"),"가능하게 하다")</f>
        <v>가능하게 하다</v>
      </c>
    </row>
    <row r="5444" ht="15.75" customHeight="1">
      <c r="A5444" s="1" t="s">
        <v>16041</v>
      </c>
      <c r="B5444" s="1">
        <v>7.0</v>
      </c>
      <c r="C5444" s="1" t="s">
        <v>16042</v>
      </c>
      <c r="D5444" s="1" t="s">
        <v>8</v>
      </c>
      <c r="E5444" s="1" t="s">
        <v>16043</v>
      </c>
      <c r="F5444" s="1" t="str">
        <f>IFERROR(__xludf.DUMMYFUNCTION("GOOGLETRANSLATE(A5444, ""zh-CN"", ""ko"")"),"군중")</f>
        <v>군중</v>
      </c>
    </row>
    <row r="5445" ht="15.75" customHeight="1">
      <c r="A5445" s="1" t="s">
        <v>16044</v>
      </c>
      <c r="B5445" s="1">
        <v>7.0</v>
      </c>
      <c r="C5445" s="1" t="s">
        <v>16045</v>
      </c>
      <c r="D5445" s="1" t="s">
        <v>8</v>
      </c>
      <c r="E5445" s="1" t="s">
        <v>16046</v>
      </c>
      <c r="F5445" s="1" t="str">
        <f>IFERROR(__xludf.DUMMYFUNCTION("GOOGLETRANSLATE(A5445, ""zh-CN"", ""ko"")"),"충고하다")</f>
        <v>충고하다</v>
      </c>
    </row>
    <row r="5446" ht="15.75" customHeight="1">
      <c r="A5446" s="1" t="s">
        <v>16047</v>
      </c>
      <c r="B5446" s="1">
        <v>7.0</v>
      </c>
      <c r="C5446" s="1" t="s">
        <v>16048</v>
      </c>
      <c r="D5446" s="1" t="s">
        <v>8</v>
      </c>
      <c r="E5446" s="1" t="s">
        <v>16049</v>
      </c>
      <c r="F5446" s="1" t="str">
        <f>IFERROR(__xludf.DUMMYFUNCTION("GOOGLETRANSLATE(A5446, ""zh-CN"", ""ko"")"),"파괴하다")</f>
        <v>파괴하다</v>
      </c>
    </row>
    <row r="5447" ht="15.75" customHeight="1">
      <c r="A5447" s="1" t="s">
        <v>16050</v>
      </c>
      <c r="B5447" s="1">
        <v>7.0</v>
      </c>
      <c r="C5447" s="1" t="s">
        <v>16051</v>
      </c>
      <c r="D5447" s="1" t="s">
        <v>8</v>
      </c>
      <c r="E5447" s="1" t="s">
        <v>16052</v>
      </c>
      <c r="F5447" s="1" t="str">
        <f>IFERROR(__xludf.DUMMYFUNCTION("GOOGLETRANSLATE(A5447, ""zh-CN"", ""ko"")"),"최면")</f>
        <v>최면</v>
      </c>
    </row>
    <row r="5448" ht="15.75" customHeight="1">
      <c r="A5448" s="1" t="s">
        <v>16053</v>
      </c>
      <c r="B5448" s="1">
        <v>7.0</v>
      </c>
      <c r="C5448" s="1" t="s">
        <v>16054</v>
      </c>
      <c r="D5448" s="1" t="s">
        <v>52</v>
      </c>
      <c r="E5448" s="1" t="s">
        <v>16055</v>
      </c>
      <c r="F5448" s="1" t="str">
        <f>IFERROR(__xludf.DUMMYFUNCTION("GOOGLETRANSLATE(A5448, ""zh-CN"", ""ko"")"),"멋진")</f>
        <v>멋진</v>
      </c>
    </row>
    <row r="5449" ht="15.75" customHeight="1">
      <c r="A5449" s="1" t="s">
        <v>16056</v>
      </c>
      <c r="B5449" s="1">
        <v>7.0</v>
      </c>
      <c r="C5449" s="1" t="s">
        <v>16057</v>
      </c>
      <c r="D5449" s="1" t="s">
        <v>52</v>
      </c>
      <c r="E5449" s="1" t="s">
        <v>16058</v>
      </c>
      <c r="F5449" s="1" t="str">
        <f>IFERROR(__xludf.DUMMYFUNCTION("GOOGLETRANSLATE(A5449, ""zh-CN"", ""ko"")"),"에메랄드 그린")</f>
        <v>에메랄드 그린</v>
      </c>
    </row>
    <row r="5450" ht="15.75" customHeight="1">
      <c r="A5450" s="1" t="s">
        <v>16059</v>
      </c>
      <c r="B5450" s="1">
        <v>7.0</v>
      </c>
      <c r="C5450" s="1" t="s">
        <v>16060</v>
      </c>
      <c r="D5450" s="1" t="s">
        <v>8</v>
      </c>
      <c r="E5450" s="1" t="s">
        <v>16061</v>
      </c>
      <c r="F5450" s="1" t="str">
        <f>IFERROR(__xludf.DUMMYFUNCTION("GOOGLETRANSLATE(A5450, ""zh-CN"", ""ko"")"),"활착")</f>
        <v>활착</v>
      </c>
    </row>
    <row r="5451" ht="15.75" customHeight="1">
      <c r="A5451" s="1" t="s">
        <v>16062</v>
      </c>
      <c r="B5451" s="1">
        <v>7.0</v>
      </c>
      <c r="C5451" s="1" t="s">
        <v>16063</v>
      </c>
      <c r="D5451" s="1" t="s">
        <v>14870</v>
      </c>
      <c r="E5451" s="1" t="s">
        <v>16064</v>
      </c>
      <c r="F5451" s="1" t="str">
        <f>IFERROR(__xludf.DUMMYFUNCTION("GOOGLETRANSLATE(A5451, ""zh-CN"", ""ko"")"),"재고")</f>
        <v>재고</v>
      </c>
    </row>
    <row r="5452" ht="15.75" customHeight="1">
      <c r="A5452" s="1" t="s">
        <v>16065</v>
      </c>
      <c r="B5452" s="1">
        <v>7.0</v>
      </c>
      <c r="C5452" s="1" t="s">
        <v>16066</v>
      </c>
      <c r="D5452" s="1" t="s">
        <v>14992</v>
      </c>
      <c r="E5452" s="1" t="s">
        <v>16067</v>
      </c>
      <c r="F5452" s="1" t="str">
        <f>IFERROR(__xludf.DUMMYFUNCTION("GOOGLETRANSLATE(A5452, ""zh-CN"", ""ko"")"),"고의로")</f>
        <v>고의로</v>
      </c>
    </row>
    <row r="5453" ht="15.75" customHeight="1">
      <c r="A5453" s="1" t="s">
        <v>16068</v>
      </c>
      <c r="B5453" s="1">
        <v>7.0</v>
      </c>
      <c r="C5453" s="1" t="s">
        <v>16069</v>
      </c>
      <c r="D5453" s="1" t="s">
        <v>16</v>
      </c>
      <c r="E5453" s="1" t="s">
        <v>16070</v>
      </c>
      <c r="F5453" s="1" t="str">
        <f>IFERROR(__xludf.DUMMYFUNCTION("GOOGLETRANSLATE(A5453, ""zh-CN"", ""ko"")"),"은행 통장")</f>
        <v>은행 통장</v>
      </c>
    </row>
    <row r="5454" ht="15.75" customHeight="1">
      <c r="A5454" s="1" t="s">
        <v>16071</v>
      </c>
      <c r="B5454" s="1">
        <v>7.0</v>
      </c>
      <c r="C5454" s="1" t="s">
        <v>16072</v>
      </c>
      <c r="D5454" s="1" t="s">
        <v>8</v>
      </c>
      <c r="E5454" s="1" t="s">
        <v>16073</v>
      </c>
      <c r="F5454" s="1" t="str">
        <f>IFERROR(__xludf.DUMMYFUNCTION("GOOGLETRANSLATE(A5454, ""zh-CN"", ""ko"")"),"패배시키다")</f>
        <v>패배시키다</v>
      </c>
    </row>
    <row r="5455" ht="15.75" customHeight="1">
      <c r="A5455" s="1" t="s">
        <v>16074</v>
      </c>
      <c r="B5455" s="1">
        <v>7.0</v>
      </c>
      <c r="C5455" s="1" t="s">
        <v>16075</v>
      </c>
      <c r="D5455" s="1" t="s">
        <v>16</v>
      </c>
      <c r="E5455" s="1" t="s">
        <v>16076</v>
      </c>
      <c r="F5455" s="1" t="str">
        <f>IFERROR(__xludf.DUMMYFUNCTION("GOOGLETRANSLATE(A5455, ""zh-CN"", ""ko"")"),"오타")</f>
        <v>오타</v>
      </c>
    </row>
    <row r="5456" ht="15.75" customHeight="1">
      <c r="A5456" s="1" t="s">
        <v>16077</v>
      </c>
      <c r="B5456" s="1">
        <v>7.0</v>
      </c>
      <c r="C5456" s="1" t="s">
        <v>16078</v>
      </c>
      <c r="D5456" s="1" t="s">
        <v>16</v>
      </c>
      <c r="E5456" s="1" t="s">
        <v>16079</v>
      </c>
      <c r="F5456" s="1" t="str">
        <f>IFERROR(__xludf.DUMMYFUNCTION("GOOGLETRANSLATE(A5456, ""zh-CN"", ""ko"")"),"환각")</f>
        <v>환각</v>
      </c>
    </row>
    <row r="5457" ht="15.75" customHeight="1">
      <c r="A5457" s="1" t="s">
        <v>16080</v>
      </c>
      <c r="B5457" s="1">
        <v>7.0</v>
      </c>
      <c r="C5457" s="1" t="s">
        <v>16081</v>
      </c>
      <c r="E5457" s="1" t="s">
        <v>16082</v>
      </c>
      <c r="F5457" s="1" t="str">
        <f>IFERROR(__xludf.DUMMYFUNCTION("GOOGLETRANSLATE(A5457, ""zh-CN"", ""ko"")"),"방심했다")</f>
        <v>방심했다</v>
      </c>
    </row>
    <row r="5458" ht="15.75" customHeight="1">
      <c r="A5458" s="1" t="s">
        <v>16083</v>
      </c>
      <c r="B5458" s="1">
        <v>7.0</v>
      </c>
      <c r="C5458" s="1" t="s">
        <v>16084</v>
      </c>
      <c r="D5458" s="1" t="s">
        <v>8</v>
      </c>
      <c r="E5458" s="1" t="s">
        <v>16085</v>
      </c>
      <c r="F5458" s="1" t="str">
        <f>IFERROR(__xludf.DUMMYFUNCTION("GOOGLETRANSLATE(A5458, ""zh-CN"", ""ko"")"),"탈구")</f>
        <v>탈구</v>
      </c>
    </row>
    <row r="5459" ht="15.75" customHeight="1">
      <c r="A5459" s="1" t="s">
        <v>16086</v>
      </c>
      <c r="B5459" s="1">
        <v>7.0</v>
      </c>
      <c r="C5459" s="1" t="s">
        <v>16087</v>
      </c>
      <c r="E5459" s="1" t="s">
        <v>16088</v>
      </c>
      <c r="F5459" s="1" t="str">
        <f>IFERROR(__xludf.DUMMYFUNCTION("GOOGLETRANSLATE(A5459, ""zh-CN"", ""ko"")"),"복잡한")</f>
        <v>복잡한</v>
      </c>
    </row>
    <row r="5460" ht="15.75" customHeight="1">
      <c r="A5460" s="1" t="s">
        <v>16089</v>
      </c>
      <c r="B5460" s="1">
        <v>7.0</v>
      </c>
      <c r="C5460" s="1" t="s">
        <v>16090</v>
      </c>
      <c r="D5460" s="1" t="s">
        <v>8</v>
      </c>
      <c r="E5460" s="1" t="s">
        <v>16091</v>
      </c>
      <c r="F5460" s="1" t="str">
        <f>IFERROR(__xludf.DUMMYFUNCTION("GOOGLETRANSLATE(A5460, ""zh-CN"", ""ko"")"),"가져가다")</f>
        <v>가져가다</v>
      </c>
    </row>
    <row r="5461" ht="15.75" customHeight="1">
      <c r="A5461" s="1" t="s">
        <v>16092</v>
      </c>
      <c r="B5461" s="1">
        <v>7.0</v>
      </c>
      <c r="C5461" s="1" t="s">
        <v>16093</v>
      </c>
      <c r="D5461" s="1" t="s">
        <v>8</v>
      </c>
      <c r="E5461" s="1" t="s">
        <v>16094</v>
      </c>
      <c r="F5461" s="1" t="str">
        <f>IFERROR(__xludf.DUMMYFUNCTION("GOOGLETRANSLATE(A5461, ""zh-CN"", ""ko"")"),"설정")</f>
        <v>설정</v>
      </c>
    </row>
    <row r="5462" ht="15.75" customHeight="1">
      <c r="A5462" s="1" t="s">
        <v>16095</v>
      </c>
      <c r="B5462" s="1">
        <v>7.0</v>
      </c>
      <c r="C5462" s="1" t="s">
        <v>16096</v>
      </c>
      <c r="D5462" s="1" t="s">
        <v>8</v>
      </c>
      <c r="E5462" s="1" t="s">
        <v>16097</v>
      </c>
      <c r="F5462" s="1" t="str">
        <f>IFERROR(__xludf.DUMMYFUNCTION("GOOGLETRANSLATE(A5462, ""zh-CN"", ""ko"")"),"기준을 충족합니다")</f>
        <v>기준을 충족합니다</v>
      </c>
    </row>
    <row r="5463" ht="15.75" customHeight="1">
      <c r="A5463" s="1" t="s">
        <v>16098</v>
      </c>
      <c r="B5463" s="1">
        <v>7.0</v>
      </c>
      <c r="C5463" s="1" t="s">
        <v>16099</v>
      </c>
      <c r="D5463" s="1" t="s">
        <v>486</v>
      </c>
      <c r="E5463" s="1" t="s">
        <v>3319</v>
      </c>
      <c r="F5463" s="1" t="str">
        <f>IFERROR(__xludf.DUMMYFUNCTION("GOOGLETRANSLATE(A5463, ""zh-CN"", ""ko"")"),"이기다")</f>
        <v>이기다</v>
      </c>
    </row>
    <row r="5464" ht="15.75" customHeight="1">
      <c r="A5464" s="1" t="s">
        <v>16100</v>
      </c>
      <c r="B5464" s="1">
        <v>7.0</v>
      </c>
      <c r="C5464" s="1" t="s">
        <v>16101</v>
      </c>
      <c r="D5464" s="1" t="s">
        <v>8</v>
      </c>
      <c r="E5464" s="1" t="s">
        <v>16102</v>
      </c>
      <c r="F5464" s="1" t="str">
        <f>IFERROR(__xludf.DUMMYFUNCTION("GOOGLETRANSLATE(A5464, ""zh-CN"", ""ko"")"),"방해하다")</f>
        <v>방해하다</v>
      </c>
    </row>
    <row r="5465" ht="15.75" customHeight="1">
      <c r="A5465" s="1" t="s">
        <v>16103</v>
      </c>
      <c r="B5465" s="1">
        <v>7.0</v>
      </c>
      <c r="C5465" s="1" t="s">
        <v>16104</v>
      </c>
      <c r="D5465" s="1" t="s">
        <v>8</v>
      </c>
      <c r="E5465" s="1" t="s">
        <v>16105</v>
      </c>
      <c r="F5465" s="1" t="str">
        <f>IFERROR(__xludf.DUMMYFUNCTION("GOOGLETRANSLATE(A5465, ""zh-CN"", ""ko"")"),"패배시키다")</f>
        <v>패배시키다</v>
      </c>
    </row>
    <row r="5466" ht="15.75" customHeight="1">
      <c r="A5466" s="1" t="s">
        <v>16106</v>
      </c>
      <c r="B5466" s="1">
        <v>7.0</v>
      </c>
      <c r="C5466" s="1" t="s">
        <v>16107</v>
      </c>
      <c r="D5466" s="1" t="s">
        <v>8</v>
      </c>
      <c r="E5466" s="1" t="s">
        <v>16108</v>
      </c>
      <c r="F5466" s="1" t="str">
        <f>IFERROR(__xludf.DUMMYFUNCTION("GOOGLETRANSLATE(A5466, ""zh-CN"", ""ko"")"),"내기")</f>
        <v>내기</v>
      </c>
    </row>
    <row r="5467" ht="15.75" customHeight="1">
      <c r="A5467" s="1" t="s">
        <v>16109</v>
      </c>
      <c r="B5467" s="1">
        <v>7.0</v>
      </c>
      <c r="C5467" s="1" t="s">
        <v>16110</v>
      </c>
      <c r="E5467" s="1" t="s">
        <v>16111</v>
      </c>
      <c r="F5467" s="1" t="str">
        <f>IFERROR(__xludf.DUMMYFUNCTION("GOOGLETRANSLATE(A5467, ""zh-CN"", ""ko"")"),"선잠")</f>
        <v>선잠</v>
      </c>
    </row>
    <row r="5468" ht="15.75" customHeight="1">
      <c r="A5468" s="1" t="s">
        <v>16112</v>
      </c>
      <c r="B5468" s="1">
        <v>7.0</v>
      </c>
      <c r="C5468" s="1" t="s">
        <v>16113</v>
      </c>
      <c r="D5468" s="1" t="s">
        <v>8</v>
      </c>
      <c r="E5468" s="1" t="s">
        <v>16114</v>
      </c>
      <c r="F5468" s="1" t="str">
        <f>IFERROR(__xludf.DUMMYFUNCTION("GOOGLETRANSLATE(A5468, ""zh-CN"", ""ko"")"),"통과")</f>
        <v>통과</v>
      </c>
    </row>
    <row r="5469" ht="15.75" customHeight="1">
      <c r="A5469" s="1" t="s">
        <v>16115</v>
      </c>
      <c r="B5469" s="1">
        <v>7.0</v>
      </c>
      <c r="C5469" s="1" t="s">
        <v>16116</v>
      </c>
      <c r="D5469" s="1" t="s">
        <v>8</v>
      </c>
      <c r="E5469" s="1" t="s">
        <v>16117</v>
      </c>
      <c r="F5469" s="1" t="str">
        <f>IFERROR(__xludf.DUMMYFUNCTION("GOOGLETRANSLATE(A5469, ""zh-CN"", ""ko"")"),"방해하다")</f>
        <v>방해하다</v>
      </c>
    </row>
    <row r="5470" ht="15.75" customHeight="1">
      <c r="A5470" s="1" t="s">
        <v>16118</v>
      </c>
      <c r="B5470" s="1">
        <v>7.0</v>
      </c>
      <c r="C5470" s="1" t="s">
        <v>16119</v>
      </c>
      <c r="D5470" s="1" t="s">
        <v>8</v>
      </c>
      <c r="E5470" s="1" t="s">
        <v>16120</v>
      </c>
      <c r="F5470" s="1" t="str">
        <f>IFERROR(__xludf.DUMMYFUNCTION("GOOGLETRANSLATE(A5470, ""zh-CN"", ""ko"")"),"구제")</f>
        <v>구제</v>
      </c>
    </row>
    <row r="5471" ht="15.75" customHeight="1">
      <c r="A5471" s="1" t="s">
        <v>16121</v>
      </c>
      <c r="B5471" s="1">
        <v>7.0</v>
      </c>
      <c r="C5471" s="1" t="s">
        <v>16122</v>
      </c>
      <c r="D5471" s="1" t="s">
        <v>8</v>
      </c>
      <c r="E5471" s="1" t="s">
        <v>16123</v>
      </c>
      <c r="F5471" s="1" t="str">
        <f>IFERROR(__xludf.DUMMYFUNCTION("GOOGLETRANSLATE(A5471, ""zh-CN"", ""ko"")"),"세련")</f>
        <v>세련</v>
      </c>
    </row>
    <row r="5472" ht="15.75" customHeight="1">
      <c r="A5472" s="1" t="s">
        <v>16124</v>
      </c>
      <c r="B5472" s="1">
        <v>7.0</v>
      </c>
      <c r="C5472" s="1" t="s">
        <v>16125</v>
      </c>
      <c r="E5472" s="1" t="s">
        <v>16126</v>
      </c>
      <c r="F5472" s="1" t="str">
        <f>IFERROR(__xludf.DUMMYFUNCTION("GOOGLETRANSLATE(A5472, ""zh-CN"", ""ko"")"),"어시스턴트")</f>
        <v>어시스턴트</v>
      </c>
    </row>
    <row r="5473" ht="15.75" customHeight="1">
      <c r="A5473" s="1" t="s">
        <v>16127</v>
      </c>
      <c r="B5473" s="1">
        <v>7.0</v>
      </c>
      <c r="C5473" s="1" t="s">
        <v>16128</v>
      </c>
      <c r="D5473" s="1" t="s">
        <v>8</v>
      </c>
      <c r="E5473" s="1" t="s">
        <v>14815</v>
      </c>
      <c r="F5473" s="1" t="str">
        <f>IFERROR(__xludf.DUMMYFUNCTION("GOOGLETRANSLATE(A5473, ""zh-CN"", ""ko"")"),"없애다")</f>
        <v>없애다</v>
      </c>
    </row>
    <row r="5474" ht="15.75" customHeight="1">
      <c r="A5474" s="1" t="s">
        <v>16129</v>
      </c>
      <c r="B5474" s="1">
        <v>7.0</v>
      </c>
      <c r="C5474" s="1" t="s">
        <v>16130</v>
      </c>
      <c r="D5474" s="1" t="s">
        <v>52</v>
      </c>
      <c r="E5474" s="1" t="s">
        <v>16131</v>
      </c>
      <c r="F5474" s="1" t="str">
        <f>IFERROR(__xludf.DUMMYFUNCTION("GOOGLETRANSLATE(A5474, ""zh-CN"", ""ko"")"),"걱정 없는")</f>
        <v>걱정 없는</v>
      </c>
    </row>
    <row r="5475" ht="15.75" customHeight="1">
      <c r="A5475" s="1" t="s">
        <v>16132</v>
      </c>
      <c r="B5475" s="1">
        <v>7.0</v>
      </c>
      <c r="C5475" s="1" t="s">
        <v>16133</v>
      </c>
      <c r="D5475" s="1" t="s">
        <v>16</v>
      </c>
      <c r="E5475" s="1" t="s">
        <v>16134</v>
      </c>
      <c r="F5475" s="1" t="str">
        <f>IFERROR(__xludf.DUMMYFUNCTION("GOOGLETRANSLATE(A5475, ""zh-CN"", ""ko"")"),"개요")</f>
        <v>개요</v>
      </c>
    </row>
    <row r="5476" ht="15.75" customHeight="1">
      <c r="A5476" s="1" t="s">
        <v>16135</v>
      </c>
      <c r="B5476" s="1">
        <v>7.0</v>
      </c>
      <c r="C5476" s="1" t="s">
        <v>16136</v>
      </c>
      <c r="E5476" s="1" t="s">
        <v>16137</v>
      </c>
      <c r="F5476" s="1" t="str">
        <f>IFERROR(__xludf.DUMMYFUNCTION("GOOGLETRANSLATE(A5476, ""zh-CN"", ""ko"")"),"사심 없는")</f>
        <v>사심 없는</v>
      </c>
    </row>
    <row r="5477" ht="15.75" customHeight="1">
      <c r="A5477" s="1" t="s">
        <v>16138</v>
      </c>
      <c r="B5477" s="1">
        <v>7.0</v>
      </c>
      <c r="C5477" s="1" t="s">
        <v>16139</v>
      </c>
      <c r="E5477" s="1" t="s">
        <v>16140</v>
      </c>
      <c r="F5477" s="1" t="str">
        <f>IFERROR(__xludf.DUMMYFUNCTION("GOOGLETRANSLATE(A5477, ""zh-CN"", ""ko"")"),"거리와 골목길")</f>
        <v>거리와 골목길</v>
      </c>
    </row>
    <row r="5478" ht="15.75" customHeight="1">
      <c r="A5478" s="1" t="s">
        <v>16141</v>
      </c>
      <c r="B5478" s="1">
        <v>7.0</v>
      </c>
      <c r="C5478" s="1" t="s">
        <v>16142</v>
      </c>
      <c r="E5478" s="1" t="s">
        <v>16143</v>
      </c>
      <c r="F5478" s="1" t="str">
        <f>IFERROR(__xludf.DUMMYFUNCTION("GOOGLETRANSLATE(A5478, ""zh-CN"", ""ko"")"),"소란을 피우다")</f>
        <v>소란을 피우다</v>
      </c>
    </row>
    <row r="5479" ht="15.75" customHeight="1">
      <c r="A5479" s="1" t="s">
        <v>16144</v>
      </c>
      <c r="B5479" s="1">
        <v>7.0</v>
      </c>
      <c r="C5479" s="1" t="s">
        <v>16145</v>
      </c>
      <c r="D5479" s="1" t="s">
        <v>16</v>
      </c>
      <c r="E5479" s="1" t="s">
        <v>16146</v>
      </c>
      <c r="F5479" s="1" t="str">
        <f>IFERROR(__xludf.DUMMYFUNCTION("GOOGLETRANSLATE(A5479, ""zh-CN"", ""ko"")"),"전반적인 상황")</f>
        <v>전반적인 상황</v>
      </c>
    </row>
    <row r="5480" ht="15.75" customHeight="1">
      <c r="A5480" s="1" t="s">
        <v>16147</v>
      </c>
      <c r="B5480" s="1">
        <v>7.0</v>
      </c>
      <c r="C5480" s="1" t="s">
        <v>16148</v>
      </c>
      <c r="D5480" s="1" t="s">
        <v>16</v>
      </c>
      <c r="E5480" s="1" t="s">
        <v>16149</v>
      </c>
      <c r="F5480" s="1" t="str">
        <f>IFERROR(__xludf.DUMMYFUNCTION("GOOGLETRANSLATE(A5480, ""zh-CN"", ""ko"")"),"본토")</f>
        <v>본토</v>
      </c>
    </row>
    <row r="5481" ht="15.75" customHeight="1">
      <c r="A5481" s="1" t="s">
        <v>16150</v>
      </c>
      <c r="B5481" s="1">
        <v>7.0</v>
      </c>
      <c r="C5481" s="1" t="s">
        <v>16151</v>
      </c>
      <c r="E5481" s="1" t="s">
        <v>16152</v>
      </c>
      <c r="F5481" s="1" t="str">
        <f>IFERROR(__xludf.DUMMYFUNCTION("GOOGLETRANSLATE(A5481, ""zh-CN"", ""ko"")"),"유명한")</f>
        <v>유명한</v>
      </c>
    </row>
    <row r="5482" ht="15.75" customHeight="1">
      <c r="A5482" s="1" t="s">
        <v>16153</v>
      </c>
      <c r="B5482" s="1">
        <v>7.0</v>
      </c>
      <c r="C5482" s="1" t="s">
        <v>16154</v>
      </c>
      <c r="D5482" s="1" t="s">
        <v>16</v>
      </c>
      <c r="E5482" s="1" t="s">
        <v>16155</v>
      </c>
      <c r="F5482" s="1" t="str">
        <f>IFERROR(__xludf.DUMMYFUNCTION("GOOGLETRANSLATE(A5482, ""zh-CN"", ""ko"")"),"블록버스터")</f>
        <v>블록버스터</v>
      </c>
    </row>
    <row r="5483" ht="15.75" customHeight="1">
      <c r="A5483" s="1" t="s">
        <v>16156</v>
      </c>
      <c r="B5483" s="1">
        <v>7.0</v>
      </c>
      <c r="C5483" s="1" t="s">
        <v>16157</v>
      </c>
      <c r="D5483" s="1" t="s">
        <v>16</v>
      </c>
      <c r="E5483" s="1" t="s">
        <v>16158</v>
      </c>
      <c r="F5483" s="1" t="str">
        <f>IFERROR(__xludf.DUMMYFUNCTION("GOOGLETRANSLATE(A5483, ""zh-CN"", ""ko"")"),"대기")</f>
        <v>대기</v>
      </c>
    </row>
    <row r="5484" ht="15.75" customHeight="1">
      <c r="A5484" s="1" t="s">
        <v>16159</v>
      </c>
      <c r="B5484" s="1">
        <v>7.0</v>
      </c>
      <c r="C5484" s="1" t="s">
        <v>16160</v>
      </c>
      <c r="D5484" s="1" t="s">
        <v>16</v>
      </c>
      <c r="E5484" s="1" t="s">
        <v>16161</v>
      </c>
      <c r="F5484" s="1" t="str">
        <f>IFERROR(__xludf.DUMMYFUNCTION("GOOGLETRANSLATE(A5484, ""zh-CN"", ""ko"")"),"빅데이터")</f>
        <v>빅데이터</v>
      </c>
    </row>
    <row r="5485" ht="15.75" customHeight="1">
      <c r="A5485" s="1" t="s">
        <v>16162</v>
      </c>
      <c r="B5485" s="1">
        <v>7.0</v>
      </c>
      <c r="C5485" s="1" t="s">
        <v>16163</v>
      </c>
      <c r="E5485" s="1" t="s">
        <v>16164</v>
      </c>
      <c r="F5485" s="1" t="str">
        <f>IFERROR(__xludf.DUMMYFUNCTION("GOOGLETRANSLATE(A5485, ""zh-CN"", ""ko"")"),"비슷한")</f>
        <v>비슷한</v>
      </c>
    </row>
    <row r="5486" ht="15.75" customHeight="1">
      <c r="A5486" s="1" t="s">
        <v>16165</v>
      </c>
      <c r="B5486" s="1">
        <v>7.0</v>
      </c>
      <c r="C5486" s="1" t="s">
        <v>16166</v>
      </c>
      <c r="D5486" s="1" t="s">
        <v>33</v>
      </c>
      <c r="E5486" s="1" t="s">
        <v>16167</v>
      </c>
      <c r="F5486" s="1" t="str">
        <f>IFERROR(__xludf.DUMMYFUNCTION("GOOGLETRANSLATE(A5486, ""zh-CN"", ""ko"")"),"다웨이")</f>
        <v>다웨이</v>
      </c>
    </row>
    <row r="5487" ht="15.75" customHeight="1">
      <c r="A5487" s="1" t="s">
        <v>16168</v>
      </c>
      <c r="B5487" s="1">
        <v>7.0</v>
      </c>
      <c r="C5487" s="1" t="s">
        <v>16169</v>
      </c>
      <c r="D5487" s="1" t="s">
        <v>16</v>
      </c>
      <c r="E5487" s="1" t="s">
        <v>16170</v>
      </c>
      <c r="F5487" s="1" t="str">
        <f>IFERROR(__xludf.DUMMYFUNCTION("GOOGLETRANSLATE(A5487, ""zh-CN"", ""ko"")"),"야생 거위")</f>
        <v>야생 거위</v>
      </c>
    </row>
    <row r="5488" ht="15.75" customHeight="1">
      <c r="A5488" s="1" t="s">
        <v>16171</v>
      </c>
      <c r="B5488" s="1">
        <v>7.0</v>
      </c>
      <c r="C5488" s="1" t="s">
        <v>16172</v>
      </c>
      <c r="E5488" s="1" t="s">
        <v>16173</v>
      </c>
      <c r="F5488" s="1" t="str">
        <f>IFERROR(__xludf.DUMMYFUNCTION("GOOGLETRANSLATE(A5488, ""zh-CN"", ""ko"")"),"큰 잠재력이 있습니다")</f>
        <v>큰 잠재력이 있습니다</v>
      </c>
    </row>
    <row r="5489" ht="15.75" customHeight="1">
      <c r="A5489" s="1" t="s">
        <v>16174</v>
      </c>
      <c r="B5489" s="1">
        <v>7.0</v>
      </c>
      <c r="C5489" s="1" t="s">
        <v>16175</v>
      </c>
      <c r="D5489" s="1" t="s">
        <v>15352</v>
      </c>
      <c r="E5489" s="1" t="s">
        <v>16176</v>
      </c>
      <c r="F5489" s="1" t="str">
        <f>IFERROR(__xludf.DUMMYFUNCTION("GOOGLETRANSLATE(A5489, ""zh-CN"", ""ko"")"),"대부분")</f>
        <v>대부분</v>
      </c>
    </row>
    <row r="5490" ht="15.75" customHeight="1">
      <c r="A5490" s="1" t="s">
        <v>16177</v>
      </c>
      <c r="B5490" s="1">
        <v>7.0</v>
      </c>
      <c r="C5490" s="1" t="s">
        <v>16178</v>
      </c>
      <c r="D5490" s="1" t="s">
        <v>8</v>
      </c>
      <c r="E5490" s="1" t="s">
        <v>16179</v>
      </c>
      <c r="F5490" s="1" t="str">
        <f>IFERROR(__xludf.DUMMYFUNCTION("GOOGLETRANSLATE(A5490, ""zh-CN"", ""ko"")"),"잡다")</f>
        <v>잡다</v>
      </c>
    </row>
    <row r="5491" ht="15.75" customHeight="1">
      <c r="A5491" s="1" t="s">
        <v>16180</v>
      </c>
      <c r="B5491" s="1">
        <v>7.0</v>
      </c>
      <c r="C5491" s="1" t="s">
        <v>16181</v>
      </c>
      <c r="D5491" s="1" t="s">
        <v>8</v>
      </c>
      <c r="E5491" s="1" t="s">
        <v>16182</v>
      </c>
      <c r="F5491" s="1" t="str">
        <f>IFERROR(__xludf.DUMMYFUNCTION("GOOGLETRANSLATE(A5491, ""zh-CN"", ""ko"")"),"팀을 이끌다")</f>
        <v>팀을 이끌다</v>
      </c>
    </row>
    <row r="5492" ht="15.75" customHeight="1">
      <c r="A5492" s="1" t="s">
        <v>16183</v>
      </c>
      <c r="B5492" s="1">
        <v>7.0</v>
      </c>
      <c r="C5492" s="1" t="s">
        <v>16184</v>
      </c>
      <c r="D5492" s="1" t="s">
        <v>8</v>
      </c>
      <c r="E5492" s="1" t="s">
        <v>16185</v>
      </c>
      <c r="F5492" s="1" t="str">
        <f>IFERROR(__xludf.DUMMYFUNCTION("GOOGLETRANSLATE(A5492, ""zh-CN"", ""ko"")"),"사보타주")</f>
        <v>사보타주</v>
      </c>
    </row>
    <row r="5493" ht="15.75" customHeight="1">
      <c r="A5493" s="1" t="s">
        <v>16186</v>
      </c>
      <c r="B5493" s="1">
        <v>7.0</v>
      </c>
      <c r="C5493" s="1" t="s">
        <v>16187</v>
      </c>
      <c r="D5493" s="1" t="s">
        <v>16</v>
      </c>
      <c r="E5493" s="1" t="s">
        <v>16188</v>
      </c>
      <c r="F5493" s="1" t="str">
        <f>IFERROR(__xludf.DUMMYFUNCTION("GOOGLETRANSLATE(A5493, ""zh-CN"", ""ko"")"),"코드명")</f>
        <v>코드명</v>
      </c>
    </row>
    <row r="5494" ht="15.75" customHeight="1">
      <c r="A5494" s="1" t="s">
        <v>16189</v>
      </c>
      <c r="B5494" s="1">
        <v>7.0</v>
      </c>
      <c r="C5494" s="1" t="s">
        <v>16190</v>
      </c>
      <c r="D5494" s="1" t="s">
        <v>16</v>
      </c>
      <c r="E5494" s="1" t="s">
        <v>16191</v>
      </c>
      <c r="F5494" s="1" t="str">
        <f>IFERROR(__xludf.DUMMYFUNCTION("GOOGLETRANSLATE(A5494, ""zh-CN"", ""ko"")"),"대리인")</f>
        <v>대리인</v>
      </c>
    </row>
    <row r="5495" ht="15.75" customHeight="1">
      <c r="A5495" s="1" t="s">
        <v>16192</v>
      </c>
      <c r="B5495" s="1">
        <v>7.0</v>
      </c>
      <c r="C5495" s="1" t="s">
        <v>16193</v>
      </c>
      <c r="D5495" s="1" t="s">
        <v>8</v>
      </c>
      <c r="E5495" s="1" t="s">
        <v>16194</v>
      </c>
      <c r="F5495" s="1" t="str">
        <f>IFERROR(__xludf.DUMMYFUNCTION("GOOGLETRANSLATE(A5495, ""zh-CN"", ""ko"")"),"앞장서서 이끌어라")</f>
        <v>앞장서서 이끌어라</v>
      </c>
    </row>
    <row r="5496" ht="15.75" customHeight="1">
      <c r="A5496" s="1" t="s">
        <v>16195</v>
      </c>
      <c r="B5496" s="1">
        <v>7.0</v>
      </c>
      <c r="C5496" s="1" t="s">
        <v>16196</v>
      </c>
      <c r="D5496" s="1" t="s">
        <v>8</v>
      </c>
      <c r="E5496" s="1" t="s">
        <v>16197</v>
      </c>
      <c r="F5496" s="1" t="str">
        <f>IFERROR(__xludf.DUMMYFUNCTION("GOOGLETRANSLATE(A5496, ""zh-CN"", ""ko"")"),"주도권을 잡다")</f>
        <v>주도권을 잡다</v>
      </c>
    </row>
    <row r="5497" ht="15.75" customHeight="1">
      <c r="A5497" s="1" t="s">
        <v>16198</v>
      </c>
      <c r="B5497" s="1">
        <v>7.0</v>
      </c>
      <c r="C5497" s="1" t="s">
        <v>16199</v>
      </c>
      <c r="D5497" s="1" t="s">
        <v>8</v>
      </c>
      <c r="E5497" s="1" t="s">
        <v>16200</v>
      </c>
      <c r="F5497" s="1" t="str">
        <f>IFERROR(__xludf.DUMMYFUNCTION("GOOGLETRANSLATE(A5497, ""zh-CN"", ""ko"")"),"배서")</f>
        <v>배서</v>
      </c>
    </row>
    <row r="5498" ht="15.75" customHeight="1">
      <c r="A5498" s="1" t="s">
        <v>16201</v>
      </c>
      <c r="B5498" s="1">
        <v>7.0</v>
      </c>
      <c r="C5498" s="1" t="s">
        <v>16202</v>
      </c>
      <c r="D5498" s="1" t="s">
        <v>8</v>
      </c>
      <c r="E5498" s="1" t="s">
        <v>16203</v>
      </c>
      <c r="F5498" s="1" t="str">
        <f>IFERROR(__xludf.DUMMYFUNCTION("GOOGLETRANSLATE(A5498, ""zh-CN"", ""ko"")"),"곰")</f>
        <v>곰</v>
      </c>
    </row>
    <row r="5499" ht="15.75" customHeight="1">
      <c r="A5499" s="1" t="s">
        <v>16204</v>
      </c>
      <c r="B5499" s="1">
        <v>7.0</v>
      </c>
      <c r="C5499" s="1" t="s">
        <v>16205</v>
      </c>
      <c r="D5499" s="1" t="s">
        <v>52</v>
      </c>
      <c r="E5499" s="1" t="s">
        <v>16206</v>
      </c>
      <c r="F5499" s="1" t="str">
        <f>IFERROR(__xludf.DUMMYFUNCTION("GOOGLETRANSLATE(A5499, ""zh-CN"", ""ko"")"),"일방적인")</f>
        <v>일방적인</v>
      </c>
    </row>
    <row r="5500" ht="15.75" customHeight="1">
      <c r="A5500" s="1" t="s">
        <v>16207</v>
      </c>
      <c r="B5500" s="1">
        <v>7.0</v>
      </c>
      <c r="C5500" s="1" t="s">
        <v>16208</v>
      </c>
      <c r="D5500" s="1" t="s">
        <v>52</v>
      </c>
      <c r="E5500" s="1" t="s">
        <v>16209</v>
      </c>
      <c r="F5500" s="1" t="str">
        <f>IFERROR(__xludf.DUMMYFUNCTION("GOOGLETRANSLATE(A5500, ""zh-CN"", ""ko"")"),"얇은")</f>
        <v>얇은</v>
      </c>
    </row>
    <row r="5501" ht="15.75" customHeight="1">
      <c r="A5501" s="1" t="s">
        <v>16210</v>
      </c>
      <c r="B5501" s="1">
        <v>7.0</v>
      </c>
      <c r="C5501" s="1" t="s">
        <v>16211</v>
      </c>
      <c r="D5501" s="1" t="s">
        <v>8</v>
      </c>
      <c r="E5501" s="1" t="s">
        <v>16212</v>
      </c>
      <c r="F5501" s="1" t="str">
        <f>IFERROR(__xludf.DUMMYFUNCTION("GOOGLETRANSLATE(A5501, ""zh-CN"", ""ko"")"),"책임이 있는")</f>
        <v>책임이 있는</v>
      </c>
    </row>
    <row r="5502" ht="15.75" customHeight="1">
      <c r="A5502" s="1" t="s">
        <v>16213</v>
      </c>
      <c r="B5502" s="1">
        <v>7.0</v>
      </c>
      <c r="C5502" s="1" t="s">
        <v>16214</v>
      </c>
      <c r="D5502" s="1" t="s">
        <v>16</v>
      </c>
      <c r="E5502" s="1" t="s">
        <v>16215</v>
      </c>
      <c r="F5502" s="1" t="str">
        <f>IFERROR(__xludf.DUMMYFUNCTION("GOOGLETRANSLATE(A5502, ""zh-CN"", ""ko"")"),"일방적인")</f>
        <v>일방적인</v>
      </c>
    </row>
    <row r="5503" ht="15.75" customHeight="1">
      <c r="A5503" s="1" t="s">
        <v>16216</v>
      </c>
      <c r="B5503" s="1">
        <v>7.0</v>
      </c>
      <c r="C5503" s="1" t="s">
        <v>16217</v>
      </c>
      <c r="D5503" s="1" t="s">
        <v>8</v>
      </c>
      <c r="E5503" s="1" t="s">
        <v>16218</v>
      </c>
      <c r="F5503" s="1" t="str">
        <f>IFERROR(__xludf.DUMMYFUNCTION("GOOGLETRANSLATE(A5503, ""zh-CN"", ""ko"")"),"곰")</f>
        <v>곰</v>
      </c>
    </row>
    <row r="5504" ht="15.75" customHeight="1">
      <c r="A5504" s="1" t="s">
        <v>16219</v>
      </c>
      <c r="B5504" s="1">
        <v>7.0</v>
      </c>
      <c r="C5504" s="1" t="s">
        <v>16220</v>
      </c>
      <c r="D5504" s="1" t="s">
        <v>8</v>
      </c>
      <c r="E5504" s="1" t="s">
        <v>16221</v>
      </c>
      <c r="F5504" s="1" t="str">
        <f>IFERROR(__xludf.DUMMYFUNCTION("GOOGLETRANSLATE(A5504, ""zh-CN"", ""ko"")"),"지연")</f>
        <v>지연</v>
      </c>
    </row>
    <row r="5505" ht="15.75" customHeight="1">
      <c r="A5505" s="1" t="s">
        <v>16222</v>
      </c>
      <c r="B5505" s="1">
        <v>7.0</v>
      </c>
      <c r="C5505" s="1" t="s">
        <v>16223</v>
      </c>
      <c r="D5505" s="1" t="s">
        <v>16</v>
      </c>
      <c r="E5505" s="1" t="s">
        <v>16224</v>
      </c>
      <c r="F5505" s="1" t="str">
        <f>IFERROR(__xludf.DUMMYFUNCTION("GOOGLETRANSLATE(A5505, ""zh-CN"", ""ko"")"),"단가")</f>
        <v>단가</v>
      </c>
    </row>
    <row r="5506" ht="15.75" customHeight="1">
      <c r="A5506" s="1" t="s">
        <v>16225</v>
      </c>
      <c r="B5506" s="1">
        <v>7.0</v>
      </c>
      <c r="C5506" s="1" t="s">
        <v>16226</v>
      </c>
      <c r="D5506" s="1" t="s">
        <v>16</v>
      </c>
      <c r="E5506" s="1" t="s">
        <v>16227</v>
      </c>
      <c r="F5506" s="1" t="str">
        <f>IFERROR(__xludf.DUMMYFUNCTION("GOOGLETRANSLATE(A5506, ""zh-CN"", ""ko"")"),"하나의")</f>
        <v>하나의</v>
      </c>
    </row>
    <row r="5507" ht="15.75" customHeight="1">
      <c r="A5507" s="1" t="s">
        <v>16228</v>
      </c>
      <c r="B5507" s="1">
        <v>7.0</v>
      </c>
      <c r="C5507" s="1" t="s">
        <v>16229</v>
      </c>
      <c r="D5507" s="1" t="s">
        <v>52</v>
      </c>
      <c r="E5507" s="1" t="s">
        <v>16230</v>
      </c>
      <c r="F5507" s="1" t="str">
        <f>IFERROR(__xludf.DUMMYFUNCTION("GOOGLETRANSLATE(A5507, ""zh-CN"", ""ko"")"),"용기")</f>
        <v>용기</v>
      </c>
    </row>
    <row r="5508" ht="15.75" customHeight="1">
      <c r="A5508" s="1" t="s">
        <v>16231</v>
      </c>
      <c r="B5508" s="1">
        <v>7.0</v>
      </c>
      <c r="C5508" s="1" t="s">
        <v>16232</v>
      </c>
      <c r="D5508" s="1" t="s">
        <v>8</v>
      </c>
      <c r="E5508" s="1" t="s">
        <v>16233</v>
      </c>
      <c r="F5508" s="1" t="str">
        <f>IFERROR(__xludf.DUMMYFUNCTION("GOOGLETRANSLATE(A5508, ""zh-CN"", ""ko"")"),"묽게 한")</f>
        <v>묽게 한</v>
      </c>
    </row>
    <row r="5509" ht="15.75" customHeight="1">
      <c r="A5509" s="1" t="s">
        <v>16234</v>
      </c>
      <c r="B5509" s="1">
        <v>7.0</v>
      </c>
      <c r="C5509" s="1" t="s">
        <v>16235</v>
      </c>
      <c r="D5509" s="1" t="s">
        <v>8</v>
      </c>
      <c r="E5509" s="1" t="s">
        <v>16236</v>
      </c>
      <c r="F5509" s="1" t="str">
        <f>IFERROR(__xludf.DUMMYFUNCTION("GOOGLETRANSLATE(A5509, ""zh-CN"", ""ko"")"),"바라건대")</f>
        <v>바라건대</v>
      </c>
    </row>
    <row r="5510" ht="15.75" customHeight="1">
      <c r="A5510" s="1" t="s">
        <v>16237</v>
      </c>
      <c r="B5510" s="1">
        <v>7.0</v>
      </c>
      <c r="C5510" s="1" t="s">
        <v>16238</v>
      </c>
      <c r="D5510" s="1" t="s">
        <v>16</v>
      </c>
      <c r="E5510" s="1" t="s">
        <v>16239</v>
      </c>
      <c r="F5510" s="1" t="str">
        <f>IFERROR(__xludf.DUMMYFUNCTION("GOOGLETRANSLATE(A5510, ""zh-CN"", ""ko"")"),"적재")</f>
        <v>적재</v>
      </c>
    </row>
    <row r="5511" ht="15.75" customHeight="1">
      <c r="A5511" s="1" t="s">
        <v>16240</v>
      </c>
      <c r="B5511" s="1">
        <v>7.0</v>
      </c>
      <c r="C5511" s="1" t="s">
        <v>16241</v>
      </c>
      <c r="D5511" s="1" t="s">
        <v>33</v>
      </c>
      <c r="E5511" s="1" t="s">
        <v>16242</v>
      </c>
      <c r="F5511" s="1" t="str">
        <f>IFERROR(__xludf.DUMMYFUNCTION("GOOGLETRANSLATE(A5511, ""zh-CN"", ""ko"")"),"즉시")</f>
        <v>즉시</v>
      </c>
    </row>
    <row r="5512" ht="15.75" customHeight="1">
      <c r="A5512" s="1" t="s">
        <v>16243</v>
      </c>
      <c r="B5512" s="1">
        <v>7.0</v>
      </c>
      <c r="C5512" s="1" t="s">
        <v>16244</v>
      </c>
      <c r="D5512" s="1" t="s">
        <v>16</v>
      </c>
      <c r="E5512" s="1" t="s">
        <v>16245</v>
      </c>
      <c r="F5512" s="1" t="str">
        <f>IFERROR(__xludf.DUMMYFUNCTION("GOOGLETRANSLATE(A5512, ""zh-CN"", ""ko"")"),"당일")</f>
        <v>당일</v>
      </c>
    </row>
    <row r="5513" ht="15.75" customHeight="1">
      <c r="A5513" s="1" t="s">
        <v>16246</v>
      </c>
      <c r="B5513" s="1">
        <v>7.0</v>
      </c>
      <c r="C5513" s="1" t="s">
        <v>16247</v>
      </c>
      <c r="E5513" s="1" t="s">
        <v>16248</v>
      </c>
      <c r="F5513" s="1" t="str">
        <f>IFERROR(__xludf.DUMMYFUNCTION("GOOGLETRANSLATE(A5513, ""zh-CN"", ""ko"")"),"당연한")</f>
        <v>당연한</v>
      </c>
    </row>
    <row r="5514" ht="15.75" customHeight="1">
      <c r="A5514" s="1" t="s">
        <v>16249</v>
      </c>
      <c r="B5514" s="1">
        <v>7.0</v>
      </c>
      <c r="C5514" s="1" t="s">
        <v>16250</v>
      </c>
      <c r="D5514" s="1" t="s">
        <v>33</v>
      </c>
      <c r="E5514" s="1" t="s">
        <v>16251</v>
      </c>
      <c r="F5514" s="1" t="str">
        <f>IFERROR(__xludf.DUMMYFUNCTION("GOOGLETRANSLATE(A5514, ""zh-CN"", ""ko"")"),"공공장소에서")</f>
        <v>공공장소에서</v>
      </c>
    </row>
    <row r="5515" ht="15.75" customHeight="1">
      <c r="A5515" s="1" t="s">
        <v>16252</v>
      </c>
      <c r="B5515" s="1">
        <v>7.0</v>
      </c>
      <c r="C5515" s="1" t="s">
        <v>16253</v>
      </c>
      <c r="E5515" s="1" t="s">
        <v>16254</v>
      </c>
      <c r="F5515" s="1" t="str">
        <f>IFERROR(__xludf.DUMMYFUNCTION("GOOGLETRANSLATE(A5515, ""zh-CN"", ""ko"")"),"신속하게 결정하다")</f>
        <v>신속하게 결정하다</v>
      </c>
    </row>
    <row r="5516" ht="15.75" customHeight="1">
      <c r="A5516" s="1" t="s">
        <v>16255</v>
      </c>
      <c r="B5516" s="1">
        <v>7.0</v>
      </c>
      <c r="C5516" s="1" t="s">
        <v>16256</v>
      </c>
      <c r="D5516" s="1" t="s">
        <v>16</v>
      </c>
      <c r="E5516" s="1" t="s">
        <v>16257</v>
      </c>
      <c r="F5516" s="1" t="str">
        <f>IFERROR(__xludf.DUMMYFUNCTION("GOOGLETRANSLATE(A5516, ""zh-CN"", ""ko"")"),"그날 밤")</f>
        <v>그날 밤</v>
      </c>
    </row>
    <row r="5517" ht="15.75" customHeight="1">
      <c r="A5517" s="1" t="s">
        <v>16258</v>
      </c>
      <c r="B5517" s="1">
        <v>7.0</v>
      </c>
      <c r="C5517" s="1" t="s">
        <v>16259</v>
      </c>
      <c r="D5517" s="1" t="s">
        <v>8</v>
      </c>
      <c r="E5517" s="1" t="s">
        <v>16260</v>
      </c>
      <c r="F5517" s="1" t="str">
        <f>IFERROR(__xludf.DUMMYFUNCTION("GOOGLETRANSLATE(A5517, ""zh-CN"", ""ko"")"),"잔물결")</f>
        <v>잔물결</v>
      </c>
    </row>
    <row r="5518" ht="15.75" customHeight="1">
      <c r="A5518" s="1" t="s">
        <v>16261</v>
      </c>
      <c r="B5518" s="1">
        <v>7.0</v>
      </c>
      <c r="C5518" s="1" t="s">
        <v>16262</v>
      </c>
      <c r="D5518" s="1" t="s">
        <v>14992</v>
      </c>
      <c r="E5518" s="1" t="s">
        <v>16263</v>
      </c>
      <c r="F5518" s="1" t="str">
        <f>IFERROR(__xludf.DUMMYFUNCTION("GOOGLETRANSLATE(A5518, ""zh-CN"", ""ko"")"),"정말")</f>
        <v>정말</v>
      </c>
    </row>
    <row r="5519" ht="15.75" customHeight="1">
      <c r="A5519" s="1" t="s">
        <v>16264</v>
      </c>
      <c r="B5519" s="1">
        <v>7.0</v>
      </c>
      <c r="C5519" s="1" t="s">
        <v>16265</v>
      </c>
      <c r="D5519" s="1" t="s">
        <v>16</v>
      </c>
      <c r="E5519" s="1" t="s">
        <v>16266</v>
      </c>
      <c r="F5519" s="1" t="str">
        <f>IFERROR(__xludf.DUMMYFUNCTION("GOOGLETRANSLATE(A5519, ""zh-CN"", ""ko"")"),"퓨즈")</f>
        <v>퓨즈</v>
      </c>
    </row>
    <row r="5520" ht="15.75" customHeight="1">
      <c r="A5520" s="1" t="s">
        <v>16267</v>
      </c>
      <c r="B5520" s="1">
        <v>7.0</v>
      </c>
      <c r="C5520" s="1" t="s">
        <v>16268</v>
      </c>
      <c r="D5520" s="1" t="s">
        <v>8</v>
      </c>
      <c r="E5520" s="1" t="s">
        <v>16269</v>
      </c>
      <c r="F5520" s="1" t="str">
        <f>IFERROR(__xludf.DUMMYFUNCTION("GOOGLETRANSLATE(A5520, ""zh-CN"", ""ko"")"),"무너지다")</f>
        <v>무너지다</v>
      </c>
    </row>
    <row r="5521" ht="15.75" customHeight="1">
      <c r="A5521" s="1" t="s">
        <v>16270</v>
      </c>
      <c r="B5521" s="1">
        <v>7.0</v>
      </c>
      <c r="C5521" s="1" t="s">
        <v>522</v>
      </c>
      <c r="D5521" s="1" t="s">
        <v>8</v>
      </c>
      <c r="E5521" s="1" t="s">
        <v>16271</v>
      </c>
      <c r="F5521" s="1" t="str">
        <f>IFERROR(__xludf.DUMMYFUNCTION("GOOGLETRANSLATE(A5521, ""zh-CN"", ""ko"")"),"훔침")</f>
        <v>훔침</v>
      </c>
    </row>
    <row r="5522" ht="15.75" customHeight="1">
      <c r="A5522" s="1" t="s">
        <v>16272</v>
      </c>
      <c r="B5522" s="1">
        <v>7.0</v>
      </c>
      <c r="C5522" s="1" t="s">
        <v>16273</v>
      </c>
      <c r="D5522" s="1" t="s">
        <v>14870</v>
      </c>
      <c r="E5522" s="1" t="s">
        <v>16274</v>
      </c>
      <c r="F5522" s="1" t="str">
        <f>IFERROR(__xludf.DUMMYFUNCTION("GOOGLETRANSLATE(A5522, ""zh-CN"", ""ko"")"),"해적 행위")</f>
        <v>해적 행위</v>
      </c>
    </row>
    <row r="5523" ht="15.75" customHeight="1">
      <c r="A5523" s="1" t="s">
        <v>16275</v>
      </c>
      <c r="B5523" s="1">
        <v>7.0</v>
      </c>
      <c r="C5523" s="1" t="s">
        <v>16276</v>
      </c>
      <c r="D5523" s="1" t="s">
        <v>8</v>
      </c>
      <c r="E5523" s="1" t="s">
        <v>16277</v>
      </c>
      <c r="F5523" s="1" t="str">
        <f>IFERROR(__xludf.DUMMYFUNCTION("GOOGLETRANSLATE(A5523, ""zh-CN"", ""ko"")"),"작별 인사")</f>
        <v>작별 인사</v>
      </c>
    </row>
    <row r="5524" ht="15.75" customHeight="1">
      <c r="A5524" s="1" t="s">
        <v>16278</v>
      </c>
      <c r="B5524" s="1">
        <v>7.0</v>
      </c>
      <c r="C5524" s="1" t="s">
        <v>16279</v>
      </c>
      <c r="D5524" s="1" t="s">
        <v>16</v>
      </c>
      <c r="E5524" s="1" t="s">
        <v>16280</v>
      </c>
      <c r="F5524" s="1" t="str">
        <f>IFERROR(__xludf.DUMMYFUNCTION("GOOGLETRANSLATE(A5524, ""zh-CN"", ""ko"")"),"빨대")</f>
        <v>빨대</v>
      </c>
    </row>
    <row r="5525" ht="15.75" customHeight="1">
      <c r="A5525" s="1" t="s">
        <v>16281</v>
      </c>
      <c r="B5525" s="1">
        <v>7.0</v>
      </c>
      <c r="C5525" s="1" t="s">
        <v>16282</v>
      </c>
      <c r="D5525" s="1" t="s">
        <v>8</v>
      </c>
      <c r="E5525" s="1" t="s">
        <v>16283</v>
      </c>
      <c r="F5525" s="1" t="str">
        <f>IFERROR(__xludf.DUMMYFUNCTION("GOOGLETRANSLATE(A5525, ""zh-CN"", ""ko"")"),"카운트다운")</f>
        <v>카운트다운</v>
      </c>
    </row>
    <row r="5526" ht="15.75" customHeight="1">
      <c r="A5526" s="1" t="s">
        <v>16284</v>
      </c>
      <c r="B5526" s="1">
        <v>7.0</v>
      </c>
      <c r="C5526" s="1" t="s">
        <v>16285</v>
      </c>
      <c r="D5526" s="1" t="s">
        <v>16</v>
      </c>
      <c r="E5526" s="1" t="s">
        <v>16286</v>
      </c>
      <c r="F5526" s="1" t="str">
        <f>IFERROR(__xludf.DUMMYFUNCTION("GOOGLETRANSLATE(A5526, ""zh-CN"", ""ko"")"),"소품")</f>
        <v>소품</v>
      </c>
    </row>
    <row r="5527" ht="15.75" customHeight="1">
      <c r="A5527" s="1" t="s">
        <v>16287</v>
      </c>
      <c r="B5527" s="1">
        <v>7.0</v>
      </c>
      <c r="C5527" s="1" t="s">
        <v>16288</v>
      </c>
      <c r="D5527" s="1" t="s">
        <v>8</v>
      </c>
      <c r="E5527" s="1" t="s">
        <v>16289</v>
      </c>
      <c r="F5527" s="1" t="str">
        <f>IFERROR(__xludf.DUMMYFUNCTION("GOOGLETRANSLATE(A5527, ""zh-CN"", ""ko"")"),"비탄")</f>
        <v>비탄</v>
      </c>
    </row>
    <row r="5528" ht="15.75" customHeight="1">
      <c r="A5528" s="1" t="s">
        <v>16290</v>
      </c>
      <c r="B5528" s="1">
        <v>7.0</v>
      </c>
      <c r="C5528" s="1" t="s">
        <v>16291</v>
      </c>
      <c r="D5528" s="1" t="s">
        <v>8</v>
      </c>
      <c r="E5528" s="1" t="s">
        <v>16283</v>
      </c>
      <c r="F5528" s="1" t="str">
        <f>IFERROR(__xludf.DUMMYFUNCTION("GOOGLETRANSLATE(A5528, ""zh-CN"", ""ko"")"),"역수")</f>
        <v>역수</v>
      </c>
    </row>
    <row r="5529" ht="15.75" customHeight="1">
      <c r="A5529" s="1" t="s">
        <v>16292</v>
      </c>
      <c r="B5529" s="1">
        <v>7.0</v>
      </c>
      <c r="C5529" s="1" t="s">
        <v>16293</v>
      </c>
      <c r="D5529" s="1" t="s">
        <v>33</v>
      </c>
      <c r="E5529" s="1" t="s">
        <v>16294</v>
      </c>
      <c r="F5529" s="1" t="str">
        <f>IFERROR(__xludf.DUMMYFUNCTION("GOOGLETRANSLATE(A5529, ""zh-CN"", ""ko"")"),"결국")</f>
        <v>결국</v>
      </c>
    </row>
    <row r="5530" ht="15.75" customHeight="1">
      <c r="A5530" s="1" t="s">
        <v>16295</v>
      </c>
      <c r="B5530" s="1">
        <v>7.0</v>
      </c>
      <c r="C5530" s="1" t="s">
        <v>16296</v>
      </c>
      <c r="D5530" s="1" t="s">
        <v>8</v>
      </c>
      <c r="E5530" s="1" t="s">
        <v>16297</v>
      </c>
      <c r="F5530" s="1" t="str">
        <f>IFERROR(__xludf.DUMMYFUNCTION("GOOGLETRANSLATE(A5530, ""zh-CN"", ""ko"")"),"뒤로 물러서다")</f>
        <v>뒤로 물러서다</v>
      </c>
    </row>
    <row r="5531" ht="15.75" customHeight="1">
      <c r="A5531" s="1" t="s">
        <v>16298</v>
      </c>
      <c r="B5531" s="1">
        <v>7.0</v>
      </c>
      <c r="C5531" s="1" t="s">
        <v>16299</v>
      </c>
      <c r="D5531" s="1" t="s">
        <v>14992</v>
      </c>
      <c r="E5531" s="1" t="s">
        <v>16300</v>
      </c>
      <c r="F5531" s="1" t="str">
        <f>IFERROR(__xludf.DUMMYFUNCTION("GOOGLETRANSLATE(A5531, ""zh-CN"", ""ko"")"),"제자리에")</f>
        <v>제자리에</v>
      </c>
    </row>
    <row r="5532" ht="15.75" customHeight="1">
      <c r="A5532" s="1" t="s">
        <v>16301</v>
      </c>
      <c r="B5532" s="1">
        <v>7.0</v>
      </c>
      <c r="C5532" s="1" t="s">
        <v>16302</v>
      </c>
      <c r="E5532" s="1" t="s">
        <v>16303</v>
      </c>
      <c r="F5532" s="1" t="str">
        <f>IFERROR(__xludf.DUMMYFUNCTION("GOOGLETRANSLATE(A5532, ""zh-CN"", ""ko"")"),"미덕과 재능")</f>
        <v>미덕과 재능</v>
      </c>
    </row>
    <row r="5533" ht="15.75" customHeight="1">
      <c r="A5533" s="1" t="s">
        <v>16304</v>
      </c>
      <c r="B5533" s="1">
        <v>7.0</v>
      </c>
      <c r="C5533" s="1" t="s">
        <v>16305</v>
      </c>
      <c r="D5533" s="1" t="s">
        <v>52</v>
      </c>
      <c r="E5533" s="1" t="s">
        <v>16306</v>
      </c>
      <c r="F5533" s="1" t="str">
        <f>IFERROR(__xludf.DUMMYFUNCTION("GOOGLETRANSLATE(A5533, ""zh-CN"", ""ko"")"),"적절한")</f>
        <v>적절한</v>
      </c>
    </row>
    <row r="5534" ht="15.75" customHeight="1">
      <c r="A5534" s="1" t="s">
        <v>16307</v>
      </c>
      <c r="B5534" s="1">
        <v>7.0</v>
      </c>
      <c r="C5534" s="1" t="s">
        <v>16308</v>
      </c>
      <c r="D5534" s="1" t="s">
        <v>16</v>
      </c>
      <c r="E5534" s="1" t="s">
        <v>16309</v>
      </c>
      <c r="F5534" s="1" t="str">
        <f>IFERROR(__xludf.DUMMYFUNCTION("GOOGLETRANSLATE(A5534, ""zh-CN"", ""ko"")"),"이익과 손실")</f>
        <v>이익과 손실</v>
      </c>
    </row>
    <row r="5535" ht="15.75" customHeight="1">
      <c r="A5535" s="1" t="s">
        <v>16310</v>
      </c>
      <c r="B5535" s="1">
        <v>7.0</v>
      </c>
      <c r="C5535" s="1" t="s">
        <v>16311</v>
      </c>
      <c r="D5535" s="1" t="s">
        <v>52</v>
      </c>
      <c r="E5535" s="1" t="s">
        <v>16312</v>
      </c>
      <c r="F5535" s="1" t="str">
        <f>IFERROR(__xludf.DUMMYFUNCTION("GOOGLETRANSLATE(A5535, ""zh-CN"", ""ko"")"),"성공하다")</f>
        <v>성공하다</v>
      </c>
    </row>
    <row r="5536" ht="15.75" customHeight="1">
      <c r="A5536" s="1" t="s">
        <v>16313</v>
      </c>
      <c r="B5536" s="1">
        <v>7.0</v>
      </c>
      <c r="C5536" s="1" t="s">
        <v>16314</v>
      </c>
      <c r="D5536" s="1" t="s">
        <v>52</v>
      </c>
      <c r="E5536" s="1" t="s">
        <v>16315</v>
      </c>
      <c r="F5536" s="1" t="str">
        <f>IFERROR(__xludf.DUMMYFUNCTION("GOOGLETRANSLATE(A5536, ""zh-CN"", ""ko"")"),"적절한")</f>
        <v>적절한</v>
      </c>
    </row>
    <row r="5537" ht="15.75" customHeight="1">
      <c r="A5537" s="1" t="s">
        <v>16316</v>
      </c>
      <c r="B5537" s="1">
        <v>7.0</v>
      </c>
      <c r="C5537" s="1" t="s">
        <v>16317</v>
      </c>
      <c r="E5537" s="1" t="s">
        <v>16318</v>
      </c>
      <c r="F5537" s="1" t="str">
        <f>IFERROR(__xludf.DUMMYFUNCTION("GOOGLETRANSLATE(A5537, ""zh-CN"", ""ko"")"),"하기 쉬워요")</f>
        <v>하기 쉬워요</v>
      </c>
    </row>
    <row r="5538" ht="15.75" customHeight="1">
      <c r="A5538" s="1" t="s">
        <v>16319</v>
      </c>
      <c r="B5538" s="1">
        <v>7.0</v>
      </c>
      <c r="C5538" s="1" t="s">
        <v>2024</v>
      </c>
      <c r="D5538" s="1" t="s">
        <v>8</v>
      </c>
      <c r="E5538" s="1" t="s">
        <v>16320</v>
      </c>
      <c r="F5538" s="1" t="str">
        <f>IFERROR(__xludf.DUMMYFUNCTION("GOOGLETRANSLATE(A5538, ""zh-CN"", ""ko"")"),"혜택")</f>
        <v>혜택</v>
      </c>
    </row>
    <row r="5539" ht="15.75" customHeight="1">
      <c r="A5539" s="1" t="s">
        <v>16321</v>
      </c>
      <c r="B5539" s="1">
        <v>7.0</v>
      </c>
      <c r="C5539" s="1" t="s">
        <v>16322</v>
      </c>
      <c r="E5539" s="1" t="s">
        <v>16323</v>
      </c>
      <c r="F5539" s="1" t="str">
        <f>IFERROR(__xludf.DUMMYFUNCTION("GOOGLETRANSLATE(A5539, ""zh-CN"", ""ko"")"),"의기 양양한")</f>
        <v>의기 양양한</v>
      </c>
    </row>
    <row r="5540" ht="15.75" customHeight="1">
      <c r="A5540" s="1" t="s">
        <v>16324</v>
      </c>
      <c r="B5540" s="1">
        <v>7.0</v>
      </c>
      <c r="C5540" s="1" t="s">
        <v>16325</v>
      </c>
      <c r="D5540" s="1" t="s">
        <v>8</v>
      </c>
      <c r="E5540" s="1" t="s">
        <v>16326</v>
      </c>
      <c r="F5540" s="1" t="str">
        <f>IFERROR(__xludf.DUMMYFUNCTION("GOOGLETRANSLATE(A5540, ""zh-CN"", ""ko"")"),"모습")</f>
        <v>모습</v>
      </c>
    </row>
    <row r="5541" ht="15.75" customHeight="1">
      <c r="A5541" s="1" t="s">
        <v>16327</v>
      </c>
      <c r="B5541" s="1">
        <v>7.0</v>
      </c>
      <c r="C5541" s="1" t="s">
        <v>16328</v>
      </c>
      <c r="D5541" s="1" t="s">
        <v>8</v>
      </c>
      <c r="E5541" s="1" t="s">
        <v>16329</v>
      </c>
      <c r="F5541" s="1" t="str">
        <f>IFERROR(__xludf.DUMMYFUNCTION("GOOGLETRANSLATE(A5541, ""zh-CN"", ""ko"")"),"정상에 도달하다")</f>
        <v>정상에 도달하다</v>
      </c>
    </row>
    <row r="5542" ht="15.75" customHeight="1">
      <c r="A5542" s="1" t="s">
        <v>16330</v>
      </c>
      <c r="B5542" s="1">
        <v>7.0</v>
      </c>
      <c r="C5542" s="1" t="s">
        <v>16331</v>
      </c>
      <c r="D5542" s="1" t="s">
        <v>16</v>
      </c>
      <c r="E5542" s="1" t="s">
        <v>16332</v>
      </c>
      <c r="F5542" s="1" t="str">
        <f>IFERROR(__xludf.DUMMYFUNCTION("GOOGLETRANSLATE(A5542, ""zh-CN"", ""ko"")"),"전구")</f>
        <v>전구</v>
      </c>
    </row>
    <row r="5543" ht="15.75" customHeight="1">
      <c r="A5543" s="1" t="s">
        <v>16333</v>
      </c>
      <c r="B5543" s="1">
        <v>7.0</v>
      </c>
      <c r="C5543" s="1" t="s">
        <v>16334</v>
      </c>
      <c r="D5543" s="1" t="s">
        <v>16</v>
      </c>
      <c r="E5543" s="1" t="s">
        <v>16335</v>
      </c>
      <c r="F5543" s="1" t="str">
        <f>IFERROR(__xludf.DUMMYFUNCTION("GOOGLETRANSLATE(A5543, ""zh-CN"", ""ko"")"),"발판")</f>
        <v>발판</v>
      </c>
    </row>
    <row r="5544" ht="15.75" customHeight="1">
      <c r="A5544" s="1" t="s">
        <v>16336</v>
      </c>
      <c r="B5544" s="1">
        <v>7.0</v>
      </c>
      <c r="C5544" s="1" t="s">
        <v>2030</v>
      </c>
      <c r="D5544" s="1" t="s">
        <v>16</v>
      </c>
      <c r="E5544" s="1" t="s">
        <v>16337</v>
      </c>
      <c r="F5544" s="1" t="str">
        <f>IFERROR(__xludf.DUMMYFUNCTION("GOOGLETRANSLATE(A5544, ""zh-CN"", ""ko"")"),"둑")</f>
        <v>둑</v>
      </c>
    </row>
    <row r="5545" ht="15.75" customHeight="1">
      <c r="A5545" s="1" t="s">
        <v>16338</v>
      </c>
      <c r="B5545" s="1">
        <v>7.0</v>
      </c>
      <c r="C5545" s="1" t="s">
        <v>16339</v>
      </c>
      <c r="D5545" s="1" t="s">
        <v>15011</v>
      </c>
      <c r="E5545" s="1" t="s">
        <v>16340</v>
      </c>
      <c r="F5545" s="1" t="str">
        <f>IFERROR(__xludf.DUMMYFUNCTION("GOOGLETRANSLATE(A5545, ""zh-CN"", ""ko"")"),"차분한")</f>
        <v>차분한</v>
      </c>
    </row>
    <row r="5546" ht="15.75" customHeight="1">
      <c r="A5546" s="1" t="s">
        <v>16341</v>
      </c>
      <c r="B5546" s="1">
        <v>7.0</v>
      </c>
      <c r="C5546" s="1" t="s">
        <v>16342</v>
      </c>
      <c r="D5546" s="1" t="s">
        <v>8</v>
      </c>
      <c r="E5546" s="1" t="s">
        <v>16343</v>
      </c>
      <c r="F5546" s="1" t="str">
        <f>IFERROR(__xludf.DUMMYFUNCTION("GOOGLETRANSLATE(A5546, ""zh-CN"", ""ko"")"),"조심하세요")</f>
        <v>조심하세요</v>
      </c>
    </row>
    <row r="5547" ht="15.75" customHeight="1">
      <c r="A5547" s="1" t="s">
        <v>16344</v>
      </c>
      <c r="B5547" s="1">
        <v>7.0</v>
      </c>
      <c r="C5547" s="1" t="s">
        <v>16345</v>
      </c>
      <c r="D5547" s="1" t="s">
        <v>8</v>
      </c>
      <c r="E5547" s="1" t="s">
        <v>16346</v>
      </c>
      <c r="F5547" s="1" t="str">
        <f>IFERROR(__xludf.DUMMYFUNCTION("GOOGLETRANSLATE(A5547, ""zh-CN"", ""ko"")"),"싼 견적")</f>
        <v>싼 견적</v>
      </c>
    </row>
    <row r="5548" ht="15.75" customHeight="1">
      <c r="A5548" s="1" t="s">
        <v>16347</v>
      </c>
      <c r="B5548" s="1">
        <v>7.0</v>
      </c>
      <c r="C5548" s="1" t="s">
        <v>16348</v>
      </c>
      <c r="D5548" s="1" t="s">
        <v>16</v>
      </c>
      <c r="E5548" s="1" t="s">
        <v>16349</v>
      </c>
      <c r="F5548" s="1" t="str">
        <f>IFERROR(__xludf.DUMMYFUNCTION("GOOGLETRANSLATE(A5548, ""zh-CN"", ""ko"")"),"구유")</f>
        <v>구유</v>
      </c>
    </row>
    <row r="5549" ht="15.75" customHeight="1">
      <c r="A5549" s="1" t="s">
        <v>16350</v>
      </c>
      <c r="B5549" s="1">
        <v>7.0</v>
      </c>
      <c r="C5549" s="1" t="s">
        <v>16351</v>
      </c>
      <c r="D5549" s="1" t="s">
        <v>52</v>
      </c>
      <c r="E5549" s="1" t="s">
        <v>16352</v>
      </c>
      <c r="F5549" s="1" t="str">
        <f>IFERROR(__xludf.DUMMYFUNCTION("GOOGLETRANSLATE(A5549, ""zh-CN"", ""ko"")"),"낮은")</f>
        <v>낮은</v>
      </c>
    </row>
    <row r="5550" ht="15.75" customHeight="1">
      <c r="A5550" s="1" t="s">
        <v>16353</v>
      </c>
      <c r="B5550" s="1">
        <v>7.0</v>
      </c>
      <c r="C5550" s="1" t="s">
        <v>16354</v>
      </c>
      <c r="D5550" s="1" t="s">
        <v>52</v>
      </c>
      <c r="E5550" s="1" t="s">
        <v>16355</v>
      </c>
      <c r="F5550" s="1" t="str">
        <f>IFERROR(__xludf.DUMMYFUNCTION("GOOGLETRANSLATE(A5550, ""zh-CN"", ""ko"")"),"부진한")</f>
        <v>부진한</v>
      </c>
    </row>
    <row r="5551" ht="15.75" customHeight="1">
      <c r="A5551" s="1" t="s">
        <v>16356</v>
      </c>
      <c r="B5551" s="1">
        <v>7.0</v>
      </c>
      <c r="C5551" s="1" t="s">
        <v>16357</v>
      </c>
      <c r="D5551" s="1" t="s">
        <v>52</v>
      </c>
      <c r="E5551" s="1" t="s">
        <v>16358</v>
      </c>
      <c r="F5551" s="1" t="str">
        <f>IFERROR(__xludf.DUMMYFUNCTION("GOOGLETRANSLATE(A5551, ""zh-CN"", ""ko"")"),"낮은")</f>
        <v>낮은</v>
      </c>
    </row>
    <row r="5552" ht="15.75" customHeight="1">
      <c r="A5552" s="1" t="s">
        <v>16359</v>
      </c>
      <c r="B5552" s="1">
        <v>7.0</v>
      </c>
      <c r="C5552" s="1" t="s">
        <v>16360</v>
      </c>
      <c r="D5552" s="1" t="s">
        <v>8</v>
      </c>
      <c r="E5552" s="1" t="s">
        <v>16361</v>
      </c>
      <c r="F5552" s="1" t="str">
        <f>IFERROR(__xludf.DUMMYFUNCTION("GOOGLETRANSLATE(A5552, ""zh-CN"", ""ko"")"),"중얼거림")</f>
        <v>중얼거림</v>
      </c>
    </row>
    <row r="5553" ht="15.75" customHeight="1">
      <c r="A5553" s="1" t="s">
        <v>16362</v>
      </c>
      <c r="B5553" s="1">
        <v>7.0</v>
      </c>
      <c r="C5553" s="1" t="s">
        <v>16363</v>
      </c>
      <c r="D5553" s="1" t="s">
        <v>16</v>
      </c>
      <c r="E5553" s="1" t="s">
        <v>16364</v>
      </c>
      <c r="F5553" s="1" t="str">
        <f>IFERROR(__xludf.DUMMYFUNCTION("GOOGLETRANSLATE(A5553, ""zh-CN"", ""ko"")"),"플루트")</f>
        <v>플루트</v>
      </c>
    </row>
    <row r="5554" ht="15.75" customHeight="1">
      <c r="A5554" s="1" t="s">
        <v>16365</v>
      </c>
      <c r="B5554" s="1">
        <v>7.0</v>
      </c>
      <c r="C5554" s="1" t="s">
        <v>2033</v>
      </c>
      <c r="D5554" s="1" t="s">
        <v>8</v>
      </c>
      <c r="E5554" s="1" t="s">
        <v>16366</v>
      </c>
      <c r="F5554" s="1" t="str">
        <f>IFERROR(__xludf.DUMMYFUNCTION("GOOGLETRANSLATE(A5554, ""zh-CN"", ""ko"")"),"보내다")</f>
        <v>보내다</v>
      </c>
    </row>
    <row r="5555" ht="15.75" customHeight="1">
      <c r="A5555" s="1" t="s">
        <v>16367</v>
      </c>
      <c r="B5555" s="1">
        <v>7.0</v>
      </c>
      <c r="C5555" s="1" t="s">
        <v>16368</v>
      </c>
      <c r="D5555" s="1" t="s">
        <v>16</v>
      </c>
      <c r="E5555" s="1" t="s">
        <v>16369</v>
      </c>
      <c r="F5555" s="1" t="str">
        <f>IFERROR(__xludf.DUMMYFUNCTION("GOOGLETRANSLATE(A5555, ""zh-CN"", ""ko"")"),"하단층")</f>
        <v>하단층</v>
      </c>
    </row>
    <row r="5556" ht="15.75" customHeight="1">
      <c r="A5556" s="1" t="s">
        <v>16370</v>
      </c>
      <c r="B5556" s="1">
        <v>7.0</v>
      </c>
      <c r="C5556" s="1" t="s">
        <v>16371</v>
      </c>
      <c r="D5556" s="1" t="s">
        <v>8</v>
      </c>
      <c r="E5556" s="1" t="s">
        <v>16372</v>
      </c>
      <c r="F5556" s="1" t="str">
        <f>IFERROR(__xludf.DUMMYFUNCTION("GOOGLETRANSLATE(A5556, ""zh-CN"", ""ko"")"),"갈등")</f>
        <v>갈등</v>
      </c>
    </row>
    <row r="5557" ht="15.75" customHeight="1">
      <c r="A5557" s="1" t="s">
        <v>16373</v>
      </c>
      <c r="B5557" s="1">
        <v>7.0</v>
      </c>
      <c r="C5557" s="1" t="s">
        <v>16374</v>
      </c>
      <c r="D5557" s="1" t="s">
        <v>8</v>
      </c>
      <c r="E5557" s="1" t="s">
        <v>16375</v>
      </c>
      <c r="F5557" s="1" t="str">
        <f>IFERROR(__xludf.DUMMYFUNCTION("GOOGLETRANSLATE(A5557, ""zh-CN"", ""ko"")"),"버티다")</f>
        <v>버티다</v>
      </c>
    </row>
    <row r="5558" ht="15.75" customHeight="1">
      <c r="A5558" s="1" t="s">
        <v>16376</v>
      </c>
      <c r="B5558" s="1">
        <v>7.0</v>
      </c>
      <c r="C5558" s="1" t="s">
        <v>16377</v>
      </c>
      <c r="D5558" s="1" t="s">
        <v>16</v>
      </c>
      <c r="E5558" s="1" t="s">
        <v>16378</v>
      </c>
      <c r="F5558" s="1" t="str">
        <f>IFERROR(__xludf.DUMMYFUNCTION("GOOGLETRANSLATE(A5558, ""zh-CN"", ""ko"")"),"결론적으로")</f>
        <v>결론적으로</v>
      </c>
    </row>
    <row r="5559" ht="15.75" customHeight="1">
      <c r="A5559" s="1" t="s">
        <v>16379</v>
      </c>
      <c r="B5559" s="1">
        <v>7.0</v>
      </c>
      <c r="C5559" s="1" t="s">
        <v>16380</v>
      </c>
      <c r="D5559" s="1" t="s">
        <v>8</v>
      </c>
      <c r="E5559" s="1" t="s">
        <v>16381</v>
      </c>
      <c r="F5559" s="1" t="str">
        <f>IFERROR(__xludf.DUMMYFUNCTION("GOOGLETRANSLATE(A5559, ""zh-CN"", ""ko"")"),"오프셋")</f>
        <v>오프셋</v>
      </c>
    </row>
    <row r="5560" ht="15.75" customHeight="1">
      <c r="A5560" s="1" t="s">
        <v>16382</v>
      </c>
      <c r="B5560" s="1">
        <v>7.0</v>
      </c>
      <c r="C5560" s="1" t="s">
        <v>16383</v>
      </c>
      <c r="D5560" s="1" t="s">
        <v>8</v>
      </c>
      <c r="E5560" s="1" t="s">
        <v>16384</v>
      </c>
      <c r="F5560" s="1" t="str">
        <f>IFERROR(__xludf.DUMMYFUNCTION("GOOGLETRANSLATE(A5560, ""zh-CN"", ""ko"")"),"저당")</f>
        <v>저당</v>
      </c>
    </row>
    <row r="5561" ht="15.75" customHeight="1">
      <c r="A5561" s="1" t="s">
        <v>16385</v>
      </c>
      <c r="B5561" s="1">
        <v>7.0</v>
      </c>
      <c r="C5561" s="1" t="s">
        <v>16386</v>
      </c>
      <c r="D5561" s="1" t="s">
        <v>8</v>
      </c>
      <c r="E5561" s="1" t="s">
        <v>16387</v>
      </c>
      <c r="F5561" s="1" t="str">
        <f>IFERROR(__xludf.DUMMYFUNCTION("GOOGLETRANSLATE(A5561, ""zh-CN"", ""ko"")"),"저항하다")</f>
        <v>저항하다</v>
      </c>
    </row>
    <row r="5562" ht="15.75" customHeight="1">
      <c r="A5562" s="1" t="s">
        <v>16388</v>
      </c>
      <c r="B5562" s="1">
        <v>7.0</v>
      </c>
      <c r="C5562" s="1" t="s">
        <v>16389</v>
      </c>
      <c r="D5562" s="1" t="s">
        <v>16</v>
      </c>
      <c r="E5562" s="1" t="s">
        <v>16390</v>
      </c>
      <c r="F5562" s="1" t="str">
        <f>IFERROR(__xludf.DUMMYFUNCTION("GOOGLETRANSLATE(A5562, ""zh-CN"", ""ko"")"),"유산")</f>
        <v>유산</v>
      </c>
    </row>
    <row r="5563" ht="15.75" customHeight="1">
      <c r="A5563" s="1" t="s">
        <v>16391</v>
      </c>
      <c r="B5563" s="1">
        <v>7.0</v>
      </c>
      <c r="C5563" s="1" t="s">
        <v>16392</v>
      </c>
      <c r="D5563" s="1" t="s">
        <v>16</v>
      </c>
      <c r="E5563" s="1" t="s">
        <v>16393</v>
      </c>
      <c r="F5563" s="1" t="str">
        <f>IFERROR(__xludf.DUMMYFUNCTION("GOOGLETRANSLATE(A5563, ""zh-CN"", ""ko"")"),"기반")</f>
        <v>기반</v>
      </c>
    </row>
    <row r="5564" ht="15.75" customHeight="1">
      <c r="A5564" s="1" t="s">
        <v>16394</v>
      </c>
      <c r="B5564" s="1">
        <v>7.0</v>
      </c>
      <c r="C5564" s="1" t="s">
        <v>16395</v>
      </c>
      <c r="D5564" s="1" t="s">
        <v>16</v>
      </c>
      <c r="E5564" s="1" t="s">
        <v>16396</v>
      </c>
      <c r="F5564" s="1" t="str">
        <f>IFERROR(__xludf.DUMMYFUNCTION("GOOGLETRANSLATE(A5564, ""zh-CN"", ""ko"")"),"바닥")</f>
        <v>바닥</v>
      </c>
    </row>
    <row r="5565" ht="15.75" customHeight="1">
      <c r="A5565" s="1" t="s">
        <v>16397</v>
      </c>
      <c r="B5565" s="1">
        <v>7.0</v>
      </c>
      <c r="C5565" s="1" t="s">
        <v>16398</v>
      </c>
      <c r="D5565" s="1" t="s">
        <v>16</v>
      </c>
      <c r="E5565" s="1" t="s">
        <v>16399</v>
      </c>
      <c r="F5565" s="1" t="str">
        <f>IFERROR(__xludf.DUMMYFUNCTION("GOOGLETRANSLATE(A5565, ""zh-CN"", ""ko"")"),"존")</f>
        <v>존</v>
      </c>
    </row>
    <row r="5566" ht="15.75" customHeight="1">
      <c r="A5566" s="1" t="s">
        <v>16400</v>
      </c>
      <c r="B5566" s="1">
        <v>7.0</v>
      </c>
      <c r="C5566" s="1" t="s">
        <v>16401</v>
      </c>
      <c r="D5566" s="1" t="s">
        <v>16</v>
      </c>
      <c r="E5566" s="1" t="s">
        <v>16402</v>
      </c>
      <c r="F5566" s="1" t="str">
        <f>IFERROR(__xludf.DUMMYFUNCTION("GOOGLETRANSLATE(A5566, ""zh-CN"", ""ko"")"),"위치")</f>
        <v>위치</v>
      </c>
    </row>
    <row r="5567" ht="15.75" customHeight="1">
      <c r="A5567" s="1" t="s">
        <v>16403</v>
      </c>
      <c r="B5567" s="1">
        <v>7.0</v>
      </c>
      <c r="C5567" s="1" t="s">
        <v>16404</v>
      </c>
      <c r="D5567" s="1" t="s">
        <v>16</v>
      </c>
      <c r="E5567" s="1" t="s">
        <v>16405</v>
      </c>
      <c r="F5567" s="1" t="str">
        <f>IFERROR(__xludf.DUMMYFUNCTION("GOOGLETRANSLATE(A5567, ""zh-CN"", ""ko"")"),"제국")</f>
        <v>제국</v>
      </c>
    </row>
    <row r="5568" ht="15.75" customHeight="1">
      <c r="A5568" s="1" t="s">
        <v>16406</v>
      </c>
      <c r="B5568" s="1">
        <v>7.0</v>
      </c>
      <c r="C5568" s="1" t="s">
        <v>16407</v>
      </c>
      <c r="D5568" s="1" t="s">
        <v>8</v>
      </c>
      <c r="E5568" s="1" t="s">
        <v>16408</v>
      </c>
      <c r="F5568" s="1" t="str">
        <f>IFERROR(__xludf.DUMMYFUNCTION("GOOGLETRANSLATE(A5568, ""zh-CN"", ""ko"")"),"제출하다")</f>
        <v>제출하다</v>
      </c>
    </row>
    <row r="5569" ht="15.75" customHeight="1">
      <c r="A5569" s="1" t="s">
        <v>16409</v>
      </c>
      <c r="B5569" s="1">
        <v>7.0</v>
      </c>
      <c r="C5569" s="1" t="s">
        <v>16410</v>
      </c>
      <c r="D5569" s="1" t="s">
        <v>16</v>
      </c>
      <c r="E5569" s="1" t="s">
        <v>16411</v>
      </c>
      <c r="F5569" s="1" t="str">
        <f>IFERROR(__xludf.DUMMYFUNCTION("GOOGLETRANSLATE(A5569, ""zh-CN"", ""ko"")"),"지하수")</f>
        <v>지하수</v>
      </c>
    </row>
    <row r="5570" ht="15.75" customHeight="1">
      <c r="A5570" s="1" t="s">
        <v>16412</v>
      </c>
      <c r="B5570" s="1">
        <v>7.0</v>
      </c>
      <c r="C5570" s="1" t="s">
        <v>16413</v>
      </c>
      <c r="D5570" s="1" t="s">
        <v>52</v>
      </c>
      <c r="E5570" s="1" t="s">
        <v>16414</v>
      </c>
      <c r="F5570" s="1" t="str">
        <f>IFERROR(__xludf.DUMMYFUNCTION("GOOGLETRANSLATE(A5570, ""zh-CN"", ""ko"")"),"직접 경험한 바에 따르면")</f>
        <v>직접 경험한 바에 따르면</v>
      </c>
    </row>
    <row r="5571" ht="15.75" customHeight="1">
      <c r="A5571" s="1" t="s">
        <v>16415</v>
      </c>
      <c r="B5571" s="1">
        <v>7.0</v>
      </c>
      <c r="C5571" s="1" t="s">
        <v>16416</v>
      </c>
      <c r="D5571" s="1" t="s">
        <v>16</v>
      </c>
      <c r="E5571" s="1" t="s">
        <v>16417</v>
      </c>
      <c r="F5571" s="1" t="str">
        <f>IFERROR(__xludf.DUMMYFUNCTION("GOOGLETRANSLATE(A5571, ""zh-CN"", ""ko"")"),"지옥")</f>
        <v>지옥</v>
      </c>
    </row>
    <row r="5572" ht="15.75" customHeight="1">
      <c r="A5572" s="1" t="s">
        <v>16418</v>
      </c>
      <c r="B5572" s="1">
        <v>7.0</v>
      </c>
      <c r="C5572" s="1" t="s">
        <v>16419</v>
      </c>
      <c r="D5572" s="1" t="s">
        <v>16</v>
      </c>
      <c r="E5572" s="1" t="s">
        <v>16420</v>
      </c>
      <c r="F5572" s="1" t="str">
        <f>IFERROR(__xludf.DUMMYFUNCTION("GOOGLETRANSLATE(A5572, ""zh-CN"", ""ko"")"),"제자")</f>
        <v>제자</v>
      </c>
    </row>
    <row r="5573" ht="15.75" customHeight="1">
      <c r="A5573" s="1" t="s">
        <v>16421</v>
      </c>
      <c r="B5573" s="1">
        <v>7.0</v>
      </c>
      <c r="C5573" s="1" t="s">
        <v>16422</v>
      </c>
      <c r="E5573" s="1" t="s">
        <v>16423</v>
      </c>
      <c r="F5573" s="1" t="str">
        <f>IFERROR(__xludf.DUMMYFUNCTION("GOOGLETRANSLATE(A5573, ""zh-CN"", ""ko"")"),"검은색을 흰색으로 바꾸기")</f>
        <v>검은색을 흰색으로 바꾸기</v>
      </c>
    </row>
    <row r="5574" ht="15.75" customHeight="1">
      <c r="A5574" s="1" t="s">
        <v>16424</v>
      </c>
      <c r="B5574" s="1">
        <v>7.0</v>
      </c>
      <c r="C5574" s="1" t="s">
        <v>16425</v>
      </c>
      <c r="D5574" s="1" t="s">
        <v>16</v>
      </c>
      <c r="E5574" s="1" t="s">
        <v>16426</v>
      </c>
      <c r="F5574" s="1" t="str">
        <f>IFERROR(__xludf.DUMMYFUNCTION("GOOGLETRANSLATE(A5574, ""zh-CN"", ""ko"")"),"정점")</f>
        <v>정점</v>
      </c>
    </row>
    <row r="5575" ht="15.75" customHeight="1">
      <c r="A5575" s="1" t="s">
        <v>16427</v>
      </c>
      <c r="B5575" s="1">
        <v>7.0</v>
      </c>
      <c r="C5575" s="1" t="s">
        <v>16428</v>
      </c>
      <c r="D5575" s="1" t="s">
        <v>8</v>
      </c>
      <c r="E5575" s="1" t="s">
        <v>16429</v>
      </c>
      <c r="F5575" s="1" t="str">
        <f>IFERROR(__xludf.DUMMYFUNCTION("GOOGLETRANSLATE(A5575, ""zh-CN"", ""ko"")"),"파괴")</f>
        <v>파괴</v>
      </c>
    </row>
    <row r="5576" ht="15.75" customHeight="1">
      <c r="A5576" s="1" t="s">
        <v>16430</v>
      </c>
      <c r="B5576" s="1">
        <v>7.0</v>
      </c>
      <c r="C5576" s="1" t="s">
        <v>16431</v>
      </c>
      <c r="D5576" s="1" t="s">
        <v>16</v>
      </c>
      <c r="E5576" s="1" t="s">
        <v>16432</v>
      </c>
      <c r="F5576" s="1" t="str">
        <f>IFERROR(__xludf.DUMMYFUNCTION("GOOGLETRANSLATE(A5576, ""zh-CN"", ""ko"")"),"모델")</f>
        <v>모델</v>
      </c>
    </row>
    <row r="5577" ht="15.75" customHeight="1">
      <c r="A5577" s="1" t="s">
        <v>16433</v>
      </c>
      <c r="B5577" s="1">
        <v>7.0</v>
      </c>
      <c r="C5577" s="1" t="s">
        <v>16434</v>
      </c>
      <c r="D5577" s="1" t="s">
        <v>8</v>
      </c>
      <c r="E5577" s="1" t="s">
        <v>16435</v>
      </c>
      <c r="F5577" s="1" t="str">
        <f>IFERROR(__xludf.DUMMYFUNCTION("GOOGLETRANSLATE(A5577, ""zh-CN"", ""ko"")"),"점화")</f>
        <v>점화</v>
      </c>
    </row>
    <row r="5578" ht="15.75" customHeight="1">
      <c r="A5578" s="1" t="s">
        <v>16436</v>
      </c>
      <c r="B5578" s="1">
        <v>7.0</v>
      </c>
      <c r="C5578" s="1" t="s">
        <v>16437</v>
      </c>
      <c r="D5578" s="1" t="s">
        <v>14870</v>
      </c>
      <c r="E5578" s="1" t="s">
        <v>16438</v>
      </c>
      <c r="F5578" s="1" t="str">
        <f>IFERROR(__xludf.DUMMYFUNCTION("GOOGLETRANSLATE(A5578, ""zh-CN"", ""ko"")"),"검토")</f>
        <v>검토</v>
      </c>
    </row>
    <row r="5579" ht="15.75" customHeight="1">
      <c r="A5579" s="1" t="s">
        <v>16439</v>
      </c>
      <c r="B5579" s="1">
        <v>7.0</v>
      </c>
      <c r="C5579" s="1" t="s">
        <v>16440</v>
      </c>
      <c r="D5579" s="1" t="s">
        <v>16</v>
      </c>
      <c r="E5579" s="1" t="s">
        <v>3283</v>
      </c>
      <c r="F5579" s="1" t="str">
        <f>IFERROR(__xludf.DUMMYFUNCTION("GOOGLETRANSLATE(A5579, ""zh-CN"", ""ko"")"),"아이디어")</f>
        <v>아이디어</v>
      </c>
    </row>
    <row r="5580" ht="15.75" customHeight="1">
      <c r="A5580" s="1" t="s">
        <v>16441</v>
      </c>
      <c r="B5580" s="1">
        <v>7.0</v>
      </c>
      <c r="C5580" s="1" t="s">
        <v>16442</v>
      </c>
      <c r="D5580" s="1" t="s">
        <v>52</v>
      </c>
      <c r="E5580" s="1" t="s">
        <v>16443</v>
      </c>
      <c r="F5580" s="1" t="str">
        <f>IFERROR(__xludf.DUMMYFUNCTION("GOOGLETRANSLATE(A5580, ""zh-CN"", ""ko"")"),"맨 아래")</f>
        <v>맨 아래</v>
      </c>
    </row>
    <row r="5581" ht="15.75" customHeight="1">
      <c r="A5581" s="1" t="s">
        <v>16444</v>
      </c>
      <c r="B5581" s="1">
        <v>7.0</v>
      </c>
      <c r="C5581" s="1" t="s">
        <v>16445</v>
      </c>
      <c r="D5581" s="1" t="s">
        <v>16</v>
      </c>
      <c r="E5581" s="1" t="s">
        <v>16446</v>
      </c>
      <c r="F5581" s="1" t="str">
        <f>IFERROR(__xludf.DUMMYFUNCTION("GOOGLETRANSLATE(A5581, ""zh-CN"", ""ko"")"),"녹말")</f>
        <v>녹말</v>
      </c>
    </row>
    <row r="5582" ht="15.75" customHeight="1">
      <c r="A5582" s="1" t="s">
        <v>16447</v>
      </c>
      <c r="B5582" s="1">
        <v>7.0</v>
      </c>
      <c r="C5582" s="1" t="s">
        <v>16448</v>
      </c>
      <c r="D5582" s="1" t="s">
        <v>16</v>
      </c>
      <c r="E5582" s="1" t="s">
        <v>16449</v>
      </c>
      <c r="F5582" s="1" t="str">
        <f>IFERROR(__xludf.DUMMYFUNCTION("GOOGLETRANSLATE(A5582, ""zh-CN"", ""ko"")"),"궁전")</f>
        <v>궁전</v>
      </c>
    </row>
    <row r="5583" ht="15.75" customHeight="1">
      <c r="A5583" s="1" t="s">
        <v>16450</v>
      </c>
      <c r="B5583" s="1">
        <v>7.0</v>
      </c>
      <c r="C5583" s="1" t="s">
        <v>16451</v>
      </c>
      <c r="D5583" s="1" t="s">
        <v>16</v>
      </c>
      <c r="E5583" s="1" t="s">
        <v>16452</v>
      </c>
      <c r="F5583" s="1" t="str">
        <f>IFERROR(__xludf.DUMMYFUNCTION("GOOGLETRANSLATE(A5583, ""zh-CN"", ""ko"")"),"전력망")</f>
        <v>전력망</v>
      </c>
    </row>
    <row r="5584" ht="15.75" customHeight="1">
      <c r="A5584" s="1" t="s">
        <v>16453</v>
      </c>
      <c r="B5584" s="1">
        <v>7.0</v>
      </c>
      <c r="C5584" s="1" t="s">
        <v>16454</v>
      </c>
      <c r="D5584" s="1" t="s">
        <v>16</v>
      </c>
      <c r="E5584" s="1" t="s">
        <v>16455</v>
      </c>
      <c r="F5584" s="1" t="str">
        <f>IFERROR(__xludf.DUMMYFUNCTION("GOOGLETRANSLATE(A5584, ""zh-CN"", ""ko"")"),"전선")</f>
        <v>전선</v>
      </c>
    </row>
    <row r="5585" ht="15.75" customHeight="1">
      <c r="A5585" s="1" t="s">
        <v>16456</v>
      </c>
      <c r="B5585" s="1">
        <v>7.0</v>
      </c>
      <c r="C5585" s="1" t="s">
        <v>16457</v>
      </c>
      <c r="D5585" s="1" t="s">
        <v>16</v>
      </c>
      <c r="E5585" s="1" t="s">
        <v>16458</v>
      </c>
      <c r="F5585" s="1" t="str">
        <f>IFERROR(__xludf.DUMMYFUNCTION("GOOGLETRANSLATE(A5585, ""zh-CN"", ""ko"")"),"통신")</f>
        <v>통신</v>
      </c>
    </row>
    <row r="5586" ht="15.75" customHeight="1">
      <c r="A5586" s="1" t="s">
        <v>16459</v>
      </c>
      <c r="B5586" s="1">
        <v>7.0</v>
      </c>
      <c r="C5586" s="1" t="s">
        <v>16460</v>
      </c>
      <c r="D5586" s="1" t="s">
        <v>16</v>
      </c>
      <c r="E5586" s="1" t="s">
        <v>16461</v>
      </c>
      <c r="F5586" s="1" t="str">
        <f>IFERROR(__xludf.DUMMYFUNCTION("GOOGLETRANSLATE(A5586, ""zh-CN"", ""ko"")"),"통신")</f>
        <v>통신</v>
      </c>
    </row>
    <row r="5587" ht="15.75" customHeight="1">
      <c r="A5587" s="1" t="s">
        <v>16462</v>
      </c>
      <c r="B5587" s="1">
        <v>7.0</v>
      </c>
      <c r="C5587" s="1" t="s">
        <v>16463</v>
      </c>
      <c r="D5587" s="1" t="s">
        <v>16</v>
      </c>
      <c r="E5587" s="1" t="s">
        <v>16464</v>
      </c>
      <c r="F5587" s="1" t="str">
        <f>IFERROR(__xludf.DUMMYFUNCTION("GOOGLETRANSLATE(A5587, ""zh-CN"", ""ko"")"),"매트")</f>
        <v>매트</v>
      </c>
    </row>
    <row r="5588" ht="15.75" customHeight="1">
      <c r="A5588" s="1" t="s">
        <v>16465</v>
      </c>
      <c r="B5588" s="1">
        <v>7.0</v>
      </c>
      <c r="C5588" s="1" t="s">
        <v>8620</v>
      </c>
      <c r="D5588" s="1" t="s">
        <v>8</v>
      </c>
      <c r="E5588" s="1" t="s">
        <v>16466</v>
      </c>
      <c r="F5588" s="1" t="str">
        <f>IFERROR(__xludf.DUMMYFUNCTION("GOOGLETRANSLATE(A5588, ""zh-CN"", ""ko"")"),"조각품")</f>
        <v>조각품</v>
      </c>
    </row>
    <row r="5589" ht="15.75" customHeight="1">
      <c r="A5589" s="1" t="s">
        <v>16467</v>
      </c>
      <c r="B5589" s="1">
        <v>7.0</v>
      </c>
      <c r="C5589" s="1" t="s">
        <v>16468</v>
      </c>
      <c r="D5589" s="1" t="s">
        <v>8</v>
      </c>
      <c r="E5589" s="1" t="s">
        <v>16469</v>
      </c>
      <c r="F5589" s="1" t="str">
        <f>IFERROR(__xludf.DUMMYFUNCTION("GOOGLETRANSLATE(A5589, ""zh-CN"", ""ko"")"),"일을 어렵게 만드는 것")</f>
        <v>일을 어렵게 만드는 것</v>
      </c>
    </row>
    <row r="5590" ht="15.75" customHeight="1">
      <c r="A5590" s="1" t="s">
        <v>16470</v>
      </c>
      <c r="B5590" s="1">
        <v>7.0</v>
      </c>
      <c r="C5590" s="1" t="s">
        <v>16471</v>
      </c>
      <c r="D5590" s="1" t="s">
        <v>16</v>
      </c>
      <c r="E5590" s="1" t="s">
        <v>16472</v>
      </c>
      <c r="F5590" s="1" t="str">
        <f>IFERROR(__xludf.DUMMYFUNCTION("GOOGLETRANSLATE(A5590, ""zh-CN"", ""ko"")"),"동상")</f>
        <v>동상</v>
      </c>
    </row>
    <row r="5591" ht="15.75" customHeight="1">
      <c r="A5591" s="1" t="s">
        <v>16473</v>
      </c>
      <c r="B5591" s="1">
        <v>7.0</v>
      </c>
      <c r="C5591" s="1" t="s">
        <v>16474</v>
      </c>
      <c r="D5591" s="1" t="s">
        <v>8</v>
      </c>
      <c r="E5591" s="1" t="s">
        <v>16475</v>
      </c>
      <c r="F5591" s="1" t="str">
        <f>IFERROR(__xludf.DUMMYFUNCTION("GOOGLETRANSLATE(A5591, ""zh-CN"", ""ko"")"),"시들다")</f>
        <v>시들다</v>
      </c>
    </row>
    <row r="5592" ht="15.75" customHeight="1">
      <c r="A5592" s="1" t="s">
        <v>16476</v>
      </c>
      <c r="B5592" s="1">
        <v>7.0</v>
      </c>
      <c r="C5592" s="1" t="s">
        <v>2045</v>
      </c>
      <c r="D5592" s="1" t="s">
        <v>16</v>
      </c>
      <c r="E5592" s="1" t="s">
        <v>16477</v>
      </c>
      <c r="F5592" s="1" t="str">
        <f>IFERROR(__xludf.DUMMYFUNCTION("GOOGLETRANSLATE(A5592, ""zh-CN"", ""ko"")"),"조정하다")</f>
        <v>조정하다</v>
      </c>
    </row>
    <row r="5593" ht="15.75" customHeight="1">
      <c r="A5593" s="1" t="s">
        <v>16478</v>
      </c>
      <c r="B5593" s="1">
        <v>7.0</v>
      </c>
      <c r="C5593" s="1" t="s">
        <v>16479</v>
      </c>
      <c r="D5593" s="1" t="s">
        <v>14870</v>
      </c>
      <c r="E5593" s="1" t="s">
        <v>15806</v>
      </c>
      <c r="F5593" s="1" t="str">
        <f>IFERROR(__xludf.DUMMYFUNCTION("GOOGLETRANSLATE(A5593, ""zh-CN"", ""ko"")"),"일정 관리")</f>
        <v>일정 관리</v>
      </c>
    </row>
    <row r="5594" ht="15.75" customHeight="1">
      <c r="A5594" s="1" t="s">
        <v>16480</v>
      </c>
      <c r="B5594" s="1">
        <v>7.0</v>
      </c>
      <c r="C5594" s="1" t="s">
        <v>16481</v>
      </c>
      <c r="D5594" s="1" t="s">
        <v>8</v>
      </c>
      <c r="E5594" s="1" t="s">
        <v>16482</v>
      </c>
      <c r="F5594" s="1" t="str">
        <f>IFERROR(__xludf.DUMMYFUNCTION("GOOGLETRANSLATE(A5594, ""zh-CN"", ""ko"")"),"뒤처지고 있다")</f>
        <v>뒤처지고 있다</v>
      </c>
    </row>
    <row r="5595" ht="15.75" customHeight="1">
      <c r="A5595" s="1" t="s">
        <v>16483</v>
      </c>
      <c r="B5595" s="1">
        <v>7.0</v>
      </c>
      <c r="C5595" s="1" t="s">
        <v>16484</v>
      </c>
      <c r="D5595" s="1" t="s">
        <v>8</v>
      </c>
      <c r="E5595" s="1" t="s">
        <v>16485</v>
      </c>
      <c r="F5595" s="1" t="str">
        <f>IFERROR(__xludf.DUMMYFUNCTION("GOOGLETRANSLATE(A5595, ""zh-CN"", ""ko"")"),"유턴")</f>
        <v>유턴</v>
      </c>
    </row>
    <row r="5596" ht="15.75" customHeight="1">
      <c r="A5596" s="1" t="s">
        <v>16486</v>
      </c>
      <c r="B5596" s="1">
        <v>7.0</v>
      </c>
      <c r="C5596" s="1" t="s">
        <v>16487</v>
      </c>
      <c r="D5596" s="1" t="s">
        <v>8</v>
      </c>
      <c r="E5596" s="1" t="s">
        <v>16488</v>
      </c>
      <c r="F5596" s="1" t="str">
        <f>IFERROR(__xludf.DUMMYFUNCTION("GOOGLETRANSLATE(A5596, ""zh-CN"", ""ko"")"),"취소")</f>
        <v>취소</v>
      </c>
    </row>
    <row r="5597" ht="15.75" customHeight="1">
      <c r="A5597" s="1" t="s">
        <v>16489</v>
      </c>
      <c r="B5597" s="1">
        <v>7.0</v>
      </c>
      <c r="C5597" s="1" t="s">
        <v>8634</v>
      </c>
      <c r="D5597" s="1" t="s">
        <v>16</v>
      </c>
      <c r="E5597" s="1" t="s">
        <v>16490</v>
      </c>
      <c r="F5597" s="1" t="str">
        <f>IFERROR(__xludf.DUMMYFUNCTION("GOOGLETRANSLATE(A5597, ""zh-CN"", ""ko"")"),"아버지")</f>
        <v>아버지</v>
      </c>
    </row>
    <row r="5598" ht="15.75" customHeight="1">
      <c r="A5598" s="1" t="s">
        <v>16491</v>
      </c>
      <c r="B5598" s="1">
        <v>7.0</v>
      </c>
      <c r="C5598" s="1" t="s">
        <v>16492</v>
      </c>
      <c r="D5598" s="1" t="s">
        <v>16</v>
      </c>
      <c r="E5598" s="1" t="s">
        <v>16493</v>
      </c>
      <c r="F5598" s="1" t="str">
        <f>IFERROR(__xludf.DUMMYFUNCTION("GOOGLETRANSLATE(A5598, ""zh-CN"", ""ko"")"),"감소")</f>
        <v>감소</v>
      </c>
    </row>
    <row r="5599" ht="15.75" customHeight="1">
      <c r="A5599" s="1" t="s">
        <v>16494</v>
      </c>
      <c r="B5599" s="1">
        <v>7.0</v>
      </c>
      <c r="C5599" s="1" t="s">
        <v>16495</v>
      </c>
      <c r="D5599" s="1" t="s">
        <v>8</v>
      </c>
      <c r="E5599" s="1" t="s">
        <v>16496</v>
      </c>
      <c r="F5599" s="1" t="str">
        <f>IFERROR(__xludf.DUMMYFUNCTION("GOOGLETRANSLATE(A5599, ""zh-CN"", ""ko"")"),"스택")</f>
        <v>스택</v>
      </c>
    </row>
    <row r="5600" ht="15.75" customHeight="1">
      <c r="A5600" s="1" t="s">
        <v>16497</v>
      </c>
      <c r="B5600" s="1">
        <v>7.0</v>
      </c>
      <c r="C5600" s="1" t="s">
        <v>16495</v>
      </c>
      <c r="D5600" s="1" t="s">
        <v>16</v>
      </c>
      <c r="E5600" s="1" t="s">
        <v>16498</v>
      </c>
      <c r="F5600" s="1" t="str">
        <f>IFERROR(__xludf.DUMMYFUNCTION("GOOGLETRANSLATE(A5600, ""zh-CN"", ""ko"")"),"접시")</f>
        <v>접시</v>
      </c>
    </row>
    <row r="5601" ht="15.75" customHeight="1">
      <c r="A5601" s="1" t="s">
        <v>16499</v>
      </c>
      <c r="B5601" s="1">
        <v>7.0</v>
      </c>
      <c r="C5601" s="1" t="s">
        <v>16500</v>
      </c>
      <c r="D5601" s="1" t="s">
        <v>8</v>
      </c>
      <c r="E5601" s="1" t="s">
        <v>16501</v>
      </c>
      <c r="F5601" s="1" t="str">
        <f>IFERROR(__xludf.DUMMYFUNCTION("GOOGLETRANSLATE(A5601, ""zh-CN"", ""ko"")"),"오르내림")</f>
        <v>오르내림</v>
      </c>
    </row>
    <row r="5602" ht="15.75" customHeight="1">
      <c r="A5602" s="1" t="s">
        <v>16502</v>
      </c>
      <c r="B5602" s="1">
        <v>7.0</v>
      </c>
      <c r="C5602" s="1" t="s">
        <v>16503</v>
      </c>
      <c r="D5602" s="1" t="s">
        <v>16</v>
      </c>
      <c r="E5602" s="1" t="s">
        <v>16504</v>
      </c>
      <c r="F5602" s="1" t="str">
        <f>IFERROR(__xludf.DUMMYFUNCTION("GOOGLETRANSLATE(A5602, ""zh-CN"", ""ko"")"),"못")</f>
        <v>못</v>
      </c>
    </row>
    <row r="5603" ht="15.75" customHeight="1">
      <c r="A5603" s="1" t="s">
        <v>16505</v>
      </c>
      <c r="B5603" s="1">
        <v>7.0</v>
      </c>
      <c r="C5603" s="1" t="s">
        <v>16506</v>
      </c>
      <c r="D5603" s="1" t="s">
        <v>33</v>
      </c>
      <c r="E5603" s="1" t="s">
        <v>16507</v>
      </c>
      <c r="F5603" s="1" t="str">
        <f>IFERROR(__xludf.DUMMYFUNCTION("GOOGLETRANSLATE(A5603, ""zh-CN"", ""ko"")"),"최대")</f>
        <v>최대</v>
      </c>
    </row>
    <row r="5604" ht="15.75" customHeight="1">
      <c r="A5604" s="1" t="s">
        <v>16508</v>
      </c>
      <c r="B5604" s="1">
        <v>7.0</v>
      </c>
      <c r="C5604" s="1" t="s">
        <v>16509</v>
      </c>
      <c r="D5604" s="1" t="s">
        <v>52</v>
      </c>
      <c r="E5604" s="1" t="s">
        <v>16510</v>
      </c>
      <c r="F5604" s="1" t="str">
        <f>IFERROR(__xludf.DUMMYFUNCTION("GOOGLETRANSLATE(A5604, ""zh-CN"", ""ko"")"),"맨 위")</f>
        <v>맨 위</v>
      </c>
    </row>
    <row r="5605" ht="15.75" customHeight="1">
      <c r="A5605" s="1" t="s">
        <v>16511</v>
      </c>
      <c r="B5605" s="1">
        <v>7.0</v>
      </c>
      <c r="C5605" s="1" t="s">
        <v>16512</v>
      </c>
      <c r="D5605" s="1" t="s">
        <v>15011</v>
      </c>
      <c r="E5605" s="1" t="s">
        <v>16513</v>
      </c>
      <c r="F5605" s="1" t="str">
        <f>IFERROR(__xludf.DUMMYFUNCTION("GOOGLETRANSLATE(A5605, ""zh-CN"", ""ko"")"),"최고 수준")</f>
        <v>최고 수준</v>
      </c>
    </row>
    <row r="5606" ht="15.75" customHeight="1">
      <c r="A5606" s="1" t="s">
        <v>16514</v>
      </c>
      <c r="B5606" s="1">
        <v>7.0</v>
      </c>
      <c r="C5606" s="1" t="s">
        <v>16515</v>
      </c>
      <c r="D5606" s="1" t="s">
        <v>8</v>
      </c>
      <c r="E5606" s="1" t="s">
        <v>16516</v>
      </c>
      <c r="F5606" s="1" t="str">
        <f>IFERROR(__xludf.DUMMYFUNCTION("GOOGLETRANSLATE(A5606, ""zh-CN"", ""ko"")"),"못")</f>
        <v>못</v>
      </c>
    </row>
    <row r="5607" ht="15.75" customHeight="1">
      <c r="A5607" s="1" t="s">
        <v>16517</v>
      </c>
      <c r="B5607" s="1">
        <v>7.0</v>
      </c>
      <c r="C5607" s="1" t="s">
        <v>16518</v>
      </c>
      <c r="D5607" s="1" t="s">
        <v>8</v>
      </c>
      <c r="E5607" s="1" t="s">
        <v>16519</v>
      </c>
      <c r="F5607" s="1" t="str">
        <f>IFERROR(__xludf.DUMMYFUNCTION("GOOGLETRANSLATE(A5607, ""zh-CN"", ""ko"")"),"주문하다")</f>
        <v>주문하다</v>
      </c>
    </row>
    <row r="5608" ht="15.75" customHeight="1">
      <c r="A5608" s="1" t="s">
        <v>16520</v>
      </c>
      <c r="B5608" s="1">
        <v>7.0</v>
      </c>
      <c r="C5608" s="1" t="s">
        <v>16521</v>
      </c>
      <c r="D5608" s="1" t="s">
        <v>16</v>
      </c>
      <c r="E5608" s="1" t="s">
        <v>16522</v>
      </c>
      <c r="F5608" s="1" t="str">
        <f>IFERROR(__xludf.DUMMYFUNCTION("GOOGLETRANSLATE(A5608, ""zh-CN"", ""ko"")"),"보증금")</f>
        <v>보증금</v>
      </c>
    </row>
    <row r="5609" ht="15.75" customHeight="1">
      <c r="A5609" s="1" t="s">
        <v>16523</v>
      </c>
      <c r="B5609" s="1">
        <v>7.0</v>
      </c>
      <c r="C5609" s="1" t="s">
        <v>16524</v>
      </c>
      <c r="D5609" s="1" t="s">
        <v>8</v>
      </c>
      <c r="E5609" s="1" t="s">
        <v>16525</v>
      </c>
      <c r="F5609" s="1" t="str">
        <f>IFERROR(__xludf.DUMMYFUNCTION("GOOGLETRANSLATE(A5609, ""zh-CN"", ""ko"")"),"진정하세요")</f>
        <v>진정하세요</v>
      </c>
    </row>
    <row r="5610" ht="15.75" customHeight="1">
      <c r="A5610" s="1" t="s">
        <v>16526</v>
      </c>
      <c r="B5610" s="1">
        <v>7.0</v>
      </c>
      <c r="C5610" s="1" t="s">
        <v>16527</v>
      </c>
      <c r="D5610" s="1" t="s">
        <v>8</v>
      </c>
      <c r="E5610" s="1" t="s">
        <v>16528</v>
      </c>
      <c r="F5610" s="1" t="str">
        <f>IFERROR(__xludf.DUMMYFUNCTION("GOOGLETRANSLATE(A5610, ""zh-CN"", ""ko"")"),"입력하다")</f>
        <v>입력하다</v>
      </c>
    </row>
    <row r="5611" ht="15.75" customHeight="1">
      <c r="A5611" s="1" t="s">
        <v>16529</v>
      </c>
      <c r="B5611" s="1">
        <v>7.0</v>
      </c>
      <c r="C5611" s="1" t="s">
        <v>16530</v>
      </c>
      <c r="D5611" s="1" t="s">
        <v>16</v>
      </c>
      <c r="E5611" s="1" t="s">
        <v>16531</v>
      </c>
      <c r="F5611" s="1" t="str">
        <f>IFERROR(__xludf.DUMMYFUNCTION("GOOGLETRANSLATE(A5611, ""zh-CN"", ""ko"")"),"결론")</f>
        <v>결론</v>
      </c>
    </row>
    <row r="5612" ht="15.75" customHeight="1">
      <c r="A5612" s="1" t="s">
        <v>16532</v>
      </c>
      <c r="B5612" s="1">
        <v>7.0</v>
      </c>
      <c r="C5612" s="1" t="s">
        <v>16533</v>
      </c>
      <c r="D5612" s="1" t="s">
        <v>16</v>
      </c>
      <c r="E5612" s="1" t="s">
        <v>16534</v>
      </c>
      <c r="F5612" s="1" t="str">
        <f>IFERROR(__xludf.DUMMYFUNCTION("GOOGLETRANSLATE(A5612, ""zh-CN"", ""ko"")"),"법")</f>
        <v>법</v>
      </c>
    </row>
    <row r="5613" ht="15.75" customHeight="1">
      <c r="A5613" s="1" t="s">
        <v>16535</v>
      </c>
      <c r="B5613" s="1">
        <v>7.0</v>
      </c>
      <c r="C5613" s="1" t="s">
        <v>16536</v>
      </c>
      <c r="D5613" s="1" t="s">
        <v>8</v>
      </c>
      <c r="E5613" s="1" t="s">
        <v>16537</v>
      </c>
      <c r="F5613" s="1" t="str">
        <f>IFERROR(__xludf.DUMMYFUNCTION("GOOGLETRANSLATE(A5613, ""zh-CN"", ""ko"")"),"방향성")</f>
        <v>방향성</v>
      </c>
    </row>
    <row r="5614" ht="15.75" customHeight="1">
      <c r="A5614" s="1" t="s">
        <v>16538</v>
      </c>
      <c r="B5614" s="1">
        <v>7.0</v>
      </c>
      <c r="C5614" s="1" t="s">
        <v>16539</v>
      </c>
      <c r="D5614" s="1" t="s">
        <v>16</v>
      </c>
      <c r="E5614" s="1" t="s">
        <v>16540</v>
      </c>
      <c r="F5614" s="1" t="str">
        <f>IFERROR(__xludf.DUMMYFUNCTION("GOOGLETRANSLATE(A5614, ""zh-CN"", ""ko"")"),"안심")</f>
        <v>안심</v>
      </c>
    </row>
    <row r="5615" ht="15.75" customHeight="1">
      <c r="A5615" s="1" t="s">
        <v>16541</v>
      </c>
      <c r="B5615" s="1">
        <v>7.0</v>
      </c>
      <c r="C5615" s="1" t="s">
        <v>16542</v>
      </c>
      <c r="D5615" s="1" t="s">
        <v>8</v>
      </c>
      <c r="E5615" s="1" t="s">
        <v>16543</v>
      </c>
      <c r="F5615" s="1" t="str">
        <f>IFERROR(__xludf.DUMMYFUNCTION("GOOGLETRANSLATE(A5615, ""zh-CN"", ""ko"")"),"신청")</f>
        <v>신청</v>
      </c>
    </row>
    <row r="5616" ht="15.75" customHeight="1">
      <c r="A5616" s="1" t="s">
        <v>16544</v>
      </c>
      <c r="B5616" s="1">
        <v>7.0</v>
      </c>
      <c r="C5616" s="1" t="s">
        <v>16545</v>
      </c>
      <c r="D5616" s="1" t="s">
        <v>8</v>
      </c>
      <c r="E5616" s="1" t="s">
        <v>16546</v>
      </c>
      <c r="F5616" s="1" t="str">
        <f>IFERROR(__xludf.DUMMYFUNCTION("GOOGLETRANSLATE(A5616, ""zh-CN"", ""ko"")"),"맞춤 제작")</f>
        <v>맞춤 제작</v>
      </c>
    </row>
    <row r="5617" ht="15.75" customHeight="1">
      <c r="A5617" s="1" t="s">
        <v>16547</v>
      </c>
      <c r="B5617" s="1">
        <v>7.0</v>
      </c>
      <c r="C5617" s="1" t="s">
        <v>16548</v>
      </c>
      <c r="D5617" s="1" t="s">
        <v>8</v>
      </c>
      <c r="E5617" s="1" t="s">
        <v>16549</v>
      </c>
      <c r="F5617" s="1" t="str">
        <f>IFERROR(__xludf.DUMMYFUNCTION("GOOGLETRANSLATE(A5617, ""zh-CN"", ""ko"")"),"당혹스러운")</f>
        <v>당혹스러운</v>
      </c>
    </row>
    <row r="5618" ht="15.75" customHeight="1">
      <c r="A5618" s="1" t="s">
        <v>16550</v>
      </c>
      <c r="B5618" s="1">
        <v>7.0</v>
      </c>
      <c r="C5618" s="1" t="s">
        <v>16551</v>
      </c>
      <c r="D5618" s="1" t="s">
        <v>8</v>
      </c>
      <c r="E5618" s="1" t="s">
        <v>16552</v>
      </c>
      <c r="F5618" s="1" t="str">
        <f>IFERROR(__xludf.DUMMYFUNCTION("GOOGLETRANSLATE(A5618, ""zh-CN"", ""ko"")"),"버리다")</f>
        <v>버리다</v>
      </c>
    </row>
    <row r="5619" ht="15.75" customHeight="1">
      <c r="A5619" s="1" t="s">
        <v>16553</v>
      </c>
      <c r="B5619" s="1">
        <v>7.0</v>
      </c>
      <c r="C5619" s="1" t="s">
        <v>16554</v>
      </c>
      <c r="E5619" s="1" t="s">
        <v>16555</v>
      </c>
      <c r="F5619" s="1" t="str">
        <f>IFERROR(__xludf.DUMMYFUNCTION("GOOGLETRANSLATE(A5619, ""zh-CN"", ""ko"")"),"뛰어다니기")</f>
        <v>뛰어다니기</v>
      </c>
    </row>
    <row r="5620" ht="15.75" customHeight="1">
      <c r="A5620" s="1" t="s">
        <v>16556</v>
      </c>
      <c r="B5620" s="1">
        <v>7.0</v>
      </c>
      <c r="C5620" s="1" t="s">
        <v>16557</v>
      </c>
      <c r="D5620" s="1" t="s">
        <v>52</v>
      </c>
      <c r="E5620" s="1" t="s">
        <v>16558</v>
      </c>
      <c r="F5620" s="1" t="str">
        <f>IFERROR(__xludf.DUMMYFUNCTION("GOOGLETRANSLATE(A5620, ""zh-CN"", ""ko"")"),"현명한")</f>
        <v>현명한</v>
      </c>
    </row>
    <row r="5621" ht="15.75" customHeight="1">
      <c r="A5621" s="1" t="s">
        <v>16559</v>
      </c>
      <c r="B5621" s="1">
        <v>7.0</v>
      </c>
      <c r="C5621" s="1" t="s">
        <v>16557</v>
      </c>
      <c r="D5621" s="1" t="s">
        <v>16</v>
      </c>
      <c r="E5621" s="1" t="s">
        <v>16560</v>
      </c>
      <c r="F5621" s="1" t="str">
        <f>IFERROR(__xludf.DUMMYFUNCTION("GOOGLETRANSLATE(A5621, ""zh-CN"", ""ko"")"),"감독")</f>
        <v>감독</v>
      </c>
    </row>
    <row r="5622" ht="15.75" customHeight="1">
      <c r="A5622" s="1" t="s">
        <v>16561</v>
      </c>
      <c r="B5622" s="1">
        <v>7.0</v>
      </c>
      <c r="C5622" s="1" t="s">
        <v>16562</v>
      </c>
      <c r="D5622" s="1" t="s">
        <v>16</v>
      </c>
      <c r="E5622" s="1" t="s">
        <v>16563</v>
      </c>
      <c r="F5622" s="1" t="str">
        <f>IFERROR(__xludf.DUMMYFUNCTION("GOOGLETRANSLATE(A5622, ""zh-CN"", ""ko"")"),"이사회")</f>
        <v>이사회</v>
      </c>
    </row>
    <row r="5623" ht="15.75" customHeight="1">
      <c r="A5623" s="1" t="s">
        <v>16564</v>
      </c>
      <c r="B5623" s="1">
        <v>7.0</v>
      </c>
      <c r="C5623" s="1" t="s">
        <v>16565</v>
      </c>
      <c r="D5623" s="1" t="s">
        <v>33</v>
      </c>
      <c r="E5623" s="1" t="s">
        <v>16566</v>
      </c>
      <c r="F5623" s="1" t="str">
        <f>IFERROR(__xludf.DUMMYFUNCTION("GOOGLETRANSLATE(A5623, ""zh-CN"", ""ko"")"),"모든 순간에")</f>
        <v>모든 순간에</v>
      </c>
    </row>
    <row r="5624" ht="15.75" customHeight="1">
      <c r="A5624" s="1" t="s">
        <v>16567</v>
      </c>
      <c r="B5624" s="1">
        <v>7.0</v>
      </c>
      <c r="C5624" s="1" t="s">
        <v>16568</v>
      </c>
      <c r="D5624" s="1" t="s">
        <v>16</v>
      </c>
      <c r="E5624" s="1" t="s">
        <v>16569</v>
      </c>
      <c r="F5624" s="1" t="str">
        <f>IFERROR(__xludf.DUMMYFUNCTION("GOOGLETRANSLATE(A5624, ""zh-CN"", ""ko"")"),"동적")</f>
        <v>동적</v>
      </c>
    </row>
    <row r="5625" ht="15.75" customHeight="1">
      <c r="A5625" s="1" t="s">
        <v>16570</v>
      </c>
      <c r="B5625" s="1">
        <v>7.0</v>
      </c>
      <c r="C5625" s="1" t="s">
        <v>16571</v>
      </c>
      <c r="D5625" s="1" t="s">
        <v>8</v>
      </c>
      <c r="E5625" s="1" t="s">
        <v>16572</v>
      </c>
      <c r="F5625" s="1" t="str">
        <f>IFERROR(__xludf.DUMMYFUNCTION("GOOGLETRANSLATE(A5625, ""zh-CN"", ""ko"")"),"공사가 시작되었습니다")</f>
        <v>공사가 시작되었습니다</v>
      </c>
    </row>
    <row r="5626" ht="15.75" customHeight="1">
      <c r="A5626" s="1" t="s">
        <v>16573</v>
      </c>
      <c r="B5626" s="1">
        <v>7.0</v>
      </c>
      <c r="C5626" s="1" t="s">
        <v>16574</v>
      </c>
      <c r="D5626" s="1" t="s">
        <v>16</v>
      </c>
      <c r="E5626" s="1" t="s">
        <v>16575</v>
      </c>
      <c r="F5626" s="1" t="str">
        <f>IFERROR(__xludf.DUMMYFUNCTION("GOOGLETRANSLATE(A5626, ""zh-CN"", ""ko"")"),"기둥")</f>
        <v>기둥</v>
      </c>
    </row>
    <row r="5627" ht="15.75" customHeight="1">
      <c r="A5627" s="1" t="s">
        <v>16576</v>
      </c>
      <c r="B5627" s="1">
        <v>7.0</v>
      </c>
      <c r="C5627" s="1" t="s">
        <v>16577</v>
      </c>
      <c r="D5627" s="1" t="s">
        <v>8</v>
      </c>
      <c r="E5627" s="1" t="s">
        <v>16578</v>
      </c>
      <c r="F5627" s="1" t="str">
        <f>IFERROR(__xludf.DUMMYFUNCTION("GOOGLETRANSLATE(A5627, ""zh-CN"", ""ko"")"),"이동하다")</f>
        <v>이동하다</v>
      </c>
    </row>
    <row r="5628" ht="15.75" customHeight="1">
      <c r="A5628" s="1" t="s">
        <v>16579</v>
      </c>
      <c r="B5628" s="1">
        <v>7.0</v>
      </c>
      <c r="C5628" s="1" t="s">
        <v>16580</v>
      </c>
      <c r="D5628" s="1" t="s">
        <v>16</v>
      </c>
      <c r="E5628" s="1" t="s">
        <v>16581</v>
      </c>
      <c r="F5628" s="1" t="str">
        <f>IFERROR(__xludf.DUMMYFUNCTION("GOOGLETRANSLATE(A5628, ""zh-CN"", ""ko"")"),"경향")</f>
        <v>경향</v>
      </c>
    </row>
    <row r="5629" ht="15.75" customHeight="1">
      <c r="A5629" s="1" t="s">
        <v>16582</v>
      </c>
      <c r="B5629" s="1">
        <v>7.0</v>
      </c>
      <c r="C5629" s="1" t="s">
        <v>16583</v>
      </c>
      <c r="D5629" s="1" t="s">
        <v>16</v>
      </c>
      <c r="E5629" s="1" t="s">
        <v>16584</v>
      </c>
      <c r="F5629" s="1" t="str">
        <f>IFERROR(__xludf.DUMMYFUNCTION("GOOGLETRANSLATE(A5629, ""zh-CN"", ""ko"")"),"동굴")</f>
        <v>동굴</v>
      </c>
    </row>
    <row r="5630" ht="15.75" customHeight="1">
      <c r="A5630" s="1" t="s">
        <v>16585</v>
      </c>
      <c r="B5630" s="1">
        <v>7.0</v>
      </c>
      <c r="C5630" s="1" t="s">
        <v>16586</v>
      </c>
      <c r="D5630" s="1" t="s">
        <v>14742</v>
      </c>
      <c r="E5630" s="1" t="s">
        <v>16587</v>
      </c>
      <c r="F5630" s="1" t="str">
        <f>IFERROR(__xludf.DUMMYFUNCTION("GOOGLETRANSLATE(A5630, ""zh-CN"", ""ko"")"),"떨림")</f>
        <v>떨림</v>
      </c>
    </row>
    <row r="5631" ht="15.75" customHeight="1">
      <c r="A5631" s="1" t="s">
        <v>16588</v>
      </c>
      <c r="B5631" s="1">
        <v>7.0</v>
      </c>
      <c r="C5631" s="1" t="s">
        <v>16589</v>
      </c>
      <c r="D5631" s="1" t="s">
        <v>8</v>
      </c>
      <c r="E5631" s="1" t="s">
        <v>16590</v>
      </c>
      <c r="F5631" s="1" t="str">
        <f>IFERROR(__xludf.DUMMYFUNCTION("GOOGLETRANSLATE(A5631, ""zh-CN"", ""ko"")"),"사용")</f>
        <v>사용</v>
      </c>
    </row>
    <row r="5632" ht="15.75" customHeight="1">
      <c r="A5632" s="1" t="s">
        <v>16591</v>
      </c>
      <c r="B5632" s="1">
        <v>7.0</v>
      </c>
      <c r="C5632" s="1" t="s">
        <v>16592</v>
      </c>
      <c r="D5632" s="1" t="s">
        <v>8</v>
      </c>
      <c r="E5632" s="1" t="s">
        <v>16593</v>
      </c>
      <c r="F5632" s="1" t="str">
        <f>IFERROR(__xludf.DUMMYFUNCTION("GOOGLETRANSLATE(A5632, ""zh-CN"", ""ko"")"),"행상")</f>
        <v>행상</v>
      </c>
    </row>
    <row r="5633" ht="15.75" customHeight="1">
      <c r="A5633" s="1" t="s">
        <v>16594</v>
      </c>
      <c r="B5633" s="1">
        <v>7.0</v>
      </c>
      <c r="C5633" s="1" t="s">
        <v>16595</v>
      </c>
      <c r="D5633" s="1" t="s">
        <v>8</v>
      </c>
      <c r="E5633" s="1" t="s">
        <v>16596</v>
      </c>
      <c r="F5633" s="1" t="str">
        <f>IFERROR(__xludf.DUMMYFUNCTION("GOOGLETRANSLATE(A5633, ""zh-CN"", ""ko"")"),"떨림")</f>
        <v>떨림</v>
      </c>
    </row>
    <row r="5634" ht="15.75" customHeight="1">
      <c r="A5634" s="1" t="s">
        <v>16597</v>
      </c>
      <c r="B5634" s="1">
        <v>7.0</v>
      </c>
      <c r="C5634" s="1" t="s">
        <v>16595</v>
      </c>
      <c r="D5634" s="1" t="s">
        <v>52</v>
      </c>
      <c r="E5634" s="1" t="s">
        <v>16598</v>
      </c>
      <c r="F5634" s="1" t="str">
        <f>IFERROR(__xludf.DUMMYFUNCTION("GOOGLETRANSLATE(A5634, ""zh-CN"", ""ko"")"),"험한")</f>
        <v>험한</v>
      </c>
    </row>
    <row r="5635" ht="15.75" customHeight="1">
      <c r="A5635" s="1" t="s">
        <v>16599</v>
      </c>
      <c r="B5635" s="1">
        <v>7.0</v>
      </c>
      <c r="C5635" s="1" t="s">
        <v>4213</v>
      </c>
      <c r="D5635" s="1" t="s">
        <v>8</v>
      </c>
      <c r="E5635" s="1" t="s">
        <v>16600</v>
      </c>
      <c r="F5635" s="1" t="str">
        <f>IFERROR(__xludf.DUMMYFUNCTION("GOOGLETRANSLATE(A5635, ""zh-CN"", ""ko"")"),"싸움")</f>
        <v>싸움</v>
      </c>
    </row>
    <row r="5636" ht="15.75" customHeight="1">
      <c r="A5636" s="1" t="s">
        <v>16601</v>
      </c>
      <c r="B5636" s="1">
        <v>7.0</v>
      </c>
      <c r="C5636" s="1" t="s">
        <v>16602</v>
      </c>
      <c r="D5636" s="1" t="s">
        <v>8</v>
      </c>
      <c r="E5636" s="1" t="s">
        <v>16603</v>
      </c>
      <c r="F5636" s="1" t="str">
        <f>IFERROR(__xludf.DUMMYFUNCTION("GOOGLETRANSLATE(A5636, ""zh-CN"", ""ko"")"),"머무르다")</f>
        <v>머무르다</v>
      </c>
    </row>
    <row r="5637" ht="15.75" customHeight="1">
      <c r="A5637" s="1" t="s">
        <v>16604</v>
      </c>
      <c r="B5637" s="1">
        <v>7.0</v>
      </c>
      <c r="C5637" s="1" t="s">
        <v>16605</v>
      </c>
      <c r="D5637" s="1" t="s">
        <v>16</v>
      </c>
      <c r="E5637" s="1" t="s">
        <v>16606</v>
      </c>
      <c r="F5637" s="1" t="str">
        <f>IFERROR(__xludf.DUMMYFUNCTION("GOOGLETRANSLATE(A5637, ""zh-CN"", ""ko"")"),"투지")</f>
        <v>투지</v>
      </c>
    </row>
    <row r="5638" ht="15.75" customHeight="1">
      <c r="A5638" s="1" t="s">
        <v>16607</v>
      </c>
      <c r="B5638" s="1">
        <v>7.0</v>
      </c>
      <c r="C5638" s="1" t="s">
        <v>16608</v>
      </c>
      <c r="D5638" s="1" t="s">
        <v>16</v>
      </c>
      <c r="E5638" s="1" t="s">
        <v>16609</v>
      </c>
      <c r="F5638" s="1" t="str">
        <f>IFERROR(__xludf.DUMMYFUNCTION("GOOGLETRANSLATE(A5638, ""zh-CN"", ""ko"")"),"콩")</f>
        <v>콩</v>
      </c>
    </row>
    <row r="5639" ht="15.75" customHeight="1">
      <c r="A5639" s="1" t="s">
        <v>16610</v>
      </c>
      <c r="B5639" s="1">
        <v>7.0</v>
      </c>
      <c r="C5639" s="1" t="s">
        <v>77</v>
      </c>
      <c r="D5639" s="1" t="s">
        <v>33</v>
      </c>
      <c r="E5639" s="1" t="s">
        <v>16611</v>
      </c>
      <c r="F5639" s="1" t="str">
        <f>IFERROR(__xludf.DUMMYFUNCTION("GOOGLETRANSLATE(A5639, ""zh-CN"", ""ko"")"),"홀로")</f>
        <v>홀로</v>
      </c>
    </row>
    <row r="5640" ht="15.75" customHeight="1">
      <c r="A5640" s="1" t="s">
        <v>16612</v>
      </c>
      <c r="B5640" s="1">
        <v>7.0</v>
      </c>
      <c r="C5640" s="1" t="s">
        <v>16613</v>
      </c>
      <c r="D5640" s="1" t="s">
        <v>16</v>
      </c>
      <c r="E5640" s="1" t="s">
        <v>16614</v>
      </c>
      <c r="F5640" s="1" t="str">
        <f>IFERROR(__xludf.DUMMYFUNCTION("GOOGLETRANSLATE(A5640, ""zh-CN"", ""ko"")"),"독점적인")</f>
        <v>독점적인</v>
      </c>
    </row>
    <row r="5641" ht="15.75" customHeight="1">
      <c r="A5641" s="1" t="s">
        <v>16615</v>
      </c>
      <c r="B5641" s="1">
        <v>7.0</v>
      </c>
      <c r="C5641" s="1" t="s">
        <v>16616</v>
      </c>
      <c r="D5641" s="1" t="s">
        <v>14992</v>
      </c>
      <c r="E5641" s="1" t="s">
        <v>16617</v>
      </c>
      <c r="F5641" s="1" t="str">
        <f>IFERROR(__xludf.DUMMYFUNCTION("GOOGLETRANSLATE(A5641, ""zh-CN"", ""ko"")"),"하나의")</f>
        <v>하나의</v>
      </c>
    </row>
    <row r="5642" ht="15.75" customHeight="1">
      <c r="A5642" s="1" t="s">
        <v>16618</v>
      </c>
      <c r="B5642" s="1">
        <v>7.0</v>
      </c>
      <c r="C5642" s="1" t="s">
        <v>16619</v>
      </c>
      <c r="D5642" s="1" t="s">
        <v>16</v>
      </c>
      <c r="E5642" s="1" t="s">
        <v>16620</v>
      </c>
      <c r="F5642" s="1" t="str">
        <f>IFERROR(__xludf.DUMMYFUNCTION("GOOGLETRANSLATE(A5642, ""zh-CN"", ""ko"")"),"읽기 자료")</f>
        <v>읽기 자료</v>
      </c>
    </row>
    <row r="5643" ht="15.75" customHeight="1">
      <c r="A5643" s="1" t="s">
        <v>16621</v>
      </c>
      <c r="B5643" s="1">
        <v>7.0</v>
      </c>
      <c r="C5643" s="1" t="s">
        <v>16622</v>
      </c>
      <c r="E5643" s="1" t="s">
        <v>16623</v>
      </c>
      <c r="F5643" s="1" t="str">
        <f>IFERROR(__xludf.DUMMYFUNCTION("GOOGLETRANSLATE(A5643, ""zh-CN"", ""ko"")"),"고유한")</f>
        <v>고유한</v>
      </c>
    </row>
    <row r="5644" ht="15.75" customHeight="1">
      <c r="A5644" s="1" t="s">
        <v>16624</v>
      </c>
      <c r="B5644" s="1">
        <v>7.0</v>
      </c>
      <c r="C5644" s="1" t="s">
        <v>16625</v>
      </c>
      <c r="D5644" s="1" t="s">
        <v>8</v>
      </c>
      <c r="E5644" s="1" t="s">
        <v>16626</v>
      </c>
      <c r="F5644" s="1" t="str">
        <f>IFERROR(__xludf.DUMMYFUNCTION("GOOGLETRANSLATE(A5644, ""zh-CN"", ""ko"")"),"내기")</f>
        <v>내기</v>
      </c>
    </row>
    <row r="5645" ht="15.75" customHeight="1">
      <c r="A5645" s="1" t="s">
        <v>16627</v>
      </c>
      <c r="B5645" s="1">
        <v>7.0</v>
      </c>
      <c r="C5645" s="1" t="s">
        <v>16628</v>
      </c>
      <c r="D5645" s="1" t="s">
        <v>52</v>
      </c>
      <c r="E5645" s="1" t="s">
        <v>16629</v>
      </c>
      <c r="F5645" s="1" t="str">
        <f>IFERROR(__xludf.DUMMYFUNCTION("GOOGLETRANSLATE(A5645, ""zh-CN"", ""ko"")"),"짧은")</f>
        <v>짧은</v>
      </c>
    </row>
    <row r="5646" ht="15.75" customHeight="1">
      <c r="A5646" s="1" t="s">
        <v>16630</v>
      </c>
      <c r="B5646" s="1">
        <v>7.0</v>
      </c>
      <c r="C5646" s="1" t="s">
        <v>16631</v>
      </c>
      <c r="D5646" s="1" t="s">
        <v>52</v>
      </c>
      <c r="E5646" s="1" t="s">
        <v>16632</v>
      </c>
      <c r="F5646" s="1" t="str">
        <f>IFERROR(__xludf.DUMMYFUNCTION("GOOGLETRANSLATE(A5646, ""zh-CN"", ""ko"")"),"간헐적")</f>
        <v>간헐적</v>
      </c>
    </row>
    <row r="5647" ht="15.75" customHeight="1">
      <c r="A5647" s="1" t="s">
        <v>16633</v>
      </c>
      <c r="B5647" s="1">
        <v>7.0</v>
      </c>
      <c r="C5647" s="1" t="s">
        <v>16634</v>
      </c>
      <c r="D5647" s="1" t="s">
        <v>8</v>
      </c>
      <c r="E5647" s="1" t="s">
        <v>16635</v>
      </c>
      <c r="F5647" s="1" t="str">
        <f>IFERROR(__xludf.DUMMYFUNCTION("GOOGLETRANSLATE(A5647, ""zh-CN"", ""ko"")"),"골절")</f>
        <v>골절</v>
      </c>
    </row>
    <row r="5648" ht="15.75" customHeight="1">
      <c r="A5648" s="1" t="s">
        <v>16636</v>
      </c>
      <c r="B5648" s="1">
        <v>7.0</v>
      </c>
      <c r="C5648" s="1" t="s">
        <v>16637</v>
      </c>
      <c r="D5648" s="1" t="s">
        <v>16</v>
      </c>
      <c r="E5648" s="1" t="s">
        <v>16638</v>
      </c>
      <c r="F5648" s="1" t="str">
        <f>IFERROR(__xludf.DUMMYFUNCTION("GOOGLETRANSLATE(A5648, ""zh-CN"", ""ko"")"),"절")</f>
        <v>절</v>
      </c>
    </row>
    <row r="5649" ht="15.75" customHeight="1">
      <c r="A5649" s="1" t="s">
        <v>16639</v>
      </c>
      <c r="B5649" s="1">
        <v>7.0</v>
      </c>
      <c r="C5649" s="1" t="s">
        <v>16640</v>
      </c>
      <c r="D5649" s="1" t="s">
        <v>15257</v>
      </c>
      <c r="E5649" s="1" t="s">
        <v>16641</v>
      </c>
      <c r="F5649" s="1" t="str">
        <f>IFERROR(__xludf.DUMMYFUNCTION("GOOGLETRANSLATE(A5649, ""zh-CN"", ""ko"")"),"단조롭게")</f>
        <v>단조롭게</v>
      </c>
    </row>
    <row r="5650" ht="15.75" customHeight="1">
      <c r="A5650" s="1" t="s">
        <v>16642</v>
      </c>
      <c r="B5650" s="1">
        <v>7.0</v>
      </c>
      <c r="C5650" s="1" t="s">
        <v>16643</v>
      </c>
      <c r="E5650" s="1" t="s">
        <v>16644</v>
      </c>
      <c r="F5650" s="1" t="str">
        <f>IFERROR(__xludf.DUMMYFUNCTION("GOOGLETRANSLATE(A5650, ""zh-CN"", ""ko"")"),"맥락에서 벗어나서 이야기하는 것")</f>
        <v>맥락에서 벗어나서 이야기하는 것</v>
      </c>
    </row>
    <row r="5651" ht="15.75" customHeight="1">
      <c r="A5651" s="1" t="s">
        <v>16645</v>
      </c>
      <c r="B5651" s="1">
        <v>7.0</v>
      </c>
      <c r="C5651" s="1" t="s">
        <v>16646</v>
      </c>
      <c r="D5651" s="1" t="s">
        <v>16</v>
      </c>
      <c r="E5651" s="1" t="s">
        <v>16647</v>
      </c>
      <c r="F5651" s="1" t="str">
        <f>IFERROR(__xludf.DUMMYFUNCTION("GOOGLETRANSLATE(A5651, ""zh-CN"", ""ko"")"),"중심지")</f>
        <v>중심지</v>
      </c>
    </row>
    <row r="5652" ht="15.75" customHeight="1">
      <c r="A5652" s="1" t="s">
        <v>16648</v>
      </c>
      <c r="B5652" s="1">
        <v>7.0</v>
      </c>
      <c r="C5652" s="1" t="s">
        <v>16649</v>
      </c>
      <c r="D5652" s="1" t="s">
        <v>8</v>
      </c>
      <c r="E5652" s="1" t="s">
        <v>16650</v>
      </c>
      <c r="F5652" s="1" t="str">
        <f>IFERROR(__xludf.DUMMYFUNCTION("GOOGLETRANSLATE(A5652, ""zh-CN"", ""ko"")"),"쌓기")</f>
        <v>쌓기</v>
      </c>
    </row>
    <row r="5653" ht="15.75" customHeight="1">
      <c r="A5653" s="1" t="s">
        <v>16651</v>
      </c>
      <c r="B5653" s="1">
        <v>7.0</v>
      </c>
      <c r="C5653" s="1" t="s">
        <v>540</v>
      </c>
      <c r="D5653" s="1" t="s">
        <v>8</v>
      </c>
      <c r="E5653" s="1" t="s">
        <v>16652</v>
      </c>
      <c r="F5653" s="1" t="str">
        <f>IFERROR(__xludf.DUMMYFUNCTION("GOOGLETRANSLATE(A5653, ""zh-CN"", ""ko"")"),"교환")</f>
        <v>교환</v>
      </c>
    </row>
    <row r="5654" ht="15.75" customHeight="1">
      <c r="A5654" s="1" t="s">
        <v>16653</v>
      </c>
      <c r="B5654" s="1">
        <v>7.0</v>
      </c>
      <c r="C5654" s="1" t="s">
        <v>16654</v>
      </c>
      <c r="D5654" s="1" t="s">
        <v>16</v>
      </c>
      <c r="E5654" s="1" t="s">
        <v>16655</v>
      </c>
      <c r="F5654" s="1" t="str">
        <f>IFERROR(__xludf.DUMMYFUNCTION("GOOGLETRANSLATE(A5654, ""zh-CN"", ""ko"")"),"반면")</f>
        <v>반면</v>
      </c>
    </row>
    <row r="5655" ht="15.75" customHeight="1">
      <c r="A5655" s="1" t="s">
        <v>16656</v>
      </c>
      <c r="B5655" s="1">
        <v>7.0</v>
      </c>
      <c r="C5655" s="1" t="s">
        <v>16657</v>
      </c>
      <c r="D5655" s="1" t="s">
        <v>16</v>
      </c>
      <c r="E5655" s="1" t="s">
        <v>16658</v>
      </c>
      <c r="F5655" s="1" t="str">
        <f>IFERROR(__xludf.DUMMYFUNCTION("GOOGLETRANSLATE(A5655, ""zh-CN"", ""ko"")"),"대화")</f>
        <v>대화</v>
      </c>
    </row>
    <row r="5656" ht="15.75" customHeight="1">
      <c r="A5656" s="1" t="s">
        <v>16659</v>
      </c>
      <c r="B5656" s="1">
        <v>7.0</v>
      </c>
      <c r="C5656" s="1" t="s">
        <v>16660</v>
      </c>
      <c r="D5656" s="1" t="s">
        <v>8</v>
      </c>
      <c r="E5656" s="1" t="s">
        <v>16661</v>
      </c>
      <c r="F5656" s="1" t="str">
        <f>IFERROR(__xludf.DUMMYFUNCTION("GOOGLETRANSLATE(A5656, ""zh-CN"", ""ko"")"),"마땅히 받을 자격이 있다")</f>
        <v>마땅히 받을 자격이 있다</v>
      </c>
    </row>
    <row r="5657" ht="15.75" customHeight="1">
      <c r="A5657" s="1" t="s">
        <v>16662</v>
      </c>
      <c r="B5657" s="1">
        <v>7.0</v>
      </c>
      <c r="C5657" s="1" t="s">
        <v>16663</v>
      </c>
      <c r="D5657" s="1" t="s">
        <v>8</v>
      </c>
      <c r="E5657" s="1" t="s">
        <v>16664</v>
      </c>
      <c r="F5657" s="1" t="str">
        <f>IFERROR(__xludf.DUMMYFUNCTION("GOOGLETRANSLATE(A5657, ""zh-CN"", ""ko"")"),"전달")</f>
        <v>전달</v>
      </c>
    </row>
    <row r="5658" ht="15.75" customHeight="1">
      <c r="A5658" s="1" t="s">
        <v>16665</v>
      </c>
      <c r="B5658" s="1">
        <v>7.0</v>
      </c>
      <c r="C5658" s="1" t="s">
        <v>16666</v>
      </c>
      <c r="E5658" s="1" t="s">
        <v>16667</v>
      </c>
      <c r="F5658" s="1" t="str">
        <f>IFERROR(__xludf.DUMMYFUNCTION("GOOGLETRANSLATE(A5658, ""zh-CN"", ""ko"")"),"소에게 류트를 연주하기")</f>
        <v>소에게 류트를 연주하기</v>
      </c>
    </row>
    <row r="5659" ht="15.75" customHeight="1">
      <c r="A5659" s="1" t="s">
        <v>16668</v>
      </c>
      <c r="B5659" s="1">
        <v>7.0</v>
      </c>
      <c r="C5659" s="1" t="s">
        <v>16669</v>
      </c>
      <c r="D5659" s="1" t="s">
        <v>16</v>
      </c>
      <c r="E5659" s="1" t="s">
        <v>16670</v>
      </c>
      <c r="F5659" s="1" t="str">
        <f>IFERROR(__xludf.DUMMYFUNCTION("GOOGLETRANSLATE(A5659, ""zh-CN"", ""ko"")"),"형성")</f>
        <v>형성</v>
      </c>
    </row>
    <row r="5660" ht="15.75" customHeight="1">
      <c r="A5660" s="1" t="s">
        <v>16671</v>
      </c>
      <c r="B5660" s="1">
        <v>7.0</v>
      </c>
      <c r="C5660" s="1" t="s">
        <v>16672</v>
      </c>
      <c r="D5660" s="1" t="s">
        <v>8</v>
      </c>
      <c r="E5660" s="1" t="s">
        <v>16673</v>
      </c>
      <c r="F5660" s="1" t="str">
        <f>IFERROR(__xludf.DUMMYFUNCTION("GOOGLETRANSLATE(A5660, ""zh-CN"", ""ko"")"),"체스")</f>
        <v>체스</v>
      </c>
    </row>
    <row r="5661" ht="15.75" customHeight="1">
      <c r="A5661" s="1" t="s">
        <v>16674</v>
      </c>
      <c r="B5661" s="1">
        <v>7.0</v>
      </c>
      <c r="C5661" s="1" t="s">
        <v>16675</v>
      </c>
      <c r="E5661" s="1" t="s">
        <v>16676</v>
      </c>
      <c r="F5661" s="1" t="str">
        <f>IFERROR(__xludf.DUMMYFUNCTION("GOOGLETRANSLATE(A5661, ""zh-CN"", ""ko"")"),"증상을 치료하세요")</f>
        <v>증상을 치료하세요</v>
      </c>
    </row>
    <row r="5662" ht="15.75" customHeight="1">
      <c r="A5662" s="1" t="s">
        <v>16677</v>
      </c>
      <c r="B5662" s="1">
        <v>7.0</v>
      </c>
      <c r="C5662" s="1" t="s">
        <v>16678</v>
      </c>
      <c r="D5662" s="1" t="s">
        <v>8</v>
      </c>
      <c r="E5662" s="1" t="s">
        <v>16679</v>
      </c>
      <c r="F5662" s="1" t="str">
        <f>IFERROR(__xludf.DUMMYFUNCTION("GOOGLETRANSLATE(A5662, ""zh-CN"", ""ko"")"),"대치")</f>
        <v>대치</v>
      </c>
    </row>
    <row r="5663" ht="15.75" customHeight="1">
      <c r="A5663" s="1" t="s">
        <v>16680</v>
      </c>
      <c r="B5663" s="1">
        <v>7.0</v>
      </c>
      <c r="C5663" s="1" t="s">
        <v>16681</v>
      </c>
      <c r="D5663" s="1" t="s">
        <v>8</v>
      </c>
      <c r="E5663" s="1" t="s">
        <v>16682</v>
      </c>
      <c r="F5663" s="1" t="str">
        <f>IFERROR(__xludf.DUMMYFUNCTION("GOOGLETRANSLATE(A5663, ""zh-CN"", ""ko"")"),"충고하다")</f>
        <v>충고하다</v>
      </c>
    </row>
    <row r="5664" ht="15.75" customHeight="1">
      <c r="A5664" s="1" t="s">
        <v>16683</v>
      </c>
      <c r="B5664" s="1">
        <v>7.0</v>
      </c>
      <c r="C5664" s="1" t="s">
        <v>16684</v>
      </c>
      <c r="D5664" s="1" t="s">
        <v>52</v>
      </c>
      <c r="E5664" s="1" t="s">
        <v>16685</v>
      </c>
      <c r="F5664" s="1" t="str">
        <f>IFERROR(__xludf.DUMMYFUNCTION("GOOGLETRANSLATE(A5664, ""zh-CN"", ""ko"")"),"솔직한")</f>
        <v>솔직한</v>
      </c>
    </row>
    <row r="5665" ht="15.75" customHeight="1">
      <c r="A5665" s="1" t="s">
        <v>16686</v>
      </c>
      <c r="B5665" s="1">
        <v>7.0</v>
      </c>
      <c r="C5665" s="1" t="s">
        <v>4257</v>
      </c>
      <c r="D5665" s="1" t="s">
        <v>8</v>
      </c>
      <c r="E5665" s="1" t="s">
        <v>16687</v>
      </c>
      <c r="F5665" s="1" t="str">
        <f>IFERROR(__xludf.DUMMYFUNCTION("GOOGLETRANSLATE(A5665, ""zh-CN"", ""ko"")"),"스튜")</f>
        <v>스튜</v>
      </c>
    </row>
    <row r="5666" ht="15.75" customHeight="1">
      <c r="A5666" s="1" t="s">
        <v>16688</v>
      </c>
      <c r="B5666" s="1">
        <v>7.0</v>
      </c>
      <c r="C5666" s="1" t="s">
        <v>16689</v>
      </c>
      <c r="D5666" s="1" t="s">
        <v>16690</v>
      </c>
      <c r="E5666" s="1" t="s">
        <v>16691</v>
      </c>
      <c r="F5666" s="1" t="str">
        <f>IFERROR(__xludf.DUMMYFUNCTION("GOOGLETRANSLATE(A5666, ""zh-CN"", ""ko"")"),"최대")</f>
        <v>최대</v>
      </c>
    </row>
    <row r="5667" ht="15.75" customHeight="1">
      <c r="A5667" s="1" t="s">
        <v>16692</v>
      </c>
      <c r="B5667" s="1">
        <v>7.0</v>
      </c>
      <c r="C5667" s="1" t="s">
        <v>16693</v>
      </c>
      <c r="D5667" s="1" t="s">
        <v>52</v>
      </c>
      <c r="E5667" s="1" t="s">
        <v>16694</v>
      </c>
      <c r="F5667" s="1" t="str">
        <f>IFERROR(__xludf.DUMMYFUNCTION("GOOGLETRANSLATE(A5667, ""zh-CN"", ""ko"")"),"다자간")</f>
        <v>다자간</v>
      </c>
    </row>
    <row r="5668" ht="15.75" customHeight="1">
      <c r="A5668" s="1" t="s">
        <v>16695</v>
      </c>
      <c r="B5668" s="1">
        <v>7.0</v>
      </c>
      <c r="C5668" s="1" t="s">
        <v>16696</v>
      </c>
      <c r="E5668" s="1" t="s">
        <v>16697</v>
      </c>
      <c r="F5668" s="1" t="str">
        <f>IFERROR(__xludf.DUMMYFUNCTION("GOOGLETRANSLATE(A5668, ""zh-CN"", ""ko"")"),"오랜 세월 동안")</f>
        <v>오랜 세월 동안</v>
      </c>
    </row>
    <row r="5669" ht="15.75" customHeight="1">
      <c r="A5669" s="1" t="s">
        <v>16698</v>
      </c>
      <c r="B5669" s="1">
        <v>7.0</v>
      </c>
      <c r="C5669" s="1" t="s">
        <v>16699</v>
      </c>
      <c r="D5669" s="1" t="s">
        <v>52</v>
      </c>
      <c r="E5669" s="1" t="s">
        <v>16700</v>
      </c>
      <c r="F5669" s="1" t="str">
        <f>IFERROR(__xludf.DUMMYFUNCTION("GOOGLETRANSLATE(A5669, ""zh-CN"", ""ko"")"),"의심스러운")</f>
        <v>의심스러운</v>
      </c>
    </row>
    <row r="5670" ht="15.75" customHeight="1">
      <c r="A5670" s="1" t="s">
        <v>16701</v>
      </c>
      <c r="B5670" s="1">
        <v>7.0</v>
      </c>
      <c r="C5670" s="1" t="s">
        <v>16702</v>
      </c>
      <c r="D5670" s="1" t="s">
        <v>8</v>
      </c>
      <c r="E5670" s="1" t="s">
        <v>16703</v>
      </c>
      <c r="F5670" s="1" t="str">
        <f>IFERROR(__xludf.DUMMYFUNCTION("GOOGLETRANSLATE(A5670, ""zh-CN"", ""ko"")"),"챔피언십 우승")</f>
        <v>챔피언십 우승</v>
      </c>
    </row>
    <row r="5671" ht="15.75" customHeight="1">
      <c r="A5671" s="1" t="s">
        <v>16704</v>
      </c>
      <c r="B5671" s="1">
        <v>7.0</v>
      </c>
      <c r="C5671" s="1" t="s">
        <v>16705</v>
      </c>
      <c r="D5671" s="1" t="s">
        <v>8</v>
      </c>
      <c r="E5671" s="1" t="s">
        <v>16706</v>
      </c>
      <c r="F5671" s="1" t="str">
        <f>IFERROR(__xludf.DUMMYFUNCTION("GOOGLETRANSLATE(A5671, ""zh-CN"", ""ko"")"),"챔피언십 우승")</f>
        <v>챔피언십 우승</v>
      </c>
    </row>
    <row r="5672" ht="15.75" customHeight="1">
      <c r="A5672" s="1" t="s">
        <v>16707</v>
      </c>
      <c r="B5672" s="1">
        <v>7.0</v>
      </c>
      <c r="C5672" s="1" t="s">
        <v>16708</v>
      </c>
      <c r="D5672" s="1" t="s">
        <v>16</v>
      </c>
      <c r="E5672" s="1" t="s">
        <v>16709</v>
      </c>
      <c r="F5672" s="1" t="str">
        <f>IFERROR(__xludf.DUMMYFUNCTION("GOOGLETRANSLATE(A5672, ""zh-CN"", ""ko"")"),"거위")</f>
        <v>거위</v>
      </c>
    </row>
    <row r="5673" ht="15.75" customHeight="1">
      <c r="A5673" s="1" t="s">
        <v>16710</v>
      </c>
      <c r="B5673" s="1">
        <v>7.0</v>
      </c>
      <c r="C5673" s="1" t="s">
        <v>16711</v>
      </c>
      <c r="D5673" s="1" t="s">
        <v>16</v>
      </c>
      <c r="E5673" s="1" t="s">
        <v>16712</v>
      </c>
      <c r="F5673" s="1" t="str">
        <f>IFERROR(__xludf.DUMMYFUNCTION("GOOGLETRANSLATE(A5673, ""zh-CN"", ""ko"")"),"신용 한도")</f>
        <v>신용 한도</v>
      </c>
    </row>
    <row r="5674" ht="15.75" customHeight="1">
      <c r="A5674" s="1" t="s">
        <v>16713</v>
      </c>
      <c r="B5674" s="1">
        <v>7.0</v>
      </c>
      <c r="C5674" s="1" t="s">
        <v>16714</v>
      </c>
      <c r="D5674" s="1" t="s">
        <v>8</v>
      </c>
      <c r="E5674" s="1" t="s">
        <v>16715</v>
      </c>
      <c r="F5674" s="1" t="str">
        <f>IFERROR(__xludf.DUMMYFUNCTION("GOOGLETRANSLATE(A5674, ""zh-CN"", ""ko"")"),"강요")</f>
        <v>강요</v>
      </c>
    </row>
    <row r="5675" ht="15.75" customHeight="1">
      <c r="A5675" s="1" t="s">
        <v>16716</v>
      </c>
      <c r="B5675" s="1">
        <v>7.0</v>
      </c>
      <c r="C5675" s="1" t="s">
        <v>1097</v>
      </c>
      <c r="D5675" s="1" t="s">
        <v>52</v>
      </c>
      <c r="E5675" s="1" t="s">
        <v>16717</v>
      </c>
      <c r="F5675" s="1" t="str">
        <f>IFERROR(__xludf.DUMMYFUNCTION("GOOGLETRANSLATE(A5675, ""zh-CN"", ""ko"")"),"사악한")</f>
        <v>사악한</v>
      </c>
    </row>
    <row r="5676" ht="15.75" customHeight="1">
      <c r="A5676" s="1" t="s">
        <v>16718</v>
      </c>
      <c r="B5676" s="1">
        <v>7.0</v>
      </c>
      <c r="C5676" s="1" t="s">
        <v>16719</v>
      </c>
      <c r="D5676" s="1" t="s">
        <v>16</v>
      </c>
      <c r="E5676" s="1" t="s">
        <v>16720</v>
      </c>
      <c r="F5676" s="1" t="str">
        <f>IFERROR(__xludf.DUMMYFUNCTION("GOOGLETRANSLATE(A5676, ""zh-CN"", ""ko"")"),"나쁜 소식")</f>
        <v>나쁜 소식</v>
      </c>
    </row>
    <row r="5677" ht="15.75" customHeight="1">
      <c r="A5677" s="1" t="s">
        <v>16721</v>
      </c>
      <c r="B5677" s="1">
        <v>7.0</v>
      </c>
      <c r="C5677" s="1" t="s">
        <v>16722</v>
      </c>
      <c r="D5677" s="1" t="s">
        <v>52</v>
      </c>
      <c r="E5677" s="1" t="s">
        <v>16723</v>
      </c>
      <c r="F5677" s="1" t="str">
        <f>IFERROR(__xludf.DUMMYFUNCTION("GOOGLETRANSLATE(A5677, ""zh-CN"", ""ko"")"),"악의 있는")</f>
        <v>악의 있는</v>
      </c>
    </row>
    <row r="5678" ht="15.75" customHeight="1">
      <c r="A5678" s="1" t="s">
        <v>16724</v>
      </c>
      <c r="B5678" s="1">
        <v>7.0</v>
      </c>
      <c r="C5678" s="1" t="s">
        <v>16725</v>
      </c>
      <c r="D5678" s="1" t="s">
        <v>16</v>
      </c>
      <c r="E5678" s="1" t="s">
        <v>16726</v>
      </c>
      <c r="F5678" s="1" t="str">
        <f>IFERROR(__xludf.DUMMYFUNCTION("GOOGLETRANSLATE(A5678, ""zh-CN"", ""ko"")"),"악의 있는")</f>
        <v>악의 있는</v>
      </c>
    </row>
    <row r="5679" ht="15.75" customHeight="1">
      <c r="A5679" s="1" t="s">
        <v>16727</v>
      </c>
      <c r="B5679" s="1">
        <v>7.0</v>
      </c>
      <c r="C5679" s="1" t="s">
        <v>16728</v>
      </c>
      <c r="D5679" s="1" t="s">
        <v>16</v>
      </c>
      <c r="E5679" s="1" t="s">
        <v>16729</v>
      </c>
      <c r="F5679" s="1" t="str">
        <f>IFERROR(__xludf.DUMMYFUNCTION("GOOGLETRANSLATE(A5679, ""zh-CN"", ""ko"")"),"악어")</f>
        <v>악어</v>
      </c>
    </row>
    <row r="5680" ht="15.75" customHeight="1">
      <c r="A5680" s="1" t="s">
        <v>16730</v>
      </c>
      <c r="B5680" s="1">
        <v>7.0</v>
      </c>
      <c r="C5680" s="1" t="s">
        <v>16731</v>
      </c>
      <c r="D5680" s="1" t="s">
        <v>16</v>
      </c>
      <c r="E5680" s="1" t="s">
        <v>16732</v>
      </c>
      <c r="F5680" s="1" t="str">
        <f>IFERROR(__xludf.DUMMYFUNCTION("GOOGLETRANSLATE(A5680, ""zh-CN"", ""ko"")"),"운명")</f>
        <v>운명</v>
      </c>
    </row>
    <row r="5681" ht="15.75" customHeight="1">
      <c r="A5681" s="1" t="s">
        <v>16733</v>
      </c>
      <c r="B5681" s="1">
        <v>7.0</v>
      </c>
      <c r="C5681" s="1" t="s">
        <v>16734</v>
      </c>
      <c r="D5681" s="1" t="s">
        <v>14870</v>
      </c>
      <c r="E5681" s="1" t="s">
        <v>16735</v>
      </c>
      <c r="F5681" s="1" t="str">
        <f>IFERROR(__xludf.DUMMYFUNCTION("GOOGLETRANSLATE(A5681, ""zh-CN"", ""ko"")"),"장난")</f>
        <v>장난</v>
      </c>
    </row>
    <row r="5682" ht="15.75" customHeight="1">
      <c r="A5682" s="1" t="s">
        <v>16736</v>
      </c>
      <c r="B5682" s="1">
        <v>7.0</v>
      </c>
      <c r="C5682" s="1" t="s">
        <v>16737</v>
      </c>
      <c r="D5682" s="1" t="s">
        <v>52</v>
      </c>
      <c r="E5682" s="1" t="s">
        <v>16738</v>
      </c>
      <c r="F5682" s="1" t="str">
        <f>IFERROR(__xludf.DUMMYFUNCTION("GOOGLETRANSLATE(A5682, ""zh-CN"", ""ko"")"),"사랑하는")</f>
        <v>사랑하는</v>
      </c>
    </row>
    <row r="5683" ht="15.75" customHeight="1">
      <c r="A5683" s="1" t="s">
        <v>16739</v>
      </c>
      <c r="B5683" s="1">
        <v>7.0</v>
      </c>
      <c r="C5683" s="1" t="s">
        <v>16740</v>
      </c>
      <c r="D5683" s="1" t="s">
        <v>16</v>
      </c>
      <c r="E5683" s="1" t="s">
        <v>16741</v>
      </c>
      <c r="F5683" s="1" t="str">
        <f>IFERROR(__xludf.DUMMYFUNCTION("GOOGLETRANSLATE(A5683, ""zh-CN"", ""ko"")"),"친절")</f>
        <v>친절</v>
      </c>
    </row>
    <row r="5684" ht="15.75" customHeight="1">
      <c r="A5684" s="1" t="s">
        <v>16742</v>
      </c>
      <c r="B5684" s="1">
        <v>7.0</v>
      </c>
      <c r="C5684" s="1" t="s">
        <v>16743</v>
      </c>
      <c r="D5684" s="1" t="s">
        <v>16</v>
      </c>
      <c r="E5684" s="1" t="s">
        <v>16744</v>
      </c>
      <c r="F5684" s="1" t="str">
        <f>IFERROR(__xludf.DUMMYFUNCTION("GOOGLETRANSLATE(A5684, ""zh-CN"", ""ko"")"),"은인")</f>
        <v>은인</v>
      </c>
    </row>
    <row r="5685" ht="15.75" customHeight="1">
      <c r="A5685" s="1" t="s">
        <v>16745</v>
      </c>
      <c r="B5685" s="1">
        <v>7.0</v>
      </c>
      <c r="C5685" s="1" t="s">
        <v>16746</v>
      </c>
      <c r="D5685" s="1" t="s">
        <v>16</v>
      </c>
      <c r="E5685" s="1" t="s">
        <v>14795</v>
      </c>
      <c r="F5685" s="1" t="str">
        <f>IFERROR(__xludf.DUMMYFUNCTION("GOOGLETRANSLATE(A5685, ""zh-CN"", ""ko"")"),"찰싹")</f>
        <v>찰싹</v>
      </c>
    </row>
    <row r="5686" ht="15.75" customHeight="1">
      <c r="A5686" s="1" t="s">
        <v>16747</v>
      </c>
      <c r="B5686" s="1">
        <v>7.0</v>
      </c>
      <c r="C5686" s="1" t="s">
        <v>16748</v>
      </c>
      <c r="E5686" s="1" t="s">
        <v>16749</v>
      </c>
      <c r="F5686" s="1" t="str">
        <f>IFERROR(__xludf.DUMMYFUNCTION("GOOGLETRANSLATE(A5686, ""zh-CN"", ""ko"")"),"상쾌한 경험")</f>
        <v>상쾌한 경험</v>
      </c>
    </row>
    <row r="5687" ht="15.75" customHeight="1">
      <c r="A5687" s="1" t="s">
        <v>16750</v>
      </c>
      <c r="B5687" s="1">
        <v>7.0</v>
      </c>
      <c r="C5687" s="1" t="s">
        <v>16751</v>
      </c>
      <c r="E5687" s="1" t="s">
        <v>16752</v>
      </c>
      <c r="F5687" s="1" t="str">
        <f>IFERROR(__xludf.DUMMYFUNCTION("GOOGLETRANSLATE(A5687, ""zh-CN"", ""ko"")"),"친숙한")</f>
        <v>친숙한</v>
      </c>
    </row>
    <row r="5688" ht="15.75" customHeight="1">
      <c r="A5688" s="1" t="s">
        <v>16753</v>
      </c>
      <c r="B5688" s="1">
        <v>7.0</v>
      </c>
      <c r="C5688" s="1" t="s">
        <v>16754</v>
      </c>
      <c r="D5688" s="1" t="s">
        <v>8</v>
      </c>
      <c r="E5688" s="1" t="s">
        <v>16755</v>
      </c>
      <c r="F5688" s="1" t="str">
        <f>IFERROR(__xludf.DUMMYFUNCTION("GOOGLETRANSLATE(A5688, ""zh-CN"", ""ko"")"),"화내다")</f>
        <v>화내다</v>
      </c>
    </row>
    <row r="5689" ht="15.75" customHeight="1">
      <c r="A5689" s="1" t="s">
        <v>16756</v>
      </c>
      <c r="B5689" s="1">
        <v>7.0</v>
      </c>
      <c r="C5689" s="1" t="s">
        <v>16757</v>
      </c>
      <c r="D5689" s="1" t="s">
        <v>8</v>
      </c>
      <c r="E5689" s="1" t="s">
        <v>16758</v>
      </c>
      <c r="F5689" s="1" t="str">
        <f>IFERROR(__xludf.DUMMYFUNCTION("GOOGLETRANSLATE(A5689, ""zh-CN"", ""ko"")"),"발효")</f>
        <v>발효</v>
      </c>
    </row>
    <row r="5690" ht="15.75" customHeight="1">
      <c r="A5690" s="1" t="s">
        <v>16759</v>
      </c>
      <c r="B5690" s="1">
        <v>7.0</v>
      </c>
      <c r="C5690" s="1" t="s">
        <v>8819</v>
      </c>
      <c r="D5690" s="1" t="s">
        <v>8</v>
      </c>
      <c r="E5690" s="1" t="s">
        <v>16760</v>
      </c>
      <c r="F5690" s="1" t="str">
        <f>IFERROR(__xludf.DUMMYFUNCTION("GOOGLETRANSLATE(A5690, ""zh-CN"", ""ko"")"),"발굴")</f>
        <v>발굴</v>
      </c>
    </row>
    <row r="5691" ht="15.75" customHeight="1">
      <c r="A5691" s="1" t="s">
        <v>16761</v>
      </c>
      <c r="B5691" s="1">
        <v>7.0</v>
      </c>
      <c r="C5691" s="1" t="s">
        <v>16762</v>
      </c>
      <c r="D5691" s="1" t="s">
        <v>8</v>
      </c>
      <c r="E5691" s="1" t="s">
        <v>16763</v>
      </c>
      <c r="F5691" s="1" t="str">
        <f>IFERROR(__xludf.DUMMYFUNCTION("GOOGLETRANSLATE(A5691, ""zh-CN"", ""ko"")"),"깜짝 놀랐다")</f>
        <v>깜짝 놀랐다</v>
      </c>
    </row>
    <row r="5692" ht="15.75" customHeight="1">
      <c r="A5692" s="1" t="s">
        <v>16764</v>
      </c>
      <c r="B5692" s="1">
        <v>7.0</v>
      </c>
      <c r="C5692" s="1" t="s">
        <v>16765</v>
      </c>
      <c r="D5692" s="1" t="s">
        <v>8</v>
      </c>
      <c r="E5692" s="1" t="s">
        <v>16766</v>
      </c>
      <c r="F5692" s="1" t="str">
        <f>IFERROR(__xludf.DUMMYFUNCTION("GOOGLETRANSLATE(A5692, ""zh-CN"", ""ko"")"),"화")</f>
        <v>화</v>
      </c>
    </row>
    <row r="5693" ht="15.75" customHeight="1">
      <c r="A5693" s="1" t="s">
        <v>16767</v>
      </c>
      <c r="B5693" s="1">
        <v>7.0</v>
      </c>
      <c r="C5693" s="1" t="s">
        <v>16768</v>
      </c>
      <c r="D5693" s="1" t="s">
        <v>8</v>
      </c>
      <c r="E5693" s="1" t="s">
        <v>16769</v>
      </c>
      <c r="F5693" s="1" t="str">
        <f>IFERROR(__xludf.DUMMYFUNCTION("GOOGLETRANSLATE(A5693, ""zh-CN"", ""ko"")"),"발열")</f>
        <v>발열</v>
      </c>
    </row>
    <row r="5694" ht="15.75" customHeight="1">
      <c r="A5694" s="1" t="s">
        <v>16770</v>
      </c>
      <c r="B5694" s="1">
        <v>7.0</v>
      </c>
      <c r="C5694" s="1" t="s">
        <v>16771</v>
      </c>
      <c r="D5694" s="1" t="s">
        <v>8</v>
      </c>
      <c r="E5694" s="1" t="s">
        <v>16772</v>
      </c>
      <c r="F5694" s="1" t="str">
        <f>IFERROR(__xludf.DUMMYFUNCTION("GOOGLETRANSLATE(A5694, ""zh-CN"", ""ko"")"),"벤트")</f>
        <v>벤트</v>
      </c>
    </row>
    <row r="5695" ht="15.75" customHeight="1">
      <c r="A5695" s="1" t="s">
        <v>16773</v>
      </c>
      <c r="B5695" s="1">
        <v>7.0</v>
      </c>
      <c r="C5695" s="1" t="s">
        <v>16774</v>
      </c>
      <c r="D5695" s="1" t="s">
        <v>8</v>
      </c>
      <c r="E5695" s="1" t="s">
        <v>16775</v>
      </c>
      <c r="F5695" s="1" t="str">
        <f>IFERROR(__xludf.DUMMYFUNCTION("GOOGLETRANSLATE(A5695, ""zh-CN"", ""ko"")"),"발아")</f>
        <v>발아</v>
      </c>
    </row>
    <row r="5696" ht="15.75" customHeight="1">
      <c r="A5696" s="1" t="s">
        <v>16776</v>
      </c>
      <c r="B5696" s="1">
        <v>7.0</v>
      </c>
      <c r="C5696" s="1" t="s">
        <v>16777</v>
      </c>
      <c r="D5696" s="1" t="s">
        <v>16</v>
      </c>
      <c r="E5696" s="1" t="s">
        <v>16778</v>
      </c>
      <c r="F5696" s="1" t="str">
        <f>IFERROR(__xludf.DUMMYFUNCTION("GOOGLETRANSLATE(A5696, ""zh-CN"", ""ko"")"),"대변인")</f>
        <v>대변인</v>
      </c>
    </row>
    <row r="5697" ht="15.75" customHeight="1">
      <c r="A5697" s="1" t="s">
        <v>16779</v>
      </c>
      <c r="B5697" s="1">
        <v>7.0</v>
      </c>
      <c r="C5697" s="1" t="s">
        <v>16780</v>
      </c>
      <c r="E5697" s="1" t="s">
        <v>16781</v>
      </c>
      <c r="F5697" s="1" t="str">
        <f>IFERROR(__xludf.DUMMYFUNCTION("GOOGLETRANSLATE(A5697, ""zh-CN"", ""ko"")"),"계속 발전시켜 나가자")</f>
        <v>계속 발전시켜 나가자</v>
      </c>
    </row>
    <row r="5698" ht="15.75" customHeight="1">
      <c r="A5698" s="1" t="s">
        <v>16782</v>
      </c>
      <c r="B5698" s="1">
        <v>7.0</v>
      </c>
      <c r="C5698" s="1" t="s">
        <v>16783</v>
      </c>
      <c r="D5698" s="1" t="s">
        <v>8</v>
      </c>
      <c r="E5698" s="1" t="s">
        <v>16784</v>
      </c>
      <c r="F5698" s="1" t="str">
        <f>IFERROR(__xludf.DUMMYFUNCTION("GOOGLETRANSLATE(A5698, ""zh-CN"", ""ko"")"),"기원")</f>
        <v>기원</v>
      </c>
    </row>
    <row r="5699" ht="15.75" customHeight="1">
      <c r="A5699" s="1" t="s">
        <v>16785</v>
      </c>
      <c r="B5699" s="1">
        <v>7.0</v>
      </c>
      <c r="C5699" s="1" t="s">
        <v>16786</v>
      </c>
      <c r="D5699" s="1" t="s">
        <v>16</v>
      </c>
      <c r="E5699" s="1" t="s">
        <v>16787</v>
      </c>
      <c r="F5699" s="1" t="str">
        <f>IFERROR(__xludf.DUMMYFUNCTION("GOOGLETRANSLATE(A5699, ""zh-CN"", ""ko"")"),"기원")</f>
        <v>기원</v>
      </c>
    </row>
    <row r="5700" ht="15.75" customHeight="1">
      <c r="A5700" s="1" t="s">
        <v>16788</v>
      </c>
      <c r="B5700" s="1">
        <v>7.0</v>
      </c>
      <c r="C5700" s="1" t="s">
        <v>16789</v>
      </c>
      <c r="D5700" s="1" t="s">
        <v>8</v>
      </c>
      <c r="E5700" s="1" t="s">
        <v>16790</v>
      </c>
      <c r="F5700" s="1" t="str">
        <f>IFERROR(__xludf.DUMMYFUNCTION("GOOGLETRANSLATE(A5700, ""zh-CN"", ""ko"")"),"공격")</f>
        <v>공격</v>
      </c>
    </row>
    <row r="5701" ht="15.75" customHeight="1">
      <c r="A5701" s="1" t="s">
        <v>16791</v>
      </c>
      <c r="B5701" s="1">
        <v>7.0</v>
      </c>
      <c r="C5701" s="1" t="s">
        <v>16792</v>
      </c>
      <c r="D5701" s="1" t="s">
        <v>14742</v>
      </c>
      <c r="E5701" s="1" t="s">
        <v>16793</v>
      </c>
      <c r="F5701" s="1" t="str">
        <f>IFERROR(__xludf.DUMMYFUNCTION("GOOGLETRANSLATE(A5701, ""zh-CN"", ""ko"")"),"피로")</f>
        <v>피로</v>
      </c>
    </row>
    <row r="5702" ht="15.75" customHeight="1">
      <c r="A5702" s="1" t="s">
        <v>16794</v>
      </c>
      <c r="B5702" s="1">
        <v>7.0</v>
      </c>
      <c r="C5702" s="1" t="s">
        <v>16795</v>
      </c>
      <c r="D5702" s="1" t="s">
        <v>16</v>
      </c>
      <c r="E5702" s="1" t="s">
        <v>16796</v>
      </c>
      <c r="F5702" s="1" t="str">
        <f>IFERROR(__xludf.DUMMYFUNCTION("GOOGLETRANSLATE(A5702, ""zh-CN"", ""ko"")"),"판막")</f>
        <v>판막</v>
      </c>
    </row>
    <row r="5703" ht="15.75" customHeight="1">
      <c r="A5703" s="1" t="s">
        <v>16797</v>
      </c>
      <c r="B5703" s="1">
        <v>7.0</v>
      </c>
      <c r="C5703" s="1" t="s">
        <v>16798</v>
      </c>
      <c r="D5703" s="1" t="s">
        <v>16</v>
      </c>
      <c r="E5703" s="1" t="s">
        <v>16799</v>
      </c>
      <c r="F5703" s="1" t="str">
        <f>IFERROR(__xludf.DUMMYFUNCTION("GOOGLETRANSLATE(A5703, ""zh-CN"", ""ko"")"),"법원")</f>
        <v>법원</v>
      </c>
    </row>
    <row r="5704" ht="15.75" customHeight="1">
      <c r="A5704" s="1" t="s">
        <v>16800</v>
      </c>
      <c r="B5704" s="1">
        <v>7.0</v>
      </c>
      <c r="C5704" s="1" t="s">
        <v>16801</v>
      </c>
      <c r="D5704" s="1" t="s">
        <v>16</v>
      </c>
      <c r="E5704" s="1" t="s">
        <v>16534</v>
      </c>
      <c r="F5704" s="1" t="str">
        <f>IFERROR(__xludf.DUMMYFUNCTION("GOOGLETRANSLATE(A5704, ""zh-CN"", ""ko"")"),"법")</f>
        <v>법</v>
      </c>
    </row>
    <row r="5705" ht="15.75" customHeight="1">
      <c r="A5705" s="1" t="s">
        <v>16802</v>
      </c>
      <c r="B5705" s="1">
        <v>7.0</v>
      </c>
      <c r="C5705" s="1" t="s">
        <v>16803</v>
      </c>
      <c r="D5705" s="1" t="s">
        <v>16</v>
      </c>
      <c r="E5705" s="1" t="s">
        <v>16804</v>
      </c>
      <c r="F5705" s="1" t="str">
        <f>IFERROR(__xludf.DUMMYFUNCTION("GOOGLETRANSLATE(A5705, ""zh-CN"", ""ko"")"),"법률 시스템")</f>
        <v>법률 시스템</v>
      </c>
    </row>
    <row r="5706" ht="15.75" customHeight="1">
      <c r="A5706" s="1" t="s">
        <v>16805</v>
      </c>
      <c r="B5706" s="1">
        <v>7.0</v>
      </c>
      <c r="C5706" s="1" t="s">
        <v>16803</v>
      </c>
      <c r="D5706" s="1" t="s">
        <v>14917</v>
      </c>
      <c r="E5706" s="1" t="s">
        <v>16806</v>
      </c>
      <c r="F5706" s="1" t="str">
        <f>IFERROR(__xludf.DUMMYFUNCTION("GOOGLETRANSLATE(A5706, ""zh-CN"", ""ko"")"),"법치주의")</f>
        <v>법치주의</v>
      </c>
    </row>
    <row r="5707" ht="15.75" customHeight="1">
      <c r="A5707" s="1" t="s">
        <v>16807</v>
      </c>
      <c r="B5707" s="1">
        <v>7.0</v>
      </c>
      <c r="C5707" s="1" t="s">
        <v>16808</v>
      </c>
      <c r="D5707" s="1" t="s">
        <v>16</v>
      </c>
      <c r="E5707" s="1" t="s">
        <v>16809</v>
      </c>
      <c r="F5707" s="1" t="str">
        <f>IFERROR(__xludf.DUMMYFUNCTION("GOOGLETRANSLATE(A5707, ""zh-CN"", ""ko"")"),"헤어스타일")</f>
        <v>헤어스타일</v>
      </c>
    </row>
    <row r="5708" ht="15.75" customHeight="1">
      <c r="A5708" s="1" t="s">
        <v>16810</v>
      </c>
      <c r="B5708" s="1">
        <v>7.0</v>
      </c>
      <c r="C5708" s="1" t="s">
        <v>4308</v>
      </c>
      <c r="D5708" s="1" t="s">
        <v>16</v>
      </c>
      <c r="E5708" s="1" t="s">
        <v>16811</v>
      </c>
      <c r="F5708" s="1" t="str">
        <f>IFERROR(__xludf.DUMMYFUNCTION("GOOGLETRANSLATE(A5708, ""zh-CN"", ""ko"")"),"돛")</f>
        <v>돛</v>
      </c>
    </row>
    <row r="5709" ht="15.75" customHeight="1">
      <c r="A5709" s="1" t="s">
        <v>16812</v>
      </c>
      <c r="B5709" s="1">
        <v>7.0</v>
      </c>
      <c r="C5709" s="1" t="s">
        <v>16813</v>
      </c>
      <c r="D5709" s="1" t="s">
        <v>16</v>
      </c>
      <c r="E5709" s="1" t="s">
        <v>16814</v>
      </c>
      <c r="F5709" s="1" t="str">
        <f>IFERROR(__xludf.DUMMYFUNCTION("GOOGLETRANSLATE(A5709, ""zh-CN"", ""ko"")"),"요트")</f>
        <v>요트</v>
      </c>
    </row>
    <row r="5710" ht="15.75" customHeight="1">
      <c r="A5710" s="1" t="s">
        <v>16815</v>
      </c>
      <c r="B5710" s="1">
        <v>7.0</v>
      </c>
      <c r="C5710" s="1" t="s">
        <v>16816</v>
      </c>
      <c r="D5710" s="1" t="s">
        <v>8</v>
      </c>
      <c r="E5710" s="1" t="s">
        <v>16817</v>
      </c>
      <c r="F5710" s="1" t="str">
        <f>IFERROR(__xludf.DUMMYFUNCTION("GOOGLETRANSLATE(A5710, ""zh-CN"", ""ko"")"),"더블")</f>
        <v>더블</v>
      </c>
    </row>
    <row r="5711" ht="15.75" customHeight="1">
      <c r="A5711" s="1" t="s">
        <v>16818</v>
      </c>
      <c r="B5711" s="1">
        <v>7.0</v>
      </c>
      <c r="C5711" s="1" t="s">
        <v>16819</v>
      </c>
      <c r="E5711" s="1" t="s">
        <v>16820</v>
      </c>
      <c r="F5711" s="1" t="str">
        <f>IFERROR(__xludf.DUMMYFUNCTION("GOOGLETRANSLATE(A5711, ""zh-CN"", ""ko"")"),"계속해서 뒤집다")</f>
        <v>계속해서 뒤집다</v>
      </c>
    </row>
    <row r="5712" ht="15.75" customHeight="1">
      <c r="A5712" s="1" t="s">
        <v>16821</v>
      </c>
      <c r="B5712" s="1">
        <v>7.0</v>
      </c>
      <c r="C5712" s="1" t="s">
        <v>16822</v>
      </c>
      <c r="D5712" s="1" t="s">
        <v>8</v>
      </c>
      <c r="E5712" s="1" t="s">
        <v>16823</v>
      </c>
      <c r="F5712" s="1" t="str">
        <f>IFERROR(__xludf.DUMMYFUNCTION("GOOGLETRANSLATE(A5712, ""zh-CN"", ""ko"")"),"뒤집으세요")</f>
        <v>뒤집으세요</v>
      </c>
    </row>
    <row r="5713" ht="15.75" customHeight="1">
      <c r="A5713" s="1" t="s">
        <v>16824</v>
      </c>
      <c r="B5713" s="1">
        <v>7.0</v>
      </c>
      <c r="C5713" s="1" t="s">
        <v>16825</v>
      </c>
      <c r="E5713" s="1" t="s">
        <v>16826</v>
      </c>
      <c r="F5713" s="1" t="str">
        <f>IFERROR(__xludf.DUMMYFUNCTION("GOOGLETRANSLATE(A5713, ""zh-CN"", ""ko"")"),"대변동")</f>
        <v>대변동</v>
      </c>
    </row>
    <row r="5714" ht="15.75" customHeight="1">
      <c r="A5714" s="1" t="s">
        <v>16827</v>
      </c>
      <c r="B5714" s="1">
        <v>7.0</v>
      </c>
      <c r="C5714" s="1" t="s">
        <v>16828</v>
      </c>
      <c r="D5714" s="1" t="s">
        <v>8</v>
      </c>
      <c r="E5714" s="1" t="s">
        <v>16829</v>
      </c>
      <c r="F5714" s="1" t="str">
        <f>IFERROR(__xludf.DUMMYFUNCTION("GOOGLETRANSLATE(A5714, ""zh-CN"", ""ko"")"),"리모델링")</f>
        <v>리모델링</v>
      </c>
    </row>
    <row r="5715" ht="15.75" customHeight="1">
      <c r="A5715" s="1" t="s">
        <v>16830</v>
      </c>
      <c r="B5715" s="1">
        <v>7.0</v>
      </c>
      <c r="C5715" s="1" t="s">
        <v>16831</v>
      </c>
      <c r="D5715" s="1" t="s">
        <v>52</v>
      </c>
      <c r="E5715" s="1" t="s">
        <v>16832</v>
      </c>
      <c r="F5715" s="1" t="str">
        <f>IFERROR(__xludf.DUMMYFUNCTION("GOOGLETRANSLATE(A5715, ""zh-CN"", ""ko"")"),"많은")</f>
        <v>많은</v>
      </c>
    </row>
    <row r="5716" ht="15.75" customHeight="1">
      <c r="A5716" s="1" t="s">
        <v>16833</v>
      </c>
      <c r="B5716" s="1">
        <v>7.0</v>
      </c>
      <c r="C5716" s="1" t="s">
        <v>16834</v>
      </c>
      <c r="D5716" s="1" t="s">
        <v>52</v>
      </c>
      <c r="E5716" s="1" t="s">
        <v>16835</v>
      </c>
      <c r="F5716" s="1" t="str">
        <f>IFERROR(__xludf.DUMMYFUNCTION("GOOGLETRANSLATE(A5716, ""zh-CN"", ""ko"")"),"좌절")</f>
        <v>좌절</v>
      </c>
    </row>
    <row r="5717" ht="15.75" customHeight="1">
      <c r="A5717" s="1" t="s">
        <v>16836</v>
      </c>
      <c r="B5717" s="1">
        <v>7.0</v>
      </c>
      <c r="C5717" s="1" t="s">
        <v>16837</v>
      </c>
      <c r="D5717" s="1" t="s">
        <v>8</v>
      </c>
      <c r="E5717" s="1" t="s">
        <v>16838</v>
      </c>
      <c r="F5717" s="1" t="str">
        <f>IFERROR(__xludf.DUMMYFUNCTION("GOOGLETRANSLATE(A5717, ""zh-CN"", ""ko"")"),"생식")</f>
        <v>생식</v>
      </c>
    </row>
    <row r="5718" ht="15.75" customHeight="1">
      <c r="A5718" s="1" t="s">
        <v>16839</v>
      </c>
      <c r="B5718" s="1">
        <v>7.0</v>
      </c>
      <c r="C5718" s="1" t="s">
        <v>16840</v>
      </c>
      <c r="D5718" s="1" t="s">
        <v>52</v>
      </c>
      <c r="E5718" s="1" t="s">
        <v>16841</v>
      </c>
      <c r="F5718" s="1" t="str">
        <f>IFERROR(__xludf.DUMMYFUNCTION("GOOGLETRANSLATE(A5718, ""zh-CN"", ""ko"")"),"복잡한")</f>
        <v>복잡한</v>
      </c>
    </row>
    <row r="5719" ht="15.75" customHeight="1">
      <c r="A5719" s="1" t="s">
        <v>16842</v>
      </c>
      <c r="B5719" s="1">
        <v>7.0</v>
      </c>
      <c r="C5719" s="1" t="s">
        <v>16843</v>
      </c>
      <c r="D5719" s="1" t="s">
        <v>52</v>
      </c>
      <c r="E5719" s="1" t="s">
        <v>16844</v>
      </c>
      <c r="F5719" s="1" t="str">
        <f>IFERROR(__xludf.DUMMYFUNCTION("GOOGLETRANSLATE(A5719, ""zh-CN"", ""ko"")"),"과민성")</f>
        <v>과민성</v>
      </c>
    </row>
    <row r="5720" ht="15.75" customHeight="1">
      <c r="A5720" s="1" t="s">
        <v>16845</v>
      </c>
      <c r="B5720" s="1">
        <v>7.0</v>
      </c>
      <c r="C5720" s="1" t="s">
        <v>16846</v>
      </c>
      <c r="D5720" s="1" t="s">
        <v>52</v>
      </c>
      <c r="E5720" s="1" t="s">
        <v>16847</v>
      </c>
      <c r="F5720" s="1" t="str">
        <f>IFERROR(__xludf.DUMMYFUNCTION("GOOGLETRANSLATE(A5720, ""zh-CN"", ""ko"")"),"무거운")</f>
        <v>무거운</v>
      </c>
    </row>
    <row r="5721" ht="15.75" customHeight="1">
      <c r="A5721" s="1" t="s">
        <v>16848</v>
      </c>
      <c r="B5721" s="1">
        <v>7.0</v>
      </c>
      <c r="C5721" s="1" t="s">
        <v>16849</v>
      </c>
      <c r="D5721" s="1" t="s">
        <v>16</v>
      </c>
      <c r="E5721" s="1" t="s">
        <v>16850</v>
      </c>
      <c r="F5721" s="1" t="str">
        <f>IFERROR(__xludf.DUMMYFUNCTION("GOOGLETRANSLATE(A5721, ""zh-CN"", ""ko"")"),"차이")</f>
        <v>차이</v>
      </c>
    </row>
    <row r="5722" ht="15.75" customHeight="1">
      <c r="A5722" s="1" t="s">
        <v>16851</v>
      </c>
      <c r="B5722" s="1">
        <v>7.0</v>
      </c>
      <c r="C5722" s="1" t="s">
        <v>16852</v>
      </c>
      <c r="D5722" s="1" t="s">
        <v>33</v>
      </c>
      <c r="E5722" s="1" t="s">
        <v>16853</v>
      </c>
      <c r="F5722" s="1" t="str">
        <f>IFERROR(__xludf.DUMMYFUNCTION("GOOGLETRANSLATE(A5722, ""zh-CN"", ""ko"")"),"반대로")</f>
        <v>반대로</v>
      </c>
    </row>
    <row r="5723" ht="15.75" customHeight="1">
      <c r="A5723" s="1" t="s">
        <v>16854</v>
      </c>
      <c r="B5723" s="1">
        <v>7.0</v>
      </c>
      <c r="C5723" s="1" t="s">
        <v>16855</v>
      </c>
      <c r="D5723" s="1" t="s">
        <v>8</v>
      </c>
      <c r="E5723" s="1" t="s">
        <v>16856</v>
      </c>
      <c r="F5723" s="1" t="str">
        <f>IFERROR(__xludf.DUMMYFUNCTION("GOOGLETRANSLATE(A5723, ""zh-CN"", ""ko"")"),"반품")</f>
        <v>반품</v>
      </c>
    </row>
    <row r="5724" ht="15.75" customHeight="1">
      <c r="A5724" s="1" t="s">
        <v>16857</v>
      </c>
      <c r="B5724" s="1">
        <v>7.0</v>
      </c>
      <c r="C5724" s="1" t="s">
        <v>16858</v>
      </c>
      <c r="D5724" s="1" t="s">
        <v>8</v>
      </c>
      <c r="E5724" s="1" t="s">
        <v>16859</v>
      </c>
      <c r="F5724" s="1" t="str">
        <f>IFERROR(__xludf.DUMMYFUNCTION("GOOGLETRANSLATE(A5724, ""zh-CN"", ""ko"")"),"역습")</f>
        <v>역습</v>
      </c>
    </row>
    <row r="5725" ht="15.75" customHeight="1">
      <c r="A5725" s="1" t="s">
        <v>16860</v>
      </c>
      <c r="B5725" s="1">
        <v>7.0</v>
      </c>
      <c r="C5725" s="1" t="s">
        <v>16861</v>
      </c>
      <c r="D5725" s="1" t="s">
        <v>8</v>
      </c>
      <c r="E5725" s="1" t="s">
        <v>16862</v>
      </c>
      <c r="F5725" s="1" t="str">
        <f>IFERROR(__xludf.DUMMYFUNCTION("GOOGLETRANSLATE(A5725, ""zh-CN"", ""ko"")"),"리바운드")</f>
        <v>리바운드</v>
      </c>
    </row>
    <row r="5726" ht="15.75" customHeight="1">
      <c r="A5726" s="1" t="s">
        <v>16863</v>
      </c>
      <c r="B5726" s="1">
        <v>7.0</v>
      </c>
      <c r="C5726" s="1" t="s">
        <v>16864</v>
      </c>
      <c r="D5726" s="1" t="s">
        <v>16</v>
      </c>
      <c r="E5726" s="1" t="s">
        <v>16865</v>
      </c>
      <c r="F5726" s="1" t="str">
        <f>IFERROR(__xludf.DUMMYFUNCTION("GOOGLETRANSLATE(A5726, ""zh-CN"", ""ko"")"),"여파")</f>
        <v>여파</v>
      </c>
    </row>
    <row r="5727" ht="15.75" customHeight="1">
      <c r="A5727" s="1" t="s">
        <v>16866</v>
      </c>
      <c r="B5727" s="1">
        <v>7.0</v>
      </c>
      <c r="C5727" s="1" t="s">
        <v>16867</v>
      </c>
      <c r="D5727" s="1" t="s">
        <v>8</v>
      </c>
      <c r="E5727" s="1" t="s">
        <v>16868</v>
      </c>
      <c r="F5727" s="1" t="str">
        <f>IFERROR(__xludf.DUMMYFUNCTION("GOOGLETRANSLATE(A5727, ""zh-CN"", ""ko"")"),"반영하다")</f>
        <v>반영하다</v>
      </c>
    </row>
    <row r="5728" ht="15.75" customHeight="1">
      <c r="A5728" s="1" t="s">
        <v>16869</v>
      </c>
      <c r="B5728" s="1">
        <v>7.0</v>
      </c>
      <c r="C5728" s="1" t="s">
        <v>8888</v>
      </c>
      <c r="D5728" s="1" t="s">
        <v>8</v>
      </c>
      <c r="E5728" s="1" t="s">
        <v>16870</v>
      </c>
      <c r="F5728" s="1" t="str">
        <f>IFERROR(__xludf.DUMMYFUNCTION("GOOGLETRANSLATE(A5728, ""zh-CN"", ""ko"")"),"걱정하다")</f>
        <v>걱정하다</v>
      </c>
    </row>
    <row r="5729" ht="15.75" customHeight="1">
      <c r="A5729" s="1" t="s">
        <v>16871</v>
      </c>
      <c r="B5729" s="1">
        <v>7.0</v>
      </c>
      <c r="C5729" s="1" t="s">
        <v>16872</v>
      </c>
      <c r="D5729" s="1" t="s">
        <v>8</v>
      </c>
      <c r="E5729" s="1" t="s">
        <v>16873</v>
      </c>
      <c r="F5729" s="1" t="str">
        <f>IFERROR(__xludf.DUMMYFUNCTION("GOOGLETRANSLATE(A5729, ""zh-CN"", ""ko"")"),"반칙")</f>
        <v>반칙</v>
      </c>
    </row>
    <row r="5730" ht="15.75" customHeight="1">
      <c r="A5730" s="1" t="s">
        <v>16874</v>
      </c>
      <c r="B5730" s="1">
        <v>7.0</v>
      </c>
      <c r="C5730" s="1" t="s">
        <v>16875</v>
      </c>
      <c r="D5730" s="1" t="s">
        <v>16</v>
      </c>
      <c r="E5730" s="1" t="s">
        <v>16876</v>
      </c>
      <c r="F5730" s="1" t="str">
        <f>IFERROR(__xludf.DUMMYFUNCTION("GOOGLETRANSLATE(A5730, ""zh-CN"", ""ko"")"),"밥그릇")</f>
        <v>밥그릇</v>
      </c>
    </row>
    <row r="5731" ht="15.75" customHeight="1">
      <c r="A5731" s="1" t="s">
        <v>16877</v>
      </c>
      <c r="B5731" s="1">
        <v>7.0</v>
      </c>
      <c r="C5731" s="1" t="s">
        <v>16878</v>
      </c>
      <c r="D5731" s="1" t="s">
        <v>8</v>
      </c>
      <c r="E5731" s="1" t="s">
        <v>16879</v>
      </c>
      <c r="F5731" s="1" t="str">
        <f>IFERROR(__xludf.DUMMYFUNCTION("GOOGLETRANSLATE(A5731, ""zh-CN"", ""ko"")"),"범죄")</f>
        <v>범죄</v>
      </c>
    </row>
    <row r="5732" ht="15.75" customHeight="1">
      <c r="A5732" s="1" t="s">
        <v>16880</v>
      </c>
      <c r="B5732" s="1">
        <v>7.0</v>
      </c>
      <c r="C5732" s="1" t="s">
        <v>16881</v>
      </c>
      <c r="D5732" s="1" t="s">
        <v>16</v>
      </c>
      <c r="E5732" s="1" t="s">
        <v>16882</v>
      </c>
      <c r="F5732" s="1" t="str">
        <f>IFERROR(__xludf.DUMMYFUNCTION("GOOGLETRANSLATE(A5732, ""zh-CN"", ""ko"")"),"핸들")</f>
        <v>핸들</v>
      </c>
    </row>
    <row r="5733" ht="15.75" customHeight="1">
      <c r="A5733" s="1" t="s">
        <v>16883</v>
      </c>
      <c r="B5733" s="1">
        <v>7.0</v>
      </c>
      <c r="C5733" s="1" t="s">
        <v>16884</v>
      </c>
      <c r="D5733" s="1" t="s">
        <v>8</v>
      </c>
      <c r="E5733" s="1" t="s">
        <v>16885</v>
      </c>
      <c r="F5733" s="1" t="str">
        <f>IFERROR(__xludf.DUMMYFUNCTION("GOOGLETRANSLATE(A5733, ""zh-CN"", ""ko"")"),"도난 방지")</f>
        <v>도난 방지</v>
      </c>
    </row>
    <row r="5734" ht="15.75" customHeight="1">
      <c r="A5734" s="1" t="s">
        <v>16886</v>
      </c>
      <c r="B5734" s="1">
        <v>7.0</v>
      </c>
      <c r="C5734" s="1" t="s">
        <v>16887</v>
      </c>
      <c r="D5734" s="1" t="s">
        <v>16</v>
      </c>
      <c r="E5734" s="1" t="s">
        <v>15317</v>
      </c>
      <c r="F5734" s="1" t="str">
        <f>IFERROR(__xludf.DUMMYFUNCTION("GOOGLETRANSLATE(A5734, ""zh-CN"", ""ko"")"),"부동산")</f>
        <v>부동산</v>
      </c>
    </row>
    <row r="5735" ht="15.75" customHeight="1">
      <c r="A5735" s="1" t="s">
        <v>16888</v>
      </c>
      <c r="B5735" s="1">
        <v>7.0</v>
      </c>
      <c r="C5735" s="1" t="s">
        <v>16889</v>
      </c>
      <c r="D5735" s="1" t="s">
        <v>8</v>
      </c>
      <c r="E5735" s="1" t="s">
        <v>16890</v>
      </c>
      <c r="F5735" s="1" t="str">
        <f>IFERROR(__xludf.DUMMYFUNCTION("GOOGLETRANSLATE(A5735, ""zh-CN"", ""ko"")"),"방지")</f>
        <v>방지</v>
      </c>
    </row>
    <row r="5736" ht="15.75" customHeight="1">
      <c r="A5736" s="1" t="s">
        <v>16891</v>
      </c>
      <c r="B5736" s="1">
        <v>7.0</v>
      </c>
      <c r="C5736" s="1" t="s">
        <v>16892</v>
      </c>
      <c r="D5736" s="1" t="s">
        <v>8</v>
      </c>
      <c r="E5736" s="1" t="s">
        <v>16893</v>
      </c>
      <c r="F5736" s="1" t="str">
        <f>IFERROR(__xludf.DUMMYFUNCTION("GOOGLETRANSLATE(A5736, ""zh-CN"", ""ko"")"),"보호")</f>
        <v>보호</v>
      </c>
    </row>
    <row r="5737" ht="15.75" customHeight="1">
      <c r="A5737" s="1" t="s">
        <v>16894</v>
      </c>
      <c r="B5737" s="1">
        <v>7.0</v>
      </c>
      <c r="C5737" s="1" t="s">
        <v>16895</v>
      </c>
      <c r="D5737" s="1" t="s">
        <v>16</v>
      </c>
      <c r="E5737" s="1" t="s">
        <v>16896</v>
      </c>
      <c r="F5737" s="1" t="str">
        <f>IFERROR(__xludf.DUMMYFUNCTION("GOOGLETRANSLATE(A5737, ""zh-CN"", ""ko"")"),"방화벽")</f>
        <v>방화벽</v>
      </c>
    </row>
    <row r="5738" ht="15.75" customHeight="1">
      <c r="A5738" s="1" t="s">
        <v>16897</v>
      </c>
      <c r="B5738" s="1">
        <v>7.0</v>
      </c>
      <c r="C5738" s="1" t="s">
        <v>16898</v>
      </c>
      <c r="D5738" s="1" t="s">
        <v>8</v>
      </c>
      <c r="E5738" s="1" t="s">
        <v>16899</v>
      </c>
      <c r="F5738" s="1" t="str">
        <f>IFERROR(__xludf.DUMMYFUNCTION("GOOGLETRANSLATE(A5738, ""zh-CN"", ""ko"")"),"수비")</f>
        <v>수비</v>
      </c>
    </row>
    <row r="5739" ht="15.75" customHeight="1">
      <c r="A5739" s="1" t="s">
        <v>16900</v>
      </c>
      <c r="B5739" s="1">
        <v>7.0</v>
      </c>
      <c r="C5739" s="1" t="s">
        <v>16901</v>
      </c>
      <c r="D5739" s="1" t="s">
        <v>8</v>
      </c>
      <c r="E5739" s="1" t="s">
        <v>16902</v>
      </c>
      <c r="F5739" s="1" t="str">
        <f>IFERROR(__xludf.DUMMYFUNCTION("GOOGLETRANSLATE(A5739, ""zh-CN"", ""ko"")"),"홍수 통제")</f>
        <v>홍수 통제</v>
      </c>
    </row>
    <row r="5740" ht="15.75" customHeight="1">
      <c r="A5740" s="1" t="s">
        <v>16903</v>
      </c>
      <c r="B5740" s="1">
        <v>7.0</v>
      </c>
      <c r="C5740" s="1" t="s">
        <v>16904</v>
      </c>
      <c r="D5740" s="1" t="s">
        <v>8</v>
      </c>
      <c r="E5740" s="1" t="s">
        <v>16905</v>
      </c>
      <c r="F5740" s="1" t="str">
        <f>IFERROR(__xludf.DUMMYFUNCTION("GOOGLETRANSLATE(A5740, ""zh-CN"", ""ko"")"),"감염병 유행 예방")</f>
        <v>감염병 유행 예방</v>
      </c>
    </row>
    <row r="5741" ht="15.75" customHeight="1">
      <c r="A5741" s="1" t="s">
        <v>16906</v>
      </c>
      <c r="B5741" s="1">
        <v>7.0</v>
      </c>
      <c r="C5741" s="1" t="s">
        <v>16907</v>
      </c>
      <c r="D5741" s="1" t="s">
        <v>8</v>
      </c>
      <c r="E5741" s="1" t="s">
        <v>16908</v>
      </c>
      <c r="F5741" s="1" t="str">
        <f>IFERROR(__xludf.DUMMYFUNCTION("GOOGLETRANSLATE(A5741, ""zh-CN"", ""ko"")"),"모방")</f>
        <v>모방</v>
      </c>
    </row>
    <row r="5742" ht="15.75" customHeight="1">
      <c r="A5742" s="1" t="s">
        <v>16909</v>
      </c>
      <c r="B5742" s="1">
        <v>7.0</v>
      </c>
      <c r="C5742" s="1" t="s">
        <v>16910</v>
      </c>
      <c r="D5742" s="1" t="s">
        <v>14735</v>
      </c>
      <c r="E5742" s="1" t="s">
        <v>16911</v>
      </c>
      <c r="F5742" s="1" t="str">
        <f>IFERROR(__xludf.DUMMYFUNCTION("GOOGLETRANSLATE(A5742, ""zh-CN"", ""ko"")"),"시뮬레이션")</f>
        <v>시뮬레이션</v>
      </c>
    </row>
    <row r="5743" ht="15.75" customHeight="1">
      <c r="A5743" s="1" t="s">
        <v>16912</v>
      </c>
      <c r="B5743" s="1">
        <v>7.0</v>
      </c>
      <c r="C5743" s="1" t="s">
        <v>16913</v>
      </c>
      <c r="D5743" s="1" t="s">
        <v>8</v>
      </c>
      <c r="E5743" s="1" t="s">
        <v>16914</v>
      </c>
      <c r="F5743" s="1" t="str">
        <f>IFERROR(__xludf.DUMMYFUNCTION("GOOGLETRANSLATE(A5743, ""zh-CN"", ""ko"")"),"모방")</f>
        <v>모방</v>
      </c>
    </row>
    <row r="5744" ht="15.75" customHeight="1">
      <c r="A5744" s="1" t="s">
        <v>16915</v>
      </c>
      <c r="B5744" s="1">
        <v>7.0</v>
      </c>
      <c r="C5744" s="1" t="s">
        <v>16916</v>
      </c>
      <c r="E5744" s="1" t="s">
        <v>16917</v>
      </c>
      <c r="F5744" s="1" t="str">
        <f>IFERROR(__xludf.DUMMYFUNCTION("GOOGLETRANSLATE(A5744, ""zh-CN"", ""ko"")"),"놓아주세요")</f>
        <v>놓아주세요</v>
      </c>
    </row>
    <row r="5745" ht="15.75" customHeight="1">
      <c r="A5745" s="1" t="s">
        <v>16918</v>
      </c>
      <c r="B5745" s="1">
        <v>7.0</v>
      </c>
      <c r="C5745" s="1" t="s">
        <v>16919</v>
      </c>
      <c r="D5745" s="1" t="s">
        <v>8</v>
      </c>
      <c r="E5745" s="1" t="s">
        <v>16920</v>
      </c>
      <c r="F5745" s="1" t="str">
        <f>IFERROR(__xludf.DUMMYFUNCTION("GOOGLETRANSLATE(A5745, ""zh-CN"", ""ko"")"),"안심하다")</f>
        <v>안심하다</v>
      </c>
    </row>
    <row r="5746" ht="15.75" customHeight="1">
      <c r="A5746" s="1" t="s">
        <v>16921</v>
      </c>
      <c r="B5746" s="1">
        <v>7.0</v>
      </c>
      <c r="C5746" s="1" t="s">
        <v>16922</v>
      </c>
      <c r="E5746" s="1" t="s">
        <v>16923</v>
      </c>
      <c r="F5746" s="1" t="str">
        <f>IFERROR(__xludf.DUMMYFUNCTION("GOOGLETRANSLATE(A5746, ""zh-CN"", ""ko"")"),"물을 방출하세요")</f>
        <v>물을 방출하세요</v>
      </c>
    </row>
    <row r="5747" ht="15.75" customHeight="1">
      <c r="A5747" s="1" t="s">
        <v>16924</v>
      </c>
      <c r="B5747" s="1">
        <v>7.0</v>
      </c>
      <c r="C5747" s="1" t="s">
        <v>16925</v>
      </c>
      <c r="D5747" s="1" t="s">
        <v>52</v>
      </c>
      <c r="E5747" s="1" t="s">
        <v>16926</v>
      </c>
      <c r="F5747" s="1" t="str">
        <f>IFERROR(__xludf.DUMMYFUNCTION("GOOGLETRANSLATE(A5747, ""zh-CN"", ""ko"")"),"주제넘은")</f>
        <v>주제넘은</v>
      </c>
    </row>
    <row r="5748" ht="15.75" customHeight="1">
      <c r="A5748" s="1" t="s">
        <v>16927</v>
      </c>
      <c r="B5748" s="1">
        <v>7.0</v>
      </c>
      <c r="C5748" s="1" t="s">
        <v>16928</v>
      </c>
      <c r="D5748" s="1" t="s">
        <v>8</v>
      </c>
      <c r="E5748" s="1" t="s">
        <v>16929</v>
      </c>
      <c r="F5748" s="1" t="str">
        <f>IFERROR(__xludf.DUMMYFUNCTION("GOOGLETRANSLATE(A5748, ""zh-CN"", ""ko"")"),"보여주다")</f>
        <v>보여주다</v>
      </c>
    </row>
    <row r="5749" ht="15.75" customHeight="1">
      <c r="A5749" s="1" t="s">
        <v>16930</v>
      </c>
      <c r="B5749" s="1">
        <v>7.0</v>
      </c>
      <c r="C5749" s="1" t="s">
        <v>16931</v>
      </c>
      <c r="D5749" s="1" t="s">
        <v>8</v>
      </c>
      <c r="E5749" s="1" t="s">
        <v>16932</v>
      </c>
      <c r="F5749" s="1" t="str">
        <f>IFERROR(__xludf.DUMMYFUNCTION("GOOGLETRANSLATE(A5749, ""zh-CN"", ""ko"")"),"장소")</f>
        <v>장소</v>
      </c>
    </row>
    <row r="5750" ht="15.75" customHeight="1">
      <c r="A5750" s="1" t="s">
        <v>16933</v>
      </c>
      <c r="B5750" s="1">
        <v>7.0</v>
      </c>
      <c r="C5750" s="1" t="s">
        <v>16934</v>
      </c>
      <c r="D5750" s="1" t="s">
        <v>8</v>
      </c>
      <c r="E5750" s="1" t="s">
        <v>16935</v>
      </c>
      <c r="F5750" s="1" t="str">
        <f>IFERROR(__xludf.DUMMYFUNCTION("GOOGLETRANSLATE(A5750, ""zh-CN"", ""ko"")"),"대사")</f>
        <v>대사</v>
      </c>
    </row>
    <row r="5751" ht="15.75" customHeight="1">
      <c r="A5751" s="1" t="s">
        <v>16936</v>
      </c>
      <c r="B5751" s="1">
        <v>7.0</v>
      </c>
      <c r="C5751" s="1" t="s">
        <v>16937</v>
      </c>
      <c r="D5751" s="1" t="s">
        <v>16</v>
      </c>
      <c r="E5751" s="1" t="s">
        <v>16938</v>
      </c>
      <c r="F5751" s="1" t="str">
        <f>IFERROR(__xludf.DUMMYFUNCTION("GOOGLETRANSLATE(A5751, ""zh-CN"", ""ko"")"),"우주선")</f>
        <v>우주선</v>
      </c>
    </row>
    <row r="5752" ht="15.75" customHeight="1">
      <c r="A5752" s="1" t="s">
        <v>16939</v>
      </c>
      <c r="B5752" s="1">
        <v>7.0</v>
      </c>
      <c r="C5752" s="1" t="s">
        <v>16940</v>
      </c>
      <c r="D5752" s="1" t="s">
        <v>1473</v>
      </c>
      <c r="E5752" s="1" t="s">
        <v>16941</v>
      </c>
      <c r="F5752" s="1" t="str">
        <f>IFERROR(__xludf.DUMMYFUNCTION("GOOGLETRANSLATE(A5752, ""zh-CN"", ""ko"")"),"비단")</f>
        <v>비단</v>
      </c>
    </row>
    <row r="5753" ht="15.75" customHeight="1">
      <c r="A5753" s="1" t="s">
        <v>16942</v>
      </c>
      <c r="B5753" s="1">
        <v>7.0</v>
      </c>
      <c r="C5753" s="1" t="s">
        <v>16943</v>
      </c>
      <c r="D5753" s="1" t="s">
        <v>33</v>
      </c>
      <c r="E5753" s="1" t="s">
        <v>16944</v>
      </c>
      <c r="F5753" s="1" t="str">
        <f>IFERROR(__xludf.DUMMYFUNCTION("GOOGLETRANSLATE(A5753, ""zh-CN"", ""ko"")"),"해야 하다")</f>
        <v>해야 하다</v>
      </c>
    </row>
    <row r="5754" ht="15.75" customHeight="1">
      <c r="A5754" s="1" t="s">
        <v>16945</v>
      </c>
      <c r="B5754" s="1">
        <v>7.0</v>
      </c>
      <c r="C5754" s="1" t="s">
        <v>16946</v>
      </c>
      <c r="D5754" s="1" t="s">
        <v>16</v>
      </c>
      <c r="E5754" s="1" t="s">
        <v>16947</v>
      </c>
      <c r="F5754" s="1" t="str">
        <f>IFERROR(__xludf.DUMMYFUNCTION("GOOGLETRANSLATE(A5754, ""zh-CN"", ""ko"")"),"UFO")</f>
        <v>UFO</v>
      </c>
    </row>
    <row r="5755" ht="15.75" customHeight="1">
      <c r="A5755" s="1" t="s">
        <v>16948</v>
      </c>
      <c r="B5755" s="1">
        <v>7.0</v>
      </c>
      <c r="C5755" s="1" t="s">
        <v>16949</v>
      </c>
      <c r="D5755" s="1" t="s">
        <v>52</v>
      </c>
      <c r="E5755" s="1" t="s">
        <v>16950</v>
      </c>
      <c r="F5755" s="1" t="str">
        <f>IFERROR(__xludf.DUMMYFUNCTION("GOOGLETRANSLATE(A5755, ""zh-CN"", ""ko"")"),"기이한")</f>
        <v>기이한</v>
      </c>
    </row>
    <row r="5756" ht="15.75" customHeight="1">
      <c r="A5756" s="1" t="s">
        <v>16951</v>
      </c>
      <c r="B5756" s="1">
        <v>7.0</v>
      </c>
      <c r="C5756" s="1" t="s">
        <v>16952</v>
      </c>
      <c r="D5756" s="1" t="s">
        <v>16</v>
      </c>
      <c r="E5756" s="1" t="s">
        <v>15797</v>
      </c>
      <c r="F5756" s="1" t="str">
        <f>IFERROR(__xludf.DUMMYFUNCTION("GOOGLETRANSLATE(A5756, ""zh-CN"", ""ko"")"),"추문")</f>
        <v>추문</v>
      </c>
    </row>
    <row r="5757" ht="15.75" customHeight="1">
      <c r="A5757" s="1" t="s">
        <v>16953</v>
      </c>
      <c r="B5757" s="1">
        <v>7.0</v>
      </c>
      <c r="C5757" s="1" t="s">
        <v>16954</v>
      </c>
      <c r="D5757" s="1" t="s">
        <v>16</v>
      </c>
      <c r="E5757" s="1" t="s">
        <v>16955</v>
      </c>
      <c r="F5757" s="1" t="str">
        <f>IFERROR(__xludf.DUMMYFUNCTION("GOOGLETRANSLATE(A5757, ""zh-CN"", ""ko"")"),"비료")</f>
        <v>비료</v>
      </c>
    </row>
    <row r="5758" ht="15.75" customHeight="1">
      <c r="A5758" s="1" t="s">
        <v>16956</v>
      </c>
      <c r="B5758" s="1">
        <v>7.0</v>
      </c>
      <c r="C5758" s="1" t="s">
        <v>8950</v>
      </c>
      <c r="D5758" s="1" t="s">
        <v>14742</v>
      </c>
      <c r="E5758" s="1" t="s">
        <v>16957</v>
      </c>
      <c r="F5758" s="1" t="str">
        <f>IFERROR(__xludf.DUMMYFUNCTION("GOOGLETRANSLATE(A5758, ""zh-CN"", ""ko"")"),"쓰레기")</f>
        <v>쓰레기</v>
      </c>
    </row>
    <row r="5759" ht="15.75" customHeight="1">
      <c r="A5759" s="1" t="s">
        <v>16958</v>
      </c>
      <c r="B5759" s="1">
        <v>7.0</v>
      </c>
      <c r="C5759" s="1" t="s">
        <v>16959</v>
      </c>
      <c r="D5759" s="1" t="s">
        <v>52</v>
      </c>
      <c r="E5759" s="1" t="s">
        <v>16960</v>
      </c>
      <c r="F5759" s="1" t="str">
        <f>IFERROR(__xludf.DUMMYFUNCTION("GOOGLETRANSLATE(A5759, ""zh-CN"", ""ko"")"),"소란")</f>
        <v>소란</v>
      </c>
    </row>
    <row r="5760" ht="15.75" customHeight="1">
      <c r="A5760" s="1" t="s">
        <v>16961</v>
      </c>
      <c r="B5760" s="1">
        <v>7.0</v>
      </c>
      <c r="C5760" s="1" t="s">
        <v>16962</v>
      </c>
      <c r="D5760" s="1" t="s">
        <v>14735</v>
      </c>
      <c r="E5760" s="1" t="s">
        <v>16963</v>
      </c>
      <c r="F5760" s="1" t="str">
        <f>IFERROR(__xludf.DUMMYFUNCTION("GOOGLETRANSLATE(A5760, ""zh-CN"", ""ko"")"),"지친")</f>
        <v>지친</v>
      </c>
    </row>
    <row r="5761" ht="15.75" customHeight="1">
      <c r="A5761" s="1" t="s">
        <v>16964</v>
      </c>
      <c r="B5761" s="1">
        <v>7.0</v>
      </c>
      <c r="C5761" s="1" t="s">
        <v>16965</v>
      </c>
      <c r="D5761" s="1" t="s">
        <v>8</v>
      </c>
      <c r="E5761" s="1" t="s">
        <v>16963</v>
      </c>
      <c r="F5761" s="1" t="str">
        <f>IFERROR(__xludf.DUMMYFUNCTION("GOOGLETRANSLATE(A5761, ""zh-CN"", ""ko"")"),"지친")</f>
        <v>지친</v>
      </c>
    </row>
    <row r="5762" ht="15.75" customHeight="1">
      <c r="A5762" s="1" t="s">
        <v>16966</v>
      </c>
      <c r="B5762" s="1">
        <v>7.0</v>
      </c>
      <c r="C5762" s="1" t="s">
        <v>16967</v>
      </c>
      <c r="D5762" s="1" t="s">
        <v>16</v>
      </c>
      <c r="E5762" s="1" t="s">
        <v>16968</v>
      </c>
      <c r="F5762" s="1" t="str">
        <f>IFERROR(__xludf.DUMMYFUNCTION("GOOGLETRANSLATE(A5762, ""zh-CN"", ""ko"")"),"쓰레기")</f>
        <v>쓰레기</v>
      </c>
    </row>
    <row r="5763" ht="15.75" customHeight="1">
      <c r="A5763" s="1" t="s">
        <v>16969</v>
      </c>
      <c r="B5763" s="1">
        <v>7.0</v>
      </c>
      <c r="C5763" s="1" t="s">
        <v>16970</v>
      </c>
      <c r="D5763" s="1" t="s">
        <v>8</v>
      </c>
      <c r="E5763" s="1" t="s">
        <v>16971</v>
      </c>
      <c r="F5763" s="1" t="str">
        <f>IFERROR(__xludf.DUMMYFUNCTION("GOOGLETRANSLATE(A5763, ""zh-CN"", ""ko"")"),"버려진")</f>
        <v>버려진</v>
      </c>
    </row>
    <row r="5764" ht="15.75" customHeight="1">
      <c r="A5764" s="1" t="s">
        <v>16972</v>
      </c>
      <c r="B5764" s="1">
        <v>7.0</v>
      </c>
      <c r="C5764" s="1" t="s">
        <v>16973</v>
      </c>
      <c r="D5764" s="1" t="s">
        <v>16</v>
      </c>
      <c r="E5764" s="1" t="s">
        <v>16974</v>
      </c>
      <c r="F5764" s="1" t="str">
        <f>IFERROR(__xludf.DUMMYFUNCTION("GOOGLETRANSLATE(A5764, ""zh-CN"", ""ko"")"),"쓰레기")</f>
        <v>쓰레기</v>
      </c>
    </row>
    <row r="5765" ht="15.75" customHeight="1">
      <c r="A5765" s="1" t="s">
        <v>16975</v>
      </c>
      <c r="B5765" s="1">
        <v>7.0</v>
      </c>
      <c r="C5765" s="1" t="s">
        <v>16976</v>
      </c>
      <c r="D5765" s="1" t="s">
        <v>8</v>
      </c>
      <c r="E5765" s="1" t="s">
        <v>16977</v>
      </c>
      <c r="F5765" s="1" t="str">
        <f>IFERROR(__xludf.DUMMYFUNCTION("GOOGLETRANSLATE(A5765, ""zh-CN"", ""ko"")"),"나누어져 있다")</f>
        <v>나누어져 있다</v>
      </c>
    </row>
    <row r="5766" ht="15.75" customHeight="1">
      <c r="A5766" s="1" t="s">
        <v>16978</v>
      </c>
      <c r="B5766" s="1">
        <v>7.0</v>
      </c>
      <c r="C5766" s="1" t="s">
        <v>16979</v>
      </c>
      <c r="D5766" s="1" t="s">
        <v>8</v>
      </c>
      <c r="E5766" s="1" t="s">
        <v>16980</v>
      </c>
      <c r="F5766" s="1" t="str">
        <f>IFERROR(__xludf.DUMMYFUNCTION("GOOGLETRANSLATE(A5766, ""zh-CN"", ""ko"")"),"공유하다")</f>
        <v>공유하다</v>
      </c>
    </row>
    <row r="5767" ht="15.75" customHeight="1">
      <c r="A5767" s="1" t="s">
        <v>16981</v>
      </c>
      <c r="B5767" s="1">
        <v>7.0</v>
      </c>
      <c r="C5767" s="1" t="s">
        <v>16982</v>
      </c>
      <c r="D5767" s="1" t="s">
        <v>8</v>
      </c>
      <c r="E5767" s="1" t="s">
        <v>16983</v>
      </c>
      <c r="F5767" s="1" t="str">
        <f>IFERROR(__xludf.DUMMYFUNCTION("GOOGLETRANSLATE(A5767, ""zh-CN"", ""ko"")"),"분포")</f>
        <v>분포</v>
      </c>
    </row>
    <row r="5768" ht="15.75" customHeight="1">
      <c r="A5768" s="1" t="s">
        <v>16984</v>
      </c>
      <c r="B5768" s="1">
        <v>7.0</v>
      </c>
      <c r="C5768" s="1" t="s">
        <v>16985</v>
      </c>
      <c r="D5768" s="1" t="s">
        <v>15352</v>
      </c>
      <c r="E5768" s="1" t="s">
        <v>16986</v>
      </c>
      <c r="F5768" s="1" t="str">
        <f>IFERROR(__xludf.DUMMYFUNCTION("GOOGLETRANSLATE(A5768, ""zh-CN"", ""ko"")"),"향기")</f>
        <v>향기</v>
      </c>
    </row>
    <row r="5769" ht="15.75" customHeight="1">
      <c r="A5769" s="1" t="s">
        <v>16987</v>
      </c>
      <c r="B5769" s="1">
        <v>7.0</v>
      </c>
      <c r="C5769" s="1" t="s">
        <v>16988</v>
      </c>
      <c r="D5769" s="1" t="s">
        <v>8</v>
      </c>
      <c r="E5769" s="1" t="s">
        <v>16977</v>
      </c>
      <c r="F5769" s="1" t="str">
        <f>IFERROR(__xludf.DUMMYFUNCTION("GOOGLETRANSLATE(A5769, ""zh-CN"", ""ko"")"),"분할")</f>
        <v>분할</v>
      </c>
    </row>
    <row r="5770" ht="15.75" customHeight="1">
      <c r="A5770" s="1" t="s">
        <v>16989</v>
      </c>
      <c r="B5770" s="1">
        <v>7.0</v>
      </c>
      <c r="C5770" s="1" t="s">
        <v>16990</v>
      </c>
      <c r="D5770" s="1" t="s">
        <v>8</v>
      </c>
      <c r="E5770" s="1" t="s">
        <v>16991</v>
      </c>
      <c r="F5770" s="1" t="str">
        <f>IFERROR(__xludf.DUMMYFUNCTION("GOOGLETRANSLATE(A5770, ""zh-CN"", ""ko"")"),"분화")</f>
        <v>분화</v>
      </c>
    </row>
    <row r="5771" ht="15.75" customHeight="1">
      <c r="A5771" s="1" t="s">
        <v>16992</v>
      </c>
      <c r="B5771" s="1">
        <v>7.0</v>
      </c>
      <c r="C5771" s="1" t="s">
        <v>16993</v>
      </c>
      <c r="D5771" s="1" t="s">
        <v>16</v>
      </c>
      <c r="E5771" s="1" t="s">
        <v>16994</v>
      </c>
      <c r="F5771" s="1" t="str">
        <f>IFERROR(__xludf.DUMMYFUNCTION("GOOGLETRANSLATE(A5771, ""zh-CN"", ""ko"")"),"지점")</f>
        <v>지점</v>
      </c>
    </row>
    <row r="5772" ht="15.75" customHeight="1">
      <c r="A5772" s="1" t="s">
        <v>16995</v>
      </c>
      <c r="B5772" s="1">
        <v>7.0</v>
      </c>
      <c r="C5772" s="1" t="s">
        <v>16996</v>
      </c>
      <c r="D5772" s="1" t="s">
        <v>16</v>
      </c>
      <c r="E5772" s="1" t="s">
        <v>16997</v>
      </c>
      <c r="F5772" s="1" t="str">
        <f>IFERROR(__xludf.DUMMYFUNCTION("GOOGLETRANSLATE(A5772, ""zh-CN"", ""ko"")"),"무덤")</f>
        <v>무덤</v>
      </c>
    </row>
    <row r="5773" ht="15.75" customHeight="1">
      <c r="A5773" s="1" t="s">
        <v>16998</v>
      </c>
      <c r="B5773" s="1">
        <v>7.0</v>
      </c>
      <c r="C5773" s="1" t="s">
        <v>16999</v>
      </c>
      <c r="D5773" s="1" t="s">
        <v>8</v>
      </c>
      <c r="E5773" s="1" t="s">
        <v>17000</v>
      </c>
      <c r="F5773" s="1" t="str">
        <f>IFERROR(__xludf.DUMMYFUNCTION("GOOGLETRANSLATE(A5773, ""zh-CN"", ""ko"")"),"타고 있는")</f>
        <v>타고 있는</v>
      </c>
    </row>
    <row r="5774" ht="15.75" customHeight="1">
      <c r="A5774" s="1" t="s">
        <v>17001</v>
      </c>
      <c r="B5774" s="1">
        <v>7.0</v>
      </c>
      <c r="C5774" s="1" t="s">
        <v>17002</v>
      </c>
      <c r="D5774" s="1" t="s">
        <v>16</v>
      </c>
      <c r="E5774" s="1" t="s">
        <v>17003</v>
      </c>
      <c r="F5774" s="1" t="str">
        <f>IFERROR(__xludf.DUMMYFUNCTION("GOOGLETRANSLATE(A5774, ""zh-CN"", ""ko"")"),"팬")</f>
        <v>팬</v>
      </c>
    </row>
    <row r="5775" ht="15.75" customHeight="1">
      <c r="A5775" s="1" t="s">
        <v>17004</v>
      </c>
      <c r="B5775" s="1">
        <v>7.0</v>
      </c>
      <c r="C5775" s="1" t="s">
        <v>2122</v>
      </c>
      <c r="D5775" s="1" t="s">
        <v>16</v>
      </c>
      <c r="E5775" s="1" t="s">
        <v>17005</v>
      </c>
      <c r="F5775" s="1" t="str">
        <f>IFERROR(__xludf.DUMMYFUNCTION("GOOGLETRANSLATE(A5775, ""zh-CN"", ""ko"")"),"비료")</f>
        <v>비료</v>
      </c>
    </row>
    <row r="5776" ht="15.75" customHeight="1">
      <c r="A5776" s="1" t="s">
        <v>17006</v>
      </c>
      <c r="B5776" s="1">
        <v>7.0</v>
      </c>
      <c r="C5776" s="1" t="s">
        <v>17007</v>
      </c>
      <c r="D5776" s="1" t="s">
        <v>16</v>
      </c>
      <c r="E5776" s="1" t="s">
        <v>17008</v>
      </c>
      <c r="F5776" s="1" t="str">
        <f>IFERROR(__xludf.DUMMYFUNCTION("GOOGLETRANSLATE(A5776, ""zh-CN"", ""ko"")"),"발판")</f>
        <v>발판</v>
      </c>
    </row>
    <row r="5777" ht="15.75" customHeight="1">
      <c r="A5777" s="1" t="s">
        <v>17009</v>
      </c>
      <c r="B5777" s="1">
        <v>7.0</v>
      </c>
      <c r="C5777" s="1" t="s">
        <v>17010</v>
      </c>
      <c r="D5777" s="1" t="s">
        <v>16</v>
      </c>
      <c r="E5777" s="1" t="s">
        <v>16980</v>
      </c>
      <c r="F5777" s="1" t="str">
        <f>IFERROR(__xludf.DUMMYFUNCTION("GOOGLETRANSLATE(A5777, ""zh-CN"", ""ko"")"),"공유하다")</f>
        <v>공유하다</v>
      </c>
    </row>
    <row r="5778" ht="15.75" customHeight="1">
      <c r="A5778" s="1" t="s">
        <v>17011</v>
      </c>
      <c r="B5778" s="1">
        <v>7.0</v>
      </c>
      <c r="C5778" s="1" t="s">
        <v>17012</v>
      </c>
      <c r="D5778" s="1" t="s">
        <v>33</v>
      </c>
      <c r="E5778" s="1" t="s">
        <v>17013</v>
      </c>
      <c r="F5778" s="1" t="str">
        <f>IFERROR(__xludf.DUMMYFUNCTION("GOOGLETRANSLATE(A5778, ""zh-CN"", ""ko"")"),"애쓰다")</f>
        <v>애쓰다</v>
      </c>
    </row>
    <row r="5779" ht="15.75" customHeight="1">
      <c r="A5779" s="1" t="s">
        <v>17014</v>
      </c>
      <c r="B5779" s="1">
        <v>7.0</v>
      </c>
      <c r="C5779" s="1" t="s">
        <v>17015</v>
      </c>
      <c r="D5779" s="1" t="s">
        <v>33</v>
      </c>
      <c r="E5779" s="1" t="s">
        <v>17016</v>
      </c>
      <c r="F5779" s="1" t="str">
        <f>IFERROR(__xludf.DUMMYFUNCTION("GOOGLETRANSLATE(A5779, ""zh-CN"", ""ko"")"),"추가의")</f>
        <v>추가의</v>
      </c>
    </row>
    <row r="5780" ht="15.75" customHeight="1">
      <c r="A5780" s="1" t="s">
        <v>17017</v>
      </c>
      <c r="B5780" s="1">
        <v>7.0</v>
      </c>
      <c r="C5780" s="1" t="s">
        <v>17018</v>
      </c>
      <c r="D5780" s="1" t="s">
        <v>8</v>
      </c>
      <c r="E5780" s="1" t="s">
        <v>17019</v>
      </c>
      <c r="F5780" s="1" t="str">
        <f>IFERROR(__xludf.DUMMYFUNCTION("GOOGLETRANSLATE(A5780, ""zh-CN"", ""ko"")"),"용감하게")</f>
        <v>용감하게</v>
      </c>
    </row>
    <row r="5781" ht="15.75" customHeight="1">
      <c r="A5781" s="1" t="s">
        <v>17020</v>
      </c>
      <c r="B5781" s="1">
        <v>7.0</v>
      </c>
      <c r="C5781" s="1" t="s">
        <v>17021</v>
      </c>
      <c r="D5781" s="1" t="s">
        <v>14735</v>
      </c>
      <c r="E5781" s="1" t="s">
        <v>17022</v>
      </c>
      <c r="F5781" s="1" t="str">
        <f>IFERROR(__xludf.DUMMYFUNCTION("GOOGLETRANSLATE(A5781, ""zh-CN"", ""ko"")"),"미친")</f>
        <v>미친</v>
      </c>
    </row>
    <row r="5782" ht="15.75" customHeight="1">
      <c r="A5782" s="1" t="s">
        <v>17023</v>
      </c>
      <c r="B5782" s="1">
        <v>7.0</v>
      </c>
      <c r="C5782" s="1" t="s">
        <v>17024</v>
      </c>
      <c r="D5782" s="1" t="s">
        <v>16</v>
      </c>
      <c r="E5782" s="1" t="s">
        <v>17025</v>
      </c>
      <c r="F5782" s="1" t="str">
        <f>IFERROR(__xludf.DUMMYFUNCTION("GOOGLETRANSLATE(A5782, ""zh-CN"", ""ko"")"),"폭풍")</f>
        <v>폭풍</v>
      </c>
    </row>
    <row r="5783" ht="15.75" customHeight="1">
      <c r="A5783" s="1" t="s">
        <v>17026</v>
      </c>
      <c r="B5783" s="1">
        <v>7.0</v>
      </c>
      <c r="C5783" s="1" t="s">
        <v>17027</v>
      </c>
      <c r="D5783" s="1" t="s">
        <v>16</v>
      </c>
      <c r="E5783" s="1" t="s">
        <v>17028</v>
      </c>
      <c r="F5783" s="1" t="str">
        <f>IFERROR(__xludf.DUMMYFUNCTION("GOOGLETRANSLATE(A5783, ""zh-CN"", ""ko"")"),"스타일")</f>
        <v>스타일</v>
      </c>
    </row>
    <row r="5784" ht="15.75" customHeight="1">
      <c r="A5784" s="1" t="s">
        <v>17029</v>
      </c>
      <c r="B5784" s="1">
        <v>7.0</v>
      </c>
      <c r="C5784" s="1" t="s">
        <v>17030</v>
      </c>
      <c r="E5784" s="1" t="s">
        <v>17031</v>
      </c>
      <c r="F5784" s="1" t="str">
        <f>IFERROR(__xludf.DUMMYFUNCTION("GOOGLETRANSLATE(A5784, ""zh-CN"", ""ko"")"),"탁 트인 곳에서 살기")</f>
        <v>탁 트인 곳에서 살기</v>
      </c>
    </row>
    <row r="5785" ht="15.75" customHeight="1">
      <c r="A5785" s="1" t="s">
        <v>17032</v>
      </c>
      <c r="B5785" s="1">
        <v>7.0</v>
      </c>
      <c r="C5785" s="1" t="s">
        <v>17033</v>
      </c>
      <c r="E5785" s="1" t="s">
        <v>17034</v>
      </c>
      <c r="F5785" s="1" t="str">
        <f>IFERROR(__xludf.DUMMYFUNCTION("GOOGLETRANSLATE(A5785, ""zh-CN"", ""ko"")"),"바람과 비")</f>
        <v>바람과 비</v>
      </c>
    </row>
    <row r="5786" ht="15.75" customHeight="1">
      <c r="A5786" s="1" t="s">
        <v>17035</v>
      </c>
      <c r="B5786" s="1">
        <v>7.0</v>
      </c>
      <c r="C5786" s="1" t="s">
        <v>17036</v>
      </c>
      <c r="D5786" s="1" t="s">
        <v>8</v>
      </c>
      <c r="E5786" s="1" t="s">
        <v>17037</v>
      </c>
      <c r="F5786" s="1" t="str">
        <f>IFERROR(__xludf.DUMMYFUNCTION("GOOGLETRANSLATE(A5786, ""zh-CN"", ""ko"")"),"캡핑")</f>
        <v>캡핑</v>
      </c>
    </row>
    <row r="5787" ht="15.75" customHeight="1">
      <c r="A5787" s="1" t="s">
        <v>17038</v>
      </c>
      <c r="B5787" s="1">
        <v>7.0</v>
      </c>
      <c r="C5787" s="1" t="s">
        <v>17039</v>
      </c>
      <c r="D5787" s="1" t="s">
        <v>16</v>
      </c>
      <c r="E5787" s="1" t="s">
        <v>17040</v>
      </c>
      <c r="F5787" s="1" t="str">
        <f>IFERROR(__xludf.DUMMYFUNCTION("GOOGLETRANSLATE(A5787, ""zh-CN"", ""ko"")"),"행실")</f>
        <v>행실</v>
      </c>
    </row>
    <row r="5788" ht="15.75" customHeight="1">
      <c r="A5788" s="1" t="s">
        <v>17041</v>
      </c>
      <c r="B5788" s="1">
        <v>7.0</v>
      </c>
      <c r="C5788" s="1" t="s">
        <v>17042</v>
      </c>
      <c r="E5788" s="1" t="s">
        <v>17043</v>
      </c>
      <c r="F5788" s="1" t="str">
        <f>IFERROR(__xludf.DUMMYFUNCTION("GOOGLETRANSLATE(A5788, ""zh-CN"", ""ko"")"),"맑고 산들바람이 분다")</f>
        <v>맑고 산들바람이 분다</v>
      </c>
    </row>
    <row r="5789" ht="15.75" customHeight="1">
      <c r="A5789" s="1" t="s">
        <v>17044</v>
      </c>
      <c r="B5789" s="1">
        <v>7.0</v>
      </c>
      <c r="C5789" s="1" t="s">
        <v>17045</v>
      </c>
      <c r="D5789" s="1" t="s">
        <v>52</v>
      </c>
      <c r="E5789" s="1" t="s">
        <v>17046</v>
      </c>
      <c r="F5789" s="1" t="str">
        <f>IFERROR(__xludf.DUMMYFUNCTION("GOOGLETRANSLATE(A5789, ""zh-CN"", ""ko"")"),"부자")</f>
        <v>부자</v>
      </c>
    </row>
    <row r="5790" ht="15.75" customHeight="1">
      <c r="A5790" s="1" t="s">
        <v>17047</v>
      </c>
      <c r="B5790" s="1">
        <v>7.0</v>
      </c>
      <c r="C5790" s="1" t="s">
        <v>17048</v>
      </c>
      <c r="E5790" s="1" t="s">
        <v>17049</v>
      </c>
      <c r="F5790" s="1" t="str">
        <f>IFERROR(__xludf.DUMMYFUNCTION("GOOGLETRANSLATE(A5790, ""zh-CN"", ""ko"")"),"운명의 반전")</f>
        <v>운명의 반전</v>
      </c>
    </row>
    <row r="5791" ht="15.75" customHeight="1">
      <c r="A5791" s="1" t="s">
        <v>17050</v>
      </c>
      <c r="B5791" s="1">
        <v>7.0</v>
      </c>
      <c r="C5791" s="1" t="s">
        <v>17051</v>
      </c>
      <c r="D5791" s="1" t="s">
        <v>16</v>
      </c>
      <c r="E5791" s="1" t="s">
        <v>17052</v>
      </c>
      <c r="F5791" s="1" t="str">
        <f>IFERROR(__xludf.DUMMYFUNCTION("GOOGLETRANSLATE(A5791, ""zh-CN"", ""ko"")"),"정상 회담")</f>
        <v>정상 회담</v>
      </c>
    </row>
    <row r="5792" ht="15.75" customHeight="1">
      <c r="A5792" s="1" t="s">
        <v>17053</v>
      </c>
      <c r="B5792" s="1">
        <v>7.0</v>
      </c>
      <c r="C5792" s="1" t="s">
        <v>17054</v>
      </c>
      <c r="D5792" s="1" t="s">
        <v>16</v>
      </c>
      <c r="E5792" s="1" t="s">
        <v>17055</v>
      </c>
      <c r="F5792" s="1" t="str">
        <f>IFERROR(__xludf.DUMMYFUNCTION("GOOGLETRANSLATE(A5792, ""zh-CN"", ""ko"")"),"경치 좋은 전망")</f>
        <v>경치 좋은 전망</v>
      </c>
    </row>
    <row r="5793" ht="15.75" customHeight="1">
      <c r="A5793" s="1" t="s">
        <v>17056</v>
      </c>
      <c r="B5793" s="1">
        <v>7.0</v>
      </c>
      <c r="C5793" s="1" t="s">
        <v>17057</v>
      </c>
      <c r="D5793" s="1" t="s">
        <v>16</v>
      </c>
      <c r="E5793" s="1" t="s">
        <v>17058</v>
      </c>
      <c r="F5793" s="1" t="str">
        <f>IFERROR(__xludf.DUMMYFUNCTION("GOOGLETRANSLATE(A5793, ""zh-CN"", ""ko"")"),"폭풍")</f>
        <v>폭풍</v>
      </c>
    </row>
    <row r="5794" ht="15.75" customHeight="1">
      <c r="A5794" s="1" t="s">
        <v>17059</v>
      </c>
      <c r="B5794" s="1">
        <v>7.0</v>
      </c>
      <c r="C5794" s="1" t="s">
        <v>17060</v>
      </c>
      <c r="D5794" s="1" t="s">
        <v>52</v>
      </c>
      <c r="E5794" s="1" t="s">
        <v>17061</v>
      </c>
      <c r="F5794" s="1" t="str">
        <f>IFERROR(__xludf.DUMMYFUNCTION("GOOGLETRANSLATE(A5794, ""zh-CN"", ""ko"")"),"로맨틱")</f>
        <v>로맨틱</v>
      </c>
    </row>
    <row r="5795" ht="15.75" customHeight="1">
      <c r="A5795" s="1" t="s">
        <v>17062</v>
      </c>
      <c r="B5795" s="1">
        <v>7.0</v>
      </c>
      <c r="C5795" s="1" t="s">
        <v>17063</v>
      </c>
      <c r="D5795" s="1" t="s">
        <v>16</v>
      </c>
      <c r="E5795" s="1" t="s">
        <v>17064</v>
      </c>
      <c r="F5795" s="1" t="str">
        <f>IFERROR(__xludf.DUMMYFUNCTION("GOOGLETRANSLATE(A5795, ""zh-CN"", ""ko"")"),"모습")</f>
        <v>모습</v>
      </c>
    </row>
    <row r="5796" ht="15.75" customHeight="1">
      <c r="A5796" s="1" t="s">
        <v>17065</v>
      </c>
      <c r="B5796" s="1">
        <v>7.0</v>
      </c>
      <c r="C5796" s="1" t="s">
        <v>17066</v>
      </c>
      <c r="D5796" s="1" t="s">
        <v>16</v>
      </c>
      <c r="E5796" s="1" t="s">
        <v>17067</v>
      </c>
      <c r="F5796" s="1" t="str">
        <f>IFERROR(__xludf.DUMMYFUNCTION("GOOGLETRANSLATE(A5796, ""zh-CN"", ""ko"")"),"꿀")</f>
        <v>꿀</v>
      </c>
    </row>
    <row r="5797" ht="15.75" customHeight="1">
      <c r="A5797" s="1" t="s">
        <v>17068</v>
      </c>
      <c r="B5797" s="1">
        <v>7.0</v>
      </c>
      <c r="C5797" s="1" t="s">
        <v>17069</v>
      </c>
      <c r="D5797" s="1" t="s">
        <v>16</v>
      </c>
      <c r="E5797" s="1" t="s">
        <v>17070</v>
      </c>
      <c r="F5797" s="1" t="str">
        <f>IFERROR(__xludf.DUMMYFUNCTION("GOOGLETRANSLATE(A5797, ""zh-CN"", ""ko"")"),"씌우다")</f>
        <v>씌우다</v>
      </c>
    </row>
    <row r="5798" ht="15.75" customHeight="1">
      <c r="A5798" s="1" t="s">
        <v>17071</v>
      </c>
      <c r="B5798" s="1">
        <v>7.0</v>
      </c>
      <c r="C5798" s="1" t="s">
        <v>17072</v>
      </c>
      <c r="D5798" s="1" t="s">
        <v>16</v>
      </c>
      <c r="E5798" s="1" t="s">
        <v>17073</v>
      </c>
      <c r="F5798" s="1" t="str">
        <f>IFERROR(__xludf.DUMMYFUNCTION("GOOGLETRANSLATE(A5798, ""zh-CN"", ""ko"")"),"매력")</f>
        <v>매력</v>
      </c>
    </row>
    <row r="5799" ht="15.75" customHeight="1">
      <c r="A5799" s="1" t="s">
        <v>17074</v>
      </c>
      <c r="B5799" s="1">
        <v>7.0</v>
      </c>
      <c r="C5799" s="1" t="s">
        <v>17075</v>
      </c>
      <c r="D5799" s="1" t="s">
        <v>16</v>
      </c>
      <c r="E5799" s="1" t="s">
        <v>17076</v>
      </c>
      <c r="F5799" s="1" t="str">
        <f>IFERROR(__xludf.DUMMYFUNCTION("GOOGLETRANSLATE(A5799, ""zh-CN"", ""ko"")"),"모래 폭풍")</f>
        <v>모래 폭풍</v>
      </c>
    </row>
    <row r="5800" ht="15.75" customHeight="1">
      <c r="A5800" s="1" t="s">
        <v>17077</v>
      </c>
      <c r="B5800" s="1">
        <v>7.0</v>
      </c>
      <c r="C5800" s="1" t="s">
        <v>17078</v>
      </c>
      <c r="D5800" s="1" t="s">
        <v>16</v>
      </c>
      <c r="E5800" s="1" t="s">
        <v>17079</v>
      </c>
      <c r="F5800" s="1" t="str">
        <f>IFERROR(__xludf.DUMMYFUNCTION("GOOGLETRANSLATE(A5800, ""zh-CN"", ""ko"")"),"패션")</f>
        <v>패션</v>
      </c>
    </row>
    <row r="5801" ht="15.75" customHeight="1">
      <c r="A5801" s="1" t="s">
        <v>17080</v>
      </c>
      <c r="B5801" s="1">
        <v>7.0</v>
      </c>
      <c r="C5801" s="1" t="s">
        <v>17081</v>
      </c>
      <c r="D5801" s="1" t="s">
        <v>16</v>
      </c>
      <c r="E5801" s="1" t="s">
        <v>17082</v>
      </c>
      <c r="F5801" s="1" t="str">
        <f>IFERROR(__xludf.DUMMYFUNCTION("GOOGLETRANSLATE(A5801, ""zh-CN"", ""ko"")"),"풍수")</f>
        <v>풍수</v>
      </c>
    </row>
    <row r="5802" ht="15.75" customHeight="1">
      <c r="A5802" s="1" t="s">
        <v>17083</v>
      </c>
      <c r="B5802" s="1">
        <v>7.0</v>
      </c>
      <c r="C5802" s="1" t="s">
        <v>17084</v>
      </c>
      <c r="D5802" s="1" t="s">
        <v>52</v>
      </c>
      <c r="E5802" s="1" t="s">
        <v>17085</v>
      </c>
      <c r="F5802" s="1" t="str">
        <f>IFERROR(__xludf.DUMMYFUNCTION("GOOGLETRANSLATE(A5802, ""zh-CN"", ""ko"")"),"풍족한")</f>
        <v>풍족한</v>
      </c>
    </row>
    <row r="5803" ht="15.75" customHeight="1">
      <c r="A5803" s="1" t="s">
        <v>17086</v>
      </c>
      <c r="B5803" s="1">
        <v>7.0</v>
      </c>
      <c r="C5803" s="1" t="s">
        <v>17087</v>
      </c>
      <c r="E5803" s="1" t="s">
        <v>17088</v>
      </c>
      <c r="F5803" s="1" t="str">
        <f>IFERROR(__xludf.DUMMYFUNCTION("GOOGLETRANSLATE(A5803, ""zh-CN"", ""ko"")"),"비가 오든 해가 뜨든")</f>
        <v>비가 오든 해가 뜨든</v>
      </c>
    </row>
    <row r="5804" ht="15.75" customHeight="1">
      <c r="A5804" s="1" t="s">
        <v>17089</v>
      </c>
      <c r="B5804" s="1">
        <v>7.0</v>
      </c>
      <c r="C5804" s="1" t="s">
        <v>17090</v>
      </c>
      <c r="D5804" s="1" t="s">
        <v>16</v>
      </c>
      <c r="E5804" s="1" t="s">
        <v>17091</v>
      </c>
      <c r="F5804" s="1" t="str">
        <f>IFERROR(__xludf.DUMMYFUNCTION("GOOGLETRANSLATE(A5804, ""zh-CN"", ""ko"")"),"바람과 구름")</f>
        <v>바람과 구름</v>
      </c>
    </row>
    <row r="5805" ht="15.75" customHeight="1">
      <c r="A5805" s="1" t="s">
        <v>17092</v>
      </c>
      <c r="B5805" s="1">
        <v>7.0</v>
      </c>
      <c r="C5805" s="1" t="s">
        <v>17093</v>
      </c>
      <c r="D5805" s="1" t="s">
        <v>16</v>
      </c>
      <c r="E5805" s="1" t="s">
        <v>17094</v>
      </c>
      <c r="F5805" s="1" t="str">
        <f>IFERROR(__xludf.DUMMYFUNCTION("GOOGLETRANSLATE(A5805, ""zh-CN"", ""ko"")"),"연")</f>
        <v>연</v>
      </c>
    </row>
    <row r="5806" ht="15.75" customHeight="1">
      <c r="A5806" s="1" t="s">
        <v>17095</v>
      </c>
      <c r="B5806" s="1">
        <v>7.0</v>
      </c>
      <c r="C5806" s="1" t="s">
        <v>17096</v>
      </c>
      <c r="D5806" s="1" t="s">
        <v>16</v>
      </c>
      <c r="E5806" s="1" t="s">
        <v>17097</v>
      </c>
      <c r="F5806" s="1" t="str">
        <f>IFERROR(__xludf.DUMMYFUNCTION("GOOGLETRANSLATE(A5806, ""zh-CN"", ""ko"")"),"광인")</f>
        <v>광인</v>
      </c>
    </row>
    <row r="5807" ht="15.75" customHeight="1">
      <c r="A5807" s="1" t="s">
        <v>17098</v>
      </c>
      <c r="B5807" s="1">
        <v>7.0</v>
      </c>
      <c r="C5807" s="1" t="s">
        <v>9055</v>
      </c>
      <c r="D5807" s="1" t="s">
        <v>8</v>
      </c>
      <c r="E5807" s="1" t="s">
        <v>17099</v>
      </c>
      <c r="F5807" s="1" t="str">
        <f>IFERROR(__xludf.DUMMYFUNCTION("GOOGLETRANSLATE(A5807, ""zh-CN"", ""ko"")"),"재봉")</f>
        <v>재봉</v>
      </c>
    </row>
    <row r="5808" ht="15.75" customHeight="1">
      <c r="A5808" s="1" t="s">
        <v>17100</v>
      </c>
      <c r="B5808" s="1">
        <v>7.0</v>
      </c>
      <c r="C5808" s="1" t="s">
        <v>17101</v>
      </c>
      <c r="D5808" s="1" t="s">
        <v>8</v>
      </c>
      <c r="E5808" s="1" t="s">
        <v>17102</v>
      </c>
      <c r="F5808" s="1" t="str">
        <f>IFERROR(__xludf.DUMMYFUNCTION("GOOGLETRANSLATE(A5808, ""zh-CN"", ""ko"")"),"봉합선")</f>
        <v>봉합선</v>
      </c>
    </row>
    <row r="5809" ht="15.75" customHeight="1">
      <c r="A5809" s="1" t="s">
        <v>17103</v>
      </c>
      <c r="B5809" s="1">
        <v>7.0</v>
      </c>
      <c r="C5809" s="1" t="s">
        <v>17104</v>
      </c>
      <c r="D5809" s="1" t="s">
        <v>16</v>
      </c>
      <c r="E5809" s="1" t="s">
        <v>17105</v>
      </c>
      <c r="F5809" s="1" t="str">
        <f>IFERROR(__xludf.DUMMYFUNCTION("GOOGLETRANSLATE(A5809, ""zh-CN"", ""ko"")"),"피닉스")</f>
        <v>피닉스</v>
      </c>
    </row>
    <row r="5810" ht="15.75" customHeight="1">
      <c r="A5810" s="1" t="s">
        <v>17106</v>
      </c>
      <c r="B5810" s="1">
        <v>7.0</v>
      </c>
      <c r="C5810" s="1" t="s">
        <v>17107</v>
      </c>
      <c r="E5810" s="1" t="s">
        <v>17108</v>
      </c>
      <c r="F5810" s="1" t="str">
        <f>IFERROR(__xludf.DUMMYFUNCTION("GOOGLETRANSLATE(A5810, ""zh-CN"", ""ko"")"),"극히 드문")</f>
        <v>극히 드문</v>
      </c>
    </row>
    <row r="5811" ht="15.75" customHeight="1">
      <c r="A5811" s="1" t="s">
        <v>17109</v>
      </c>
      <c r="B5811" s="1">
        <v>7.0</v>
      </c>
      <c r="C5811" s="1" t="s">
        <v>17110</v>
      </c>
      <c r="D5811" s="1" t="s">
        <v>16</v>
      </c>
      <c r="E5811" s="1" t="s">
        <v>17111</v>
      </c>
      <c r="F5811" s="1" t="str">
        <f>IFERROR(__xludf.DUMMYFUNCTION("GOOGLETRANSLATE(A5811, ""zh-CN"", ""ko"")"),"불")</f>
        <v>불</v>
      </c>
    </row>
    <row r="5812" ht="15.75" customHeight="1">
      <c r="A5812" s="1" t="s">
        <v>17112</v>
      </c>
      <c r="B5812" s="1">
        <v>7.0</v>
      </c>
      <c r="C5812" s="1" t="s">
        <v>17113</v>
      </c>
      <c r="D5812" s="1" t="s">
        <v>8</v>
      </c>
      <c r="E5812" s="1" t="s">
        <v>17114</v>
      </c>
      <c r="F5812" s="1" t="str">
        <f>IFERROR(__xludf.DUMMYFUNCTION("GOOGLETRANSLATE(A5812, ""zh-CN"", ""ko"")"),"적용하다")</f>
        <v>적용하다</v>
      </c>
    </row>
    <row r="5813" ht="15.75" customHeight="1">
      <c r="A5813" s="1" t="s">
        <v>17115</v>
      </c>
      <c r="B5813" s="1">
        <v>7.0</v>
      </c>
      <c r="C5813" s="1" t="s">
        <v>17116</v>
      </c>
      <c r="D5813" s="1" t="s">
        <v>8</v>
      </c>
      <c r="E5813" s="1" t="s">
        <v>17117</v>
      </c>
      <c r="F5813" s="1" t="str">
        <f>IFERROR(__xludf.DUMMYFUNCTION("GOOGLETRANSLATE(A5813, ""zh-CN"", ""ko"")"),"잠복")</f>
        <v>잠복</v>
      </c>
    </row>
    <row r="5814" ht="15.75" customHeight="1">
      <c r="A5814" s="1" t="s">
        <v>17118</v>
      </c>
      <c r="B5814" s="1">
        <v>7.0</v>
      </c>
      <c r="C5814" s="1" t="s">
        <v>17119</v>
      </c>
      <c r="D5814" s="1" t="s">
        <v>52</v>
      </c>
      <c r="E5814" s="1" t="s">
        <v>17120</v>
      </c>
      <c r="F5814" s="1" t="str">
        <f>IFERROR(__xludf.DUMMYFUNCTION("GOOGLETRANSLATE(A5814, ""zh-CN"", ""ko"")"),"얕은")</f>
        <v>얕은</v>
      </c>
    </row>
    <row r="5815" ht="15.75" customHeight="1">
      <c r="A5815" s="1" t="s">
        <v>17121</v>
      </c>
      <c r="B5815" s="1">
        <v>7.0</v>
      </c>
      <c r="C5815" s="1" t="s">
        <v>17122</v>
      </c>
      <c r="D5815" s="1" t="s">
        <v>8</v>
      </c>
      <c r="E5815" s="1" t="s">
        <v>17123</v>
      </c>
      <c r="F5815" s="1" t="str">
        <f>IFERROR(__xludf.DUMMYFUNCTION("GOOGLETRANSLATE(A5815, ""zh-CN"", ""ko"")"),"지원하다")</f>
        <v>지원하다</v>
      </c>
    </row>
    <row r="5816" ht="15.75" customHeight="1">
      <c r="A5816" s="1" t="s">
        <v>17124</v>
      </c>
      <c r="B5816" s="1">
        <v>7.0</v>
      </c>
      <c r="C5816" s="1" t="s">
        <v>17125</v>
      </c>
      <c r="D5816" s="1" t="s">
        <v>8</v>
      </c>
      <c r="E5816" s="1" t="s">
        <v>17126</v>
      </c>
      <c r="F5816" s="1" t="str">
        <f>IFERROR(__xludf.DUMMYFUNCTION("GOOGLETRANSLATE(A5816, ""zh-CN"", ""ko"")"),"뜨다")</f>
        <v>뜨다</v>
      </c>
    </row>
    <row r="5817" ht="15.75" customHeight="1">
      <c r="A5817" s="1" t="s">
        <v>17127</v>
      </c>
      <c r="B5817" s="1">
        <v>7.0</v>
      </c>
      <c r="C5817" s="1" t="s">
        <v>17128</v>
      </c>
      <c r="D5817" s="1" t="s">
        <v>8</v>
      </c>
      <c r="E5817" s="1" t="s">
        <v>15290</v>
      </c>
      <c r="F5817" s="1" t="str">
        <f>IFERROR(__xludf.DUMMYFUNCTION("GOOGLETRANSLATE(A5817, ""zh-CN"", ""ko"")"),"포착")</f>
        <v>포착</v>
      </c>
    </row>
    <row r="5818" ht="15.75" customHeight="1">
      <c r="A5818" s="1" t="s">
        <v>17129</v>
      </c>
      <c r="B5818" s="1">
        <v>7.0</v>
      </c>
      <c r="C5818" s="1" t="s">
        <v>9082</v>
      </c>
      <c r="D5818" s="1" t="s">
        <v>16</v>
      </c>
      <c r="E5818" s="1" t="s">
        <v>17130</v>
      </c>
      <c r="F5818" s="1" t="str">
        <f>IFERROR(__xludf.DUMMYFUNCTION("GOOGLETRANSLATE(A5818, ""zh-CN"", ""ko"")"),"부력")</f>
        <v>부력</v>
      </c>
    </row>
    <row r="5819" ht="15.75" customHeight="1">
      <c r="A5819" s="1" t="s">
        <v>17131</v>
      </c>
      <c r="B5819" s="1">
        <v>7.0</v>
      </c>
      <c r="C5819" s="1" t="s">
        <v>17132</v>
      </c>
      <c r="D5819" s="1" t="s">
        <v>16</v>
      </c>
      <c r="E5819" s="1" t="s">
        <v>17133</v>
      </c>
      <c r="F5819" s="1" t="str">
        <f>IFERROR(__xludf.DUMMYFUNCTION("GOOGLETRANSLATE(A5819, ""zh-CN"", ""ko"")"),"의복")</f>
        <v>의복</v>
      </c>
    </row>
    <row r="5820" ht="15.75" customHeight="1">
      <c r="A5820" s="1" t="s">
        <v>17134</v>
      </c>
      <c r="B5820" s="1">
        <v>7.0</v>
      </c>
      <c r="C5820" s="1" t="s">
        <v>17135</v>
      </c>
      <c r="D5820" s="1" t="s">
        <v>16</v>
      </c>
      <c r="E5820" s="1" t="s">
        <v>17136</v>
      </c>
      <c r="F5820" s="1" t="str">
        <f>IFERROR(__xludf.DUMMYFUNCTION("GOOGLETRANSLATE(A5820, ""zh-CN"", ""ko"")"),"섬기는 사람")</f>
        <v>섬기는 사람</v>
      </c>
    </row>
    <row r="5821" ht="15.75" customHeight="1">
      <c r="A5821" s="1" t="s">
        <v>17137</v>
      </c>
      <c r="B5821" s="1">
        <v>7.0</v>
      </c>
      <c r="C5821" s="1" t="s">
        <v>17138</v>
      </c>
      <c r="D5821" s="1" t="s">
        <v>8</v>
      </c>
      <c r="E5821" s="1" t="s">
        <v>17139</v>
      </c>
      <c r="F5821" s="1" t="str">
        <f>IFERROR(__xludf.DUMMYFUNCTION("GOOGLETRANSLATE(A5821, ""zh-CN"", ""ko"")"),"신흥")</f>
        <v>신흥</v>
      </c>
    </row>
    <row r="5822" ht="15.75" customHeight="1">
      <c r="A5822" s="1" t="s">
        <v>17140</v>
      </c>
      <c r="B5822" s="1">
        <v>7.0</v>
      </c>
      <c r="C5822" s="1" t="s">
        <v>17141</v>
      </c>
      <c r="D5822" s="1" t="s">
        <v>52</v>
      </c>
      <c r="E5822" s="1" t="s">
        <v>17142</v>
      </c>
      <c r="F5822" s="1" t="str">
        <f>IFERROR(__xludf.DUMMYFUNCTION("GOOGLETRANSLATE(A5822, ""zh-CN"", ""ko"")"),"맹렬한")</f>
        <v>맹렬한</v>
      </c>
    </row>
    <row r="5823" ht="15.75" customHeight="1">
      <c r="A5823" s="1" t="s">
        <v>17143</v>
      </c>
      <c r="B5823" s="1">
        <v>7.0</v>
      </c>
      <c r="C5823" s="1" t="s">
        <v>17144</v>
      </c>
      <c r="D5823" s="1" t="s">
        <v>8</v>
      </c>
      <c r="E5823" s="1" t="s">
        <v>17145</v>
      </c>
      <c r="F5823" s="1" t="str">
        <f>IFERROR(__xludf.DUMMYFUNCTION("GOOGLETRANSLATE(A5823, ""zh-CN"", ""ko"")"),"운궁법")</f>
        <v>운궁법</v>
      </c>
    </row>
    <row r="5824" ht="15.75" customHeight="1">
      <c r="A5824" s="1" t="s">
        <v>17146</v>
      </c>
      <c r="B5824" s="1">
        <v>7.0</v>
      </c>
      <c r="C5824" s="1" t="s">
        <v>17147</v>
      </c>
      <c r="D5824" s="1" t="s">
        <v>8</v>
      </c>
      <c r="E5824" s="1" t="s">
        <v>17148</v>
      </c>
      <c r="F5824" s="1" t="str">
        <f>IFERROR(__xludf.DUMMYFUNCTION("GOOGLETRANSLATE(A5824, ""zh-CN"", ""ko"")"),"보상")</f>
        <v>보상</v>
      </c>
    </row>
    <row r="5825" ht="15.75" customHeight="1">
      <c r="A5825" s="1" t="s">
        <v>17149</v>
      </c>
      <c r="B5825" s="1">
        <v>7.0</v>
      </c>
      <c r="C5825" s="1" t="s">
        <v>17150</v>
      </c>
      <c r="D5825" s="1" t="s">
        <v>16</v>
      </c>
      <c r="E5825" s="1" t="s">
        <v>17151</v>
      </c>
      <c r="F5825" s="1" t="str">
        <f>IFERROR(__xludf.DUMMYFUNCTION("GOOGLETRANSLATE(A5825, ""zh-CN"", ""ko"")"),"도끼")</f>
        <v>도끼</v>
      </c>
    </row>
    <row r="5826" ht="15.75" customHeight="1">
      <c r="A5826" s="1" t="s">
        <v>17152</v>
      </c>
      <c r="B5826" s="1">
        <v>7.0</v>
      </c>
      <c r="C5826" s="1" t="s">
        <v>2134</v>
      </c>
      <c r="D5826" s="1" t="s">
        <v>8</v>
      </c>
      <c r="E5826" s="1" t="s">
        <v>17153</v>
      </c>
      <c r="F5826" s="1" t="str">
        <f>IFERROR(__xludf.DUMMYFUNCTION("GOOGLETRANSLATE(A5826, ""zh-CN"", ""ko"")"),"가다")</f>
        <v>가다</v>
      </c>
    </row>
    <row r="5827" ht="15.75" customHeight="1">
      <c r="A5827" s="1" t="s">
        <v>17154</v>
      </c>
      <c r="B5827" s="1">
        <v>7.0</v>
      </c>
      <c r="C5827" s="1" t="s">
        <v>2134</v>
      </c>
      <c r="D5827" s="1" t="s">
        <v>8</v>
      </c>
      <c r="E5827" s="1" t="s">
        <v>17155</v>
      </c>
      <c r="F5827" s="1" t="str">
        <f>IFERROR(__xludf.DUMMYFUNCTION("GOOGLETRANSLATE(A5827, ""zh-CN"", ""ko"")"),"충수")</f>
        <v>충수</v>
      </c>
    </row>
    <row r="5828" ht="15.75" customHeight="1">
      <c r="A5828" s="1" t="s">
        <v>17156</v>
      </c>
      <c r="B5828" s="1">
        <v>7.0</v>
      </c>
      <c r="C5828" s="1" t="s">
        <v>2134</v>
      </c>
      <c r="D5828" s="1" t="s">
        <v>14735</v>
      </c>
      <c r="E5828" s="1" t="s">
        <v>17157</v>
      </c>
      <c r="F5828" s="1" t="str">
        <f>IFERROR(__xludf.DUMMYFUNCTION("GOOGLETRANSLATE(A5828, ""zh-CN"", ""ko"")"),"부담")</f>
        <v>부담</v>
      </c>
    </row>
    <row r="5829" ht="15.75" customHeight="1">
      <c r="A5829" s="1" t="s">
        <v>17158</v>
      </c>
      <c r="B5829" s="1">
        <v>7.0</v>
      </c>
      <c r="C5829" s="1" t="s">
        <v>2134</v>
      </c>
      <c r="D5829" s="1" t="s">
        <v>16</v>
      </c>
      <c r="E5829" s="1" t="s">
        <v>17159</v>
      </c>
      <c r="F5829" s="1" t="str">
        <f>IFERROR(__xludf.DUMMYFUNCTION("GOOGLETRANSLATE(A5829, ""zh-CN"", ""ko"")"),"배")</f>
        <v>배</v>
      </c>
    </row>
    <row r="5830" ht="15.75" customHeight="1">
      <c r="A5830" s="1" t="s">
        <v>17160</v>
      </c>
      <c r="B5830" s="1">
        <v>7.0</v>
      </c>
      <c r="C5830" s="1" t="s">
        <v>17161</v>
      </c>
      <c r="D5830" s="1" t="s">
        <v>16</v>
      </c>
      <c r="E5830" s="1" t="s">
        <v>17162</v>
      </c>
      <c r="F5830" s="1" t="str">
        <f>IFERROR(__xludf.DUMMYFUNCTION("GOOGLETRANSLATE(A5830, ""zh-CN"", ""ko"")"),"지하 감옥")</f>
        <v>지하 감옥</v>
      </c>
    </row>
    <row r="5831" ht="15.75" customHeight="1">
      <c r="A5831" s="1" t="s">
        <v>17163</v>
      </c>
      <c r="B5831" s="1">
        <v>7.0</v>
      </c>
      <c r="C5831" s="1" t="s">
        <v>17164</v>
      </c>
      <c r="D5831" s="1" t="s">
        <v>8</v>
      </c>
      <c r="E5831" s="1" t="s">
        <v>17165</v>
      </c>
      <c r="F5831" s="1" t="str">
        <f>IFERROR(__xludf.DUMMYFUNCTION("GOOGLETRANSLATE(A5831, ""zh-CN"", ""ko"")"),"재시험")</f>
        <v>재시험</v>
      </c>
    </row>
    <row r="5832" ht="15.75" customHeight="1">
      <c r="A5832" s="1" t="s">
        <v>17166</v>
      </c>
      <c r="B5832" s="1">
        <v>7.0</v>
      </c>
      <c r="C5832" s="1" t="s">
        <v>17167</v>
      </c>
      <c r="D5832" s="1" t="s">
        <v>14735</v>
      </c>
      <c r="E5832" s="1" t="s">
        <v>17168</v>
      </c>
      <c r="F5832" s="1" t="str">
        <f>IFERROR(__xludf.DUMMYFUNCTION("GOOGLETRANSLATE(A5832, ""zh-CN"", ""ko"")"),"첨부된")</f>
        <v>첨부된</v>
      </c>
    </row>
    <row r="5833" ht="15.75" customHeight="1">
      <c r="A5833" s="1" t="s">
        <v>17169</v>
      </c>
      <c r="B5833" s="1">
        <v>7.0</v>
      </c>
      <c r="C5833" s="1" t="s">
        <v>17170</v>
      </c>
      <c r="D5833" s="1" t="s">
        <v>8</v>
      </c>
      <c r="E5833" s="1" t="s">
        <v>17171</v>
      </c>
      <c r="F5833" s="1" t="str">
        <f>IFERROR(__xludf.DUMMYFUNCTION("GOOGLETRANSLATE(A5833, ""zh-CN"", ""ko"")"),"재발")</f>
        <v>재발</v>
      </c>
    </row>
    <row r="5834" ht="15.75" customHeight="1">
      <c r="A5834" s="1" t="s">
        <v>17172</v>
      </c>
      <c r="B5834" s="1">
        <v>7.0</v>
      </c>
      <c r="C5834" s="1" t="s">
        <v>17173</v>
      </c>
      <c r="D5834" s="1" t="s">
        <v>8</v>
      </c>
      <c r="E5834" s="1" t="s">
        <v>17174</v>
      </c>
      <c r="F5834" s="1" t="str">
        <f>IFERROR(__xludf.DUMMYFUNCTION("GOOGLETRANSLATE(A5834, ""zh-CN"", ""ko"")"),"풍부한")</f>
        <v>풍부한</v>
      </c>
    </row>
    <row r="5835" ht="15.75" customHeight="1">
      <c r="A5835" s="1" t="s">
        <v>17175</v>
      </c>
      <c r="B5835" s="1">
        <v>7.0</v>
      </c>
      <c r="C5835" s="1" t="s">
        <v>17176</v>
      </c>
      <c r="D5835" s="1" t="s">
        <v>16</v>
      </c>
      <c r="E5835" s="1" t="s">
        <v>17177</v>
      </c>
      <c r="F5835" s="1" t="str">
        <f>IFERROR(__xludf.DUMMYFUNCTION("GOOGLETRANSLATE(A5835, ""zh-CN"", ""ko"")"),"부자")</f>
        <v>부자</v>
      </c>
    </row>
    <row r="5836" ht="15.75" customHeight="1">
      <c r="A5836" s="1" t="s">
        <v>17178</v>
      </c>
      <c r="B5836" s="1">
        <v>7.0</v>
      </c>
      <c r="C5836" s="1" t="s">
        <v>17179</v>
      </c>
      <c r="D5836" s="1" t="s">
        <v>8</v>
      </c>
      <c r="E5836" s="1" t="s">
        <v>17180</v>
      </c>
      <c r="F5836" s="1" t="str">
        <f>IFERROR(__xludf.DUMMYFUNCTION("GOOGLETRANSLATE(A5836, ""zh-CN"", ""ko"")"),"복잡한")</f>
        <v>복잡한</v>
      </c>
    </row>
    <row r="5837" ht="15.75" customHeight="1">
      <c r="A5837" s="1" t="s">
        <v>17181</v>
      </c>
      <c r="B5837" s="1">
        <v>7.0</v>
      </c>
      <c r="C5837" s="1" t="s">
        <v>17182</v>
      </c>
      <c r="D5837" s="1" t="s">
        <v>8</v>
      </c>
      <c r="E5837" s="1" t="s">
        <v>17183</v>
      </c>
      <c r="F5837" s="1" t="str">
        <f>IFERROR(__xludf.DUMMYFUNCTION("GOOGLETRANSLATE(A5837, ""zh-CN"", ""ko"")"),"추가의")</f>
        <v>추가의</v>
      </c>
    </row>
    <row r="5838" ht="15.75" customHeight="1">
      <c r="A5838" s="1" t="s">
        <v>17184</v>
      </c>
      <c r="B5838" s="1">
        <v>7.0</v>
      </c>
      <c r="C5838" s="1" t="s">
        <v>17185</v>
      </c>
      <c r="D5838" s="1" t="s">
        <v>52</v>
      </c>
      <c r="E5838" s="1" t="s">
        <v>17186</v>
      </c>
      <c r="F5838" s="1" t="str">
        <f>IFERROR(__xludf.DUMMYFUNCTION("GOOGLETRANSLATE(A5838, ""zh-CN"", ""ko"")"),"번영")</f>
        <v>번영</v>
      </c>
    </row>
    <row r="5839" ht="15.75" customHeight="1">
      <c r="A5839" s="1" t="s">
        <v>17187</v>
      </c>
      <c r="B5839" s="1">
        <v>7.0</v>
      </c>
      <c r="C5839" s="1" t="s">
        <v>17188</v>
      </c>
      <c r="D5839" s="1" t="s">
        <v>8</v>
      </c>
      <c r="E5839" s="1" t="s">
        <v>17189</v>
      </c>
      <c r="F5839" s="1" t="str">
        <f>IFERROR(__xludf.DUMMYFUNCTION("GOOGLETRANSLATE(A5839, ""zh-CN"", ""ko"")"),"회복")</f>
        <v>회복</v>
      </c>
    </row>
    <row r="5840" ht="15.75" customHeight="1">
      <c r="A5840" s="1" t="s">
        <v>17190</v>
      </c>
      <c r="B5840" s="1">
        <v>7.0</v>
      </c>
      <c r="C5840" s="1" t="s">
        <v>17191</v>
      </c>
      <c r="D5840" s="1" t="s">
        <v>16</v>
      </c>
      <c r="E5840" s="1" t="s">
        <v>17192</v>
      </c>
      <c r="F5840" s="1" t="str">
        <f>IFERROR(__xludf.DUMMYFUNCTION("GOOGLETRANSLATE(A5840, ""zh-CN"", ""ko"")"),"부자")</f>
        <v>부자</v>
      </c>
    </row>
    <row r="5841" ht="15.75" customHeight="1">
      <c r="A5841" s="1" t="s">
        <v>17193</v>
      </c>
      <c r="B5841" s="1">
        <v>7.0</v>
      </c>
      <c r="C5841" s="1" t="s">
        <v>17194</v>
      </c>
      <c r="D5841" s="1" t="s">
        <v>8</v>
      </c>
      <c r="E5841" s="1" t="s">
        <v>17195</v>
      </c>
      <c r="F5841" s="1" t="str">
        <f>IFERROR(__xludf.DUMMYFUNCTION("GOOGLETRANSLATE(A5841, ""zh-CN"", ""ko"")"),"회복")</f>
        <v>회복</v>
      </c>
    </row>
    <row r="5842" ht="15.75" customHeight="1">
      <c r="A5842" s="1" t="s">
        <v>17196</v>
      </c>
      <c r="B5842" s="1">
        <v>7.0</v>
      </c>
      <c r="C5842" s="1" t="s">
        <v>17197</v>
      </c>
      <c r="D5842" s="1" t="s">
        <v>8</v>
      </c>
      <c r="E5842" s="1" t="s">
        <v>17198</v>
      </c>
      <c r="F5842" s="1" t="str">
        <f>IFERROR(__xludf.DUMMYFUNCTION("GOOGLETRANSLATE(A5842, ""zh-CN"", ""ko"")"),"짐")</f>
        <v>짐</v>
      </c>
    </row>
    <row r="5843" ht="15.75" customHeight="1">
      <c r="A5843" s="1" t="s">
        <v>17199</v>
      </c>
      <c r="B5843" s="1">
        <v>7.0</v>
      </c>
      <c r="C5843" s="1" t="s">
        <v>17200</v>
      </c>
      <c r="D5843" s="1" t="s">
        <v>52</v>
      </c>
      <c r="E5843" s="1" t="s">
        <v>17201</v>
      </c>
      <c r="F5843" s="1" t="str">
        <f>IFERROR(__xludf.DUMMYFUNCTION("GOOGLETRANSLATE(A5843, ""zh-CN"", ""ko"")"),"풍부")</f>
        <v>풍부</v>
      </c>
    </row>
    <row r="5844" ht="15.75" customHeight="1">
      <c r="A5844" s="1" t="s">
        <v>17202</v>
      </c>
      <c r="B5844" s="1">
        <v>7.0</v>
      </c>
      <c r="C5844" s="1" t="s">
        <v>17203</v>
      </c>
      <c r="D5844" s="1" t="s">
        <v>16</v>
      </c>
      <c r="E5844" s="1" t="s">
        <v>17204</v>
      </c>
      <c r="F5844" s="1" t="str">
        <f>IFERROR(__xludf.DUMMYFUNCTION("GOOGLETRANSLATE(A5844, ""zh-CN"", ""ko"")"),"부작용")</f>
        <v>부작용</v>
      </c>
    </row>
    <row r="5845" ht="15.75" customHeight="1">
      <c r="A5845" s="1" t="s">
        <v>17205</v>
      </c>
      <c r="B5845" s="1">
        <v>7.0</v>
      </c>
      <c r="C5845" s="1" t="s">
        <v>17206</v>
      </c>
      <c r="E5845" s="1" t="s">
        <v>17207</v>
      </c>
      <c r="F5845" s="1" t="str">
        <f>IFERROR(__xludf.DUMMYFUNCTION("GOOGLETRANSLATE(A5845, ""zh-CN"", ""ko"")"),"수정됨")</f>
        <v>수정됨</v>
      </c>
    </row>
    <row r="5846" ht="15.75" customHeight="1">
      <c r="A5846" s="1" t="s">
        <v>17208</v>
      </c>
      <c r="B5846" s="1">
        <v>7.0</v>
      </c>
      <c r="C5846" s="1" t="s">
        <v>17209</v>
      </c>
      <c r="D5846" s="1" t="s">
        <v>8</v>
      </c>
      <c r="E5846" s="1" t="s">
        <v>17210</v>
      </c>
      <c r="F5846" s="1" t="str">
        <f>IFERROR(__xludf.DUMMYFUNCTION("GOOGLETRANSLATE(A5846, ""zh-CN"", ""ko"")"),"변화")</f>
        <v>변화</v>
      </c>
    </row>
    <row r="5847" ht="15.75" customHeight="1">
      <c r="A5847" s="1" t="s">
        <v>17211</v>
      </c>
      <c r="B5847" s="1">
        <v>7.0</v>
      </c>
      <c r="C5847" s="1" t="s">
        <v>17212</v>
      </c>
      <c r="D5847" s="1" t="s">
        <v>8</v>
      </c>
      <c r="E5847" s="1" t="s">
        <v>17213</v>
      </c>
      <c r="F5847" s="1" t="str">
        <f>IFERROR(__xludf.DUMMYFUNCTION("GOOGLETRANSLATE(A5847, ""zh-CN"", ""ko"")"),"개선")</f>
        <v>개선</v>
      </c>
    </row>
    <row r="5848" ht="15.75" customHeight="1">
      <c r="A5848" s="1" t="s">
        <v>17214</v>
      </c>
      <c r="B5848" s="1">
        <v>7.0</v>
      </c>
      <c r="C5848" s="1" t="s">
        <v>17215</v>
      </c>
      <c r="D5848" s="1" t="s">
        <v>33</v>
      </c>
      <c r="E5848" s="1" t="s">
        <v>17216</v>
      </c>
      <c r="F5848" s="1" t="str">
        <f>IFERROR(__xludf.DUMMYFUNCTION("GOOGLETRANSLATE(A5848, ""zh-CN"", ""ko"")"),"또 다른 날")</f>
        <v>또 다른 날</v>
      </c>
    </row>
    <row r="5849" ht="15.75" customHeight="1">
      <c r="A5849" s="1" t="s">
        <v>17217</v>
      </c>
      <c r="B5849" s="1">
        <v>7.0</v>
      </c>
      <c r="C5849" s="1" t="s">
        <v>17218</v>
      </c>
      <c r="E5849" s="1" t="s">
        <v>17219</v>
      </c>
      <c r="F5849" s="1" t="str">
        <f>IFERROR(__xludf.DUMMYFUNCTION("GOOGLETRANSLATE(A5849, ""zh-CN"", ""ko"")"),"새로운 시작을 하다")</f>
        <v>새로운 시작을 하다</v>
      </c>
    </row>
    <row r="5850" ht="15.75" customHeight="1">
      <c r="A5850" s="1" t="s">
        <v>17220</v>
      </c>
      <c r="B5850" s="1">
        <v>7.0</v>
      </c>
      <c r="C5850" s="1" t="s">
        <v>17221</v>
      </c>
      <c r="D5850" s="1" t="s">
        <v>8</v>
      </c>
      <c r="E5850" s="1" t="s">
        <v>17222</v>
      </c>
      <c r="F5850" s="1" t="str">
        <f>IFERROR(__xludf.DUMMYFUNCTION("GOOGLETRANSLATE(A5850, ""zh-CN"", ""ko"")"),"가감")</f>
        <v>가감</v>
      </c>
    </row>
    <row r="5851" ht="15.75" customHeight="1">
      <c r="A5851" s="1" t="s">
        <v>17223</v>
      </c>
      <c r="B5851" s="1">
        <v>7.0</v>
      </c>
      <c r="C5851" s="1" t="s">
        <v>4427</v>
      </c>
      <c r="D5851" s="1" t="s">
        <v>33</v>
      </c>
      <c r="E5851" s="1" t="s">
        <v>17224</v>
      </c>
      <c r="F5851" s="1" t="str">
        <f>IFERROR(__xludf.DUMMYFUNCTION("GOOGLETRANSLATE(A5851, ""zh-CN"", ""ko"")"),"개요")</f>
        <v>개요</v>
      </c>
    </row>
    <row r="5852" ht="15.75" customHeight="1">
      <c r="A5852" s="1" t="s">
        <v>17225</v>
      </c>
      <c r="B5852" s="1">
        <v>7.0</v>
      </c>
      <c r="C5852" s="1" t="s">
        <v>17226</v>
      </c>
      <c r="D5852" s="1" t="s">
        <v>16</v>
      </c>
      <c r="E5852" s="1" t="s">
        <v>17227</v>
      </c>
      <c r="F5852" s="1" t="str">
        <f>IFERROR(__xludf.DUMMYFUNCTION("GOOGLETRANSLATE(A5852, ""zh-CN"", ""ko"")"),"개요")</f>
        <v>개요</v>
      </c>
    </row>
    <row r="5853" ht="15.75" customHeight="1">
      <c r="A5853" s="1" t="s">
        <v>17228</v>
      </c>
      <c r="B5853" s="1">
        <v>7.0</v>
      </c>
      <c r="C5853" s="1" t="s">
        <v>17229</v>
      </c>
      <c r="D5853" s="1" t="s">
        <v>16</v>
      </c>
      <c r="E5853" s="1" t="s">
        <v>17230</v>
      </c>
      <c r="F5853" s="1" t="str">
        <f>IFERROR(__xludf.DUMMYFUNCTION("GOOGLETRANSLATE(A5853, ""zh-CN"", ""ko"")"),"개요")</f>
        <v>개요</v>
      </c>
    </row>
    <row r="5854" ht="15.75" customHeight="1">
      <c r="A5854" s="1" t="s">
        <v>17231</v>
      </c>
      <c r="B5854" s="1">
        <v>7.0</v>
      </c>
      <c r="C5854" s="1" t="s">
        <v>17232</v>
      </c>
      <c r="D5854" s="1" t="s">
        <v>17233</v>
      </c>
      <c r="E5854" s="1" t="s">
        <v>17234</v>
      </c>
      <c r="F5854" s="1" t="str">
        <f>IFERROR(__xludf.DUMMYFUNCTION("GOOGLETRANSLATE(A5854, ""zh-CN"", ""ko"")"),"막대")</f>
        <v>막대</v>
      </c>
    </row>
    <row r="5855" ht="15.75" customHeight="1">
      <c r="A5855" s="1" t="s">
        <v>17235</v>
      </c>
      <c r="B5855" s="1">
        <v>7.0</v>
      </c>
      <c r="C5855" s="1" t="s">
        <v>17236</v>
      </c>
      <c r="D5855" s="1" t="s">
        <v>16</v>
      </c>
      <c r="E5855" s="1" t="s">
        <v>17237</v>
      </c>
      <c r="F5855" s="1" t="str">
        <f>IFERROR(__xludf.DUMMYFUNCTION("GOOGLETRANSLATE(A5855, ""zh-CN"", ""ko"")"),"무기")</f>
        <v>무기</v>
      </c>
    </row>
    <row r="5856" ht="15.75" customHeight="1">
      <c r="A5856" s="1" t="s">
        <v>17238</v>
      </c>
      <c r="B5856" s="1">
        <v>7.0</v>
      </c>
      <c r="C5856" s="1" t="s">
        <v>17239</v>
      </c>
      <c r="D5856" s="1" t="s">
        <v>52</v>
      </c>
      <c r="E5856" s="1" t="s">
        <v>17240</v>
      </c>
      <c r="F5856" s="1" t="str">
        <f>IFERROR(__xludf.DUMMYFUNCTION("GOOGLETRANSLATE(A5856, ""zh-CN"", ""ko"")"),"건조한")</f>
        <v>건조한</v>
      </c>
    </row>
    <row r="5857" ht="15.75" customHeight="1">
      <c r="A5857" s="1" t="s">
        <v>17241</v>
      </c>
      <c r="B5857" s="1">
        <v>7.0</v>
      </c>
      <c r="C5857" s="1" t="s">
        <v>17242</v>
      </c>
      <c r="D5857" s="1" t="s">
        <v>8</v>
      </c>
      <c r="E5857" s="1" t="s">
        <v>17243</v>
      </c>
      <c r="F5857" s="1" t="str">
        <f>IFERROR(__xludf.DUMMYFUNCTION("GOOGLETRANSLATE(A5857, ""zh-CN"", ""ko"")"),"자발적인")</f>
        <v>자발적인</v>
      </c>
    </row>
    <row r="5858" ht="15.75" customHeight="1">
      <c r="A5858" s="1" t="s">
        <v>17244</v>
      </c>
      <c r="B5858" s="1">
        <v>7.0</v>
      </c>
      <c r="C5858" s="1" t="s">
        <v>17245</v>
      </c>
      <c r="D5858" s="1" t="s">
        <v>16</v>
      </c>
      <c r="E5858" s="1" t="s">
        <v>17246</v>
      </c>
      <c r="F5858" s="1" t="str">
        <f>IFERROR(__xludf.DUMMYFUNCTION("GOOGLETRANSLATE(A5858, ""zh-CN"", ""ko"")"),"감정")</f>
        <v>감정</v>
      </c>
    </row>
    <row r="5859" ht="15.75" customHeight="1">
      <c r="A5859" s="1" t="s">
        <v>17247</v>
      </c>
      <c r="B5859" s="1">
        <v>7.0</v>
      </c>
      <c r="C5859" s="1" t="s">
        <v>17248</v>
      </c>
      <c r="E5859" s="1" t="s">
        <v>17249</v>
      </c>
      <c r="F5859" s="1" t="str">
        <f>IFERROR(__xludf.DUMMYFUNCTION("GOOGLETRANSLATE(A5859, ""zh-CN"", ""ko"")"),"고마워하는")</f>
        <v>고마워하는</v>
      </c>
    </row>
    <row r="5860" ht="15.75" customHeight="1">
      <c r="A5860" s="1" t="s">
        <v>17250</v>
      </c>
      <c r="B5860" s="1">
        <v>7.0</v>
      </c>
      <c r="C5860" s="1" t="s">
        <v>17251</v>
      </c>
      <c r="D5860" s="1" t="s">
        <v>8</v>
      </c>
      <c r="E5860" s="1" t="s">
        <v>17252</v>
      </c>
      <c r="F5860" s="1" t="str">
        <f>IFERROR(__xludf.DUMMYFUNCTION("GOOGLETRANSLATE(A5860, ""zh-CN"", ""ko"")"),"서두르다")</f>
        <v>서두르다</v>
      </c>
    </row>
    <row r="5861" ht="15.75" customHeight="1">
      <c r="A5861" s="1" t="s">
        <v>17253</v>
      </c>
      <c r="B5861" s="1">
        <v>7.0</v>
      </c>
      <c r="C5861" s="1" t="s">
        <v>17254</v>
      </c>
      <c r="D5861" s="1" t="s">
        <v>8</v>
      </c>
      <c r="E5861" s="1" t="s">
        <v>17255</v>
      </c>
      <c r="F5861" s="1" t="str">
        <f>IFERROR(__xludf.DUMMYFUNCTION("GOOGLETRANSLATE(A5861, ""zh-CN"", ""ko"")"),"한숨을 쉬다")</f>
        <v>한숨을 쉬다</v>
      </c>
    </row>
    <row r="5862" ht="15.75" customHeight="1">
      <c r="A5862" s="1" t="s">
        <v>17256</v>
      </c>
      <c r="B5862" s="1">
        <v>7.0</v>
      </c>
      <c r="C5862" s="1" t="s">
        <v>17257</v>
      </c>
      <c r="D5862" s="1" t="s">
        <v>8</v>
      </c>
      <c r="E5862" s="1" t="s">
        <v>17258</v>
      </c>
      <c r="F5862" s="1" t="str">
        <f>IFERROR(__xludf.DUMMYFUNCTION("GOOGLETRANSLATE(A5862, ""zh-CN"", ""ko"")"),"인사이트")</f>
        <v>인사이트</v>
      </c>
    </row>
    <row r="5863" ht="15.75" customHeight="1">
      <c r="A5863" s="1" t="s">
        <v>17259</v>
      </c>
      <c r="B5863" s="1">
        <v>7.0</v>
      </c>
      <c r="C5863" s="1" t="s">
        <v>17260</v>
      </c>
      <c r="D5863" s="1" t="s">
        <v>52</v>
      </c>
      <c r="E5863" s="1" t="s">
        <v>17261</v>
      </c>
      <c r="F5863" s="1" t="str">
        <f>IFERROR(__xludf.DUMMYFUNCTION("GOOGLETRANSLATE(A5863, ""zh-CN"", ""ko"")"),"감수성")</f>
        <v>감수성</v>
      </c>
    </row>
    <row r="5864" ht="15.75" customHeight="1">
      <c r="A5864" s="1" t="s">
        <v>17262</v>
      </c>
      <c r="B5864" s="1">
        <v>7.0</v>
      </c>
      <c r="C5864" s="1" t="s">
        <v>17263</v>
      </c>
      <c r="D5864" s="1" t="s">
        <v>16</v>
      </c>
      <c r="E5864" s="1" t="s">
        <v>17264</v>
      </c>
      <c r="F5864" s="1" t="str">
        <f>IFERROR(__xludf.DUMMYFUNCTION("GOOGLETRANSLATE(A5864, ""zh-CN"", ""ko"")"),"간부")</f>
        <v>간부</v>
      </c>
    </row>
    <row r="5865" ht="15.75" customHeight="1">
      <c r="A5865" s="1" t="s">
        <v>17265</v>
      </c>
      <c r="B5865" s="1">
        <v>7.0</v>
      </c>
      <c r="C5865" s="1" t="s">
        <v>17266</v>
      </c>
      <c r="D5865" s="1" t="s">
        <v>16</v>
      </c>
      <c r="E5865" s="1" t="s">
        <v>17267</v>
      </c>
      <c r="F5865" s="1" t="str">
        <f>IFERROR(__xludf.DUMMYFUNCTION("GOOGLETRANSLATE(A5865, ""zh-CN"", ""ko"")"),"직원")</f>
        <v>직원</v>
      </c>
    </row>
    <row r="5866" ht="15.75" customHeight="1">
      <c r="A5866" s="1" t="s">
        <v>17268</v>
      </c>
      <c r="B5866" s="1">
        <v>7.0</v>
      </c>
      <c r="C5866" s="1" t="s">
        <v>2176</v>
      </c>
      <c r="D5866" s="1" t="s">
        <v>16</v>
      </c>
      <c r="E5866" s="1" t="s">
        <v>17269</v>
      </c>
      <c r="F5866" s="1" t="str">
        <f>IFERROR(__xludf.DUMMYFUNCTION("GOOGLETRANSLATE(A5866, ""zh-CN"", ""ko"")"),"실린더")</f>
        <v>실린더</v>
      </c>
    </row>
    <row r="5867" ht="15.75" customHeight="1">
      <c r="A5867" s="1" t="s">
        <v>17270</v>
      </c>
      <c r="B5867" s="1">
        <v>7.0</v>
      </c>
      <c r="C5867" s="1" t="s">
        <v>17271</v>
      </c>
      <c r="D5867" s="1" t="s">
        <v>16</v>
      </c>
      <c r="E5867" s="1" t="s">
        <v>17272</v>
      </c>
      <c r="F5867" s="1" t="str">
        <f>IFERROR(__xludf.DUMMYFUNCTION("GOOGLETRANSLATE(A5867, ""zh-CN"", ""ko"")"),"개요")</f>
        <v>개요</v>
      </c>
    </row>
    <row r="5868" ht="15.75" customHeight="1">
      <c r="A5868" s="1" t="s">
        <v>17273</v>
      </c>
      <c r="B5868" s="1">
        <v>7.0</v>
      </c>
      <c r="C5868" s="1" t="s">
        <v>17274</v>
      </c>
      <c r="D5868" s="1" t="s">
        <v>16</v>
      </c>
      <c r="E5868" s="1" t="s">
        <v>17275</v>
      </c>
      <c r="F5868" s="1" t="str">
        <f>IFERROR(__xludf.DUMMYFUNCTION("GOOGLETRANSLATE(A5868, ""zh-CN"", ""ko"")"),"포트")</f>
        <v>포트</v>
      </c>
    </row>
    <row r="5869" ht="15.75" customHeight="1">
      <c r="A5869" s="1" t="s">
        <v>17276</v>
      </c>
      <c r="B5869" s="1">
        <v>7.0</v>
      </c>
      <c r="C5869" s="1" t="s">
        <v>17277</v>
      </c>
      <c r="D5869" s="1" t="s">
        <v>14735</v>
      </c>
      <c r="E5869" s="1" t="s">
        <v>17278</v>
      </c>
      <c r="F5869" s="1" t="str">
        <f>IFERROR(__xludf.DUMMYFUNCTION("GOOGLETRANSLATE(A5869, ""zh-CN"", ""ko"")"),"높은")</f>
        <v>높은</v>
      </c>
    </row>
    <row r="5870" ht="15.75" customHeight="1">
      <c r="A5870" s="1" t="s">
        <v>17279</v>
      </c>
      <c r="B5870" s="1">
        <v>7.0</v>
      </c>
      <c r="C5870" s="1" t="s">
        <v>17280</v>
      </c>
      <c r="D5870" s="1" t="s">
        <v>52</v>
      </c>
      <c r="E5870" s="1" t="s">
        <v>17281</v>
      </c>
      <c r="F5870" s="1" t="str">
        <f>IFERROR(__xludf.DUMMYFUNCTION("GOOGLETRANSLATE(A5870, ""zh-CN"", ""ko"")"),"오만한")</f>
        <v>오만한</v>
      </c>
    </row>
    <row r="5871" ht="15.75" customHeight="1">
      <c r="A5871" s="1" t="s">
        <v>17282</v>
      </c>
      <c r="B5871" s="1">
        <v>7.0</v>
      </c>
      <c r="C5871" s="1" t="s">
        <v>17283</v>
      </c>
      <c r="D5871" s="1" t="s">
        <v>16</v>
      </c>
      <c r="E5871" s="1" t="s">
        <v>17284</v>
      </c>
      <c r="F5871" s="1" t="str">
        <f>IFERROR(__xludf.DUMMYFUNCTION("GOOGLETRANSLATE(A5871, ""zh-CN"", ""ko"")"),"유명 인사")</f>
        <v>유명 인사</v>
      </c>
    </row>
    <row r="5872" ht="15.75" customHeight="1">
      <c r="A5872" s="1" t="s">
        <v>17285</v>
      </c>
      <c r="B5872" s="1">
        <v>7.0</v>
      </c>
      <c r="C5872" s="1" t="s">
        <v>17286</v>
      </c>
      <c r="D5872" s="1" t="s">
        <v>52</v>
      </c>
      <c r="E5872" s="1" t="s">
        <v>17287</v>
      </c>
      <c r="F5872" s="1" t="str">
        <f>IFERROR(__xludf.DUMMYFUNCTION("GOOGLETRANSLATE(A5872, ""zh-CN"", ""ko"")"),"많은 양")</f>
        <v>많은 양</v>
      </c>
    </row>
    <row r="5873" ht="15.75" customHeight="1">
      <c r="A5873" s="1" t="s">
        <v>17288</v>
      </c>
      <c r="B5873" s="1">
        <v>7.0</v>
      </c>
      <c r="C5873" s="1" t="s">
        <v>17289</v>
      </c>
      <c r="D5873" s="1" t="s">
        <v>52</v>
      </c>
      <c r="E5873" s="1" t="s">
        <v>17290</v>
      </c>
      <c r="F5873" s="1" t="str">
        <f>IFERROR(__xludf.DUMMYFUNCTION("GOOGLETRANSLATE(A5873, ""zh-CN"", ""ko"")"),"고귀한")</f>
        <v>고귀한</v>
      </c>
    </row>
    <row r="5874" ht="15.75" customHeight="1">
      <c r="A5874" s="1" t="s">
        <v>17291</v>
      </c>
      <c r="B5874" s="1">
        <v>7.0</v>
      </c>
      <c r="C5874" s="1" t="s">
        <v>17292</v>
      </c>
      <c r="D5874" s="1" t="s">
        <v>16</v>
      </c>
      <c r="E5874" s="1" t="s">
        <v>17258</v>
      </c>
      <c r="F5874" s="1" t="str">
        <f>IFERROR(__xludf.DUMMYFUNCTION("GOOGLETRANSLATE(A5874, ""zh-CN"", ""ko"")"),"탁월한 통찰력")</f>
        <v>탁월한 통찰력</v>
      </c>
    </row>
    <row r="5875" ht="15.75" customHeight="1">
      <c r="A5875" s="1" t="s">
        <v>17293</v>
      </c>
      <c r="B5875" s="1">
        <v>7.0</v>
      </c>
      <c r="C5875" s="1" t="s">
        <v>17294</v>
      </c>
      <c r="D5875" s="1" t="s">
        <v>16</v>
      </c>
      <c r="E5875" s="1" t="s">
        <v>17295</v>
      </c>
      <c r="F5875" s="1" t="str">
        <f>IFERROR(__xludf.DUMMYFUNCTION("GOOGLETRANSLATE(A5875, ""zh-CN"", ""ko"")"),"고산지대")</f>
        <v>고산지대</v>
      </c>
    </row>
    <row r="5876" ht="15.75" customHeight="1">
      <c r="A5876" s="1" t="s">
        <v>17296</v>
      </c>
      <c r="B5876" s="1">
        <v>7.0</v>
      </c>
      <c r="C5876" s="1" t="s">
        <v>17297</v>
      </c>
      <c r="D5876" s="1" t="s">
        <v>15011</v>
      </c>
      <c r="E5876" s="1" t="s">
        <v>17298</v>
      </c>
      <c r="F5876" s="1" t="str">
        <f>IFERROR(__xludf.DUMMYFUNCTION("GOOGLETRANSLATE(A5876, ""zh-CN"", ""ko"")"),"고령")</f>
        <v>고령</v>
      </c>
    </row>
    <row r="5877" ht="15.75" customHeight="1">
      <c r="A5877" s="1" t="s">
        <v>17299</v>
      </c>
      <c r="B5877" s="1">
        <v>7.0</v>
      </c>
      <c r="C5877" s="1" t="s">
        <v>17300</v>
      </c>
      <c r="D5877" s="1" t="s">
        <v>16</v>
      </c>
      <c r="E5877" s="1" t="s">
        <v>17301</v>
      </c>
      <c r="F5877" s="1" t="str">
        <f>IFERROR(__xludf.DUMMYFUNCTION("GOOGLETRANSLATE(A5877, ""zh-CN"", ""ko"")"),"고혈압")</f>
        <v>고혈압</v>
      </c>
    </row>
    <row r="5878" ht="15.75" customHeight="1">
      <c r="A5878" s="1" t="s">
        <v>17302</v>
      </c>
      <c r="B5878" s="1">
        <v>7.0</v>
      </c>
      <c r="C5878" s="1" t="s">
        <v>17303</v>
      </c>
      <c r="D5878" s="1" t="s">
        <v>16</v>
      </c>
      <c r="E5878" s="1" t="s">
        <v>17304</v>
      </c>
      <c r="F5878" s="1" t="str">
        <f>IFERROR(__xludf.DUMMYFUNCTION("GOOGLETRANSLATE(A5878, ""zh-CN"", ""ko"")"),"고압")</f>
        <v>고압</v>
      </c>
    </row>
    <row r="5879" ht="15.75" customHeight="1">
      <c r="A5879" s="1" t="s">
        <v>17305</v>
      </c>
      <c r="B5879" s="1">
        <v>7.0</v>
      </c>
      <c r="C5879" s="1" t="s">
        <v>17306</v>
      </c>
      <c r="D5879" s="1" t="s">
        <v>52</v>
      </c>
      <c r="E5879" s="1" t="s">
        <v>17307</v>
      </c>
      <c r="F5879" s="1" t="str">
        <f>IFERROR(__xludf.DUMMYFUNCTION("GOOGLETRANSLATE(A5879, ""zh-CN"", ""ko"")"),"우아한")</f>
        <v>우아한</v>
      </c>
    </row>
    <row r="5880" ht="15.75" customHeight="1">
      <c r="A5880" s="1" t="s">
        <v>17308</v>
      </c>
      <c r="B5880" s="1">
        <v>7.0</v>
      </c>
      <c r="C5880" s="1" t="s">
        <v>17309</v>
      </c>
      <c r="E5880" s="1" t="s">
        <v>17310</v>
      </c>
      <c r="F5880" s="1" t="str">
        <f>IFERROR(__xludf.DUMMYFUNCTION("GOOGLETRANSLATE(A5880, ""zh-CN"", ""ko"")"),"장난")</f>
        <v>장난</v>
      </c>
    </row>
    <row r="5881" ht="15.75" customHeight="1">
      <c r="A5881" s="1" t="s">
        <v>17311</v>
      </c>
      <c r="B5881" s="1">
        <v>7.0</v>
      </c>
      <c r="C5881" s="1" t="s">
        <v>17312</v>
      </c>
      <c r="D5881" s="1" t="s">
        <v>8</v>
      </c>
      <c r="E5881" s="1" t="s">
        <v>17313</v>
      </c>
      <c r="F5881" s="1" t="str">
        <f>IFERROR(__xludf.DUMMYFUNCTION("GOOGLETRANSLATE(A5881, ""zh-CN"", ""ko"")"),"재미있는")</f>
        <v>재미있는</v>
      </c>
    </row>
    <row r="5882" ht="15.75" customHeight="1">
      <c r="A5882" s="1" t="s">
        <v>17314</v>
      </c>
      <c r="B5882" s="1">
        <v>7.0</v>
      </c>
      <c r="C5882" s="1" t="s">
        <v>17315</v>
      </c>
      <c r="D5882" s="1" t="s">
        <v>8</v>
      </c>
      <c r="E5882" s="1" t="s">
        <v>17316</v>
      </c>
      <c r="F5882" s="1" t="str">
        <f>IFERROR(__xludf.DUMMYFUNCTION("GOOGLETRANSLATE(A5882, ""zh-CN"", ""ko"")"),"말하다")</f>
        <v>말하다</v>
      </c>
    </row>
    <row r="5883" ht="15.75" customHeight="1">
      <c r="A5883" s="1" t="s">
        <v>17317</v>
      </c>
      <c r="B5883" s="1">
        <v>7.0</v>
      </c>
      <c r="C5883" s="1" t="s">
        <v>17318</v>
      </c>
      <c r="D5883" s="1" t="s">
        <v>16</v>
      </c>
      <c r="E5883" s="1" t="s">
        <v>17319</v>
      </c>
      <c r="F5883" s="1" t="str">
        <f>IFERROR(__xludf.DUMMYFUNCTION("GOOGLETRANSLATE(A5883, ""zh-CN"", ""ko"")"),"알아채다")</f>
        <v>알아채다</v>
      </c>
    </row>
    <row r="5884" ht="15.75" customHeight="1">
      <c r="A5884" s="1" t="s">
        <v>17320</v>
      </c>
      <c r="B5884" s="1">
        <v>7.0</v>
      </c>
      <c r="C5884" s="1" t="s">
        <v>17321</v>
      </c>
      <c r="D5884" s="1" t="s">
        <v>8</v>
      </c>
      <c r="E5884" s="1" t="s">
        <v>17322</v>
      </c>
      <c r="F5884" s="1" t="str">
        <f>IFERROR(__xludf.DUMMYFUNCTION("GOOGLETRANSLATE(A5884, ""zh-CN"", ""ko"")"),"알리다")</f>
        <v>알리다</v>
      </c>
    </row>
    <row r="5885" ht="15.75" customHeight="1">
      <c r="A5885" s="1" t="s">
        <v>17323</v>
      </c>
      <c r="B5885" s="1">
        <v>7.0</v>
      </c>
      <c r="C5885" s="1" t="s">
        <v>17324</v>
      </c>
      <c r="D5885" s="1" t="s">
        <v>8</v>
      </c>
      <c r="E5885" s="1" t="s">
        <v>17325</v>
      </c>
      <c r="F5885" s="1" t="str">
        <f>IFERROR(__xludf.DUMMYFUNCTION("GOOGLETRANSLATE(A5885, ""zh-CN"", ""ko"")"),"불평")</f>
        <v>불평</v>
      </c>
    </row>
    <row r="5886" ht="15.75" customHeight="1">
      <c r="A5886" s="1" t="s">
        <v>17326</v>
      </c>
      <c r="B5886" s="1">
        <v>7.0</v>
      </c>
      <c r="C5886" s="1" t="s">
        <v>17327</v>
      </c>
      <c r="D5886" s="1" t="s">
        <v>16</v>
      </c>
      <c r="E5886" s="1" t="s">
        <v>17328</v>
      </c>
      <c r="F5886" s="1" t="str">
        <f>IFERROR(__xludf.DUMMYFUNCTION("GOOGLETRANSLATE(A5886, ""zh-CN"", ""ko"")"),"고비")</f>
        <v>고비</v>
      </c>
    </row>
    <row r="5887" ht="15.75" customHeight="1">
      <c r="A5887" s="1" t="s">
        <v>17329</v>
      </c>
      <c r="B5887" s="1">
        <v>7.0</v>
      </c>
      <c r="C5887" s="1" t="s">
        <v>17330</v>
      </c>
      <c r="D5887" s="1" t="s">
        <v>16</v>
      </c>
      <c r="E5887" s="1" t="s">
        <v>17331</v>
      </c>
      <c r="F5887" s="1" t="str">
        <f>IFERROR(__xludf.DUMMYFUNCTION("GOOGLETRANSLATE(A5887, ""zh-CN"", ""ko"")"),"오페라")</f>
        <v>오페라</v>
      </c>
    </row>
    <row r="5888" ht="15.75" customHeight="1">
      <c r="A5888" s="1" t="s">
        <v>17332</v>
      </c>
      <c r="B5888" s="1">
        <v>7.0</v>
      </c>
      <c r="C5888" s="1" t="s">
        <v>17333</v>
      </c>
      <c r="D5888" s="1" t="s">
        <v>8</v>
      </c>
      <c r="E5888" s="1" t="s">
        <v>17334</v>
      </c>
      <c r="F5888" s="1" t="str">
        <f>IFERROR(__xludf.DUMMYFUNCTION("GOOGLETRANSLATE(A5888, ""zh-CN"", ""ko"")"),"고립된")</f>
        <v>고립된</v>
      </c>
    </row>
    <row r="5889" ht="15.75" customHeight="1">
      <c r="A5889" s="1" t="s">
        <v>17335</v>
      </c>
      <c r="B5889" s="1">
        <v>7.0</v>
      </c>
      <c r="C5889" s="1" t="s">
        <v>17336</v>
      </c>
      <c r="D5889" s="1" t="s">
        <v>16</v>
      </c>
      <c r="E5889" s="1" t="s">
        <v>17337</v>
      </c>
      <c r="F5889" s="1" t="str">
        <f>IFERROR(__xludf.DUMMYFUNCTION("GOOGLETRANSLATE(A5889, ""zh-CN"", ""ko"")"),"노래와 춤")</f>
        <v>노래와 춤</v>
      </c>
    </row>
    <row r="5890" ht="15.75" customHeight="1">
      <c r="A5890" s="1" t="s">
        <v>17338</v>
      </c>
      <c r="B5890" s="1">
        <v>7.0</v>
      </c>
      <c r="C5890" s="1" t="s">
        <v>17339</v>
      </c>
      <c r="D5890" s="1" t="s">
        <v>16</v>
      </c>
      <c r="E5890" s="1" t="s">
        <v>17340</v>
      </c>
      <c r="F5890" s="1" t="str">
        <f>IFERROR(__xludf.DUMMYFUNCTION("GOOGLETRANSLATE(A5890, ""zh-CN"", ""ko"")"),"민요")</f>
        <v>민요</v>
      </c>
    </row>
    <row r="5891" ht="15.75" customHeight="1">
      <c r="A5891" s="1" t="s">
        <v>17341</v>
      </c>
      <c r="B5891" s="1">
        <v>7.0</v>
      </c>
      <c r="C5891" s="1" t="s">
        <v>17342</v>
      </c>
      <c r="D5891" s="1" t="s">
        <v>8</v>
      </c>
      <c r="E5891" s="1" t="s">
        <v>17343</v>
      </c>
      <c r="F5891" s="1" t="str">
        <f>IFERROR(__xludf.DUMMYFUNCTION("GOOGLETRANSLATE(A5891, ""zh-CN"", ""ko"")"),"선반에 놓임")</f>
        <v>선반에 놓임</v>
      </c>
    </row>
    <row r="5892" ht="15.75" customHeight="1">
      <c r="A5892" s="1" t="s">
        <v>17344</v>
      </c>
      <c r="B5892" s="1">
        <v>7.0</v>
      </c>
      <c r="C5892" s="1" t="s">
        <v>17345</v>
      </c>
      <c r="E5892" s="1" t="s">
        <v>17346</v>
      </c>
      <c r="F5892" s="1" t="str">
        <f>IFERROR(__xludf.DUMMYFUNCTION("GOOGLETRANSLATE(A5892, ""zh-CN"", ""ko"")"),"어울리지 않는")</f>
        <v>어울리지 않는</v>
      </c>
    </row>
    <row r="5893" ht="15.75" customHeight="1">
      <c r="A5893" s="1" t="s">
        <v>17347</v>
      </c>
      <c r="B5893" s="1">
        <v>7.0</v>
      </c>
      <c r="C5893" s="1" t="s">
        <v>17348</v>
      </c>
      <c r="D5893" s="1" t="s">
        <v>16</v>
      </c>
      <c r="E5893" s="1" t="s">
        <v>17349</v>
      </c>
      <c r="F5893" s="1" t="str">
        <f>IFERROR(__xludf.DUMMYFUNCTION("GOOGLETRANSLATE(A5893, ""zh-CN"", ""ko"")"),"애틱")</f>
        <v>애틱</v>
      </c>
    </row>
    <row r="5894" ht="15.75" customHeight="1">
      <c r="A5894" s="1" t="s">
        <v>17350</v>
      </c>
      <c r="B5894" s="1">
        <v>7.0</v>
      </c>
      <c r="C5894" s="1" t="s">
        <v>17351</v>
      </c>
      <c r="D5894" s="1" t="s">
        <v>8</v>
      </c>
      <c r="E5894" s="1" t="s">
        <v>17352</v>
      </c>
      <c r="F5894" s="1" t="str">
        <f>IFERROR(__xludf.DUMMYFUNCTION("GOOGLETRANSLATE(A5894, ""zh-CN"", ""ko"")"),"혁신")</f>
        <v>혁신</v>
      </c>
    </row>
    <row r="5895" ht="15.75" customHeight="1">
      <c r="A5895" s="1" t="s">
        <v>17353</v>
      </c>
      <c r="B5895" s="1">
        <v>7.0</v>
      </c>
      <c r="C5895" s="1" t="s">
        <v>17354</v>
      </c>
      <c r="D5895" s="1" t="s">
        <v>16</v>
      </c>
      <c r="E5895" s="1" t="s">
        <v>17355</v>
      </c>
      <c r="F5895" s="1" t="str">
        <f>IFERROR(__xludf.DUMMYFUNCTION("GOOGLETRANSLATE(A5895, ""zh-CN"", ""ko"")"),"격자")</f>
        <v>격자</v>
      </c>
    </row>
    <row r="5896" ht="15.75" customHeight="1">
      <c r="A5896" s="1" t="s">
        <v>17356</v>
      </c>
      <c r="B5896" s="1">
        <v>7.0</v>
      </c>
      <c r="C5896" s="1" t="s">
        <v>17357</v>
      </c>
      <c r="D5896" s="1" t="s">
        <v>16</v>
      </c>
      <c r="E5896" s="1" t="s">
        <v>17358</v>
      </c>
      <c r="F5896" s="1" t="str">
        <f>IFERROR(__xludf.DUMMYFUNCTION("GOOGLETRANSLATE(A5896, ""zh-CN"", ""ko"")"),"사례")</f>
        <v>사례</v>
      </c>
    </row>
    <row r="5897" ht="15.75" customHeight="1">
      <c r="A5897" s="1" t="s">
        <v>17359</v>
      </c>
      <c r="B5897" s="1">
        <v>7.0</v>
      </c>
      <c r="C5897" s="1" t="s">
        <v>17360</v>
      </c>
      <c r="D5897" s="1" t="s">
        <v>16</v>
      </c>
      <c r="E5897" s="1" t="s">
        <v>17361</v>
      </c>
      <c r="F5897" s="1" t="str">
        <f>IFERROR(__xludf.DUMMYFUNCTION("GOOGLETRANSLATE(A5897, ""zh-CN"", ""ko"")"),"크기")</f>
        <v>크기</v>
      </c>
    </row>
    <row r="5898" ht="15.75" customHeight="1">
      <c r="A5898" s="1" t="s">
        <v>17362</v>
      </c>
      <c r="B5898" s="1">
        <v>7.0</v>
      </c>
      <c r="C5898" s="1" t="s">
        <v>17363</v>
      </c>
      <c r="D5898" s="1" t="s">
        <v>16</v>
      </c>
      <c r="E5898" s="1" t="s">
        <v>17364</v>
      </c>
      <c r="F5898" s="1" t="str">
        <f>IFERROR(__xludf.DUMMYFUNCTION("GOOGLETRANSLATE(A5898, ""zh-CN"", ""ko"")"),"기반")</f>
        <v>기반</v>
      </c>
    </row>
    <row r="5899" ht="15.75" customHeight="1">
      <c r="A5899" s="1" t="s">
        <v>17365</v>
      </c>
      <c r="B5899" s="1">
        <v>7.0</v>
      </c>
      <c r="C5899" s="1" t="s">
        <v>17366</v>
      </c>
      <c r="D5899" s="1" t="s">
        <v>8</v>
      </c>
      <c r="E5899" s="1" t="s">
        <v>17367</v>
      </c>
      <c r="F5899" s="1" t="str">
        <f>IFERROR(__xludf.DUMMYFUNCTION("GOOGLETRANSLATE(A5899, ""zh-CN"", ""ko"")"),"후속 조치")</f>
        <v>후속 조치</v>
      </c>
    </row>
    <row r="5900" ht="15.75" customHeight="1">
      <c r="A5900" s="1" t="s">
        <v>17368</v>
      </c>
      <c r="B5900" s="1">
        <v>7.0</v>
      </c>
      <c r="C5900" s="1" t="s">
        <v>17369</v>
      </c>
      <c r="D5900" s="1" t="s">
        <v>8</v>
      </c>
      <c r="E5900" s="1" t="s">
        <v>17370</v>
      </c>
      <c r="F5900" s="1" t="str">
        <f>IFERROR(__xludf.DUMMYFUNCTION("GOOGLETRANSLATE(A5900, ""zh-CN"", ""ko"")"),"급진적 치료")</f>
        <v>급진적 치료</v>
      </c>
    </row>
    <row r="5901" ht="15.75" customHeight="1">
      <c r="A5901" s="1" t="s">
        <v>17371</v>
      </c>
      <c r="B5901" s="1">
        <v>7.0</v>
      </c>
      <c r="C5901" s="1" t="s">
        <v>17372</v>
      </c>
      <c r="D5901" s="1" t="s">
        <v>8</v>
      </c>
      <c r="E5901" s="1" t="s">
        <v>17373</v>
      </c>
      <c r="F5901" s="1" t="str">
        <f>IFERROR(__xludf.DUMMYFUNCTION("GOOGLETRANSLATE(A5901, ""zh-CN"", ""ko"")"),"농업")</f>
        <v>농업</v>
      </c>
    </row>
    <row r="5902" ht="15.75" customHeight="1">
      <c r="A5902" s="1" t="s">
        <v>17374</v>
      </c>
      <c r="B5902" s="1">
        <v>7.0</v>
      </c>
      <c r="C5902" s="1" t="s">
        <v>17375</v>
      </c>
      <c r="D5902" s="1" t="s">
        <v>8</v>
      </c>
      <c r="E5902" s="1" t="s">
        <v>17376</v>
      </c>
      <c r="F5902" s="1" t="str">
        <f>IFERROR(__xludf.DUMMYFUNCTION("GOOGLETRANSLATE(A5902, ""zh-CN"", ""ko"")"),"변화")</f>
        <v>변화</v>
      </c>
    </row>
    <row r="5903" ht="15.75" customHeight="1">
      <c r="A5903" s="1" t="s">
        <v>17377</v>
      </c>
      <c r="B5903" s="1">
        <v>7.0</v>
      </c>
      <c r="C5903" s="1" t="s">
        <v>17378</v>
      </c>
      <c r="D5903" s="1" t="s">
        <v>16</v>
      </c>
      <c r="E5903" s="1" t="s">
        <v>17379</v>
      </c>
      <c r="F5903" s="1" t="str">
        <f>IFERROR(__xludf.DUMMYFUNCTION("GOOGLETRANSLATE(A5903, ""zh-CN"", ""ko"")"),"라커룸")</f>
        <v>라커룸</v>
      </c>
    </row>
    <row r="5904" ht="15.75" customHeight="1">
      <c r="A5904" s="1" t="s">
        <v>17380</v>
      </c>
      <c r="B5904" s="1">
        <v>7.0</v>
      </c>
      <c r="C5904" s="1" t="s">
        <v>17381</v>
      </c>
      <c r="D5904" s="1" t="s">
        <v>8</v>
      </c>
      <c r="E5904" s="1" t="s">
        <v>17382</v>
      </c>
      <c r="F5904" s="1" t="str">
        <f>IFERROR(__xludf.DUMMYFUNCTION("GOOGLETRANSLATE(A5904, ""zh-CN"", ""ko"")"),"경작")</f>
        <v>경작</v>
      </c>
    </row>
    <row r="5905" ht="15.75" customHeight="1">
      <c r="A5905" s="1" t="s">
        <v>17383</v>
      </c>
      <c r="B5905" s="1">
        <v>7.0</v>
      </c>
      <c r="C5905" s="1" t="s">
        <v>17384</v>
      </c>
      <c r="D5905" s="1" t="s">
        <v>8</v>
      </c>
      <c r="E5905" s="1" t="s">
        <v>17385</v>
      </c>
      <c r="F5905" s="1" t="str">
        <f>IFERROR(__xludf.DUMMYFUNCTION("GOOGLETRANSLATE(A5905, ""zh-CN"", ""ko"")"),"질식")</f>
        <v>질식</v>
      </c>
    </row>
    <row r="5906" ht="15.75" customHeight="1">
      <c r="A5906" s="1" t="s">
        <v>17386</v>
      </c>
      <c r="B5906" s="1">
        <v>7.0</v>
      </c>
      <c r="C5906" s="1" t="s">
        <v>17387</v>
      </c>
      <c r="D5906" s="1" t="s">
        <v>52</v>
      </c>
      <c r="E5906" s="1" t="s">
        <v>17388</v>
      </c>
      <c r="F5906" s="1" t="str">
        <f>IFERROR(__xludf.DUMMYFUNCTION("GOOGLETRANSLATE(A5906, ""zh-CN"", ""ko"")"),"똑바로")</f>
        <v>똑바로</v>
      </c>
    </row>
    <row r="5907" ht="15.75" customHeight="1">
      <c r="A5907" s="1" t="s">
        <v>17389</v>
      </c>
      <c r="B5907" s="1">
        <v>7.0</v>
      </c>
      <c r="C5907" s="1" t="s">
        <v>17390</v>
      </c>
      <c r="D5907" s="1" t="s">
        <v>8</v>
      </c>
      <c r="E5907" s="1" t="s">
        <v>17391</v>
      </c>
      <c r="F5907" s="1" t="str">
        <f>IFERROR(__xludf.DUMMYFUNCTION("GOOGLETRANSLATE(A5907, ""zh-CN"", ""ko"")"),"~을 위한")</f>
        <v>~을 위한</v>
      </c>
    </row>
    <row r="5908" ht="15.75" customHeight="1">
      <c r="A5908" s="1" t="s">
        <v>17392</v>
      </c>
      <c r="B5908" s="1">
        <v>7.0</v>
      </c>
      <c r="C5908" s="1" t="s">
        <v>17390</v>
      </c>
      <c r="D5908" s="1" t="s">
        <v>16</v>
      </c>
      <c r="E5908" s="1" t="s">
        <v>17393</v>
      </c>
      <c r="F5908" s="1" t="str">
        <f>IFERROR(__xludf.DUMMYFUNCTION("GOOGLETRANSLATE(A5908, ""zh-CN"", ""ko"")"),"성취")</f>
        <v>성취</v>
      </c>
    </row>
    <row r="5909" ht="15.75" customHeight="1">
      <c r="A5909" s="1" t="s">
        <v>17394</v>
      </c>
      <c r="B5909" s="1">
        <v>7.0</v>
      </c>
      <c r="C5909" s="1" t="s">
        <v>17390</v>
      </c>
      <c r="D5909" s="1" t="s">
        <v>16</v>
      </c>
      <c r="E5909" s="1" t="s">
        <v>17395</v>
      </c>
      <c r="F5909" s="1" t="str">
        <f>IFERROR(__xludf.DUMMYFUNCTION("GOOGLETRANSLATE(A5909, ""zh-CN"", ""ko"")"),"절하다")</f>
        <v>절하다</v>
      </c>
    </row>
    <row r="5910" ht="15.75" customHeight="1">
      <c r="A5910" s="1" t="s">
        <v>17396</v>
      </c>
      <c r="B5910" s="1">
        <v>7.0</v>
      </c>
      <c r="C5910" s="1" t="s">
        <v>17390</v>
      </c>
      <c r="D5910" s="1" t="s">
        <v>8</v>
      </c>
      <c r="E5910" s="1" t="s">
        <v>17397</v>
      </c>
      <c r="F5910" s="1" t="str">
        <f>IFERROR(__xludf.DUMMYFUNCTION("GOOGLETRANSLATE(A5910, ""zh-CN"", ""ko"")"),"공격")</f>
        <v>공격</v>
      </c>
    </row>
    <row r="5911" ht="15.75" customHeight="1">
      <c r="A5911" s="1" t="s">
        <v>17398</v>
      </c>
      <c r="B5911" s="1">
        <v>7.0</v>
      </c>
      <c r="C5911" s="1" t="s">
        <v>17399</v>
      </c>
      <c r="D5911" s="1" t="s">
        <v>52</v>
      </c>
      <c r="E5911" s="1" t="s">
        <v>17400</v>
      </c>
      <c r="F5911" s="1" t="str">
        <f>IFERROR(__xludf.DUMMYFUNCTION("GOOGLETRANSLATE(A5911, ""zh-CN"", ""ko"")"),"공공의")</f>
        <v>공공의</v>
      </c>
    </row>
    <row r="5912" ht="15.75" customHeight="1">
      <c r="A5912" s="1" t="s">
        <v>17401</v>
      </c>
      <c r="B5912" s="1">
        <v>7.0</v>
      </c>
      <c r="C5912" s="1" t="s">
        <v>17402</v>
      </c>
      <c r="D5912" s="1" t="s">
        <v>16</v>
      </c>
      <c r="E5912" s="1" t="s">
        <v>17403</v>
      </c>
      <c r="F5912" s="1" t="str">
        <f>IFERROR(__xludf.DUMMYFUNCTION("GOOGLETRANSLATE(A5912, ""zh-CN"", ""ko"")"),"공로가 있는 공무원들")</f>
        <v>공로가 있는 공무원들</v>
      </c>
    </row>
    <row r="5913" ht="15.75" customHeight="1">
      <c r="A5913" s="1" t="s">
        <v>17404</v>
      </c>
      <c r="B5913" s="1">
        <v>7.0</v>
      </c>
      <c r="C5913" s="1" t="s">
        <v>17405</v>
      </c>
      <c r="D5913" s="1" t="s">
        <v>16</v>
      </c>
      <c r="E5913" s="1" t="s">
        <v>17406</v>
      </c>
      <c r="F5913" s="1" t="str">
        <f>IFERROR(__xludf.DUMMYFUNCTION("GOOGLETRANSLATE(A5913, ""zh-CN"", ""ko"")"),"기술 수준")</f>
        <v>기술 수준</v>
      </c>
    </row>
    <row r="5914" ht="15.75" customHeight="1">
      <c r="A5914" s="1" t="s">
        <v>17407</v>
      </c>
      <c r="B5914" s="1">
        <v>7.0</v>
      </c>
      <c r="C5914" s="1" t="s">
        <v>17408</v>
      </c>
      <c r="D5914" s="1" t="s">
        <v>8</v>
      </c>
      <c r="E5914" s="1" t="s">
        <v>17409</v>
      </c>
      <c r="F5914" s="1" t="str">
        <f>IFERROR(__xludf.DUMMYFUNCTION("GOOGLETRANSLATE(A5914, ""zh-CN"", ""ko"")"),"공부하다")</f>
        <v>공부하다</v>
      </c>
    </row>
    <row r="5915" ht="15.75" customHeight="1">
      <c r="A5915" s="1" t="s">
        <v>17410</v>
      </c>
      <c r="B5915" s="1">
        <v>7.0</v>
      </c>
      <c r="C5915" s="1" t="s">
        <v>17411</v>
      </c>
      <c r="D5915" s="1" t="s">
        <v>16</v>
      </c>
      <c r="E5915" s="1" t="s">
        <v>17412</v>
      </c>
      <c r="F5915" s="1" t="str">
        <f>IFERROR(__xludf.DUMMYFUNCTION("GOOGLETRANSLATE(A5915, ""zh-CN"", ""ko"")"),"공공 자금")</f>
        <v>공공 자금</v>
      </c>
    </row>
    <row r="5916" ht="15.75" customHeight="1">
      <c r="A5916" s="1" t="s">
        <v>17413</v>
      </c>
      <c r="B5916" s="1">
        <v>7.0</v>
      </c>
      <c r="C5916" s="1" t="s">
        <v>9300</v>
      </c>
      <c r="D5916" s="1" t="s">
        <v>8</v>
      </c>
      <c r="E5916" s="1" t="s">
        <v>17414</v>
      </c>
      <c r="F5916" s="1" t="str">
        <f>IFERROR(__xludf.DUMMYFUNCTION("GOOGLETRANSLATE(A5916, ""zh-CN"", ""ko"")"),"돌파구")</f>
        <v>돌파구</v>
      </c>
    </row>
    <row r="5917" ht="15.75" customHeight="1">
      <c r="A5917" s="1" t="s">
        <v>17415</v>
      </c>
      <c r="B5917" s="1">
        <v>7.0</v>
      </c>
      <c r="C5917" s="1" t="s">
        <v>17416</v>
      </c>
      <c r="D5917" s="1" t="s">
        <v>16</v>
      </c>
      <c r="E5917" s="1" t="s">
        <v>17417</v>
      </c>
      <c r="F5917" s="1" t="str">
        <f>IFERROR(__xludf.DUMMYFUNCTION("GOOGLETRANSLATE(A5917, ""zh-CN"", ""ko"")"),"노동 조합")</f>
        <v>노동 조합</v>
      </c>
    </row>
    <row r="5918" ht="15.75" customHeight="1">
      <c r="A5918" s="1" t="s">
        <v>17418</v>
      </c>
      <c r="B5918" s="1">
        <v>7.0</v>
      </c>
      <c r="C5918" s="1" t="s">
        <v>17419</v>
      </c>
      <c r="D5918" s="1" t="s">
        <v>16</v>
      </c>
      <c r="E5918" s="1" t="s">
        <v>17420</v>
      </c>
      <c r="F5918" s="1" t="str">
        <f>IFERROR(__xludf.DUMMYFUNCTION("GOOGLETRANSLATE(A5918, ""zh-CN"", ""ko"")"),"장인")</f>
        <v>장인</v>
      </c>
    </row>
    <row r="5919" ht="15.75" customHeight="1">
      <c r="A5919" s="1" t="s">
        <v>17421</v>
      </c>
      <c r="B5919" s="1">
        <v>7.0</v>
      </c>
      <c r="C5919" s="1" t="s">
        <v>17422</v>
      </c>
      <c r="D5919" s="1" t="s">
        <v>16</v>
      </c>
      <c r="E5919" s="1" t="s">
        <v>17423</v>
      </c>
      <c r="F5919" s="1" t="str">
        <f>IFERROR(__xludf.DUMMYFUNCTION("GOOGLETRANSLATE(A5919, ""zh-CN"", ""ko"")"),"공학")</f>
        <v>공학</v>
      </c>
    </row>
    <row r="5920" ht="15.75" customHeight="1">
      <c r="A5920" s="1" t="s">
        <v>17424</v>
      </c>
      <c r="B5920" s="1">
        <v>7.0</v>
      </c>
      <c r="C5920" s="1" t="s">
        <v>17425</v>
      </c>
      <c r="D5920" s="1" t="s">
        <v>16</v>
      </c>
      <c r="E5920" s="1" t="s">
        <v>17426</v>
      </c>
      <c r="F5920" s="1" t="str">
        <f>IFERROR(__xludf.DUMMYFUNCTION("GOOGLETRANSLATE(A5920, ""zh-CN"", ""ko"")"),"공공 자금")</f>
        <v>공공 자금</v>
      </c>
    </row>
    <row r="5921" ht="15.75" customHeight="1">
      <c r="A5921" s="1" t="s">
        <v>17427</v>
      </c>
      <c r="B5921" s="1">
        <v>7.0</v>
      </c>
      <c r="C5921" s="1" t="s">
        <v>17428</v>
      </c>
      <c r="D5921" s="1" t="s">
        <v>52</v>
      </c>
      <c r="E5921" s="1" t="s">
        <v>17400</v>
      </c>
      <c r="F5921" s="1" t="str">
        <f>IFERROR(__xludf.DUMMYFUNCTION("GOOGLETRANSLATE(A5921, ""zh-CN"", ""ko"")"),"공공의")</f>
        <v>공공의</v>
      </c>
    </row>
    <row r="5922" ht="15.75" customHeight="1">
      <c r="A5922" s="1" t="s">
        <v>17429</v>
      </c>
      <c r="B5922" s="1">
        <v>7.0</v>
      </c>
      <c r="C5922" s="1" t="s">
        <v>17428</v>
      </c>
      <c r="D5922" s="1" t="s">
        <v>16</v>
      </c>
      <c r="E5922" s="1" t="s">
        <v>17430</v>
      </c>
      <c r="F5922" s="1" t="str">
        <f>IFERROR(__xludf.DUMMYFUNCTION("GOOGLETRANSLATE(A5922, ""zh-CN"", ""ko"")"),"기능")</f>
        <v>기능</v>
      </c>
    </row>
    <row r="5923" ht="15.75" customHeight="1">
      <c r="A5923" s="1" t="s">
        <v>17431</v>
      </c>
      <c r="B5923" s="1">
        <v>7.0</v>
      </c>
      <c r="C5923" s="1" t="s">
        <v>17428</v>
      </c>
      <c r="D5923" s="1" t="s">
        <v>16</v>
      </c>
      <c r="E5923" s="1" t="s">
        <v>17432</v>
      </c>
      <c r="F5923" s="1" t="str">
        <f>IFERROR(__xludf.DUMMYFUNCTION("GOOGLETRANSLATE(A5923, ""zh-CN"", ""ko"")"),"실용적인")</f>
        <v>실용적인</v>
      </c>
    </row>
    <row r="5924" ht="15.75" customHeight="1">
      <c r="A5924" s="1" t="s">
        <v>17433</v>
      </c>
      <c r="B5924" s="1">
        <v>7.0</v>
      </c>
      <c r="C5924" s="1" t="s">
        <v>17434</v>
      </c>
      <c r="D5924" s="1" t="s">
        <v>16</v>
      </c>
      <c r="E5924" s="1" t="s">
        <v>17435</v>
      </c>
      <c r="F5924" s="1" t="str">
        <f>IFERROR(__xludf.DUMMYFUNCTION("GOOGLETRANSLATE(A5924, ""zh-CN"", ""ko"")"),"힘")</f>
        <v>힘</v>
      </c>
    </row>
    <row r="5925" ht="15.75" customHeight="1">
      <c r="A5925" s="1" t="s">
        <v>17436</v>
      </c>
      <c r="B5925" s="1">
        <v>7.0</v>
      </c>
      <c r="C5925" s="1" t="s">
        <v>17437</v>
      </c>
      <c r="D5925" s="1" t="s">
        <v>16</v>
      </c>
      <c r="E5925" s="1" t="s">
        <v>17438</v>
      </c>
      <c r="F5925" s="1" t="str">
        <f>IFERROR(__xludf.DUMMYFUNCTION("GOOGLETRANSLATE(A5925, ""zh-CN"", ""ko"")"),"묘지")</f>
        <v>묘지</v>
      </c>
    </row>
    <row r="5926" ht="15.75" customHeight="1">
      <c r="A5926" s="1" t="s">
        <v>17439</v>
      </c>
      <c r="B5926" s="1">
        <v>7.0</v>
      </c>
      <c r="C5926" s="1" t="s">
        <v>17440</v>
      </c>
      <c r="D5926" s="1" t="s">
        <v>8</v>
      </c>
      <c r="E5926" s="1" t="s">
        <v>17441</v>
      </c>
      <c r="F5926" s="1" t="str">
        <f>IFERROR(__xludf.DUMMYFUNCTION("GOOGLETRANSLATE(A5926, ""zh-CN"", ""ko"")"),"난방")</f>
        <v>난방</v>
      </c>
    </row>
    <row r="5927" ht="15.75" customHeight="1">
      <c r="A5927" s="1" t="s">
        <v>17442</v>
      </c>
      <c r="B5927" s="1">
        <v>7.0</v>
      </c>
      <c r="C5927" s="1" t="s">
        <v>17443</v>
      </c>
      <c r="D5927" s="1" t="s">
        <v>16</v>
      </c>
      <c r="E5927" s="1" t="s">
        <v>17444</v>
      </c>
      <c r="F5927" s="1" t="str">
        <f>IFERROR(__xludf.DUMMYFUNCTION("GOOGLETRANSLATE(A5927, ""zh-CN"", ""ko"")"),"공무원")</f>
        <v>공무원</v>
      </c>
    </row>
    <row r="5928" ht="15.75" customHeight="1">
      <c r="A5928" s="1" t="s">
        <v>17445</v>
      </c>
      <c r="B5928" s="1">
        <v>7.0</v>
      </c>
      <c r="C5928" s="1" t="s">
        <v>17446</v>
      </c>
      <c r="D5928" s="1" t="s">
        <v>26</v>
      </c>
      <c r="E5928" s="1" t="s">
        <v>17447</v>
      </c>
      <c r="F5928" s="1" t="str">
        <f>IFERROR(__xludf.DUMMYFUNCTION("GOOGLETRANSLATE(A5928, ""zh-CN"", ""ko"")"),"헥타르")</f>
        <v>헥타르</v>
      </c>
    </row>
    <row r="5929" ht="15.75" customHeight="1">
      <c r="A5929" s="1" t="s">
        <v>17448</v>
      </c>
      <c r="B5929" s="1">
        <v>7.0</v>
      </c>
      <c r="C5929" s="1" t="s">
        <v>17449</v>
      </c>
      <c r="D5929" s="1" t="s">
        <v>16</v>
      </c>
      <c r="E5929" s="1" t="s">
        <v>17450</v>
      </c>
      <c r="F5929" s="1" t="str">
        <f>IFERROR(__xludf.DUMMYFUNCTION("GOOGLETRANSLATE(A5929, ""zh-CN"", ""ko"")"),"공급과 수요")</f>
        <v>공급과 수요</v>
      </c>
    </row>
    <row r="5930" ht="15.75" customHeight="1">
      <c r="A5930" s="1" t="s">
        <v>17451</v>
      </c>
      <c r="B5930" s="1">
        <v>7.0</v>
      </c>
      <c r="C5930" s="1" t="s">
        <v>9327</v>
      </c>
      <c r="D5930" s="1" t="s">
        <v>16</v>
      </c>
      <c r="E5930" s="1" t="s">
        <v>17452</v>
      </c>
      <c r="F5930" s="1" t="str">
        <f>IFERROR(__xludf.DUMMYFUNCTION("GOOGLETRANSLATE(A5930, ""zh-CN"", ""ko"")"),"관용")</f>
        <v>관용</v>
      </c>
    </row>
    <row r="5931" ht="15.75" customHeight="1">
      <c r="A5931" s="1" t="s">
        <v>17453</v>
      </c>
      <c r="B5931" s="1">
        <v>7.0</v>
      </c>
      <c r="C5931" s="1" t="s">
        <v>9327</v>
      </c>
      <c r="D5931" s="1" t="s">
        <v>8</v>
      </c>
      <c r="E5931" s="1" t="s">
        <v>17454</v>
      </c>
      <c r="F5931" s="1" t="str">
        <f>IFERROR(__xludf.DUMMYFUNCTION("GOOGLETRANSLATE(A5931, ""zh-CN"", ""ko"")"),"공지사항")</f>
        <v>공지사항</v>
      </c>
    </row>
    <row r="5932" ht="15.75" customHeight="1">
      <c r="A5932" s="1" t="s">
        <v>17455</v>
      </c>
      <c r="B5932" s="1">
        <v>7.0</v>
      </c>
      <c r="C5932" s="1" t="s">
        <v>9327</v>
      </c>
      <c r="D5932" s="1" t="s">
        <v>16</v>
      </c>
      <c r="E5932" s="1" t="s">
        <v>17456</v>
      </c>
      <c r="F5932" s="1" t="str">
        <f>IFERROR(__xludf.DUMMYFUNCTION("GOOGLETRANSLATE(A5932, ""zh-CN"", ""ko"")"),"공격")</f>
        <v>공격</v>
      </c>
    </row>
    <row r="5933" ht="15.75" customHeight="1">
      <c r="A5933" s="1" t="s">
        <v>17457</v>
      </c>
      <c r="B5933" s="1">
        <v>7.0</v>
      </c>
      <c r="C5933" s="1" t="s">
        <v>17458</v>
      </c>
      <c r="D5933" s="1" t="s">
        <v>16</v>
      </c>
      <c r="E5933" s="1" t="s">
        <v>17459</v>
      </c>
      <c r="F5933" s="1" t="str">
        <f>IFERROR(__xludf.DUMMYFUNCTION("GOOGLETRANSLATE(A5933, ""zh-CN"", ""ko"")"),"궁전")</f>
        <v>궁전</v>
      </c>
    </row>
    <row r="5934" ht="15.75" customHeight="1">
      <c r="A5934" s="1" t="s">
        <v>17460</v>
      </c>
      <c r="B5934" s="1">
        <v>7.0</v>
      </c>
      <c r="C5934" s="1" t="s">
        <v>17461</v>
      </c>
      <c r="D5934" s="1" t="s">
        <v>8</v>
      </c>
      <c r="E5934" s="1" t="s">
        <v>17462</v>
      </c>
      <c r="F5934" s="1" t="str">
        <f>IFERROR(__xludf.DUMMYFUNCTION("GOOGLETRANSLATE(A5934, ""zh-CN"", ""ko"")"),"칭찬")</f>
        <v>칭찬</v>
      </c>
    </row>
    <row r="5935" ht="15.75" customHeight="1">
      <c r="A5935" s="1" t="s">
        <v>17463</v>
      </c>
      <c r="B5935" s="1">
        <v>7.0</v>
      </c>
      <c r="C5935" s="1" t="s">
        <v>17464</v>
      </c>
      <c r="D5935" s="1" t="s">
        <v>16</v>
      </c>
      <c r="E5935" s="1" t="s">
        <v>17450</v>
      </c>
      <c r="F5935" s="1" t="str">
        <f>IFERROR(__xludf.DUMMYFUNCTION("GOOGLETRANSLATE(A5935, ""zh-CN"", ""ko"")"),"공급과 수요")</f>
        <v>공급과 수요</v>
      </c>
    </row>
    <row r="5936" ht="15.75" customHeight="1">
      <c r="A5936" s="1" t="s">
        <v>17465</v>
      </c>
      <c r="B5936" s="1">
        <v>7.0</v>
      </c>
      <c r="C5936" s="1" t="s">
        <v>17466</v>
      </c>
      <c r="D5936" s="1" t="s">
        <v>8</v>
      </c>
      <c r="E5936" s="1" t="s">
        <v>17467</v>
      </c>
      <c r="F5936" s="1" t="str">
        <f>IFERROR(__xludf.DUMMYFUNCTION("GOOGLETRANSLATE(A5936, ""zh-CN"", ""ko"")"),"지원하다")</f>
        <v>지원하다</v>
      </c>
    </row>
    <row r="5937" ht="15.75" customHeight="1">
      <c r="A5937" s="1" t="s">
        <v>17468</v>
      </c>
      <c r="B5937" s="1">
        <v>7.0</v>
      </c>
      <c r="C5937" s="1" t="s">
        <v>17469</v>
      </c>
      <c r="D5937" s="1" t="s">
        <v>16</v>
      </c>
      <c r="E5937" s="1" t="s">
        <v>17470</v>
      </c>
      <c r="F5937" s="1" t="str">
        <f>IFERROR(__xludf.DUMMYFUNCTION("GOOGLETRANSLATE(A5937, ""zh-CN"", ""ko"")"),"공급망")</f>
        <v>공급망</v>
      </c>
    </row>
    <row r="5938" ht="15.75" customHeight="1">
      <c r="A5938" s="1" t="s">
        <v>17471</v>
      </c>
      <c r="B5938" s="1">
        <v>7.0</v>
      </c>
      <c r="C5938" s="1" t="s">
        <v>17472</v>
      </c>
      <c r="D5938" s="1" t="s">
        <v>8</v>
      </c>
      <c r="E5938" s="1" t="s">
        <v>17473</v>
      </c>
      <c r="F5938" s="1" t="str">
        <f>IFERROR(__xludf.DUMMYFUNCTION("GOOGLETRANSLATE(A5938, ""zh-CN"", ""ko"")"),"공공의")</f>
        <v>공공의</v>
      </c>
    </row>
    <row r="5939" ht="15.75" customHeight="1">
      <c r="A5939" s="1" t="s">
        <v>17474</v>
      </c>
      <c r="B5939" s="1">
        <v>7.0</v>
      </c>
      <c r="C5939" s="1" t="s">
        <v>17475</v>
      </c>
      <c r="D5939" s="1" t="s">
        <v>16</v>
      </c>
      <c r="E5939" s="1" t="s">
        <v>17476</v>
      </c>
      <c r="F5939" s="1" t="str">
        <f>IFERROR(__xludf.DUMMYFUNCTION("GOOGLETRANSLATE(A5939, ""zh-CN"", ""ko"")"),"협약")</f>
        <v>협약</v>
      </c>
    </row>
    <row r="5940" ht="15.75" customHeight="1">
      <c r="A5940" s="1" t="s">
        <v>17477</v>
      </c>
      <c r="B5940" s="1">
        <v>7.0</v>
      </c>
      <c r="C5940" s="1" t="s">
        <v>17478</v>
      </c>
      <c r="D5940" s="1" t="s">
        <v>52</v>
      </c>
      <c r="E5940" s="1" t="s">
        <v>17479</v>
      </c>
      <c r="F5940" s="1" t="str">
        <f>IFERROR(__xludf.DUMMYFUNCTION("GOOGLETRANSLATE(A5940, ""zh-CN"", ""ko"")"),"정돈된")</f>
        <v>정돈된</v>
      </c>
    </row>
    <row r="5941" ht="15.75" customHeight="1">
      <c r="A5941" s="1" t="s">
        <v>17480</v>
      </c>
      <c r="B5941" s="1">
        <v>7.0</v>
      </c>
      <c r="C5941" s="1" t="s">
        <v>17481</v>
      </c>
      <c r="D5941" s="1" t="s">
        <v>16</v>
      </c>
      <c r="E5941" s="1" t="s">
        <v>17482</v>
      </c>
      <c r="F5941" s="1" t="str">
        <f>IFERROR(__xludf.DUMMYFUNCTION("GOOGLETRANSLATE(A5941, ""zh-CN"", ""ko"")"),"공직")</f>
        <v>공직</v>
      </c>
    </row>
    <row r="5942" ht="15.75" customHeight="1">
      <c r="A5942" s="1" t="s">
        <v>17483</v>
      </c>
      <c r="B5942" s="1">
        <v>7.0</v>
      </c>
      <c r="C5942" s="1" t="s">
        <v>17484</v>
      </c>
      <c r="D5942" s="1" t="s">
        <v>8</v>
      </c>
      <c r="E5942" s="1" t="s">
        <v>17485</v>
      </c>
      <c r="F5942" s="1" t="str">
        <f>IFERROR(__xludf.DUMMYFUNCTION("GOOGLETRANSLATE(A5942, ""zh-CN"", ""ko"")"),"아치")</f>
        <v>아치</v>
      </c>
    </row>
    <row r="5943" ht="15.75" customHeight="1">
      <c r="A5943" s="1" t="s">
        <v>17486</v>
      </c>
      <c r="B5943" s="1">
        <v>7.0</v>
      </c>
      <c r="C5943" s="1" t="s">
        <v>17487</v>
      </c>
      <c r="D5943" s="1" t="s">
        <v>14870</v>
      </c>
      <c r="E5943" s="1" t="s">
        <v>17488</v>
      </c>
      <c r="F5943" s="1" t="str">
        <f>IFERROR(__xludf.DUMMYFUNCTION("GOOGLETRANSLATE(A5943, ""zh-CN"", ""ko"")"),"예배")</f>
        <v>예배</v>
      </c>
    </row>
    <row r="5944" ht="15.75" customHeight="1">
      <c r="A5944" s="1" t="s">
        <v>17489</v>
      </c>
      <c r="B5944" s="1">
        <v>7.0</v>
      </c>
      <c r="C5944" s="1" t="s">
        <v>17490</v>
      </c>
      <c r="D5944" s="1" t="s">
        <v>16</v>
      </c>
      <c r="E5944" s="1" t="s">
        <v>17491</v>
      </c>
      <c r="F5944" s="1" t="str">
        <f>IFERROR(__xludf.DUMMYFUNCTION("GOOGLETRANSLATE(A5944, ""zh-CN"", ""ko"")"),"의견 일치")</f>
        <v>의견 일치</v>
      </c>
    </row>
    <row r="5945" ht="15.75" customHeight="1">
      <c r="A5945" s="1" t="s">
        <v>17492</v>
      </c>
      <c r="B5945" s="1">
        <v>7.0</v>
      </c>
      <c r="C5945" s="1" t="s">
        <v>17493</v>
      </c>
      <c r="D5945" s="1" t="s">
        <v>16</v>
      </c>
      <c r="E5945" s="1" t="s">
        <v>17494</v>
      </c>
      <c r="F5945" s="1" t="str">
        <f>IFERROR(__xludf.DUMMYFUNCTION("GOOGLETRANSLATE(A5945, ""zh-CN"", ""ko"")"),"지역 사회")</f>
        <v>지역 사회</v>
      </c>
    </row>
    <row r="5946" ht="15.75" customHeight="1">
      <c r="A5946" s="1" t="s">
        <v>17495</v>
      </c>
      <c r="B5946" s="1">
        <v>7.0</v>
      </c>
      <c r="C5946" s="1" t="s">
        <v>17496</v>
      </c>
      <c r="D5946" s="1" t="s">
        <v>16</v>
      </c>
      <c r="E5946" s="1" t="s">
        <v>17497</v>
      </c>
      <c r="F5946" s="1" t="str">
        <f>IFERROR(__xludf.DUMMYFUNCTION("GOOGLETRANSLATE(A5946, ""zh-CN"", ""ko"")"),"공통점")</f>
        <v>공통점</v>
      </c>
    </row>
    <row r="5947" ht="15.75" customHeight="1">
      <c r="A5947" s="1" t="s">
        <v>17498</v>
      </c>
      <c r="B5947" s="1">
        <v>7.0</v>
      </c>
      <c r="C5947" s="1" t="s">
        <v>17499</v>
      </c>
      <c r="D5947" s="1" t="s">
        <v>8</v>
      </c>
      <c r="E5947" s="1" t="s">
        <v>17500</v>
      </c>
      <c r="F5947" s="1" t="str">
        <f>IFERROR(__xludf.DUMMYFUNCTION("GOOGLETRANSLATE(A5947, ""zh-CN"", ""ko"")"),"훅")</f>
        <v>훅</v>
      </c>
    </row>
    <row r="5948" ht="15.75" customHeight="1">
      <c r="A5948" s="1" t="s">
        <v>17501</v>
      </c>
      <c r="B5948" s="1">
        <v>7.0</v>
      </c>
      <c r="C5948" s="1" t="s">
        <v>17499</v>
      </c>
      <c r="D5948" s="1" t="s">
        <v>8</v>
      </c>
      <c r="E5948" s="1" t="s">
        <v>17502</v>
      </c>
      <c r="F5948" s="1" t="str">
        <f>IFERROR(__xludf.DUMMYFUNCTION("GOOGLETRANSLATE(A5948, ""zh-CN"", ""ko"")"),"훅")</f>
        <v>훅</v>
      </c>
    </row>
    <row r="5949" ht="15.75" customHeight="1">
      <c r="A5949" s="1" t="s">
        <v>17503</v>
      </c>
      <c r="B5949" s="1">
        <v>7.0</v>
      </c>
      <c r="C5949" s="1" t="s">
        <v>17504</v>
      </c>
      <c r="D5949" s="1" t="s">
        <v>8</v>
      </c>
      <c r="E5949" s="1" t="s">
        <v>17505</v>
      </c>
      <c r="F5949" s="1" t="str">
        <f>IFERROR(__xludf.DUMMYFUNCTION("GOOGLETRANSLATE(A5949, ""zh-CN"", ""ko"")"),"개요")</f>
        <v>개요</v>
      </c>
    </row>
    <row r="5950" ht="15.75" customHeight="1">
      <c r="A5950" s="1" t="s">
        <v>17506</v>
      </c>
      <c r="B5950" s="1">
        <v>7.0</v>
      </c>
      <c r="C5950" s="1" t="s">
        <v>17507</v>
      </c>
      <c r="D5950" s="1" t="s">
        <v>8</v>
      </c>
      <c r="E5950" s="1" t="s">
        <v>17508</v>
      </c>
      <c r="F5950" s="1" t="str">
        <f>IFERROR(__xludf.DUMMYFUNCTION("GOOGLETRANSLATE(A5950, ""zh-CN"", ""ko"")"),"짓다")</f>
        <v>짓다</v>
      </c>
    </row>
    <row r="5951" ht="15.75" customHeight="1">
      <c r="A5951" s="1" t="s">
        <v>17509</v>
      </c>
      <c r="B5951" s="1">
        <v>7.0</v>
      </c>
      <c r="C5951" s="1" t="s">
        <v>17510</v>
      </c>
      <c r="D5951" s="1" t="s">
        <v>52</v>
      </c>
      <c r="E5951" s="1" t="s">
        <v>17511</v>
      </c>
      <c r="F5951" s="1" t="str">
        <f>IFERROR(__xludf.DUMMYFUNCTION("GOOGLETRANSLATE(A5951, ""zh-CN"", ""ko"")"),"힘든 일이죠.")</f>
        <v>힘든 일이죠.</v>
      </c>
    </row>
    <row r="5952" ht="15.75" customHeight="1">
      <c r="A5952" s="1" t="s">
        <v>17512</v>
      </c>
      <c r="B5952" s="1">
        <v>7.0</v>
      </c>
      <c r="C5952" s="1" t="s">
        <v>17513</v>
      </c>
      <c r="D5952" s="1" t="s">
        <v>14870</v>
      </c>
      <c r="E5952" s="1" t="s">
        <v>17514</v>
      </c>
      <c r="F5952" s="1" t="str">
        <f>IFERROR(__xludf.DUMMYFUNCTION("GOOGLETRANSLATE(A5952, ""zh-CN"", ""ko"")"),"개념")</f>
        <v>개념</v>
      </c>
    </row>
    <row r="5953" ht="15.75" customHeight="1">
      <c r="A5953" s="1" t="s">
        <v>17515</v>
      </c>
      <c r="B5953" s="1">
        <v>7.0</v>
      </c>
      <c r="C5953" s="1" t="s">
        <v>17516</v>
      </c>
      <c r="D5953" s="1" t="s">
        <v>52</v>
      </c>
      <c r="E5953" s="1" t="s">
        <v>17517</v>
      </c>
      <c r="F5953" s="1" t="str">
        <f>IFERROR(__xludf.DUMMYFUNCTION("GOOGLETRANSLATE(A5953, ""zh-CN"", ""ko"")"),"홀로")</f>
        <v>홀로</v>
      </c>
    </row>
    <row r="5954" ht="15.75" customHeight="1">
      <c r="A5954" s="1" t="s">
        <v>17518</v>
      </c>
      <c r="B5954" s="1">
        <v>7.0</v>
      </c>
      <c r="C5954" s="1" t="s">
        <v>17519</v>
      </c>
      <c r="D5954" s="1" t="s">
        <v>16</v>
      </c>
      <c r="E5954" s="1" t="s">
        <v>17520</v>
      </c>
      <c r="F5954" s="1" t="str">
        <f>IFERROR(__xludf.DUMMYFUNCTION("GOOGLETRANSLATE(A5954, ""zh-CN"", ""ko"")"),"유아")</f>
        <v>유아</v>
      </c>
    </row>
    <row r="5955" ht="15.75" customHeight="1">
      <c r="A5955" s="1" t="s">
        <v>17521</v>
      </c>
      <c r="B5955" s="1">
        <v>7.0</v>
      </c>
      <c r="C5955" s="1" t="s">
        <v>17522</v>
      </c>
      <c r="D5955" s="1" t="s">
        <v>52</v>
      </c>
      <c r="E5955" s="1" t="s">
        <v>17523</v>
      </c>
      <c r="F5955" s="1" t="str">
        <f>IFERROR(__xludf.DUMMYFUNCTION("GOOGLETRANSLATE(A5955, ""zh-CN"", ""ko"")"),"완전히 혼자")</f>
        <v>완전히 혼자</v>
      </c>
    </row>
    <row r="5956" ht="15.75" customHeight="1">
      <c r="A5956" s="1" t="s">
        <v>17524</v>
      </c>
      <c r="B5956" s="1">
        <v>7.0</v>
      </c>
      <c r="C5956" s="1" t="s">
        <v>17525</v>
      </c>
      <c r="E5956" s="1" t="s">
        <v>17526</v>
      </c>
      <c r="F5956" s="1" t="str">
        <f>IFERROR(__xludf.DUMMYFUNCTION("GOOGLETRANSLATE(A5956, ""zh-CN"", ""ko"")"),"무식한")</f>
        <v>무식한</v>
      </c>
    </row>
    <row r="5957" ht="15.75" customHeight="1">
      <c r="A5957" s="1" t="s">
        <v>17527</v>
      </c>
      <c r="B5957" s="1">
        <v>7.0</v>
      </c>
      <c r="C5957" s="1" t="s">
        <v>17528</v>
      </c>
      <c r="D5957" s="1" t="s">
        <v>8</v>
      </c>
      <c r="E5957" s="1" t="s">
        <v>17529</v>
      </c>
      <c r="F5957" s="1" t="str">
        <f>IFERROR(__xludf.DUMMYFUNCTION("GOOGLETRANSLATE(A5957, ""zh-CN"", ""ko"")"),"추정")</f>
        <v>추정</v>
      </c>
    </row>
    <row r="5958" ht="15.75" customHeight="1">
      <c r="A5958" s="1" t="s">
        <v>17530</v>
      </c>
      <c r="B5958" s="1">
        <v>7.0</v>
      </c>
      <c r="C5958" s="1" t="s">
        <v>17531</v>
      </c>
      <c r="D5958" s="1" t="s">
        <v>26</v>
      </c>
      <c r="E5958" s="1" t="s">
        <v>17532</v>
      </c>
      <c r="F5958" s="1" t="str">
        <f>IFERROR(__xludf.DUMMYFUNCTION("GOOGLETRANSLATE(A5958, ""zh-CN"", ""ko"")"),"공유하다")</f>
        <v>공유하다</v>
      </c>
    </row>
    <row r="5959" ht="15.75" customHeight="1">
      <c r="A5959" s="1" t="s">
        <v>17533</v>
      </c>
      <c r="B5959" s="1">
        <v>7.0</v>
      </c>
      <c r="C5959" s="1" t="s">
        <v>17534</v>
      </c>
      <c r="D5959" s="1" t="s">
        <v>16</v>
      </c>
      <c r="E5959" s="1" t="s">
        <v>17535</v>
      </c>
      <c r="F5959" s="1" t="str">
        <f>IFERROR(__xludf.DUMMYFUNCTION("GOOGLETRANSLATE(A5959, ""zh-CN"", ""ko"")"),"해골")</f>
        <v>해골</v>
      </c>
    </row>
    <row r="5960" ht="15.75" customHeight="1">
      <c r="A5960" s="1" t="s">
        <v>17536</v>
      </c>
      <c r="B5960" s="1">
        <v>7.0</v>
      </c>
      <c r="C5960" s="1" t="s">
        <v>17537</v>
      </c>
      <c r="D5960" s="1" t="s">
        <v>16</v>
      </c>
      <c r="E5960" s="1" t="s">
        <v>17538</v>
      </c>
      <c r="F5960" s="1" t="str">
        <f>IFERROR(__xludf.DUMMYFUNCTION("GOOGLETRANSLATE(A5960, ""zh-CN"", ""ko"")"),"고대 서적")</f>
        <v>고대 서적</v>
      </c>
    </row>
    <row r="5961" ht="15.75" customHeight="1">
      <c r="A5961" s="1" t="s">
        <v>17539</v>
      </c>
      <c r="B5961" s="1">
        <v>7.0</v>
      </c>
      <c r="C5961" s="1" t="s">
        <v>17540</v>
      </c>
      <c r="D5961" s="1" t="s">
        <v>16</v>
      </c>
      <c r="E5961" s="1" t="s">
        <v>17541</v>
      </c>
      <c r="F5961" s="1" t="str">
        <f>IFERROR(__xludf.DUMMYFUNCTION("GOOGLETRANSLATE(A5961, ""zh-CN"", ""ko"")"),"해골")</f>
        <v>해골</v>
      </c>
    </row>
    <row r="5962" ht="15.75" customHeight="1">
      <c r="A5962" s="1" t="s">
        <v>17542</v>
      </c>
      <c r="B5962" s="1">
        <v>7.0</v>
      </c>
      <c r="C5962" s="1" t="s">
        <v>17543</v>
      </c>
      <c r="E5962" s="1" t="s">
        <v>17544</v>
      </c>
      <c r="F5962" s="1" t="str">
        <f>IFERROR(__xludf.DUMMYFUNCTION("GOOGLETRANSLATE(A5962, ""zh-CN"", ""ko"")"),"고대와 현대, 중국과 외국")</f>
        <v>고대와 현대, 중국과 외국</v>
      </c>
    </row>
    <row r="5963" ht="15.75" customHeight="1">
      <c r="A5963" s="1" t="s">
        <v>17545</v>
      </c>
      <c r="B5963" s="1">
        <v>7.0</v>
      </c>
      <c r="C5963" s="1" t="s">
        <v>17546</v>
      </c>
      <c r="D5963" s="1" t="s">
        <v>16</v>
      </c>
      <c r="E5963" s="1" t="s">
        <v>17547</v>
      </c>
      <c r="F5963" s="1" t="str">
        <f>IFERROR(__xludf.DUMMYFUNCTION("GOOGLETRANSLATE(A5963, ""zh-CN"", ""ko"")"),"주주")</f>
        <v>주주</v>
      </c>
    </row>
    <row r="5964" ht="15.75" customHeight="1">
      <c r="A5964" s="1" t="s">
        <v>17548</v>
      </c>
      <c r="B5964" s="1">
        <v>7.0</v>
      </c>
      <c r="C5964" s="1" t="s">
        <v>17549</v>
      </c>
      <c r="D5964" s="1" t="s">
        <v>52</v>
      </c>
      <c r="E5964" s="1" t="s">
        <v>17550</v>
      </c>
      <c r="F5964" s="1" t="str">
        <f>IFERROR(__xludf.DUMMYFUNCTION("GOOGLETRANSLATE(A5964, ""zh-CN"", ""ko"")"),"거칠게 만든")</f>
        <v>거칠게 만든</v>
      </c>
    </row>
    <row r="5965" ht="15.75" customHeight="1">
      <c r="A5965" s="1" t="s">
        <v>17551</v>
      </c>
      <c r="B5965" s="1">
        <v>7.0</v>
      </c>
      <c r="C5965" s="1" t="s">
        <v>17552</v>
      </c>
      <c r="D5965" s="1" t="s">
        <v>16</v>
      </c>
      <c r="E5965" s="1" t="s">
        <v>17553</v>
      </c>
      <c r="F5965" s="1" t="str">
        <f>IFERROR(__xludf.DUMMYFUNCTION("GOOGLETRANSLATE(A5965, ""zh-CN"", ""ko"")"),"등뼈")</f>
        <v>등뼈</v>
      </c>
    </row>
    <row r="5966" ht="15.75" customHeight="1">
      <c r="A5966" s="1" t="s">
        <v>17554</v>
      </c>
      <c r="B5966" s="1">
        <v>7.0</v>
      </c>
      <c r="C5966" s="1" t="s">
        <v>17555</v>
      </c>
      <c r="D5966" s="1" t="s">
        <v>16</v>
      </c>
      <c r="E5966" s="1" t="s">
        <v>17556</v>
      </c>
      <c r="F5966" s="1" t="str">
        <f>IFERROR(__xludf.DUMMYFUNCTION("GOOGLETRANSLATE(A5966, ""zh-CN"", ""ko"")"),"시리얼")</f>
        <v>시리얼</v>
      </c>
    </row>
    <row r="5967" ht="15.75" customHeight="1">
      <c r="A5967" s="1" t="s">
        <v>17557</v>
      </c>
      <c r="B5967" s="1">
        <v>7.0</v>
      </c>
      <c r="C5967" s="1" t="s">
        <v>17558</v>
      </c>
      <c r="D5967" s="1" t="s">
        <v>8</v>
      </c>
      <c r="E5967" s="1" t="s">
        <v>17559</v>
      </c>
      <c r="F5967" s="1" t="str">
        <f>IFERROR(__xludf.DUMMYFUNCTION("GOOGLETRANSLATE(A5967, ""zh-CN"", ""ko"")"),"골절")</f>
        <v>골절</v>
      </c>
    </row>
    <row r="5968" ht="15.75" customHeight="1">
      <c r="A5968" s="1" t="s">
        <v>17560</v>
      </c>
      <c r="B5968" s="1">
        <v>7.0</v>
      </c>
      <c r="C5968" s="1" t="s">
        <v>17561</v>
      </c>
      <c r="D5968" s="1" t="s">
        <v>17562</v>
      </c>
      <c r="E5968" s="1" t="s">
        <v>17563</v>
      </c>
      <c r="F5968" s="1" t="str">
        <f>IFERROR(__xludf.DUMMYFUNCTION("GOOGLETRANSLATE(A5968, ""zh-CN"", ""ko"")"),"그러므로")</f>
        <v>그러므로</v>
      </c>
    </row>
    <row r="5969" ht="15.75" customHeight="1">
      <c r="A5969" s="1" t="s">
        <v>17564</v>
      </c>
      <c r="B5969" s="1">
        <v>7.0</v>
      </c>
      <c r="C5969" s="1" t="s">
        <v>17561</v>
      </c>
      <c r="D5969" s="1" t="s">
        <v>8</v>
      </c>
      <c r="E5969" s="1" t="s">
        <v>17565</v>
      </c>
      <c r="F5969" s="1" t="str">
        <f>IFERROR(__xludf.DUMMYFUNCTION("GOOGLETRANSLATE(A5969, ""zh-CN"", ""ko"")"),"고용하다")</f>
        <v>고용하다</v>
      </c>
    </row>
    <row r="5970" ht="15.75" customHeight="1">
      <c r="A5970" s="1" t="s">
        <v>17566</v>
      </c>
      <c r="B5970" s="1">
        <v>7.0</v>
      </c>
      <c r="C5970" s="1" t="s">
        <v>17567</v>
      </c>
      <c r="D5970" s="1" t="s">
        <v>8</v>
      </c>
      <c r="E5970" s="1" t="s">
        <v>11219</v>
      </c>
      <c r="F5970" s="1" t="str">
        <f>IFERROR(__xludf.DUMMYFUNCTION("GOOGLETRANSLATE(A5970, ""zh-CN"", ""ko"")"),"치료")</f>
        <v>치료</v>
      </c>
    </row>
    <row r="5971" ht="15.75" customHeight="1">
      <c r="A5971" s="1" t="s">
        <v>17568</v>
      </c>
      <c r="B5971" s="1">
        <v>7.0</v>
      </c>
      <c r="C5971" s="1" t="s">
        <v>17569</v>
      </c>
      <c r="D5971" s="1" t="s">
        <v>8</v>
      </c>
      <c r="E5971" s="1" t="s">
        <v>17570</v>
      </c>
      <c r="F5971" s="1" t="str">
        <f>IFERROR(__xludf.DUMMYFUNCTION("GOOGLETRANSLATE(A5971, ""zh-CN"", ""ko"")"),"고려하다")</f>
        <v>고려하다</v>
      </c>
    </row>
    <row r="5972" ht="15.75" customHeight="1">
      <c r="A5972" s="1" t="s">
        <v>17571</v>
      </c>
      <c r="B5972" s="1">
        <v>7.0</v>
      </c>
      <c r="C5972" s="1" t="s">
        <v>17572</v>
      </c>
      <c r="E5972" s="1" t="s">
        <v>17573</v>
      </c>
      <c r="F5972" s="1" t="str">
        <f>IFERROR(__xludf.DUMMYFUNCTION("GOOGLETRANSLATE(A5972, ""zh-CN"", ""ko"")"),"이름에서 알 수 있듯이")</f>
        <v>이름에서 알 수 있듯이</v>
      </c>
    </row>
    <row r="5973" ht="15.75" customHeight="1">
      <c r="A5973" s="1" t="s">
        <v>17574</v>
      </c>
      <c r="B5973" s="1">
        <v>7.0</v>
      </c>
      <c r="C5973" s="1" t="s">
        <v>17575</v>
      </c>
      <c r="E5973" s="1" t="s">
        <v>17576</v>
      </c>
      <c r="F5973" s="1" t="str">
        <f>IFERROR(__xludf.DUMMYFUNCTION("GOOGLETRANSLATE(A5973, ""zh-CN"", ""ko"")"),"전반적인 상황을 고려해 보세요.")</f>
        <v>전반적인 상황을 고려해 보세요.</v>
      </c>
    </row>
    <row r="5974" ht="15.75" customHeight="1">
      <c r="A5974" s="1" t="s">
        <v>17577</v>
      </c>
      <c r="B5974" s="1">
        <v>7.0</v>
      </c>
      <c r="C5974" s="1" t="s">
        <v>17578</v>
      </c>
      <c r="D5974" s="1" t="s">
        <v>16</v>
      </c>
      <c r="E5974" s="1" t="s">
        <v>17579</v>
      </c>
      <c r="F5974" s="1" t="str">
        <f>IFERROR(__xludf.DUMMYFUNCTION("GOOGLETRANSLATE(A5974, ""zh-CN"", ""ko"")"),"직원")</f>
        <v>직원</v>
      </c>
    </row>
    <row r="5975" ht="15.75" customHeight="1">
      <c r="A5975" s="1" t="s">
        <v>17580</v>
      </c>
      <c r="B5975" s="1">
        <v>7.0</v>
      </c>
      <c r="C5975" s="1" t="s">
        <v>17581</v>
      </c>
      <c r="D5975" s="1" t="s">
        <v>16</v>
      </c>
      <c r="E5975" s="1" t="s">
        <v>17582</v>
      </c>
      <c r="F5975" s="1" t="str">
        <f>IFERROR(__xludf.DUMMYFUNCTION("GOOGLETRANSLATE(A5975, ""zh-CN"", ""ko"")"),"고용주")</f>
        <v>고용주</v>
      </c>
    </row>
    <row r="5976" ht="15.75" customHeight="1">
      <c r="A5976" s="1" t="s">
        <v>17583</v>
      </c>
      <c r="B5976" s="1">
        <v>7.0</v>
      </c>
      <c r="C5976" s="1" t="s">
        <v>17584</v>
      </c>
      <c r="D5976" s="1" t="s">
        <v>8</v>
      </c>
      <c r="E5976" s="1" t="s">
        <v>17585</v>
      </c>
      <c r="F5976" s="1" t="str">
        <f>IFERROR(__xludf.DUMMYFUNCTION("GOOGLETRANSLATE(A5976, ""zh-CN"", ""ko"")"),"나누다")</f>
        <v>나누다</v>
      </c>
    </row>
    <row r="5977" ht="15.75" customHeight="1">
      <c r="A5977" s="1" t="s">
        <v>17586</v>
      </c>
      <c r="B5977" s="1">
        <v>7.0</v>
      </c>
      <c r="C5977" s="1" t="s">
        <v>17587</v>
      </c>
      <c r="E5977" s="1" t="s">
        <v>17588</v>
      </c>
      <c r="F5977" s="1" t="str">
        <f>IFERROR(__xludf.DUMMYFUNCTION("GOOGLETRANSLATE(A5977, ""zh-CN"", ""ko"")"),"새로운 시각으로 저를 바라봐 주세요.")</f>
        <v>새로운 시각으로 저를 바라봐 주세요.</v>
      </c>
    </row>
    <row r="5978" ht="15.75" customHeight="1">
      <c r="A5978" s="1" t="s">
        <v>17589</v>
      </c>
      <c r="B5978" s="1">
        <v>7.0</v>
      </c>
      <c r="C5978" s="1" t="s">
        <v>17590</v>
      </c>
      <c r="D5978" s="1" t="s">
        <v>16</v>
      </c>
      <c r="E5978" s="1" t="s">
        <v>17591</v>
      </c>
      <c r="F5978" s="1" t="str">
        <f>IFERROR(__xludf.DUMMYFUNCTION("GOOGLETRANSLATE(A5978, ""zh-CN"", ""ko"")"),"멜론씨")</f>
        <v>멜론씨</v>
      </c>
    </row>
    <row r="5979" ht="15.75" customHeight="1">
      <c r="A5979" s="1" t="s">
        <v>17592</v>
      </c>
      <c r="B5979" s="1">
        <v>7.0</v>
      </c>
      <c r="C5979" s="1" t="s">
        <v>17593</v>
      </c>
      <c r="D5979" s="1" t="s">
        <v>16</v>
      </c>
      <c r="E5979" s="1" t="s">
        <v>17594</v>
      </c>
      <c r="F5979" s="1" t="str">
        <f>IFERROR(__xludf.DUMMYFUNCTION("GOOGLETRANSLATE(A5979, ""zh-CN"", ""ko"")"),"과부")</f>
        <v>과부</v>
      </c>
    </row>
    <row r="5980" ht="15.75" customHeight="1">
      <c r="A5980" s="1" t="s">
        <v>17595</v>
      </c>
      <c r="B5980" s="1">
        <v>7.0</v>
      </c>
      <c r="C5980" s="1" t="s">
        <v>17596</v>
      </c>
      <c r="D5980" s="1" t="s">
        <v>16</v>
      </c>
      <c r="E5980" s="1" t="s">
        <v>17597</v>
      </c>
      <c r="F5980" s="1" t="str">
        <f>IFERROR(__xludf.DUMMYFUNCTION("GOOGLETRANSLATE(A5980, ""zh-CN"", ""ko"")"),"연결하다")</f>
        <v>연결하다</v>
      </c>
    </row>
    <row r="5981" ht="15.75" customHeight="1">
      <c r="A5981" s="1" t="s">
        <v>17598</v>
      </c>
      <c r="B5981" s="1">
        <v>7.0</v>
      </c>
      <c r="C5981" s="1" t="s">
        <v>17599</v>
      </c>
      <c r="D5981" s="1" t="s">
        <v>8</v>
      </c>
      <c r="E5981" s="1" t="s">
        <v>17600</v>
      </c>
      <c r="F5981" s="1" t="str">
        <f>IFERROR(__xludf.DUMMYFUNCTION("GOOGLETRANSLATE(A5981, ""zh-CN"", ""ko"")"),"놓치다")</f>
        <v>놓치다</v>
      </c>
    </row>
    <row r="5982" ht="15.75" customHeight="1">
      <c r="A5982" s="1" t="s">
        <v>17601</v>
      </c>
      <c r="B5982" s="1">
        <v>7.0</v>
      </c>
      <c r="C5982" s="1" t="s">
        <v>17602</v>
      </c>
      <c r="D5982" s="1" t="s">
        <v>8</v>
      </c>
      <c r="E5982" s="1" t="s">
        <v>17603</v>
      </c>
      <c r="F5982" s="1" t="str">
        <f>IFERROR(__xludf.DUMMYFUNCTION("GOOGLETRANSLATE(A5982, ""zh-CN"", ""ko"")"),"손실 보고서")</f>
        <v>손실 보고서</v>
      </c>
    </row>
    <row r="5983" ht="15.75" customHeight="1">
      <c r="A5983" s="1" t="s">
        <v>17604</v>
      </c>
      <c r="B5983" s="1">
        <v>7.0</v>
      </c>
      <c r="C5983" s="1" t="s">
        <v>17605</v>
      </c>
      <c r="D5983" s="1" t="s">
        <v>52</v>
      </c>
      <c r="E5983" s="1" t="s">
        <v>17606</v>
      </c>
      <c r="F5983" s="1" t="str">
        <f>IFERROR(__xludf.DUMMYFUNCTION("GOOGLETRANSLATE(A5983, ""zh-CN"", ""ko"")"),"영리한")</f>
        <v>영리한</v>
      </c>
    </row>
    <row r="5984" ht="15.75" customHeight="1">
      <c r="A5984" s="1" t="s">
        <v>17607</v>
      </c>
      <c r="B5984" s="1">
        <v>7.0</v>
      </c>
      <c r="C5984" s="1" t="s">
        <v>17608</v>
      </c>
      <c r="D5984" s="1" t="s">
        <v>16</v>
      </c>
      <c r="E5984" s="1" t="s">
        <v>17609</v>
      </c>
      <c r="F5984" s="1" t="str">
        <f>IFERROR(__xludf.DUMMYFUNCTION("GOOGLETRANSLATE(A5984, ""zh-CN"", ""ko"")"),"괴물")</f>
        <v>괴물</v>
      </c>
    </row>
    <row r="5985" ht="15.75" customHeight="1">
      <c r="A5985" s="1" t="s">
        <v>17610</v>
      </c>
      <c r="B5985" s="1">
        <v>7.0</v>
      </c>
      <c r="C5985" s="1" t="s">
        <v>17611</v>
      </c>
      <c r="D5985" s="1" t="s">
        <v>52</v>
      </c>
      <c r="E5985" s="1" t="s">
        <v>17612</v>
      </c>
      <c r="F5985" s="1" t="str">
        <f>IFERROR(__xludf.DUMMYFUNCTION("GOOGLETRANSLATE(A5985, ""zh-CN"", ""ko"")"),"기이한")</f>
        <v>기이한</v>
      </c>
    </row>
    <row r="5986" ht="15.75" customHeight="1">
      <c r="A5986" s="1" t="s">
        <v>17613</v>
      </c>
      <c r="B5986" s="1">
        <v>7.0</v>
      </c>
      <c r="C5986" s="1" t="s">
        <v>17614</v>
      </c>
      <c r="D5986" s="1" t="s">
        <v>16</v>
      </c>
      <c r="E5986" s="1" t="s">
        <v>17615</v>
      </c>
      <c r="F5986" s="1" t="str">
        <f>IFERROR(__xludf.DUMMYFUNCTION("GOOGLETRANSLATE(A5986, ""zh-CN"", ""ko"")"),"장교와 병사들")</f>
        <v>장교와 병사들</v>
      </c>
    </row>
    <row r="5987" ht="15.75" customHeight="1">
      <c r="A5987" s="1" t="s">
        <v>17616</v>
      </c>
      <c r="B5987" s="1">
        <v>7.0</v>
      </c>
      <c r="C5987" s="1" t="s">
        <v>17617</v>
      </c>
      <c r="D5987" s="1" t="s">
        <v>16</v>
      </c>
      <c r="E5987" s="1" t="s">
        <v>17618</v>
      </c>
      <c r="F5987" s="1" t="str">
        <f>IFERROR(__xludf.DUMMYFUNCTION("GOOGLETRANSLATE(A5987, ""zh-CN"", ""ko"")"),"관")</f>
        <v>관</v>
      </c>
    </row>
    <row r="5988" ht="15.75" customHeight="1">
      <c r="A5988" s="1" t="s">
        <v>17619</v>
      </c>
      <c r="B5988" s="1">
        <v>7.0</v>
      </c>
      <c r="C5988" s="1" t="s">
        <v>17620</v>
      </c>
      <c r="D5988" s="1" t="s">
        <v>8</v>
      </c>
      <c r="E5988" s="1" t="s">
        <v>17621</v>
      </c>
      <c r="F5988" s="1" t="str">
        <f>IFERROR(__xludf.DUMMYFUNCTION("GOOGLETRANSLATE(A5988, ""zh-CN"", ""ko"")"),"관찰")</f>
        <v>관찰</v>
      </c>
    </row>
    <row r="5989" ht="15.75" customHeight="1">
      <c r="A5989" s="1" t="s">
        <v>17622</v>
      </c>
      <c r="B5989" s="1">
        <v>7.0</v>
      </c>
      <c r="C5989" s="1" t="s">
        <v>17623</v>
      </c>
      <c r="D5989" s="1" t="s">
        <v>16</v>
      </c>
      <c r="E5989" s="1" t="s">
        <v>17624</v>
      </c>
      <c r="F5989" s="1" t="str">
        <f>IFERROR(__xludf.DUMMYFUNCTION("GOOGLETRANSLATE(A5989, ""zh-CN"", ""ko"")"),"인상")</f>
        <v>인상</v>
      </c>
    </row>
    <row r="5990" ht="15.75" customHeight="1">
      <c r="A5990" s="1" t="s">
        <v>17625</v>
      </c>
      <c r="B5990" s="1">
        <v>7.0</v>
      </c>
      <c r="C5990" s="1" t="s">
        <v>17626</v>
      </c>
      <c r="D5990" s="1" t="s">
        <v>16</v>
      </c>
      <c r="E5990" s="1" t="s">
        <v>17627</v>
      </c>
      <c r="F5990" s="1" t="str">
        <f>IFERROR(__xludf.DUMMYFUNCTION("GOOGLETRANSLATE(A5990, ""zh-CN"", ""ko"")"),"관절")</f>
        <v>관절</v>
      </c>
    </row>
    <row r="5991" ht="15.75" customHeight="1">
      <c r="A5991" s="1" t="s">
        <v>17628</v>
      </c>
      <c r="B5991" s="1">
        <v>7.0</v>
      </c>
      <c r="C5991" s="1" t="s">
        <v>17629</v>
      </c>
      <c r="D5991" s="1" t="s">
        <v>16</v>
      </c>
      <c r="E5991" s="1" t="s">
        <v>17630</v>
      </c>
      <c r="F5991" s="1" t="str">
        <f>IFERROR(__xludf.DUMMYFUNCTION("GOOGLETRANSLATE(A5991, ""zh-CN"", ""ko"")"),"공무원들")</f>
        <v>공무원들</v>
      </c>
    </row>
    <row r="5992" ht="15.75" customHeight="1">
      <c r="A5992" s="1" t="s">
        <v>17631</v>
      </c>
      <c r="B5992" s="1">
        <v>7.0</v>
      </c>
      <c r="C5992" s="1" t="s">
        <v>17632</v>
      </c>
      <c r="D5992" s="1" t="s">
        <v>16</v>
      </c>
      <c r="E5992" s="1" t="s">
        <v>17633</v>
      </c>
      <c r="F5992" s="1" t="str">
        <f>IFERROR(__xludf.DUMMYFUNCTION("GOOGLETRANSLATE(A5992, ""zh-CN"", ""ko"")"),"관료")</f>
        <v>관료</v>
      </c>
    </row>
    <row r="5993" ht="15.75" customHeight="1">
      <c r="A5993" s="1" t="s">
        <v>17634</v>
      </c>
      <c r="B5993" s="1">
        <v>7.0</v>
      </c>
      <c r="C5993" s="1" t="s">
        <v>17635</v>
      </c>
      <c r="D5993" s="1" t="s">
        <v>8</v>
      </c>
      <c r="E5993" s="1" t="s">
        <v>17621</v>
      </c>
      <c r="F5993" s="1" t="str">
        <f>IFERROR(__xludf.DUMMYFUNCTION("GOOGLETRANSLATE(A5993, ""zh-CN"", ""ko"")"),"관찰")</f>
        <v>관찰</v>
      </c>
    </row>
    <row r="5994" ht="15.75" customHeight="1">
      <c r="A5994" s="1" t="s">
        <v>17636</v>
      </c>
      <c r="B5994" s="1">
        <v>7.0</v>
      </c>
      <c r="C5994" s="1" t="s">
        <v>17637</v>
      </c>
      <c r="D5994" s="1" t="s">
        <v>8</v>
      </c>
      <c r="E5994" s="1" t="s">
        <v>17638</v>
      </c>
      <c r="F5994" s="1" t="str">
        <f>IFERROR(__xludf.DUMMYFUNCTION("GOOGLETRANSLATE(A5994, ""zh-CN"", ""ko"")"),"우려")</f>
        <v>우려</v>
      </c>
    </row>
    <row r="5995" ht="15.75" customHeight="1">
      <c r="A5995" s="1" t="s">
        <v>17639</v>
      </c>
      <c r="B5995" s="1">
        <v>7.0</v>
      </c>
      <c r="C5995" s="1" t="s">
        <v>17640</v>
      </c>
      <c r="D5995" s="1" t="s">
        <v>16</v>
      </c>
      <c r="E5995" s="1" t="s">
        <v>17641</v>
      </c>
      <c r="F5995" s="1" t="str">
        <f>IFERROR(__xludf.DUMMYFUNCTION("GOOGLETRANSLATE(A5995, ""zh-CN"", ""ko"")"),"관세")</f>
        <v>관세</v>
      </c>
    </row>
    <row r="5996" ht="15.75" customHeight="1">
      <c r="A5996" s="1" t="s">
        <v>17642</v>
      </c>
      <c r="B5996" s="1">
        <v>7.0</v>
      </c>
      <c r="C5996" s="1" t="s">
        <v>17643</v>
      </c>
      <c r="D5996" s="1" t="s">
        <v>16</v>
      </c>
      <c r="E5996" s="1" t="s">
        <v>17644</v>
      </c>
      <c r="F5996" s="1" t="str">
        <f>IFERROR(__xludf.DUMMYFUNCTION("GOOGLETRANSLATE(A5996, ""zh-CN"", ""ko"")"),"소송")</f>
        <v>소송</v>
      </c>
    </row>
    <row r="5997" ht="15.75" customHeight="1">
      <c r="A5997" s="1" t="s">
        <v>17645</v>
      </c>
      <c r="B5997" s="1">
        <v>7.0</v>
      </c>
      <c r="C5997" s="1" t="s">
        <v>17646</v>
      </c>
      <c r="D5997" s="1" t="s">
        <v>16</v>
      </c>
      <c r="E5997" s="1" t="s">
        <v>17647</v>
      </c>
      <c r="F5997" s="1" t="str">
        <f>IFERROR(__xludf.DUMMYFUNCTION("GOOGLETRANSLATE(A5997, ""zh-CN"", ""ko"")"),"결정적인 순간")</f>
        <v>결정적인 순간</v>
      </c>
    </row>
    <row r="5998" ht="15.75" customHeight="1">
      <c r="A5998" s="1" t="s">
        <v>17648</v>
      </c>
      <c r="B5998" s="1">
        <v>7.0</v>
      </c>
      <c r="C5998" s="1" t="s">
        <v>17649</v>
      </c>
      <c r="D5998" s="1" t="s">
        <v>8</v>
      </c>
      <c r="E5998" s="1" t="s">
        <v>17650</v>
      </c>
      <c r="F5998" s="1" t="str">
        <f>IFERROR(__xludf.DUMMYFUNCTION("GOOGLETRANSLATE(A5998, ""zh-CN"", ""ko"")"),"두고 봅시다")</f>
        <v>두고 봅시다</v>
      </c>
    </row>
    <row r="5999" ht="15.75" customHeight="1">
      <c r="A5999" s="1" t="s">
        <v>17651</v>
      </c>
      <c r="B5999" s="1">
        <v>7.0</v>
      </c>
      <c r="C5999" s="1" t="s">
        <v>17652</v>
      </c>
      <c r="D5999" s="1" t="s">
        <v>16</v>
      </c>
      <c r="E5999" s="1" t="s">
        <v>17653</v>
      </c>
      <c r="F5999" s="1" t="str">
        <f>IFERROR(__xludf.DUMMYFUNCTION("GOOGLETRANSLATE(A5999, ""zh-CN"", ""ko"")"),"가정부")</f>
        <v>가정부</v>
      </c>
    </row>
    <row r="6000" ht="15.75" customHeight="1">
      <c r="A6000" s="1" t="s">
        <v>17654</v>
      </c>
      <c r="B6000" s="1">
        <v>7.0</v>
      </c>
      <c r="C6000" s="1" t="s">
        <v>17655</v>
      </c>
      <c r="D6000" s="1" t="s">
        <v>14870</v>
      </c>
      <c r="E6000" s="1" t="s">
        <v>17656</v>
      </c>
      <c r="F6000" s="1" t="str">
        <f>IFERROR(__xludf.DUMMYFUNCTION("GOOGLETRANSLATE(A6000, ""zh-CN"", ""ko"")"),"규율")</f>
        <v>규율</v>
      </c>
    </row>
    <row r="6001" ht="15.75" customHeight="1">
      <c r="A6001" s="1" t="s">
        <v>17657</v>
      </c>
      <c r="B6001" s="1">
        <v>7.0</v>
      </c>
      <c r="C6001" s="1" t="s">
        <v>17658</v>
      </c>
      <c r="D6001" s="1" t="s">
        <v>52</v>
      </c>
      <c r="E6001" s="1" t="s">
        <v>17659</v>
      </c>
      <c r="F6001" s="1" t="str">
        <f>IFERROR(__xludf.DUMMYFUNCTION("GOOGLETRANSLATE(A6001, ""zh-CN"", ""ko"")"),"효과가 있습니다")</f>
        <v>효과가 있습니다</v>
      </c>
    </row>
    <row r="6002" ht="15.75" customHeight="1">
      <c r="A6002" s="1" t="s">
        <v>17660</v>
      </c>
      <c r="B6002" s="1">
        <v>7.0</v>
      </c>
      <c r="C6002" s="1" t="s">
        <v>9439</v>
      </c>
      <c r="D6002" s="1" t="s">
        <v>8</v>
      </c>
      <c r="E6002" s="1" t="s">
        <v>17661</v>
      </c>
      <c r="F6002" s="1" t="str">
        <f>IFERROR(__xludf.DUMMYFUNCTION("GOOGLETRANSLATE(A6002, ""zh-CN"", ""ko"")"),"사용된")</f>
        <v>사용된</v>
      </c>
    </row>
    <row r="6003" ht="15.75" customHeight="1">
      <c r="A6003" s="1" t="s">
        <v>17662</v>
      </c>
      <c r="B6003" s="1">
        <v>7.0</v>
      </c>
      <c r="C6003" s="1" t="s">
        <v>9439</v>
      </c>
      <c r="D6003" s="1" t="s">
        <v>8</v>
      </c>
      <c r="E6003" s="1" t="s">
        <v>17663</v>
      </c>
      <c r="F6003" s="1" t="str">
        <f>IFERROR(__xludf.DUMMYFUNCTION("GOOGLETRANSLATE(A6003, ""zh-CN"", ""ko"")"),"관개")</f>
        <v>관개</v>
      </c>
    </row>
    <row r="6004" ht="15.75" customHeight="1">
      <c r="A6004" s="1" t="s">
        <v>17664</v>
      </c>
      <c r="B6004" s="1">
        <v>7.0</v>
      </c>
      <c r="C6004" s="1" t="s">
        <v>17665</v>
      </c>
      <c r="D6004" s="1" t="s">
        <v>8</v>
      </c>
      <c r="E6004" s="1" t="s">
        <v>17666</v>
      </c>
      <c r="F6004" s="1" t="str">
        <f>IFERROR(__xludf.DUMMYFUNCTION("GOOGLETRANSLATE(A6004, ""zh-CN"", ""ko"")"),"을 통해")</f>
        <v>을 통해</v>
      </c>
    </row>
    <row r="6005" ht="15.75" customHeight="1">
      <c r="A6005" s="1" t="s">
        <v>17667</v>
      </c>
      <c r="B6005" s="1">
        <v>7.0</v>
      </c>
      <c r="C6005" s="1" t="s">
        <v>17668</v>
      </c>
      <c r="D6005" s="1" t="s">
        <v>8</v>
      </c>
      <c r="E6005" s="1" t="s">
        <v>17669</v>
      </c>
      <c r="F6005" s="1" t="str">
        <f>IFERROR(__xludf.DUMMYFUNCTION("GOOGLETRANSLATE(A6005, ""zh-CN"", ""ko"")"),"주입하다")</f>
        <v>주입하다</v>
      </c>
    </row>
    <row r="6006" ht="15.75" customHeight="1">
      <c r="A6006" s="1" t="s">
        <v>17670</v>
      </c>
      <c r="B6006" s="1">
        <v>7.0</v>
      </c>
      <c r="C6006" s="1" t="s">
        <v>17671</v>
      </c>
      <c r="D6006" s="1" t="s">
        <v>8</v>
      </c>
      <c r="E6006" s="1" t="s">
        <v>17672</v>
      </c>
      <c r="F6006" s="1" t="str">
        <f>IFERROR(__xludf.DUMMYFUNCTION("GOOGLETRANSLATE(A6006, ""zh-CN"", ""ko"")"),"을 통해")</f>
        <v>을 통해</v>
      </c>
    </row>
    <row r="6007" ht="15.75" customHeight="1">
      <c r="A6007" s="1" t="s">
        <v>17673</v>
      </c>
      <c r="B6007" s="1">
        <v>7.0</v>
      </c>
      <c r="C6007" s="1" t="s">
        <v>17674</v>
      </c>
      <c r="D6007" s="1" t="s">
        <v>16</v>
      </c>
      <c r="E6007" s="1" t="s">
        <v>17675</v>
      </c>
      <c r="F6007" s="1" t="str">
        <f>IFERROR(__xludf.DUMMYFUNCTION("GOOGLETRANSLATE(A6007, ""zh-CN"", ""ko"")"),"~할 수 있다")</f>
        <v>~할 수 있다</v>
      </c>
    </row>
    <row r="6008" ht="15.75" customHeight="1">
      <c r="A6008" s="1" t="s">
        <v>17676</v>
      </c>
      <c r="B6008" s="1">
        <v>7.0</v>
      </c>
      <c r="C6008" s="1" t="s">
        <v>17677</v>
      </c>
      <c r="D6008" s="1" t="s">
        <v>16</v>
      </c>
      <c r="E6008" s="1" t="s">
        <v>17678</v>
      </c>
      <c r="F6008" s="1" t="str">
        <f>IFERROR(__xludf.DUMMYFUNCTION("GOOGLETRANSLATE(A6008, ""zh-CN"", ""ko"")"),"관성")</f>
        <v>관성</v>
      </c>
    </row>
    <row r="6009" ht="15.75" customHeight="1">
      <c r="A6009" s="1" t="s">
        <v>17679</v>
      </c>
      <c r="B6009" s="1">
        <v>7.0</v>
      </c>
      <c r="C6009" s="1" t="s">
        <v>17680</v>
      </c>
      <c r="D6009" s="1" t="s">
        <v>8</v>
      </c>
      <c r="E6009" s="1" t="s">
        <v>17681</v>
      </c>
      <c r="F6009" s="1" t="str">
        <f>IFERROR(__xludf.DUMMYFUNCTION("GOOGLETRANSLATE(A6009, ""zh-CN"", ""ko"")"),"방문하다")</f>
        <v>방문하다</v>
      </c>
    </row>
    <row r="6010" ht="15.75" customHeight="1">
      <c r="A6010" s="1" t="s">
        <v>17682</v>
      </c>
      <c r="B6010" s="1">
        <v>7.0</v>
      </c>
      <c r="C6010" s="1" t="s">
        <v>17683</v>
      </c>
      <c r="D6010" s="1" t="s">
        <v>16</v>
      </c>
      <c r="E6010" s="1" t="s">
        <v>17684</v>
      </c>
      <c r="F6010" s="1" t="str">
        <f>IFERROR(__xludf.DUMMYFUNCTION("GOOGLETRANSLATE(A6010, ""zh-CN"", ""ko"")"),"후광")</f>
        <v>후광</v>
      </c>
    </row>
    <row r="6011" ht="15.75" customHeight="1">
      <c r="A6011" s="1" t="s">
        <v>17685</v>
      </c>
      <c r="B6011" s="1">
        <v>7.0</v>
      </c>
      <c r="C6011" s="1" t="s">
        <v>17686</v>
      </c>
      <c r="D6011" s="1" t="s">
        <v>16</v>
      </c>
      <c r="E6011" s="1" t="s">
        <v>17687</v>
      </c>
      <c r="F6011" s="1" t="str">
        <f>IFERROR(__xludf.DUMMYFUNCTION("GOOGLETRANSLATE(A6011, ""zh-CN"", ""ko"")"),"광케이블")</f>
        <v>광케이블</v>
      </c>
    </row>
    <row r="6012" ht="15.75" customHeight="1">
      <c r="A6012" s="1" t="s">
        <v>17688</v>
      </c>
      <c r="B6012" s="1">
        <v>7.0</v>
      </c>
      <c r="C6012" s="1" t="s">
        <v>17689</v>
      </c>
      <c r="E6012" s="1" t="s">
        <v>17690</v>
      </c>
      <c r="F6012" s="1" t="str">
        <f>IFERROR(__xludf.DUMMYFUNCTION("GOOGLETRANSLATE(A6012, ""zh-CN"", ""ko"")"),"정직하고 성실한")</f>
        <v>정직하고 성실한</v>
      </c>
    </row>
    <row r="6013" ht="15.75" customHeight="1">
      <c r="A6013" s="1" t="s">
        <v>17691</v>
      </c>
      <c r="B6013" s="1">
        <v>7.0</v>
      </c>
      <c r="C6013" s="1" t="s">
        <v>17692</v>
      </c>
      <c r="D6013" s="1" t="s">
        <v>16</v>
      </c>
      <c r="E6013" s="1" t="s">
        <v>17693</v>
      </c>
      <c r="F6013" s="1" t="str">
        <f>IFERROR(__xludf.DUMMYFUNCTION("GOOGLETRANSLATE(A6013, ""zh-CN"", ""ko"")"),"광택")</f>
        <v>광택</v>
      </c>
    </row>
    <row r="6014" ht="15.75" customHeight="1">
      <c r="A6014" s="1" t="s">
        <v>17694</v>
      </c>
      <c r="B6014" s="1">
        <v>7.0</v>
      </c>
      <c r="C6014" s="1" t="s">
        <v>17695</v>
      </c>
      <c r="D6014" s="1" t="s">
        <v>16</v>
      </c>
      <c r="E6014" s="1" t="s">
        <v>17696</v>
      </c>
      <c r="F6014" s="1" t="str">
        <f>IFERROR(__xludf.DUMMYFUNCTION("GOOGLETRANSLATE(A6014, ""zh-CN"", ""ko"")"),"넓게 말하자면")</f>
        <v>넓게 말하자면</v>
      </c>
    </row>
    <row r="6015" ht="15.75" customHeight="1">
      <c r="A6015" s="1" t="s">
        <v>17697</v>
      </c>
      <c r="B6015" s="1">
        <v>7.0</v>
      </c>
      <c r="C6015" s="1" t="s">
        <v>17698</v>
      </c>
      <c r="D6015" s="1" t="s">
        <v>16</v>
      </c>
      <c r="E6015" s="1" t="s">
        <v>17699</v>
      </c>
      <c r="F6015" s="1" t="str">
        <f>IFERROR(__xludf.DUMMYFUNCTION("GOOGLETRANSLATE(A6015, ""zh-CN"", ""ko"")"),"거북이")</f>
        <v>거북이</v>
      </c>
    </row>
    <row r="6016" ht="15.75" customHeight="1">
      <c r="A6016" s="1" t="s">
        <v>17700</v>
      </c>
      <c r="B6016" s="1">
        <v>7.0</v>
      </c>
      <c r="C6016" s="1" t="s">
        <v>17701</v>
      </c>
      <c r="D6016" s="1" t="s">
        <v>16</v>
      </c>
      <c r="E6016" s="1" t="s">
        <v>17702</v>
      </c>
      <c r="F6016" s="1" t="str">
        <f>IFERROR(__xludf.DUMMYFUNCTION("GOOGLETRANSLATE(A6016, ""zh-CN"", ""ko"")"),"보물")</f>
        <v>보물</v>
      </c>
    </row>
    <row r="6017" ht="15.75" customHeight="1">
      <c r="A6017" s="1" t="s">
        <v>17703</v>
      </c>
      <c r="B6017" s="1">
        <v>7.0</v>
      </c>
      <c r="C6017" s="1" t="s">
        <v>17704</v>
      </c>
      <c r="D6017" s="1" t="s">
        <v>8</v>
      </c>
      <c r="E6017" s="1" t="s">
        <v>17705</v>
      </c>
      <c r="F6017" s="1" t="str">
        <f>IFERROR(__xludf.DUMMYFUNCTION("GOOGLETRANSLATE(A6017, ""zh-CN"", ""ko"")"),"결론")</f>
        <v>결론</v>
      </c>
    </row>
    <row r="6018" ht="15.75" customHeight="1">
      <c r="A6018" s="1" t="s">
        <v>17706</v>
      </c>
      <c r="B6018" s="1">
        <v>7.0</v>
      </c>
      <c r="C6018" s="1" t="s">
        <v>17707</v>
      </c>
      <c r="D6018" s="1" t="s">
        <v>8</v>
      </c>
      <c r="E6018" s="1" t="s">
        <v>17708</v>
      </c>
      <c r="F6018" s="1" t="str">
        <f>IFERROR(__xludf.DUMMYFUNCTION("GOOGLETRANSLATE(A6018, ""zh-CN"", ""ko"")"),"반품")</f>
        <v>반품</v>
      </c>
    </row>
    <row r="6019" ht="15.75" customHeight="1">
      <c r="A6019" s="1" t="s">
        <v>17709</v>
      </c>
      <c r="B6019" s="1">
        <v>7.0</v>
      </c>
      <c r="C6019" s="1" t="s">
        <v>17710</v>
      </c>
      <c r="D6019" s="1" t="s">
        <v>16</v>
      </c>
      <c r="E6019" s="1" t="s">
        <v>17711</v>
      </c>
      <c r="F6019" s="1" t="str">
        <f>IFERROR(__xludf.DUMMYFUNCTION("GOOGLETRANSLATE(A6019, ""zh-CN"", ""ko"")"),"딸")</f>
        <v>딸</v>
      </c>
    </row>
    <row r="6020" ht="15.75" customHeight="1">
      <c r="A6020" s="1" t="s">
        <v>17712</v>
      </c>
      <c r="B6020" s="1">
        <v>7.0</v>
      </c>
      <c r="C6020" s="1" t="s">
        <v>17713</v>
      </c>
      <c r="D6020" s="1" t="s">
        <v>8</v>
      </c>
      <c r="E6020" s="1" t="s">
        <v>17714</v>
      </c>
      <c r="F6020" s="1" t="str">
        <f>IFERROR(__xludf.DUMMYFUNCTION("GOOGLETRANSLATE(A6020, ""zh-CN"", ""ko"")"),"귀속")</f>
        <v>귀속</v>
      </c>
    </row>
    <row r="6021" ht="15.75" customHeight="1">
      <c r="A6021" s="1" t="s">
        <v>17715</v>
      </c>
      <c r="B6021" s="1">
        <v>7.0</v>
      </c>
      <c r="C6021" s="1" t="s">
        <v>17716</v>
      </c>
      <c r="D6021" s="1" t="s">
        <v>16</v>
      </c>
      <c r="E6021" s="1" t="s">
        <v>17717</v>
      </c>
      <c r="F6021" s="1" t="str">
        <f>IFERROR(__xludf.DUMMYFUNCTION("GOOGLETRANSLATE(A6021, ""zh-CN"", ""ko"")"),"집")</f>
        <v>집</v>
      </c>
    </row>
    <row r="6022" ht="15.75" customHeight="1">
      <c r="A6022" s="1" t="s">
        <v>17718</v>
      </c>
      <c r="B6022" s="1">
        <v>7.0</v>
      </c>
      <c r="C6022" s="1" t="s">
        <v>17719</v>
      </c>
      <c r="D6022" s="1" t="s">
        <v>8</v>
      </c>
      <c r="E6022" s="1" t="s">
        <v>17720</v>
      </c>
      <c r="F6022" s="1" t="str">
        <f>IFERROR(__xludf.DUMMYFUNCTION("GOOGLETRANSLATE(A6022, ""zh-CN"", ""ko"")"),"돌아가기")</f>
        <v>돌아가기</v>
      </c>
    </row>
    <row r="6023" ht="15.75" customHeight="1">
      <c r="A6023" s="1" t="s">
        <v>17721</v>
      </c>
      <c r="B6023" s="1">
        <v>7.0</v>
      </c>
      <c r="C6023" s="1" t="s">
        <v>17722</v>
      </c>
      <c r="D6023" s="1" t="s">
        <v>15011</v>
      </c>
      <c r="E6023" s="1" t="s">
        <v>17723</v>
      </c>
      <c r="F6023" s="1" t="str">
        <f>IFERROR(__xludf.DUMMYFUNCTION("GOOGLETRANSLATE(A6023, ""zh-CN"", ""ko"")"),"귀신")</f>
        <v>귀신</v>
      </c>
    </row>
    <row r="6024" ht="15.75" customHeight="1">
      <c r="A6024" s="1" t="s">
        <v>17724</v>
      </c>
      <c r="B6024" s="1">
        <v>7.0</v>
      </c>
      <c r="C6024" s="1" t="s">
        <v>17725</v>
      </c>
      <c r="D6024" s="1" t="s">
        <v>16</v>
      </c>
      <c r="E6024" s="1" t="s">
        <v>17726</v>
      </c>
      <c r="F6024" s="1" t="str">
        <f>IFERROR(__xludf.DUMMYFUNCTION("GOOGLETRANSLATE(A6024, ""zh-CN"", ""ko"")"),"궤도")</f>
        <v>궤도</v>
      </c>
    </row>
    <row r="6025" ht="15.75" customHeight="1">
      <c r="A6025" s="1" t="s">
        <v>17727</v>
      </c>
      <c r="B6025" s="1">
        <v>7.0</v>
      </c>
      <c r="C6025" s="1" t="s">
        <v>17725</v>
      </c>
      <c r="D6025" s="1" t="s">
        <v>16</v>
      </c>
      <c r="E6025" s="1" t="s">
        <v>17728</v>
      </c>
      <c r="F6025" s="1" t="str">
        <f>IFERROR(__xludf.DUMMYFUNCTION("GOOGLETRANSLATE(A6025, ""zh-CN"", ""ko"")"),"장난")</f>
        <v>장난</v>
      </c>
    </row>
    <row r="6026" ht="15.75" customHeight="1">
      <c r="A6026" s="1" t="s">
        <v>17729</v>
      </c>
      <c r="B6026" s="1">
        <v>7.0</v>
      </c>
      <c r="C6026" s="1" t="s">
        <v>17730</v>
      </c>
      <c r="D6026" s="1" t="s">
        <v>16</v>
      </c>
      <c r="E6026" s="1" t="s">
        <v>17731</v>
      </c>
      <c r="F6026" s="1" t="str">
        <f>IFERROR(__xludf.DUMMYFUNCTION("GOOGLETRANSLATE(A6026, ""zh-CN"", ""ko"")"),"요일")</f>
        <v>요일</v>
      </c>
    </row>
    <row r="6027" ht="15.75" customHeight="1">
      <c r="A6027" s="1" t="s">
        <v>17732</v>
      </c>
      <c r="B6027" s="1">
        <v>7.0</v>
      </c>
      <c r="C6027" s="1" t="s">
        <v>17733</v>
      </c>
      <c r="D6027" s="1" t="s">
        <v>16</v>
      </c>
      <c r="E6027" s="1" t="s">
        <v>17734</v>
      </c>
      <c r="F6027" s="1" t="str">
        <f>IFERROR(__xludf.DUMMYFUNCTION("GOOGLETRANSLATE(A6027, ""zh-CN"", ""ko"")"),"계화나무")</f>
        <v>계화나무</v>
      </c>
    </row>
    <row r="6028" ht="15.75" customHeight="1">
      <c r="A6028" s="1" t="s">
        <v>17735</v>
      </c>
      <c r="B6028" s="1">
        <v>7.0</v>
      </c>
      <c r="C6028" s="1" t="s">
        <v>17736</v>
      </c>
      <c r="D6028" s="1" t="s">
        <v>8</v>
      </c>
      <c r="E6028" s="1" t="s">
        <v>17737</v>
      </c>
      <c r="F6028" s="1" t="str">
        <f>IFERROR(__xludf.DUMMYFUNCTION("GOOGLETRANSLATE(A6028, ""zh-CN"", ""ko"")"),"스크롤")</f>
        <v>스크롤</v>
      </c>
    </row>
    <row r="6029" ht="15.75" customHeight="1">
      <c r="A6029" s="1" t="s">
        <v>17738</v>
      </c>
      <c r="B6029" s="1">
        <v>7.0</v>
      </c>
      <c r="C6029" s="1" t="s">
        <v>17739</v>
      </c>
      <c r="D6029" s="1" t="s">
        <v>16</v>
      </c>
      <c r="E6029" s="1" t="s">
        <v>17740</v>
      </c>
      <c r="F6029" s="1" t="str">
        <f>IFERROR(__xludf.DUMMYFUNCTION("GOOGLETRANSLATE(A6029, ""zh-CN"", ""ko"")"),"국가 문장")</f>
        <v>국가 문장</v>
      </c>
    </row>
    <row r="6030" ht="15.75" customHeight="1">
      <c r="A6030" s="1" t="s">
        <v>17741</v>
      </c>
      <c r="B6030" s="1">
        <v>7.0</v>
      </c>
      <c r="C6030" s="1" t="s">
        <v>17742</v>
      </c>
      <c r="D6030" s="1" t="s">
        <v>16</v>
      </c>
      <c r="E6030" s="1" t="s">
        <v>17743</v>
      </c>
      <c r="F6030" s="1" t="str">
        <f>IFERROR(__xludf.DUMMYFUNCTION("GOOGLETRANSLATE(A6030, ""zh-CN"", ""ko"")"),"국가의")</f>
        <v>국가의</v>
      </c>
    </row>
    <row r="6031" ht="15.75" customHeight="1">
      <c r="A6031" s="1" t="s">
        <v>17744</v>
      </c>
      <c r="B6031" s="1">
        <v>7.0</v>
      </c>
      <c r="C6031" s="1" t="s">
        <v>17745</v>
      </c>
      <c r="D6031" s="1" t="s">
        <v>16</v>
      </c>
      <c r="E6031" s="1" t="s">
        <v>17746</v>
      </c>
      <c r="F6031" s="1" t="str">
        <f>IFERROR(__xludf.DUMMYFUNCTION("GOOGLETRANSLATE(A6031, ""zh-CN"", ""ko"")"),"땅")</f>
        <v>땅</v>
      </c>
    </row>
    <row r="6032" ht="15.75" customHeight="1">
      <c r="A6032" s="1" t="s">
        <v>17747</v>
      </c>
      <c r="B6032" s="1">
        <v>7.0</v>
      </c>
      <c r="C6032" s="1" t="s">
        <v>17748</v>
      </c>
      <c r="D6032" s="1" t="s">
        <v>16</v>
      </c>
      <c r="E6032" s="1" t="s">
        <v>17749</v>
      </c>
      <c r="F6032" s="1" t="str">
        <f>IFERROR(__xludf.DUMMYFUNCTION("GOOGLETRANSLATE(A6032, ""zh-CN"", ""ko"")"),"중국 고전")</f>
        <v>중국 고전</v>
      </c>
    </row>
    <row r="6033" ht="15.75" customHeight="1">
      <c r="A6033" s="1" t="s">
        <v>17750</v>
      </c>
      <c r="B6033" s="1">
        <v>7.0</v>
      </c>
      <c r="C6033" s="1" t="s">
        <v>17751</v>
      </c>
      <c r="D6033" s="1" t="s">
        <v>8</v>
      </c>
      <c r="E6033" s="1" t="s">
        <v>17752</v>
      </c>
      <c r="F6033" s="1" t="str">
        <f>IFERROR(__xludf.DUMMYFUNCTION("GOOGLETRANSLATE(A6033, ""zh-CN"", ""ko"")"),"국영기업")</f>
        <v>국영기업</v>
      </c>
    </row>
    <row r="6034" ht="15.75" customHeight="1">
      <c r="A6034" s="1" t="s">
        <v>17753</v>
      </c>
      <c r="B6034" s="1">
        <v>7.0</v>
      </c>
      <c r="C6034" s="1" t="s">
        <v>17754</v>
      </c>
      <c r="D6034" s="1" t="s">
        <v>8</v>
      </c>
      <c r="E6034" s="1" t="s">
        <v>17755</v>
      </c>
      <c r="F6034" s="1" t="str">
        <f>IFERROR(__xludf.DUMMYFUNCTION("GOOGLETRANSLATE(A6034, ""zh-CN"", ""ko"")"),"포장하다")</f>
        <v>포장하다</v>
      </c>
    </row>
    <row r="6035" ht="15.75" customHeight="1">
      <c r="A6035" s="1" t="s">
        <v>17756</v>
      </c>
      <c r="B6035" s="1">
        <v>7.0</v>
      </c>
      <c r="C6035" s="1" t="s">
        <v>17757</v>
      </c>
      <c r="D6035" s="1" t="s">
        <v>17562</v>
      </c>
      <c r="E6035" s="1" t="s">
        <v>17758</v>
      </c>
      <c r="F6035" s="1" t="str">
        <f>IFERROR(__xludf.DUMMYFUNCTION("GOOGLETRANSLATE(A6035, ""zh-CN"", ""ko"")"),"정말")</f>
        <v>정말</v>
      </c>
    </row>
    <row r="6036" ht="15.75" customHeight="1">
      <c r="A6036" s="1" t="s">
        <v>17759</v>
      </c>
      <c r="B6036" s="1">
        <v>7.0</v>
      </c>
      <c r="C6036" s="1" t="s">
        <v>17760</v>
      </c>
      <c r="D6036" s="1" t="s">
        <v>8</v>
      </c>
      <c r="E6036" s="1" t="s">
        <v>17761</v>
      </c>
      <c r="F6036" s="1" t="str">
        <f>IFERROR(__xludf.DUMMYFUNCTION("GOOGLETRANSLATE(A6036, ""zh-CN"", ""ko"")"),"절반 이상")</f>
        <v>절반 이상</v>
      </c>
    </row>
    <row r="6037" ht="15.75" customHeight="1">
      <c r="A6037" s="1" t="s">
        <v>17762</v>
      </c>
      <c r="B6037" s="1">
        <v>7.0</v>
      </c>
      <c r="C6037" s="1" t="s">
        <v>17763</v>
      </c>
      <c r="D6037" s="1" t="s">
        <v>8</v>
      </c>
      <c r="E6037" s="1" t="s">
        <v>17764</v>
      </c>
      <c r="F6037" s="1" t="str">
        <f>IFERROR(__xludf.DUMMYFUNCTION("GOOGLETRANSLATE(A6037, ""zh-CN"", ""ko"")"),"삶을 어렵게 만들다")</f>
        <v>삶을 어렵게 만들다</v>
      </c>
    </row>
    <row r="6038" ht="15.75" customHeight="1">
      <c r="A6038" s="1" t="s">
        <v>17765</v>
      </c>
      <c r="B6038" s="1">
        <v>7.0</v>
      </c>
      <c r="C6038" s="1" t="s">
        <v>17766</v>
      </c>
      <c r="D6038" s="1" t="s">
        <v>16</v>
      </c>
      <c r="E6038" s="1" t="s">
        <v>17767</v>
      </c>
      <c r="F6038" s="1" t="str">
        <f>IFERROR(__xludf.DUMMYFUNCTION("GOOGLETRANSLATE(A6038, ""zh-CN"", ""ko"")"),"잘못")</f>
        <v>잘못</v>
      </c>
    </row>
    <row r="6039" ht="15.75" customHeight="1">
      <c r="A6039" s="1" t="s">
        <v>17768</v>
      </c>
      <c r="B6039" s="1">
        <v>7.0</v>
      </c>
      <c r="C6039" s="1" t="s">
        <v>17769</v>
      </c>
      <c r="D6039" s="1" t="s">
        <v>16</v>
      </c>
      <c r="E6039" s="1" t="s">
        <v>17770</v>
      </c>
      <c r="F6039" s="1" t="str">
        <f>IFERROR(__xludf.DUMMYFUNCTION("GOOGLETRANSLATE(A6039, ""zh-CN"", ""ko"")"),"통로")</f>
        <v>통로</v>
      </c>
    </row>
    <row r="6040" ht="15.75" customHeight="1">
      <c r="A6040" s="1" t="s">
        <v>17771</v>
      </c>
      <c r="B6040" s="1">
        <v>7.0</v>
      </c>
      <c r="C6040" s="1" t="s">
        <v>17772</v>
      </c>
      <c r="D6040" s="1" t="s">
        <v>8</v>
      </c>
      <c r="E6040" s="1" t="s">
        <v>17773</v>
      </c>
      <c r="F6040" s="1" t="str">
        <f>IFERROR(__xludf.DUMMYFUNCTION("GOOGLETRANSLATE(A6040, ""zh-CN"", ""ko"")"),"통과하다")</f>
        <v>통과하다</v>
      </c>
    </row>
    <row r="6041" ht="15.75" customHeight="1">
      <c r="A6041" s="1" t="s">
        <v>17774</v>
      </c>
      <c r="B6041" s="1">
        <v>7.0</v>
      </c>
      <c r="C6041" s="1" t="s">
        <v>17775</v>
      </c>
      <c r="D6041" s="1" t="s">
        <v>8</v>
      </c>
      <c r="E6041" s="1" t="s">
        <v>17776</v>
      </c>
      <c r="F6041" s="1" t="str">
        <f>IFERROR(__xludf.DUMMYFUNCTION("GOOGLETRANSLATE(A6041, ""zh-CN"", ""ko"")"),"운송")</f>
        <v>운송</v>
      </c>
    </row>
    <row r="6042" ht="15.75" customHeight="1">
      <c r="A6042" s="1" t="s">
        <v>17777</v>
      </c>
      <c r="B6042" s="1">
        <v>7.0</v>
      </c>
      <c r="C6042" s="1" t="s">
        <v>17778</v>
      </c>
      <c r="D6042" s="1" t="s">
        <v>8</v>
      </c>
      <c r="E6042" s="1" t="s">
        <v>17779</v>
      </c>
      <c r="F6042" s="1" t="str">
        <f>IFERROR(__xludf.DUMMYFUNCTION("GOOGLETRANSLATE(A6042, ""zh-CN"", ""ko"")"),"과잉")</f>
        <v>과잉</v>
      </c>
    </row>
    <row r="6043" ht="15.75" customHeight="1">
      <c r="A6043" s="1" t="s">
        <v>17780</v>
      </c>
      <c r="B6043" s="1">
        <v>7.0</v>
      </c>
      <c r="C6043" s="1" t="s">
        <v>17781</v>
      </c>
      <c r="D6043" s="1" t="s">
        <v>8</v>
      </c>
      <c r="E6043" s="1" t="s">
        <v>17782</v>
      </c>
      <c r="F6043" s="1" t="str">
        <f>IFERROR(__xludf.DUMMYFUNCTION("GOOGLETRANSLATE(A6043, ""zh-CN"", ""ko"")"),"과잉")</f>
        <v>과잉</v>
      </c>
    </row>
    <row r="6044" ht="15.75" customHeight="1">
      <c r="A6044" s="1" t="s">
        <v>17783</v>
      </c>
      <c r="B6044" s="1">
        <v>7.0</v>
      </c>
      <c r="C6044" s="1" t="s">
        <v>17784</v>
      </c>
      <c r="D6044" s="1" t="s">
        <v>8</v>
      </c>
      <c r="E6044" s="1" t="s">
        <v>17779</v>
      </c>
      <c r="F6044" s="1" t="str">
        <f>IFERROR(__xludf.DUMMYFUNCTION("GOOGLETRANSLATE(A6044, ""zh-CN"", ""ko"")"),"과도하게 하다")</f>
        <v>과도하게 하다</v>
      </c>
    </row>
    <row r="6045" ht="15.75" customHeight="1">
      <c r="A6045" s="1" t="s">
        <v>17785</v>
      </c>
      <c r="B6045" s="1">
        <v>7.0</v>
      </c>
      <c r="C6045" s="1" t="s">
        <v>17786</v>
      </c>
      <c r="D6045" s="1" t="s">
        <v>14870</v>
      </c>
      <c r="E6045" s="1" t="s">
        <v>17787</v>
      </c>
      <c r="F6045" s="1" t="str">
        <f>IFERROR(__xludf.DUMMYFUNCTION("GOOGLETRANSLATE(A6045, ""zh-CN"", ""ko"")"),"과거")</f>
        <v>과거</v>
      </c>
    </row>
    <row r="6046" ht="15.75" customHeight="1">
      <c r="A6046" s="1" t="s">
        <v>17788</v>
      </c>
      <c r="B6046" s="1">
        <v>7.0</v>
      </c>
      <c r="C6046" s="1" t="s">
        <v>17789</v>
      </c>
      <c r="E6046" s="1" t="s">
        <v>17790</v>
      </c>
      <c r="F6046" s="1" t="str">
        <f>IFERROR(__xludf.DUMMYFUNCTION("GOOGLETRANSLATE(A6046, ""zh-CN"", ""ko"")"),"나는 미안함을 느낀다")</f>
        <v>나는 미안함을 느낀다</v>
      </c>
    </row>
    <row r="6047" ht="15.75" customHeight="1">
      <c r="A6047" s="1" t="s">
        <v>17791</v>
      </c>
      <c r="B6047" s="1">
        <v>7.0</v>
      </c>
      <c r="C6047" s="1" t="s">
        <v>17792</v>
      </c>
      <c r="D6047" s="1" t="s">
        <v>52</v>
      </c>
      <c r="E6047" s="1" t="s">
        <v>17793</v>
      </c>
      <c r="F6047" s="1" t="str">
        <f>IFERROR(__xludf.DUMMYFUNCTION("GOOGLETRANSLATE(A6047, ""zh-CN"", ""ko"")"),"훌륭한")</f>
        <v>훌륭한</v>
      </c>
    </row>
    <row r="6048" ht="15.75" customHeight="1">
      <c r="A6048" s="1" t="s">
        <v>17794</v>
      </c>
      <c r="B6048" s="1">
        <v>7.0</v>
      </c>
      <c r="C6048" s="1" t="s">
        <v>17795</v>
      </c>
      <c r="D6048" s="1" t="s">
        <v>16</v>
      </c>
      <c r="E6048" s="1" t="s">
        <v>17796</v>
      </c>
      <c r="F6048" s="1" t="str">
        <f>IFERROR(__xludf.DUMMYFUNCTION("GOOGLETRANSLATE(A6048, ""zh-CN"", ""ko"")"),"포스터")</f>
        <v>포스터</v>
      </c>
    </row>
    <row r="6049" ht="15.75" customHeight="1">
      <c r="A6049" s="1" t="s">
        <v>17797</v>
      </c>
      <c r="B6049" s="1">
        <v>7.0</v>
      </c>
      <c r="C6049" s="1" t="s">
        <v>17798</v>
      </c>
      <c r="D6049" s="1" t="s">
        <v>16</v>
      </c>
      <c r="E6049" s="1" t="s">
        <v>17799</v>
      </c>
      <c r="F6049" s="1" t="str">
        <f>IFERROR(__xludf.DUMMYFUNCTION("GOOGLETRANSLATE(A6049, ""zh-CN"", ""ko"")"),"해적")</f>
        <v>해적</v>
      </c>
    </row>
    <row r="6050" ht="15.75" customHeight="1">
      <c r="A6050" s="1" t="s">
        <v>17800</v>
      </c>
      <c r="B6050" s="1">
        <v>7.0</v>
      </c>
      <c r="C6050" s="1" t="s">
        <v>17801</v>
      </c>
      <c r="D6050" s="1" t="s">
        <v>16</v>
      </c>
      <c r="E6050" s="1" t="s">
        <v>17802</v>
      </c>
      <c r="F6050" s="1" t="str">
        <f>IFERROR(__xludf.DUMMYFUNCTION("GOOGLETRANSLATE(A6050, ""zh-CN"", ""ko"")"),"해군")</f>
        <v>해군</v>
      </c>
    </row>
    <row r="6051" ht="15.75" customHeight="1">
      <c r="A6051" s="1" t="s">
        <v>17803</v>
      </c>
      <c r="B6051" s="1">
        <v>7.0</v>
      </c>
      <c r="C6051" s="1" t="s">
        <v>17804</v>
      </c>
      <c r="D6051" s="1" t="s">
        <v>16</v>
      </c>
      <c r="E6051" s="1" t="s">
        <v>17805</v>
      </c>
      <c r="F6051" s="1" t="str">
        <f>IFERROR(__xludf.DUMMYFUNCTION("GOOGLETRANSLATE(A6051, ""zh-CN"", ""ko"")"),"엄청난")</f>
        <v>엄청난</v>
      </c>
    </row>
    <row r="6052" ht="15.75" customHeight="1">
      <c r="A6052" s="1" t="s">
        <v>17806</v>
      </c>
      <c r="B6052" s="1">
        <v>7.0</v>
      </c>
      <c r="C6052" s="1" t="s">
        <v>17807</v>
      </c>
      <c r="D6052" s="1" t="s">
        <v>16</v>
      </c>
      <c r="E6052" s="1" t="s">
        <v>17808</v>
      </c>
      <c r="F6052" s="1" t="str">
        <f>IFERROR(__xludf.DUMMYFUNCTION("GOOGLETRANSLATE(A6052, ""zh-CN"", ""ko"")"),"스펀지")</f>
        <v>스펀지</v>
      </c>
    </row>
    <row r="6053" ht="15.75" customHeight="1">
      <c r="A6053" s="1" t="s">
        <v>17809</v>
      </c>
      <c r="B6053" s="1">
        <v>7.0</v>
      </c>
      <c r="C6053" s="1" t="s">
        <v>17810</v>
      </c>
      <c r="D6053" s="1" t="s">
        <v>16</v>
      </c>
      <c r="E6053" s="1" t="s">
        <v>17811</v>
      </c>
      <c r="F6053" s="1" t="str">
        <f>IFERROR(__xludf.DUMMYFUNCTION("GOOGLETRANSLATE(A6053, ""zh-CN"", ""ko"")"),"해변")</f>
        <v>해변</v>
      </c>
    </row>
    <row r="6054" ht="15.75" customHeight="1">
      <c r="A6054" s="1" t="s">
        <v>17812</v>
      </c>
      <c r="B6054" s="1">
        <v>7.0</v>
      </c>
      <c r="C6054" s="1" t="s">
        <v>17813</v>
      </c>
      <c r="D6054" s="1" t="s">
        <v>16</v>
      </c>
      <c r="E6054" s="1" t="s">
        <v>17814</v>
      </c>
      <c r="F6054" s="1" t="str">
        <f>IFERROR(__xludf.DUMMYFUNCTION("GOOGLETRANSLATE(A6054, ""zh-CN"", ""ko"")"),"돌고래")</f>
        <v>돌고래</v>
      </c>
    </row>
    <row r="6055" ht="15.75" customHeight="1">
      <c r="A6055" s="1" t="s">
        <v>17815</v>
      </c>
      <c r="B6055" s="1">
        <v>7.0</v>
      </c>
      <c r="C6055" s="1" t="s">
        <v>17816</v>
      </c>
      <c r="D6055" s="1" t="s">
        <v>16</v>
      </c>
      <c r="E6055" s="1" t="s">
        <v>17817</v>
      </c>
      <c r="F6055" s="1" t="str">
        <f>IFERROR(__xludf.DUMMYFUNCTION("GOOGLETRANSLATE(A6055, ""zh-CN"", ""ko"")"),"만")</f>
        <v>만</v>
      </c>
    </row>
    <row r="6056" ht="15.75" customHeight="1">
      <c r="A6056" s="1" t="s">
        <v>17818</v>
      </c>
      <c r="B6056" s="1">
        <v>7.0</v>
      </c>
      <c r="C6056" s="1" t="s">
        <v>17819</v>
      </c>
      <c r="D6056" s="1" t="s">
        <v>16</v>
      </c>
      <c r="E6056" s="1" t="s">
        <v>17820</v>
      </c>
      <c r="F6056" s="1" t="str">
        <f>IFERROR(__xludf.DUMMYFUNCTION("GOOGLETRANSLATE(A6056, ""zh-CN"", ""ko"")"),"좁은")</f>
        <v>좁은</v>
      </c>
    </row>
    <row r="6057" ht="15.75" customHeight="1">
      <c r="A6057" s="1" t="s">
        <v>17821</v>
      </c>
      <c r="B6057" s="1">
        <v>7.0</v>
      </c>
      <c r="C6057" s="1" t="s">
        <v>17822</v>
      </c>
      <c r="D6057" s="1" t="s">
        <v>16</v>
      </c>
      <c r="E6057" s="1" t="s">
        <v>17823</v>
      </c>
      <c r="F6057" s="1" t="str">
        <f>IFERROR(__xludf.DUMMYFUNCTION("GOOGLETRANSLATE(A6057, ""zh-CN"", ""ko"")"),"쓰나미")</f>
        <v>쓰나미</v>
      </c>
    </row>
    <row r="6058" ht="15.75" customHeight="1">
      <c r="A6058" s="1" t="s">
        <v>17824</v>
      </c>
      <c r="B6058" s="1">
        <v>7.0</v>
      </c>
      <c r="C6058" s="1" t="s">
        <v>17825</v>
      </c>
      <c r="D6058" s="1" t="s">
        <v>8</v>
      </c>
      <c r="E6058" s="1" t="s">
        <v>17826</v>
      </c>
      <c r="F6058" s="1" t="str">
        <f>IFERROR(__xludf.DUMMYFUNCTION("GOOGLETRANSLATE(A6058, ""zh-CN"", ""ko"")"),"해상 운송")</f>
        <v>해상 운송</v>
      </c>
    </row>
    <row r="6059" ht="15.75" customHeight="1">
      <c r="A6059" s="1" t="s">
        <v>17827</v>
      </c>
      <c r="B6059" s="1">
        <v>7.0</v>
      </c>
      <c r="C6059" s="1" t="s">
        <v>17828</v>
      </c>
      <c r="D6059" s="1" t="s">
        <v>16</v>
      </c>
      <c r="E6059" s="1" t="s">
        <v>17829</v>
      </c>
      <c r="F6059" s="1" t="str">
        <f>IFERROR(__xludf.DUMMYFUNCTION("GOOGLETRANSLATE(A6059, ""zh-CN"", ""ko"")"),"해조류")</f>
        <v>해조류</v>
      </c>
    </row>
    <row r="6060" ht="15.75" customHeight="1">
      <c r="A6060" s="1" t="s">
        <v>17830</v>
      </c>
      <c r="B6060" s="1">
        <v>7.0</v>
      </c>
      <c r="C6060" s="1" t="s">
        <v>17831</v>
      </c>
      <c r="D6060" s="1" t="s">
        <v>16</v>
      </c>
      <c r="E6060" s="1" t="s">
        <v>17832</v>
      </c>
      <c r="F6060" s="1" t="str">
        <f>IFERROR(__xludf.DUMMYFUNCTION("GOOGLETRANSLATE(A6060, ""zh-CN"", ""ko"")"),"해충")</f>
        <v>해충</v>
      </c>
    </row>
    <row r="6061" ht="15.75" customHeight="1">
      <c r="A6061" s="1" t="s">
        <v>17833</v>
      </c>
      <c r="B6061" s="1">
        <v>7.0</v>
      </c>
      <c r="C6061" s="1" t="s">
        <v>17834</v>
      </c>
      <c r="E6061" s="1" t="s">
        <v>17835</v>
      </c>
      <c r="F6061" s="1" t="str">
        <f>IFERROR(__xludf.DUMMYFUNCTION("GOOGLETRANSLATE(A6061, ""zh-CN"", ""ko"")"),"끔찍한")</f>
        <v>끔찍한</v>
      </c>
    </row>
    <row r="6062" ht="15.75" customHeight="1">
      <c r="A6062" s="1" t="s">
        <v>17836</v>
      </c>
      <c r="B6062" s="1">
        <v>7.0</v>
      </c>
      <c r="C6062" s="1" t="s">
        <v>17837</v>
      </c>
      <c r="D6062" s="1" t="s">
        <v>52</v>
      </c>
      <c r="E6062" s="1" t="s">
        <v>17838</v>
      </c>
      <c r="F6062" s="1" t="str">
        <f>IFERROR(__xludf.DUMMYFUNCTION("GOOGLETRANSLATE(A6062, ""zh-CN"", ""ko"")"),"짜릿한")</f>
        <v>짜릿한</v>
      </c>
    </row>
    <row r="6063" ht="15.75" customHeight="1">
      <c r="A6063" s="1" t="s">
        <v>17839</v>
      </c>
      <c r="B6063" s="1">
        <v>7.0</v>
      </c>
      <c r="C6063" s="1" t="s">
        <v>17840</v>
      </c>
      <c r="D6063" s="1" t="s">
        <v>52</v>
      </c>
      <c r="E6063" s="1" t="s">
        <v>17841</v>
      </c>
      <c r="F6063" s="1" t="str">
        <f>IFERROR(__xludf.DUMMYFUNCTION("GOOGLETRANSLATE(A6063, ""zh-CN"", ""ko"")"),"솔직한")</f>
        <v>솔직한</v>
      </c>
    </row>
    <row r="6064" ht="15.75" customHeight="1">
      <c r="A6064" s="1" t="s">
        <v>17842</v>
      </c>
      <c r="B6064" s="1">
        <v>7.0</v>
      </c>
      <c r="C6064" s="1" t="s">
        <v>17843</v>
      </c>
      <c r="D6064" s="1" t="s">
        <v>8</v>
      </c>
      <c r="E6064" s="1" t="s">
        <v>17844</v>
      </c>
      <c r="F6064" s="1" t="str">
        <f>IFERROR(__xludf.DUMMYFUNCTION("GOOGLETRANSLATE(A6064, ""zh-CN"", ""ko"")"),"숙면")</f>
        <v>숙면</v>
      </c>
    </row>
    <row r="6065" ht="15.75" customHeight="1">
      <c r="A6065" s="1" t="s">
        <v>17845</v>
      </c>
      <c r="B6065" s="1">
        <v>7.0</v>
      </c>
      <c r="C6065" s="1" t="s">
        <v>17846</v>
      </c>
      <c r="D6065" s="1" t="s">
        <v>16</v>
      </c>
      <c r="E6065" s="1" t="s">
        <v>17847</v>
      </c>
      <c r="F6065" s="1" t="str">
        <f>IFERROR(__xludf.DUMMYFUNCTION("GOOGLETRANSLATE(A6065, ""zh-CN"", ""ko"")"),"편지")</f>
        <v>편지</v>
      </c>
    </row>
    <row r="6066" ht="15.75" customHeight="1">
      <c r="A6066" s="1" t="s">
        <v>17848</v>
      </c>
      <c r="B6066" s="1">
        <v>7.0</v>
      </c>
      <c r="C6066" s="1" t="s">
        <v>17849</v>
      </c>
      <c r="D6066" s="1" t="s">
        <v>16</v>
      </c>
      <c r="E6066" s="1" t="s">
        <v>17850</v>
      </c>
      <c r="F6066" s="1" t="str">
        <f>IFERROR(__xludf.DUMMYFUNCTION("GOOGLETRANSLATE(A6066, ""zh-CN"", ""ko"")"),"한랭 지역")</f>
        <v>한랭 지역</v>
      </c>
    </row>
    <row r="6067" ht="15.75" customHeight="1">
      <c r="A6067" s="1" t="s">
        <v>17851</v>
      </c>
      <c r="B6067" s="1">
        <v>7.0</v>
      </c>
      <c r="C6067" s="1" t="s">
        <v>17852</v>
      </c>
      <c r="D6067" s="1" t="s">
        <v>8</v>
      </c>
      <c r="E6067" s="1" t="s">
        <v>17853</v>
      </c>
      <c r="F6067" s="1" t="str">
        <f>IFERROR(__xludf.DUMMYFUNCTION("GOOGLETRANSLATE(A6067, ""zh-CN"", ""ko"")"),"적용 범위")</f>
        <v>적용 범위</v>
      </c>
    </row>
    <row r="6068" ht="15.75" customHeight="1">
      <c r="A6068" s="1" t="s">
        <v>17854</v>
      </c>
      <c r="B6068" s="1">
        <v>7.0</v>
      </c>
      <c r="C6068" s="1" t="s">
        <v>17855</v>
      </c>
      <c r="D6068" s="1" t="s">
        <v>14735</v>
      </c>
      <c r="E6068" s="1" t="s">
        <v>17856</v>
      </c>
      <c r="F6068" s="1" t="str">
        <f>IFERROR(__xludf.DUMMYFUNCTION("GOOGLETRANSLATE(A6068, ""zh-CN"", ""ko"")"),"절대적인")</f>
        <v>절대적인</v>
      </c>
    </row>
    <row r="6069" ht="15.75" customHeight="1">
      <c r="A6069" s="1" t="s">
        <v>17857</v>
      </c>
      <c r="B6069" s="1">
        <v>7.0</v>
      </c>
      <c r="C6069" s="1" t="s">
        <v>17858</v>
      </c>
      <c r="D6069" s="1" t="s">
        <v>16</v>
      </c>
      <c r="E6069" s="1" t="s">
        <v>17859</v>
      </c>
      <c r="F6069" s="1" t="str">
        <f>IFERROR(__xludf.DUMMYFUNCTION("GOOGLETRANSLATE(A6069, ""zh-CN"", ""ko"")"),"한푸")</f>
        <v>한푸</v>
      </c>
    </row>
    <row r="6070" ht="15.75" customHeight="1">
      <c r="A6070" s="1" t="s">
        <v>17860</v>
      </c>
      <c r="B6070" s="1">
        <v>7.0</v>
      </c>
      <c r="C6070" s="1" t="s">
        <v>17861</v>
      </c>
      <c r="E6070" s="1" t="s">
        <v>17862</v>
      </c>
      <c r="F6070" s="1" t="str">
        <f>IFERROR(__xludf.DUMMYFUNCTION("GOOGLETRANSLATE(A6070, ""zh-CN"", ""ko"")"),"기부금")</f>
        <v>기부금</v>
      </c>
    </row>
    <row r="6071" ht="15.75" customHeight="1">
      <c r="A6071" s="1" t="s">
        <v>17863</v>
      </c>
      <c r="B6071" s="1">
        <v>7.0</v>
      </c>
      <c r="C6071" s="1" t="s">
        <v>17864</v>
      </c>
      <c r="D6071" s="1" t="s">
        <v>8</v>
      </c>
      <c r="E6071" s="1" t="s">
        <v>17865</v>
      </c>
      <c r="F6071" s="1" t="str">
        <f>IFERROR(__xludf.DUMMYFUNCTION("GOOGLETRANSLATE(A6071, ""zh-CN"", ""ko"")"),"굳히다")</f>
        <v>굳히다</v>
      </c>
    </row>
    <row r="6072" ht="15.75" customHeight="1">
      <c r="A6072" s="1" t="s">
        <v>17866</v>
      </c>
      <c r="B6072" s="1">
        <v>7.0</v>
      </c>
      <c r="C6072" s="1" t="s">
        <v>17867</v>
      </c>
      <c r="D6072" s="1" t="s">
        <v>8</v>
      </c>
      <c r="E6072" s="1" t="s">
        <v>17868</v>
      </c>
      <c r="F6072" s="1" t="str">
        <f>IFERROR(__xludf.DUMMYFUNCTION("GOOGLETRANSLATE(A6072, ""zh-CN"", ""ko"")"),"항해")</f>
        <v>항해</v>
      </c>
    </row>
    <row r="6073" ht="15.75" customHeight="1">
      <c r="A6073" s="1" t="s">
        <v>17869</v>
      </c>
      <c r="B6073" s="1">
        <v>7.0</v>
      </c>
      <c r="C6073" s="1" t="s">
        <v>17870</v>
      </c>
      <c r="D6073" s="1" t="s">
        <v>16</v>
      </c>
      <c r="E6073" s="1" t="s">
        <v>17871</v>
      </c>
      <c r="F6073" s="1" t="str">
        <f>IFERROR(__xludf.DUMMYFUNCTION("GOOGLETRANSLATE(A6073, ""zh-CN"", ""ko"")"),"전문가")</f>
        <v>전문가</v>
      </c>
    </row>
    <row r="6074" ht="15.75" customHeight="1">
      <c r="A6074" s="1" t="s">
        <v>17872</v>
      </c>
      <c r="B6074" s="1">
        <v>7.0</v>
      </c>
      <c r="C6074" s="1" t="s">
        <v>17873</v>
      </c>
      <c r="D6074" s="1" t="s">
        <v>16</v>
      </c>
      <c r="E6074" s="1" t="s">
        <v>17874</v>
      </c>
      <c r="F6074" s="1" t="str">
        <f>IFERROR(__xludf.DUMMYFUNCTION("GOOGLETRANSLATE(A6074, ""zh-CN"", ""ko"")"),"시장 동향")</f>
        <v>시장 동향</v>
      </c>
    </row>
    <row r="6075" ht="15.75" customHeight="1">
      <c r="A6075" s="1" t="s">
        <v>17875</v>
      </c>
      <c r="B6075" s="1">
        <v>7.0</v>
      </c>
      <c r="C6075" s="1" t="s">
        <v>17876</v>
      </c>
      <c r="D6075" s="1" t="s">
        <v>16</v>
      </c>
      <c r="E6075" s="1" t="s">
        <v>17877</v>
      </c>
      <c r="F6075" s="1" t="str">
        <f>IFERROR(__xludf.DUMMYFUNCTION("GOOGLETRANSLATE(A6075, ""zh-CN"", ""ko"")"),"우주비행사들")</f>
        <v>우주비행사들</v>
      </c>
    </row>
    <row r="6076" ht="15.75" customHeight="1">
      <c r="A6076" s="1" t="s">
        <v>17878</v>
      </c>
      <c r="B6076" s="1">
        <v>7.0</v>
      </c>
      <c r="C6076" s="1" t="s">
        <v>17879</v>
      </c>
      <c r="D6076" s="1" t="s">
        <v>16</v>
      </c>
      <c r="E6076" s="1" t="s">
        <v>17880</v>
      </c>
      <c r="F6076" s="1" t="str">
        <f>IFERROR(__xludf.DUMMYFUNCTION("GOOGLETRANSLATE(A6076, ""zh-CN"", ""ko"")"),"해운")</f>
        <v>해운</v>
      </c>
    </row>
    <row r="6077" ht="15.75" customHeight="1">
      <c r="A6077" s="1" t="s">
        <v>17881</v>
      </c>
      <c r="B6077" s="1">
        <v>7.0</v>
      </c>
      <c r="C6077" s="1" t="s">
        <v>17882</v>
      </c>
      <c r="D6077" s="1" t="s">
        <v>8</v>
      </c>
      <c r="E6077" s="1" t="s">
        <v>17883</v>
      </c>
      <c r="F6077" s="1" t="str">
        <f>IFERROR(__xludf.DUMMYFUNCTION("GOOGLETRANSLATE(A6077, ""zh-CN"", ""ko"")"),"좋다")</f>
        <v>좋다</v>
      </c>
    </row>
    <row r="6078" ht="15.75" customHeight="1">
      <c r="A6078" s="1" t="s">
        <v>17884</v>
      </c>
      <c r="B6078" s="1">
        <v>7.0</v>
      </c>
      <c r="C6078" s="1" t="s">
        <v>17885</v>
      </c>
      <c r="D6078" s="1" t="s">
        <v>17886</v>
      </c>
      <c r="E6078" s="1" t="s">
        <v>17887</v>
      </c>
      <c r="F6078" s="1" t="str">
        <f>IFERROR(__xludf.DUMMYFUNCTION("GOOGLETRANSLATE(A6078, ""zh-CN"", ""ko"")"),"적어도")</f>
        <v>적어도</v>
      </c>
    </row>
    <row r="6079" ht="15.75" customHeight="1">
      <c r="A6079" s="1" t="s">
        <v>17888</v>
      </c>
      <c r="B6079" s="1">
        <v>7.0</v>
      </c>
      <c r="C6079" s="1" t="s">
        <v>17889</v>
      </c>
      <c r="D6079" s="1" t="s">
        <v>52</v>
      </c>
      <c r="E6079" s="1" t="s">
        <v>17890</v>
      </c>
      <c r="F6079" s="1" t="str">
        <f>IFERROR(__xludf.DUMMYFUNCTION("GOOGLETRANSLATE(A6079, ""zh-CN"", ""ko"")"),"기분 좋아요")</f>
        <v>기분 좋아요</v>
      </c>
    </row>
    <row r="6080" ht="15.75" customHeight="1">
      <c r="A6080" s="1" t="s">
        <v>17891</v>
      </c>
      <c r="B6080" s="1">
        <v>7.0</v>
      </c>
      <c r="C6080" s="1" t="s">
        <v>17892</v>
      </c>
      <c r="D6080" s="1" t="s">
        <v>8</v>
      </c>
      <c r="E6080" s="1" t="s">
        <v>17893</v>
      </c>
      <c r="F6080" s="1" t="str">
        <f>IFERROR(__xludf.DUMMYFUNCTION("GOOGLETRANSLATE(A6080, ""zh-CN"", ""ko"")"),"말하기는 쉽죠")</f>
        <v>말하기는 쉽죠</v>
      </c>
    </row>
    <row r="6081" ht="15.75" customHeight="1">
      <c r="A6081" s="1" t="s">
        <v>17894</v>
      </c>
      <c r="B6081" s="1">
        <v>7.0</v>
      </c>
      <c r="C6081" s="1" t="s">
        <v>17895</v>
      </c>
      <c r="D6081" s="1" t="s">
        <v>8</v>
      </c>
      <c r="E6081" s="1" t="s">
        <v>17896</v>
      </c>
      <c r="F6081" s="1" t="str">
        <f>IFERROR(__xludf.DUMMYFUNCTION("GOOGLETRANSLATE(A6081, ""zh-CN"", ""ko"")"),"그런 것 같습니다")</f>
        <v>그런 것 같습니다</v>
      </c>
    </row>
    <row r="6082" ht="15.75" customHeight="1">
      <c r="A6082" s="1" t="s">
        <v>17897</v>
      </c>
      <c r="B6082" s="1">
        <v>7.0</v>
      </c>
      <c r="C6082" s="1" t="s">
        <v>17898</v>
      </c>
      <c r="D6082" s="1" t="s">
        <v>16</v>
      </c>
      <c r="E6082" s="1" t="s">
        <v>17899</v>
      </c>
      <c r="F6082" s="1" t="str">
        <f>IFERROR(__xludf.DUMMYFUNCTION("GOOGLETRANSLATE(A6082, ""zh-CN"", ""ko"")"),"친절")</f>
        <v>친절</v>
      </c>
    </row>
    <row r="6083" ht="15.75" customHeight="1">
      <c r="A6083" s="1" t="s">
        <v>17900</v>
      </c>
      <c r="B6083" s="1">
        <v>7.0</v>
      </c>
      <c r="C6083" s="1" t="s">
        <v>17901</v>
      </c>
      <c r="D6083" s="1" t="s">
        <v>16</v>
      </c>
      <c r="E6083" s="1" t="s">
        <v>17902</v>
      </c>
      <c r="F6083" s="1" t="str">
        <f>IFERROR(__xludf.DUMMYFUNCTION("GOOGLETRANSLATE(A6083, ""zh-CN"", ""ko"")"),"친절")</f>
        <v>친절</v>
      </c>
    </row>
    <row r="6084" ht="15.75" customHeight="1">
      <c r="A6084" s="1" t="s">
        <v>17903</v>
      </c>
      <c r="B6084" s="1">
        <v>7.0</v>
      </c>
      <c r="C6084" s="1" t="s">
        <v>17904</v>
      </c>
      <c r="D6084" s="1" t="s">
        <v>33</v>
      </c>
      <c r="E6084" s="1" t="s">
        <v>17905</v>
      </c>
      <c r="F6084" s="1" t="str">
        <f>IFERROR(__xludf.DUMMYFUNCTION("GOOGLETRANSLATE(A6084, ""zh-CN"", ""ko"")"),"다행스럽게도")</f>
        <v>다행스럽게도</v>
      </c>
    </row>
    <row r="6085" ht="15.75" customHeight="1">
      <c r="A6085" s="1" t="s">
        <v>17906</v>
      </c>
      <c r="B6085" s="1">
        <v>7.0</v>
      </c>
      <c r="C6085" s="1" t="s">
        <v>125</v>
      </c>
      <c r="D6085" s="1" t="s">
        <v>8</v>
      </c>
      <c r="E6085" s="1" t="s">
        <v>17907</v>
      </c>
      <c r="F6085" s="1" t="str">
        <f>IFERROR(__xludf.DUMMYFUNCTION("GOOGLETRANSLATE(A6085, ""zh-CN"", ""ko"")"),"소비")</f>
        <v>소비</v>
      </c>
    </row>
    <row r="6086" ht="15.75" customHeight="1">
      <c r="A6086" s="1" t="s">
        <v>17908</v>
      </c>
      <c r="B6086" s="1">
        <v>7.0</v>
      </c>
      <c r="C6086" s="1" t="s">
        <v>17909</v>
      </c>
      <c r="D6086" s="1" t="s">
        <v>8</v>
      </c>
      <c r="E6086" s="1" t="s">
        <v>17910</v>
      </c>
      <c r="F6086" s="1" t="str">
        <f>IFERROR(__xludf.DUMMYFUNCTION("GOOGLETRANSLATE(A6086, ""zh-CN"", ""ko"")"),"주장됨")</f>
        <v>주장됨</v>
      </c>
    </row>
    <row r="6087" ht="15.75" customHeight="1">
      <c r="A6087" s="1" t="s">
        <v>17911</v>
      </c>
      <c r="B6087" s="1">
        <v>7.0</v>
      </c>
      <c r="C6087" s="1" t="s">
        <v>17912</v>
      </c>
      <c r="D6087" s="1" t="s">
        <v>52</v>
      </c>
      <c r="E6087" s="1" t="s">
        <v>17913</v>
      </c>
      <c r="F6087" s="1" t="str">
        <f>IFERROR(__xludf.DUMMYFUNCTION("GOOGLETRANSLATE(A6087, ""zh-CN"", ""ko"")"),"대단한")</f>
        <v>대단한</v>
      </c>
    </row>
    <row r="6088" ht="15.75" customHeight="1">
      <c r="A6088" s="1" t="s">
        <v>17914</v>
      </c>
      <c r="B6088" s="1">
        <v>7.0</v>
      </c>
      <c r="C6088" s="1" t="s">
        <v>17915</v>
      </c>
      <c r="D6088" s="1" t="s">
        <v>16</v>
      </c>
      <c r="E6088" s="1" t="s">
        <v>17916</v>
      </c>
      <c r="F6088" s="1" t="str">
        <f>IFERROR(__xludf.DUMMYFUNCTION("GOOGLETRANSLATE(A6088, ""zh-CN"", ""ko"")"),"대단원")</f>
        <v>대단원</v>
      </c>
    </row>
    <row r="6089" ht="15.75" customHeight="1">
      <c r="A6089" s="1" t="s">
        <v>17917</v>
      </c>
      <c r="B6089" s="1">
        <v>7.0</v>
      </c>
      <c r="C6089" s="1" t="s">
        <v>17918</v>
      </c>
      <c r="D6089" s="1" t="s">
        <v>52</v>
      </c>
      <c r="E6089" s="1" t="s">
        <v>17919</v>
      </c>
      <c r="F6089" s="1" t="str">
        <f>IFERROR(__xludf.DUMMYFUNCTION("GOOGLETRANSLATE(A6089, ""zh-CN"", ""ko"")"),"경쟁력 있는")</f>
        <v>경쟁력 있는</v>
      </c>
    </row>
    <row r="6090" ht="15.75" customHeight="1">
      <c r="A6090" s="1" t="s">
        <v>17920</v>
      </c>
      <c r="B6090" s="1">
        <v>7.0</v>
      </c>
      <c r="C6090" s="1" t="s">
        <v>17921</v>
      </c>
      <c r="D6090" s="1" t="s">
        <v>8</v>
      </c>
      <c r="E6090" s="1" t="s">
        <v>17922</v>
      </c>
      <c r="F6090" s="1" t="str">
        <f>IFERROR(__xludf.DUMMYFUNCTION("GOOGLETRANSLATE(A6090, ""zh-CN"", ""ko"")"),"시간이 많이 걸리는")</f>
        <v>시간이 많이 걸리는</v>
      </c>
    </row>
    <row r="6091" ht="15.75" customHeight="1">
      <c r="A6091" s="1" t="s">
        <v>17923</v>
      </c>
      <c r="B6091" s="1">
        <v>7.0</v>
      </c>
      <c r="C6091" s="1" t="s">
        <v>17924</v>
      </c>
      <c r="D6091" s="1" t="s">
        <v>8</v>
      </c>
      <c r="E6091" s="1" t="s">
        <v>17925</v>
      </c>
      <c r="F6091" s="1" t="str">
        <f>IFERROR(__xludf.DUMMYFUNCTION("GOOGLETRANSLATE(A6091, ""zh-CN"", ""ko"")"),"케어")</f>
        <v>케어</v>
      </c>
    </row>
    <row r="6092" ht="15.75" customHeight="1">
      <c r="A6092" s="1" t="s">
        <v>17926</v>
      </c>
      <c r="B6092" s="1">
        <v>7.0</v>
      </c>
      <c r="C6092" s="1" t="s">
        <v>131</v>
      </c>
      <c r="D6092" s="1" t="s">
        <v>16</v>
      </c>
      <c r="E6092" s="1" t="s">
        <v>17927</v>
      </c>
      <c r="F6092" s="1" t="str">
        <f>IFERROR(__xludf.DUMMYFUNCTION("GOOGLETRANSLATE(A6092, ""zh-CN"", ""ko"")"),"핵무기")</f>
        <v>핵무기</v>
      </c>
    </row>
    <row r="6093" ht="15.75" customHeight="1">
      <c r="A6093" s="1" t="s">
        <v>17928</v>
      </c>
      <c r="B6093" s="1">
        <v>7.0</v>
      </c>
      <c r="C6093" s="1" t="s">
        <v>131</v>
      </c>
      <c r="D6093" s="1" t="s">
        <v>88</v>
      </c>
      <c r="E6093" s="1" t="s">
        <v>11966</v>
      </c>
      <c r="F6093" s="1" t="str">
        <f>IFERROR(__xludf.DUMMYFUNCTION("GOOGLETRANSLATE(A6093, ""zh-CN"", ""ko"")"),"무엇")</f>
        <v>무엇</v>
      </c>
    </row>
    <row r="6094" ht="15.75" customHeight="1">
      <c r="A6094" s="1" t="s">
        <v>17929</v>
      </c>
      <c r="B6094" s="1">
        <v>7.0</v>
      </c>
      <c r="C6094" s="1" t="s">
        <v>17930</v>
      </c>
      <c r="D6094" s="1" t="s">
        <v>8</v>
      </c>
      <c r="E6094" s="1" t="s">
        <v>17931</v>
      </c>
      <c r="F6094" s="1" t="str">
        <f>IFERROR(__xludf.DUMMYFUNCTION("GOOGLETRANSLATE(A6094, ""zh-CN"", ""ko"")"),"합창")</f>
        <v>합창</v>
      </c>
    </row>
    <row r="6095" ht="15.75" customHeight="1">
      <c r="A6095" s="1" t="s">
        <v>17932</v>
      </c>
      <c r="B6095" s="1">
        <v>7.0</v>
      </c>
      <c r="C6095" s="1" t="s">
        <v>17933</v>
      </c>
      <c r="D6095" s="1" t="s">
        <v>17934</v>
      </c>
      <c r="E6095" s="1" t="s">
        <v>5872</v>
      </c>
      <c r="F6095" s="1" t="str">
        <f>IFERROR(__xludf.DUMMYFUNCTION("GOOGLETRANSLATE(A6095, ""zh-CN"", ""ko"")"),"무엇")</f>
        <v>무엇</v>
      </c>
    </row>
    <row r="6096" ht="15.75" customHeight="1">
      <c r="A6096" s="1" t="s">
        <v>17935</v>
      </c>
      <c r="B6096" s="1">
        <v>7.0</v>
      </c>
      <c r="C6096" s="1" t="s">
        <v>17936</v>
      </c>
      <c r="D6096" s="1" t="s">
        <v>16</v>
      </c>
      <c r="E6096" s="1" t="s">
        <v>17937</v>
      </c>
      <c r="F6096" s="1" t="str">
        <f>IFERROR(__xludf.DUMMYFUNCTION("GOOGLETRANSLATE(A6096, ""zh-CN"", ""ko"")"),"원자력 발전소")</f>
        <v>원자력 발전소</v>
      </c>
    </row>
    <row r="6097" ht="15.75" customHeight="1">
      <c r="A6097" s="1" t="s">
        <v>17938</v>
      </c>
      <c r="B6097" s="1">
        <v>7.0</v>
      </c>
      <c r="C6097" s="1" t="s">
        <v>17939</v>
      </c>
      <c r="D6097" s="1" t="s">
        <v>8</v>
      </c>
      <c r="E6097" s="1" t="s">
        <v>17940</v>
      </c>
      <c r="F6097" s="1" t="str">
        <f>IFERROR(__xludf.DUMMYFUNCTION("GOOGLETRANSLATE(A6097, ""zh-CN"", ""ko"")"),"확인하다")</f>
        <v>확인하다</v>
      </c>
    </row>
    <row r="6098" ht="15.75" customHeight="1">
      <c r="A6098" s="1" t="s">
        <v>17941</v>
      </c>
      <c r="B6098" s="1">
        <v>7.0</v>
      </c>
      <c r="C6098" s="1" t="s">
        <v>17942</v>
      </c>
      <c r="D6098" s="1" t="s">
        <v>14742</v>
      </c>
      <c r="E6098" s="1" t="s">
        <v>17943</v>
      </c>
      <c r="F6098" s="1" t="str">
        <f>IFERROR(__xludf.DUMMYFUNCTION("GOOGLETRANSLATE(A6098, ""zh-CN"", ""ko"")"),"조립")</f>
        <v>조립</v>
      </c>
    </row>
    <row r="6099" ht="15.75" customHeight="1">
      <c r="A6099" s="1" t="s">
        <v>17944</v>
      </c>
      <c r="B6099" s="1">
        <v>7.0</v>
      </c>
      <c r="C6099" s="1" t="s">
        <v>17945</v>
      </c>
      <c r="D6099" s="1" t="s">
        <v>8</v>
      </c>
      <c r="E6099" s="1" t="s">
        <v>17946</v>
      </c>
      <c r="F6099" s="1" t="str">
        <f>IFERROR(__xludf.DUMMYFUNCTION("GOOGLETRANSLATE(A6099, ""zh-CN"", ""ko"")"),"따르다")</f>
        <v>따르다</v>
      </c>
    </row>
    <row r="6100" ht="15.75" customHeight="1">
      <c r="A6100" s="1" t="s">
        <v>17947</v>
      </c>
      <c r="B6100" s="1">
        <v>7.0</v>
      </c>
      <c r="C6100" s="1" t="s">
        <v>17948</v>
      </c>
      <c r="D6100" s="1" t="s">
        <v>16</v>
      </c>
      <c r="E6100" s="1" t="s">
        <v>17949</v>
      </c>
      <c r="F6100" s="1" t="str">
        <f>IFERROR(__xludf.DUMMYFUNCTION("GOOGLETRANSLATE(A6100, ""zh-CN"", ""ko"")"),"로터스")</f>
        <v>로터스</v>
      </c>
    </row>
    <row r="6101" ht="15.75" customHeight="1">
      <c r="A6101" s="1" t="s">
        <v>17950</v>
      </c>
      <c r="B6101" s="1">
        <v>7.0</v>
      </c>
      <c r="C6101" s="1" t="s">
        <v>17951</v>
      </c>
      <c r="D6101" s="1" t="s">
        <v>8</v>
      </c>
      <c r="E6101" s="1" t="s">
        <v>17952</v>
      </c>
      <c r="F6101" s="1" t="str">
        <f>IFERROR(__xludf.DUMMYFUNCTION("GOOGLETRANSLATE(A6101, ""zh-CN"", ""ko"")"),"총")</f>
        <v>총</v>
      </c>
    </row>
    <row r="6102" ht="15.75" customHeight="1">
      <c r="A6102" s="1" t="s">
        <v>17953</v>
      </c>
      <c r="B6102" s="1">
        <v>7.0</v>
      </c>
      <c r="C6102" s="1" t="s">
        <v>17954</v>
      </c>
      <c r="D6102" s="1" t="s">
        <v>33</v>
      </c>
      <c r="E6102" s="1" t="s">
        <v>17955</v>
      </c>
      <c r="F6102" s="1" t="str">
        <f>IFERROR(__xludf.DUMMYFUNCTION("GOOGLETRANSLATE(A6102, ""zh-CN"", ""ko"")"),"왜 굳이 애써야 하지?")</f>
        <v>왜 굳이 애써야 하지?</v>
      </c>
    </row>
    <row r="6103" ht="15.75" customHeight="1">
      <c r="A6103" s="1" t="s">
        <v>17956</v>
      </c>
      <c r="B6103" s="1">
        <v>7.0</v>
      </c>
      <c r="C6103" s="1" t="s">
        <v>17957</v>
      </c>
      <c r="D6103" s="1" t="s">
        <v>16</v>
      </c>
      <c r="E6103" s="1" t="s">
        <v>17958</v>
      </c>
      <c r="F6103" s="1" t="str">
        <f>IFERROR(__xludf.DUMMYFUNCTION("GOOGLETRANSLATE(A6103, ""zh-CN"", ""ko"")"),"벼 모종")</f>
        <v>벼 모종</v>
      </c>
    </row>
    <row r="6104" ht="15.75" customHeight="1">
      <c r="A6104" s="1" t="s">
        <v>17959</v>
      </c>
      <c r="B6104" s="1">
        <v>7.0</v>
      </c>
      <c r="C6104" s="1" t="s">
        <v>17960</v>
      </c>
      <c r="D6104" s="1" t="s">
        <v>16</v>
      </c>
      <c r="E6104" s="1" t="s">
        <v>17961</v>
      </c>
      <c r="F6104" s="1" t="str">
        <f>IFERROR(__xludf.DUMMYFUNCTION("GOOGLETRANSLATE(A6104, ""zh-CN"", ""ko"")"),"핵에너지")</f>
        <v>핵에너지</v>
      </c>
    </row>
    <row r="6105" ht="15.75" customHeight="1">
      <c r="A6105" s="1" t="s">
        <v>17962</v>
      </c>
      <c r="B6105" s="1">
        <v>7.0</v>
      </c>
      <c r="C6105" s="1" t="s">
        <v>17963</v>
      </c>
      <c r="D6105" s="1" t="s">
        <v>16</v>
      </c>
      <c r="E6105" s="1" t="s">
        <v>17964</v>
      </c>
      <c r="F6105" s="1" t="str">
        <f>IFERROR(__xludf.DUMMYFUNCTION("GOOGLETRANSLATE(A6105, ""zh-CN"", ""ko"")"),"강변")</f>
        <v>강변</v>
      </c>
    </row>
    <row r="6106" ht="15.75" customHeight="1">
      <c r="A6106" s="1" t="s">
        <v>17965</v>
      </c>
      <c r="B6106" s="1">
        <v>7.0</v>
      </c>
      <c r="C6106" s="1" t="s">
        <v>17966</v>
      </c>
      <c r="E6106" s="1" t="s">
        <v>17967</v>
      </c>
      <c r="F6106" s="1" t="str">
        <f>IFERROR(__xludf.DUMMYFUNCTION("GOOGLETRANSLATE(A6106, ""zh-CN"", ""ko"")"),"평화로운 공존")</f>
        <v>평화로운 공존</v>
      </c>
    </row>
    <row r="6107" ht="15.75" customHeight="1">
      <c r="A6107" s="1" t="s">
        <v>17968</v>
      </c>
      <c r="B6107" s="1">
        <v>7.0</v>
      </c>
      <c r="C6107" s="1" t="s">
        <v>17969</v>
      </c>
      <c r="D6107" s="1" t="s">
        <v>16</v>
      </c>
      <c r="E6107" s="1" t="s">
        <v>17970</v>
      </c>
      <c r="F6107" s="1" t="str">
        <f>IFERROR(__xludf.DUMMYFUNCTION("GOOGLETRANSLATE(A6107, ""zh-CN"", ""ko"")"),"수도사")</f>
        <v>수도사</v>
      </c>
    </row>
    <row r="6108" ht="15.75" customHeight="1">
      <c r="A6108" s="1" t="s">
        <v>17971</v>
      </c>
      <c r="B6108" s="1">
        <v>7.0</v>
      </c>
      <c r="C6108" s="1" t="s">
        <v>17972</v>
      </c>
      <c r="D6108" s="1" t="s">
        <v>8</v>
      </c>
      <c r="E6108" s="1" t="s">
        <v>17973</v>
      </c>
      <c r="F6108" s="1" t="str">
        <f>IFERROR(__xludf.DUMMYFUNCTION("GOOGLETRANSLATE(A6108, ""zh-CN"", ""ko"")"),"확인")</f>
        <v>확인</v>
      </c>
    </row>
    <row r="6109" ht="15.75" customHeight="1">
      <c r="A6109" s="1" t="s">
        <v>17974</v>
      </c>
      <c r="B6109" s="1">
        <v>7.0</v>
      </c>
      <c r="C6109" s="1" t="s">
        <v>17975</v>
      </c>
      <c r="D6109" s="1" t="s">
        <v>16</v>
      </c>
      <c r="E6109" s="1" t="s">
        <v>17976</v>
      </c>
      <c r="F6109" s="1" t="str">
        <f>IFERROR(__xludf.DUMMYFUNCTION("GOOGLETRANSLATE(A6109, ""zh-CN"", ""ko"")"),"호두")</f>
        <v>호두</v>
      </c>
    </row>
    <row r="6110" ht="15.75" customHeight="1">
      <c r="A6110" s="1" t="s">
        <v>17977</v>
      </c>
      <c r="B6110" s="1">
        <v>7.0</v>
      </c>
      <c r="C6110" s="1" t="s">
        <v>17978</v>
      </c>
      <c r="D6110" s="1" t="s">
        <v>16</v>
      </c>
      <c r="E6110" s="1" t="s">
        <v>17979</v>
      </c>
      <c r="F6110" s="1" t="str">
        <f>IFERROR(__xludf.DUMMYFUNCTION("GOOGLETRANSLATE(A6110, ""zh-CN"", ""ko"")"),"핵무기")</f>
        <v>핵무기</v>
      </c>
    </row>
    <row r="6111" ht="15.75" customHeight="1">
      <c r="A6111" s="1" t="s">
        <v>17980</v>
      </c>
      <c r="B6111" s="1">
        <v>7.0</v>
      </c>
      <c r="C6111" s="1" t="s">
        <v>17981</v>
      </c>
      <c r="D6111" s="1" t="s">
        <v>16</v>
      </c>
      <c r="E6111" s="1" t="s">
        <v>17982</v>
      </c>
      <c r="F6111" s="1" t="str">
        <f>IFERROR(__xludf.DUMMYFUNCTION("GOOGLETRANSLATE(A6111, ""zh-CN"", ""ko"")"),"계약")</f>
        <v>계약</v>
      </c>
    </row>
    <row r="6112" ht="15.75" customHeight="1">
      <c r="A6112" s="1" t="s">
        <v>17983</v>
      </c>
      <c r="B6112" s="1">
        <v>7.0</v>
      </c>
      <c r="C6112" s="1" t="s">
        <v>17984</v>
      </c>
      <c r="D6112" s="1" t="s">
        <v>8</v>
      </c>
      <c r="E6112" s="1" t="s">
        <v>17985</v>
      </c>
      <c r="F6112" s="1" t="str">
        <f>IFERROR(__xludf.DUMMYFUNCTION("GOOGLETRANSLATE(A6112, ""zh-CN"", ""ko"")"),"확인")</f>
        <v>확인</v>
      </c>
    </row>
    <row r="6113" ht="15.75" customHeight="1">
      <c r="A6113" s="1" t="s">
        <v>17986</v>
      </c>
      <c r="B6113" s="1">
        <v>7.0</v>
      </c>
      <c r="C6113" s="1" t="s">
        <v>17987</v>
      </c>
      <c r="D6113" s="1" t="s">
        <v>8</v>
      </c>
      <c r="E6113" s="1" t="s">
        <v>17988</v>
      </c>
      <c r="F6113" s="1" t="str">
        <f>IFERROR(__xludf.DUMMYFUNCTION("GOOGLETRANSLATE(A6113, ""zh-CN"", ""ko"")"),"이상")</f>
        <v>이상</v>
      </c>
    </row>
    <row r="6114" ht="15.75" customHeight="1">
      <c r="A6114" s="1" t="s">
        <v>17989</v>
      </c>
      <c r="B6114" s="1">
        <v>7.0</v>
      </c>
      <c r="C6114" s="1" t="s">
        <v>17990</v>
      </c>
      <c r="D6114" s="1" t="s">
        <v>8</v>
      </c>
      <c r="E6114" s="1" t="s">
        <v>17991</v>
      </c>
      <c r="F6114" s="1" t="str">
        <f>IFERROR(__xludf.DUMMYFUNCTION("GOOGLETRANSLATE(A6114, ""zh-CN"", ""ko"")"),"합작 투자")</f>
        <v>합작 투자</v>
      </c>
    </row>
    <row r="6115" ht="15.75" customHeight="1">
      <c r="A6115" s="1" t="s">
        <v>17992</v>
      </c>
      <c r="B6115" s="1">
        <v>7.0</v>
      </c>
      <c r="C6115" s="1" t="s">
        <v>17993</v>
      </c>
      <c r="D6115" s="1" t="s">
        <v>8</v>
      </c>
      <c r="E6115" s="1" t="s">
        <v>17994</v>
      </c>
      <c r="F6115" s="1" t="str">
        <f>IFERROR(__xludf.DUMMYFUNCTION("GOOGLETRANSLATE(A6115, ""zh-CN"", ""ko"")"),"건배")</f>
        <v>건배</v>
      </c>
    </row>
    <row r="6116" ht="15.75" customHeight="1">
      <c r="A6116" s="1" t="s">
        <v>17995</v>
      </c>
      <c r="B6116" s="1">
        <v>7.0</v>
      </c>
      <c r="C6116" s="1" t="s">
        <v>17996</v>
      </c>
      <c r="D6116" s="1" t="s">
        <v>16</v>
      </c>
      <c r="E6116" s="1" t="s">
        <v>17997</v>
      </c>
      <c r="F6116" s="1" t="str">
        <f>IFERROR(__xludf.DUMMYFUNCTION("GOOGLETRANSLATE(A6116, ""zh-CN"", ""ko"")"),"축전")</f>
        <v>축전</v>
      </c>
    </row>
    <row r="6117" ht="15.75" customHeight="1">
      <c r="A6117" s="1" t="s">
        <v>17998</v>
      </c>
      <c r="B6117" s="1">
        <v>7.0</v>
      </c>
      <c r="C6117" s="1" t="s">
        <v>17999</v>
      </c>
      <c r="E6117" s="1" t="s">
        <v>18000</v>
      </c>
      <c r="F6117" s="1" t="str">
        <f>IFERROR(__xludf.DUMMYFUNCTION("GOOGLETRANSLATE(A6117, ""zh-CN"", ""ko"")"),"군중 속에서 유독 눈에 띄는 크레인")</f>
        <v>군중 속에서 유독 눈에 띄는 크레인</v>
      </c>
    </row>
    <row r="6118" ht="15.75" customHeight="1">
      <c r="A6118" s="1" t="s">
        <v>18001</v>
      </c>
      <c r="B6118" s="1">
        <v>7.0</v>
      </c>
      <c r="C6118" s="1" t="s">
        <v>18002</v>
      </c>
      <c r="D6118" s="1" t="s">
        <v>52</v>
      </c>
      <c r="E6118" s="1" t="s">
        <v>18003</v>
      </c>
      <c r="F6118" s="1" t="str">
        <f>IFERROR(__xludf.DUMMYFUNCTION("GOOGLETRANSLATE(A6118, ""zh-CN"", ""ko"")"),"놀랍게도")</f>
        <v>놀랍게도</v>
      </c>
    </row>
    <row r="6119" ht="15.75" customHeight="1">
      <c r="A6119" s="1" t="s">
        <v>18004</v>
      </c>
      <c r="B6119" s="1">
        <v>7.0</v>
      </c>
      <c r="C6119" s="1" t="s">
        <v>18005</v>
      </c>
      <c r="D6119" s="1" t="s">
        <v>16</v>
      </c>
      <c r="E6119" s="1" t="s">
        <v>18006</v>
      </c>
      <c r="F6119" s="1" t="str">
        <f>IFERROR(__xludf.DUMMYFUNCTION("GOOGLETRANSLATE(A6119, ""zh-CN"", ""ko"")"),"축하 편지")</f>
        <v>축하 편지</v>
      </c>
    </row>
    <row r="6120" ht="15.75" customHeight="1">
      <c r="A6120" s="1" t="s">
        <v>18007</v>
      </c>
      <c r="B6120" s="1">
        <v>7.0</v>
      </c>
      <c r="C6120" s="1" t="s">
        <v>18008</v>
      </c>
      <c r="D6120" s="1" t="s">
        <v>16</v>
      </c>
      <c r="E6120" s="1" t="s">
        <v>18009</v>
      </c>
      <c r="F6120" s="1" t="str">
        <f>IFERROR(__xludf.DUMMYFUNCTION("GOOGLETRANSLATE(A6120, ""zh-CN"", ""ko"")"),"해커")</f>
        <v>해커</v>
      </c>
    </row>
    <row r="6121" ht="15.75" customHeight="1">
      <c r="A6121" s="1" t="s">
        <v>18010</v>
      </c>
      <c r="B6121" s="1">
        <v>7.0</v>
      </c>
      <c r="C6121" s="1" t="s">
        <v>18011</v>
      </c>
      <c r="D6121" s="1" t="s">
        <v>16</v>
      </c>
      <c r="E6121" s="1" t="s">
        <v>18012</v>
      </c>
      <c r="F6121" s="1" t="str">
        <f>IFERROR(__xludf.DUMMYFUNCTION("GOOGLETRANSLATE(A6121, ""zh-CN"", ""ko"")"),"다크호스")</f>
        <v>다크호스</v>
      </c>
    </row>
    <row r="6122" ht="15.75" customHeight="1">
      <c r="A6122" s="1" t="s">
        <v>18013</v>
      </c>
      <c r="B6122" s="1">
        <v>7.0</v>
      </c>
      <c r="C6122" s="1" t="s">
        <v>18014</v>
      </c>
      <c r="D6122" s="1" t="s">
        <v>16</v>
      </c>
      <c r="E6122" s="1" t="s">
        <v>18015</v>
      </c>
      <c r="F6122" s="1" t="str">
        <f>IFERROR(__xludf.DUMMYFUNCTION("GOOGLETRANSLATE(A6122, ""zh-CN"", ""ko"")"),"블랙리스트")</f>
        <v>블랙리스트</v>
      </c>
    </row>
    <row r="6123" ht="15.75" customHeight="1">
      <c r="A6123" s="1" t="s">
        <v>18016</v>
      </c>
      <c r="B6123" s="1">
        <v>7.0</v>
      </c>
      <c r="C6123" s="1" t="s">
        <v>18017</v>
      </c>
      <c r="D6123" s="1" t="s">
        <v>52</v>
      </c>
      <c r="E6123" s="1" t="s">
        <v>18018</v>
      </c>
      <c r="F6123" s="1" t="str">
        <f>IFERROR(__xludf.DUMMYFUNCTION("GOOGLETRANSLATE(A6123, ""zh-CN"", ""ko"")"),"수평의")</f>
        <v>수평의</v>
      </c>
    </row>
    <row r="6124" ht="15.75" customHeight="1">
      <c r="A6124" s="1" t="s">
        <v>18019</v>
      </c>
      <c r="B6124" s="1">
        <v>7.0</v>
      </c>
      <c r="C6124" s="1" t="s">
        <v>18020</v>
      </c>
      <c r="D6124" s="1" t="s">
        <v>16</v>
      </c>
      <c r="E6124" s="1" t="s">
        <v>18021</v>
      </c>
      <c r="F6124" s="1" t="str">
        <f>IFERROR(__xludf.DUMMYFUNCTION("GOOGLETRANSLATE(A6124, ""zh-CN"", ""ko"")"),"별")</f>
        <v>별</v>
      </c>
    </row>
    <row r="6125" ht="15.75" customHeight="1">
      <c r="A6125" s="1" t="s">
        <v>18022</v>
      </c>
      <c r="B6125" s="1">
        <v>7.0</v>
      </c>
      <c r="C6125" s="1" t="s">
        <v>9623</v>
      </c>
      <c r="D6125" s="1" t="s">
        <v>18023</v>
      </c>
      <c r="E6125" s="1" t="s">
        <v>18024</v>
      </c>
      <c r="F6125" s="1" t="str">
        <f>IFERROR(__xludf.DUMMYFUNCTION("GOOGLETRANSLATE(A6125, ""zh-CN"", ""ko"")"),"팔")</f>
        <v>팔</v>
      </c>
    </row>
    <row r="6126" ht="15.75" customHeight="1">
      <c r="A6126" s="1" t="s">
        <v>18025</v>
      </c>
      <c r="B6126" s="1">
        <v>7.0</v>
      </c>
      <c r="C6126" s="1" t="s">
        <v>18026</v>
      </c>
      <c r="D6126" s="1" t="s">
        <v>8</v>
      </c>
      <c r="E6126" s="1" t="s">
        <v>18027</v>
      </c>
      <c r="F6126" s="1" t="str">
        <f>IFERROR(__xludf.DUMMYFUNCTION("GOOGLETRANSLATE(A6126, ""zh-CN"", ""ko"")"),"빵 굽기")</f>
        <v>빵 굽기</v>
      </c>
    </row>
    <row r="6127" ht="15.75" customHeight="1">
      <c r="A6127" s="1" t="s">
        <v>18028</v>
      </c>
      <c r="B6127" s="1">
        <v>7.0</v>
      </c>
      <c r="C6127" s="1" t="s">
        <v>18029</v>
      </c>
      <c r="D6127" s="1" t="s">
        <v>8</v>
      </c>
      <c r="E6127" s="1" t="s">
        <v>18030</v>
      </c>
      <c r="F6127" s="1" t="str">
        <f>IFERROR(__xludf.DUMMYFUNCTION("GOOGLETRANSLATE(A6127, ""zh-CN"", ""ko"")"),"건조")</f>
        <v>건조</v>
      </c>
    </row>
    <row r="6128" ht="15.75" customHeight="1">
      <c r="A6128" s="1" t="s">
        <v>18031</v>
      </c>
      <c r="B6128" s="1">
        <v>7.0</v>
      </c>
      <c r="C6128" s="1" t="s">
        <v>18032</v>
      </c>
      <c r="E6128" s="1" t="s">
        <v>18033</v>
      </c>
      <c r="F6128" s="1" t="str">
        <f>IFERROR(__xludf.DUMMYFUNCTION("GOOGLETRANSLATE(A6128, ""zh-CN"", ""ko"")"),"관객들은 폭소를 터뜨렸다.")</f>
        <v>관객들은 폭소를 터뜨렸다.</v>
      </c>
    </row>
    <row r="6129" ht="15.75" customHeight="1">
      <c r="A6129" s="1" t="s">
        <v>18034</v>
      </c>
      <c r="B6129" s="1">
        <v>7.0</v>
      </c>
      <c r="C6129" s="1" t="s">
        <v>18035</v>
      </c>
      <c r="D6129" s="1" t="s">
        <v>8</v>
      </c>
      <c r="E6129" s="1" t="s">
        <v>18036</v>
      </c>
      <c r="F6129" s="1" t="str">
        <f>IFERROR(__xludf.DUMMYFUNCTION("GOOGLETRANSLATE(A6129, ""zh-CN"", ""ko"")"),"가장 밝은 부분")</f>
        <v>가장 밝은 부분</v>
      </c>
    </row>
    <row r="6130" ht="15.75" customHeight="1">
      <c r="A6130" s="1" t="s">
        <v>18037</v>
      </c>
      <c r="B6130" s="1">
        <v>7.0</v>
      </c>
      <c r="C6130" s="1" t="s">
        <v>18038</v>
      </c>
      <c r="D6130" s="1" t="s">
        <v>8</v>
      </c>
      <c r="E6130" s="1" t="s">
        <v>18039</v>
      </c>
      <c r="F6130" s="1" t="str">
        <f>IFERROR(__xludf.DUMMYFUNCTION("GOOGLETRANSLATE(A6130, ""zh-CN"", ""ko"")"),"폭격")</f>
        <v>폭격</v>
      </c>
    </row>
    <row r="6131" ht="15.75" customHeight="1">
      <c r="A6131" s="1" t="s">
        <v>18040</v>
      </c>
      <c r="B6131" s="1">
        <v>7.0</v>
      </c>
      <c r="C6131" s="1" t="s">
        <v>18041</v>
      </c>
      <c r="D6131" s="1" t="s">
        <v>52</v>
      </c>
      <c r="E6131" s="1" t="s">
        <v>18042</v>
      </c>
      <c r="F6131" s="1" t="str">
        <f>IFERROR(__xludf.DUMMYFUNCTION("GOOGLETRANSLATE(A6131, ""zh-CN"", ""ko"")"),"번성하는")</f>
        <v>번성하는</v>
      </c>
    </row>
    <row r="6132" ht="15.75" customHeight="1">
      <c r="A6132" s="1" t="s">
        <v>18043</v>
      </c>
      <c r="B6132" s="1">
        <v>7.0</v>
      </c>
      <c r="C6132" s="1" t="s">
        <v>18044</v>
      </c>
      <c r="D6132" s="1" t="s">
        <v>16</v>
      </c>
      <c r="E6132" s="1" t="s">
        <v>18045</v>
      </c>
      <c r="F6132" s="1" t="str">
        <f>IFERROR(__xludf.DUMMYFUNCTION("GOOGLETRANSLATE(A6132, ""zh-CN"", ""ko"")"),"피제수")</f>
        <v>피제수</v>
      </c>
    </row>
    <row r="6133" ht="15.75" customHeight="1">
      <c r="A6133" s="1" t="s">
        <v>18046</v>
      </c>
      <c r="B6133" s="1">
        <v>7.0</v>
      </c>
      <c r="C6133" s="1" t="s">
        <v>18047</v>
      </c>
      <c r="D6133" s="1" t="s">
        <v>52</v>
      </c>
      <c r="E6133" s="1" t="s">
        <v>18048</v>
      </c>
      <c r="F6133" s="1" t="str">
        <f>IFERROR(__xludf.DUMMYFUNCTION("GOOGLETRANSLATE(A6133, ""zh-CN"", ""ko"")"),"홍량")</f>
        <v>홍량</v>
      </c>
    </row>
    <row r="6134" ht="15.75" customHeight="1">
      <c r="A6134" s="1" t="s">
        <v>18049</v>
      </c>
      <c r="B6134" s="1">
        <v>7.0</v>
      </c>
      <c r="C6134" s="1" t="s">
        <v>18050</v>
      </c>
      <c r="D6134" s="1" t="s">
        <v>52</v>
      </c>
      <c r="E6134" s="1" t="s">
        <v>18051</v>
      </c>
      <c r="F6134" s="1" t="str">
        <f>IFERROR(__xludf.DUMMYFUNCTION("GOOGLETRANSLATE(A6134, ""zh-CN"", ""ko"")"),"발그레한 뺨")</f>
        <v>발그레한 뺨</v>
      </c>
    </row>
    <row r="6135" ht="15.75" customHeight="1">
      <c r="A6135" s="1" t="s">
        <v>18052</v>
      </c>
      <c r="B6135" s="1">
        <v>7.0</v>
      </c>
      <c r="C6135" s="1" t="s">
        <v>18053</v>
      </c>
      <c r="D6135" s="1" t="s">
        <v>52</v>
      </c>
      <c r="E6135" s="1" t="s">
        <v>18054</v>
      </c>
      <c r="F6135" s="1" t="str">
        <f>IFERROR(__xludf.DUMMYFUNCTION("GOOGLETRANSLATE(A6135, ""zh-CN"", ""ko"")"),"유망한")</f>
        <v>유망한</v>
      </c>
    </row>
    <row r="6136" ht="15.75" customHeight="1">
      <c r="A6136" s="1" t="s">
        <v>18055</v>
      </c>
      <c r="B6136" s="1">
        <v>7.0</v>
      </c>
      <c r="C6136" s="1" t="s">
        <v>18056</v>
      </c>
      <c r="D6136" s="1" t="s">
        <v>16</v>
      </c>
      <c r="E6136" s="1" t="s">
        <v>18057</v>
      </c>
      <c r="F6136" s="1" t="str">
        <f>IFERROR(__xludf.DUMMYFUNCTION("GOOGLETRANSLATE(A6136, ""zh-CN"", ""ko"")"),"고구마")</f>
        <v>고구마</v>
      </c>
    </row>
    <row r="6137" ht="15.75" customHeight="1">
      <c r="A6137" s="1" t="s">
        <v>18058</v>
      </c>
      <c r="B6137" s="1">
        <v>7.0</v>
      </c>
      <c r="C6137" s="1" t="s">
        <v>18059</v>
      </c>
      <c r="D6137" s="1" t="s">
        <v>8</v>
      </c>
      <c r="E6137" s="1" t="s">
        <v>18060</v>
      </c>
      <c r="F6137" s="1" t="str">
        <f>IFERROR(__xludf.DUMMYFUNCTION("GOOGLETRANSLATE(A6137, ""zh-CN"", ""ko"")"),"홍보하다")</f>
        <v>홍보하다</v>
      </c>
    </row>
    <row r="6138" ht="15.75" customHeight="1">
      <c r="A6138" s="1" t="s">
        <v>18061</v>
      </c>
      <c r="B6138" s="1">
        <v>7.0</v>
      </c>
      <c r="C6138" s="1" t="s">
        <v>4727</v>
      </c>
      <c r="D6138" s="1" t="s">
        <v>15352</v>
      </c>
      <c r="E6138" s="1" t="s">
        <v>18062</v>
      </c>
      <c r="F6138" s="1" t="str">
        <f>IFERROR(__xludf.DUMMYFUNCTION("GOOGLETRANSLATE(A6138, ""zh-CN"", ""ko"")"),"예약하다")</f>
        <v>예약하다</v>
      </c>
    </row>
    <row r="6139" ht="15.75" customHeight="1">
      <c r="A6139" s="1" t="s">
        <v>18063</v>
      </c>
      <c r="B6139" s="1">
        <v>7.0</v>
      </c>
      <c r="C6139" s="1" t="s">
        <v>18064</v>
      </c>
      <c r="D6139" s="1" t="s">
        <v>16</v>
      </c>
      <c r="E6139" s="1" t="s">
        <v>18065</v>
      </c>
      <c r="F6139" s="1" t="str">
        <f>IFERROR(__xludf.DUMMYFUNCTION("GOOGLETRANSLATE(A6139, ""zh-CN"", ""ko"")"),"트렁크")</f>
        <v>트렁크</v>
      </c>
    </row>
    <row r="6140" ht="15.75" customHeight="1">
      <c r="A6140" s="1" t="s">
        <v>18066</v>
      </c>
      <c r="B6140" s="1">
        <v>7.0</v>
      </c>
      <c r="C6140" s="1" t="s">
        <v>18067</v>
      </c>
      <c r="D6140" s="1" t="s">
        <v>52</v>
      </c>
      <c r="E6140" s="1" t="s">
        <v>18068</v>
      </c>
      <c r="F6140" s="1" t="str">
        <f>IFERROR(__xludf.DUMMYFUNCTION("GOOGLETRANSLATE(A6140, ""zh-CN"", ""ko"")"),"친절한")</f>
        <v>친절한</v>
      </c>
    </row>
    <row r="6141" ht="15.75" customHeight="1">
      <c r="A6141" s="1" t="s">
        <v>18069</v>
      </c>
      <c r="B6141" s="1">
        <v>7.0</v>
      </c>
      <c r="C6141" s="1" t="s">
        <v>18070</v>
      </c>
      <c r="D6141" s="1" t="s">
        <v>16</v>
      </c>
      <c r="E6141" s="1" t="s">
        <v>18071</v>
      </c>
      <c r="F6141" s="1" t="str">
        <f>IFERROR(__xludf.DUMMYFUNCTION("GOOGLETRANSLATE(A6141, ""zh-CN"", ""ko"")"),"역행")</f>
        <v>역행</v>
      </c>
    </row>
    <row r="6142" ht="15.75" customHeight="1">
      <c r="A6142" s="1" t="s">
        <v>18072</v>
      </c>
      <c r="B6142" s="1">
        <v>7.0</v>
      </c>
      <c r="C6142" s="1" t="s">
        <v>18073</v>
      </c>
      <c r="D6142" s="1" t="s">
        <v>16</v>
      </c>
      <c r="E6142" s="1" t="s">
        <v>18074</v>
      </c>
      <c r="F6142" s="1" t="str">
        <f>IFERROR(__xludf.DUMMYFUNCTION("GOOGLETRANSLATE(A6142, ""zh-CN"", ""ko"")"),"후세대")</f>
        <v>후세대</v>
      </c>
    </row>
    <row r="6143" ht="15.75" customHeight="1">
      <c r="A6143" s="1" t="s">
        <v>18075</v>
      </c>
      <c r="B6143" s="1">
        <v>7.0</v>
      </c>
      <c r="C6143" s="1" t="s">
        <v>18076</v>
      </c>
      <c r="D6143" s="1" t="s">
        <v>16</v>
      </c>
      <c r="E6143" s="1" t="s">
        <v>18077</v>
      </c>
      <c r="F6143" s="1" t="str">
        <f>IFERROR(__xludf.DUMMYFUNCTION("GOOGLETRANSLATE(A6143, ""zh-CN"", ""ko"")"),"백엔드")</f>
        <v>백엔드</v>
      </c>
    </row>
    <row r="6144" ht="15.75" customHeight="1">
      <c r="A6144" s="1" t="s">
        <v>18078</v>
      </c>
      <c r="B6144" s="1">
        <v>7.0</v>
      </c>
      <c r="C6144" s="1" t="s">
        <v>18079</v>
      </c>
      <c r="D6144" s="1" t="s">
        <v>52</v>
      </c>
      <c r="E6144" s="1" t="s">
        <v>18080</v>
      </c>
      <c r="F6144" s="1" t="str">
        <f>IFERROR(__xludf.DUMMYFUNCTION("GOOGLETRANSLATE(A6144, ""zh-CN"", ""ko"")"),"후속 조치")</f>
        <v>후속 조치</v>
      </c>
    </row>
    <row r="6145" ht="15.75" customHeight="1">
      <c r="A6145" s="1" t="s">
        <v>18081</v>
      </c>
      <c r="B6145" s="1">
        <v>7.0</v>
      </c>
      <c r="C6145" s="1" t="s">
        <v>18082</v>
      </c>
      <c r="D6145" s="1" t="s">
        <v>16</v>
      </c>
      <c r="E6145" s="1" t="s">
        <v>18083</v>
      </c>
      <c r="F6145" s="1" t="str">
        <f>IFERROR(__xludf.DUMMYFUNCTION("GOOGLETRANSLATE(A6145, ""zh-CN"", ""ko"")"),"후보자")</f>
        <v>후보자</v>
      </c>
    </row>
    <row r="6146" ht="15.75" customHeight="1">
      <c r="A6146" s="1" t="s">
        <v>18084</v>
      </c>
      <c r="B6146" s="1">
        <v>7.0</v>
      </c>
      <c r="C6146" s="1" t="s">
        <v>18085</v>
      </c>
      <c r="D6146" s="1" t="s">
        <v>16</v>
      </c>
      <c r="E6146" s="1" t="s">
        <v>18086</v>
      </c>
      <c r="F6146" s="1" t="str">
        <f>IFERROR(__xludf.DUMMYFUNCTION("GOOGLETRANSLATE(A6146, ""zh-CN"", ""ko"")"),"후유증")</f>
        <v>후유증</v>
      </c>
    </row>
    <row r="6147" ht="15.75" customHeight="1">
      <c r="A6147" s="1" t="s">
        <v>18087</v>
      </c>
      <c r="B6147" s="1">
        <v>7.0</v>
      </c>
      <c r="C6147" s="1" t="s">
        <v>18088</v>
      </c>
      <c r="D6147" s="1" t="s">
        <v>16</v>
      </c>
      <c r="E6147" s="1" t="s">
        <v>18089</v>
      </c>
      <c r="F6147" s="1" t="str">
        <f>IFERROR(__xludf.DUMMYFUNCTION("GOOGLETRANSLATE(A6147, ""zh-CN"", ""ko"")"),"자손")</f>
        <v>자손</v>
      </c>
    </row>
    <row r="6148" ht="15.75" customHeight="1">
      <c r="A6148" s="1" t="s">
        <v>18090</v>
      </c>
      <c r="B6148" s="1">
        <v>7.0</v>
      </c>
      <c r="C6148" s="1" t="s">
        <v>18091</v>
      </c>
      <c r="D6148" s="1" t="s">
        <v>8</v>
      </c>
      <c r="E6148" s="1" t="s">
        <v>18092</v>
      </c>
      <c r="F6148" s="1" t="str">
        <f>IFERROR(__xludf.DUMMYFUNCTION("GOOGLETRANSLATE(A6148, ""zh-CN"", ""ko"")"),"부르다")</f>
        <v>부르다</v>
      </c>
    </row>
    <row r="6149" ht="15.75" customHeight="1">
      <c r="A6149" s="1" t="s">
        <v>18093</v>
      </c>
      <c r="B6149" s="1">
        <v>7.0</v>
      </c>
      <c r="C6149" s="1" t="s">
        <v>18094</v>
      </c>
      <c r="D6149" s="1" t="s">
        <v>8</v>
      </c>
      <c r="E6149" s="1" t="s">
        <v>18095</v>
      </c>
      <c r="F6149" s="1" t="str">
        <f>IFERROR(__xludf.DUMMYFUNCTION("GOOGLETRANSLATE(A6149, ""zh-CN"", ""ko"")"),"도움을 요청하세요")</f>
        <v>도움을 요청하세요</v>
      </c>
    </row>
    <row r="6150" ht="15.75" customHeight="1">
      <c r="A6150" s="1" t="s">
        <v>18096</v>
      </c>
      <c r="B6150" s="1">
        <v>7.0</v>
      </c>
      <c r="C6150" s="1" t="s">
        <v>18097</v>
      </c>
      <c r="E6150" s="1" t="s">
        <v>18098</v>
      </c>
      <c r="F6150" s="1" t="str">
        <f>IFERROR(__xludf.DUMMYFUNCTION("GOOGLETRANSLATE(A6150, ""zh-CN"", ""ko"")"),"뜨겁고 차가운")</f>
        <v>뜨겁고 차가운</v>
      </c>
    </row>
    <row r="6151" ht="15.75" customHeight="1">
      <c r="A6151" s="1" t="s">
        <v>18099</v>
      </c>
      <c r="B6151" s="1">
        <v>7.0</v>
      </c>
      <c r="C6151" s="1" t="s">
        <v>18100</v>
      </c>
      <c r="D6151" s="1" t="s">
        <v>16</v>
      </c>
      <c r="E6151" s="1" t="s">
        <v>18101</v>
      </c>
      <c r="F6151" s="1" t="str">
        <f>IFERROR(__xludf.DUMMYFUNCTION("GOOGLETRANSLATE(A6151, ""zh-CN"", ""ko"")"),"목소리")</f>
        <v>목소리</v>
      </c>
    </row>
    <row r="6152" ht="15.75" customHeight="1">
      <c r="A6152" s="1" t="s">
        <v>18102</v>
      </c>
      <c r="B6152" s="1">
        <v>7.0</v>
      </c>
      <c r="C6152" s="1" t="s">
        <v>18103</v>
      </c>
      <c r="D6152" s="1" t="s">
        <v>8</v>
      </c>
      <c r="E6152" s="1" t="s">
        <v>18104</v>
      </c>
      <c r="F6152" s="1" t="str">
        <f>IFERROR(__xludf.DUMMYFUNCTION("GOOGLETRANSLATE(A6152, ""zh-CN"", ""ko"")"),"에코")</f>
        <v>에코</v>
      </c>
    </row>
    <row r="6153" ht="15.75" customHeight="1">
      <c r="A6153" s="1" t="s">
        <v>18105</v>
      </c>
      <c r="B6153" s="1">
        <v>7.0</v>
      </c>
      <c r="C6153" s="1" t="s">
        <v>18106</v>
      </c>
      <c r="D6153" s="1" t="s">
        <v>8</v>
      </c>
      <c r="E6153" s="1" t="s">
        <v>18107</v>
      </c>
      <c r="F6153" s="1" t="str">
        <f>IFERROR(__xludf.DUMMYFUNCTION("GOOGLETRANSLATE(A6153, ""zh-CN"", ""ko"")"),"속이다")</f>
        <v>속이다</v>
      </c>
    </row>
    <row r="6154" ht="15.75" customHeight="1">
      <c r="A6154" s="1" t="s">
        <v>18108</v>
      </c>
      <c r="B6154" s="1">
        <v>7.0</v>
      </c>
      <c r="C6154" s="1" t="s">
        <v>4740</v>
      </c>
      <c r="D6154" s="1" t="s">
        <v>8</v>
      </c>
      <c r="E6154" s="1" t="s">
        <v>18109</v>
      </c>
      <c r="F6154" s="1" t="str">
        <f>IFERROR(__xludf.DUMMYFUNCTION("GOOGLETRANSLATE(A6154, ""zh-CN"", ""ko"")"),"반죽")</f>
        <v>반죽</v>
      </c>
    </row>
    <row r="6155" ht="15.75" customHeight="1">
      <c r="A6155" s="1" t="s">
        <v>18110</v>
      </c>
      <c r="B6155" s="1">
        <v>7.0</v>
      </c>
      <c r="C6155" s="1" t="s">
        <v>18111</v>
      </c>
      <c r="D6155" s="1" t="s">
        <v>16</v>
      </c>
      <c r="E6155" s="1" t="s">
        <v>18112</v>
      </c>
      <c r="F6155" s="1" t="str">
        <f>IFERROR(__xludf.DUMMYFUNCTION("GOOGLETRANSLATE(A6155, ""zh-CN"", ""ko"")"),"여우")</f>
        <v>여우</v>
      </c>
    </row>
    <row r="6156" ht="15.75" customHeight="1">
      <c r="A6156" s="1" t="s">
        <v>18113</v>
      </c>
      <c r="B6156" s="1">
        <v>7.0</v>
      </c>
      <c r="C6156" s="1" t="s">
        <v>18114</v>
      </c>
      <c r="D6156" s="1" t="s">
        <v>8</v>
      </c>
      <c r="E6156" s="1" t="s">
        <v>18115</v>
      </c>
      <c r="F6156" s="1" t="str">
        <f>IFERROR(__xludf.DUMMYFUNCTION("GOOGLETRANSLATE(A6156, ""zh-CN"", ""ko"")"),"무의미한 말")</f>
        <v>무의미한 말</v>
      </c>
    </row>
    <row r="6157" ht="15.75" customHeight="1">
      <c r="A6157" s="1" t="s">
        <v>18116</v>
      </c>
      <c r="B6157" s="1">
        <v>7.0</v>
      </c>
      <c r="C6157" s="1" t="s">
        <v>18117</v>
      </c>
      <c r="E6157" s="1" t="s">
        <v>18118</v>
      </c>
      <c r="F6157" s="1" t="str">
        <f>IFERROR(__xludf.DUMMYFUNCTION("GOOGLETRANSLATE(A6157, ""zh-CN"", ""ko"")"),"머릿속에 벌이 있다")</f>
        <v>머릿속에 벌이 있다</v>
      </c>
    </row>
    <row r="6158" ht="15.75" customHeight="1">
      <c r="A6158" s="1" t="s">
        <v>18119</v>
      </c>
      <c r="B6158" s="1">
        <v>7.0</v>
      </c>
      <c r="C6158" s="1" t="s">
        <v>18120</v>
      </c>
      <c r="D6158" s="1" t="s">
        <v>8</v>
      </c>
      <c r="E6158" s="1" t="s">
        <v>18121</v>
      </c>
      <c r="F6158" s="1" t="str">
        <f>IFERROR(__xludf.DUMMYFUNCTION("GOOGLETRANSLATE(A6158, ""zh-CN"", ""ko"")"),"보호하다")</f>
        <v>보호하다</v>
      </c>
    </row>
    <row r="6159" ht="15.75" customHeight="1">
      <c r="A6159" s="1" t="s">
        <v>18122</v>
      </c>
      <c r="B6159" s="1">
        <v>7.0</v>
      </c>
      <c r="C6159" s="1" t="s">
        <v>18123</v>
      </c>
      <c r="D6159" s="1" t="s">
        <v>8</v>
      </c>
      <c r="E6159" s="1" t="s">
        <v>18124</v>
      </c>
      <c r="F6159" s="1" t="str">
        <f>IFERROR(__xludf.DUMMYFUNCTION("GOOGLETRANSLATE(A6159, ""zh-CN"", ""ko"")"),"보완적인")</f>
        <v>보완적인</v>
      </c>
    </row>
    <row r="6160" ht="15.75" customHeight="1">
      <c r="A6160" s="1" t="s">
        <v>18125</v>
      </c>
      <c r="B6160" s="1">
        <v>7.0</v>
      </c>
      <c r="C6160" s="1" t="s">
        <v>18126</v>
      </c>
      <c r="D6160" s="1" t="s">
        <v>8</v>
      </c>
      <c r="E6160" s="1" t="s">
        <v>18127</v>
      </c>
      <c r="F6160" s="1" t="str">
        <f>IFERROR(__xludf.DUMMYFUNCTION("GOOGLETRANSLATE(A6160, ""zh-CN"", ""ko"")"),"육아")</f>
        <v>육아</v>
      </c>
    </row>
    <row r="6161" ht="15.75" customHeight="1">
      <c r="A6161" s="1" t="s">
        <v>18128</v>
      </c>
      <c r="B6161" s="1">
        <v>7.0</v>
      </c>
      <c r="C6161" s="1" t="s">
        <v>18129</v>
      </c>
      <c r="D6161" s="1" t="s">
        <v>16</v>
      </c>
      <c r="E6161" s="1" t="s">
        <v>18130</v>
      </c>
      <c r="F6161" s="1" t="str">
        <f>IFERROR(__xludf.DUMMYFUNCTION("GOOGLETRANSLATE(A6161, ""zh-CN"", ""ko"")"),"월경")</f>
        <v>월경</v>
      </c>
    </row>
    <row r="6162" ht="15.75" customHeight="1">
      <c r="A6162" s="1" t="s">
        <v>18131</v>
      </c>
      <c r="B6162" s="1">
        <v>7.0</v>
      </c>
      <c r="C6162" s="1" t="s">
        <v>18132</v>
      </c>
      <c r="D6162" s="1" t="s">
        <v>16</v>
      </c>
      <c r="E6162" s="1" t="s">
        <v>18133</v>
      </c>
      <c r="F6162" s="1" t="str">
        <f>IFERROR(__xludf.DUMMYFUNCTION("GOOGLETRANSLATE(A6162, ""zh-CN"", ""ko"")"),"무늬")</f>
        <v>무늬</v>
      </c>
    </row>
    <row r="6163" ht="15.75" customHeight="1">
      <c r="A6163" s="1" t="s">
        <v>18134</v>
      </c>
      <c r="B6163" s="1">
        <v>7.0</v>
      </c>
      <c r="C6163" s="1" t="s">
        <v>18135</v>
      </c>
      <c r="D6163" s="1" t="s">
        <v>16</v>
      </c>
      <c r="E6163" s="1" t="s">
        <v>18136</v>
      </c>
      <c r="F6163" s="1" t="str">
        <f>IFERROR(__xludf.DUMMYFUNCTION("GOOGLETRANSLATE(A6163, ""zh-CN"", ""ko"")"),"다양성")</f>
        <v>다양성</v>
      </c>
    </row>
    <row r="6164" ht="15.75" customHeight="1">
      <c r="A6164" s="1" t="s">
        <v>18137</v>
      </c>
      <c r="B6164" s="1">
        <v>7.0</v>
      </c>
      <c r="C6164" s="1" t="s">
        <v>18138</v>
      </c>
      <c r="D6164" s="1" t="s">
        <v>52</v>
      </c>
      <c r="E6164" s="1" t="s">
        <v>18139</v>
      </c>
      <c r="F6164" s="1" t="str">
        <f>IFERROR(__xludf.DUMMYFUNCTION("GOOGLETRANSLATE(A6164, ""zh-CN"", ""ko"")"),"그럴 가치가 없어요")</f>
        <v>그럴 가치가 없어요</v>
      </c>
    </row>
    <row r="6165" ht="15.75" customHeight="1">
      <c r="A6165" s="1" t="s">
        <v>18140</v>
      </c>
      <c r="B6165" s="1">
        <v>7.0</v>
      </c>
      <c r="C6165" s="1" t="s">
        <v>18141</v>
      </c>
      <c r="D6165" s="1" t="s">
        <v>52</v>
      </c>
      <c r="E6165" s="1" t="s">
        <v>18142</v>
      </c>
      <c r="F6165" s="1" t="str">
        <f>IFERROR(__xludf.DUMMYFUNCTION("GOOGLETRANSLATE(A6165, ""zh-CN"", ""ko"")"),"그럴 만한 가치가 있어요")</f>
        <v>그럴 만한 가치가 있어요</v>
      </c>
    </row>
    <row r="6166" ht="15.75" customHeight="1">
      <c r="A6166" s="1" t="s">
        <v>18143</v>
      </c>
      <c r="B6166" s="1">
        <v>7.0</v>
      </c>
      <c r="C6166" s="1" t="s">
        <v>18144</v>
      </c>
      <c r="D6166" s="1" t="s">
        <v>52</v>
      </c>
      <c r="E6166" s="1" t="s">
        <v>18145</v>
      </c>
      <c r="F6166" s="1" t="str">
        <f>IFERROR(__xludf.DUMMYFUNCTION("GOOGLETRANSLATE(A6166, ""zh-CN"", ""ko"")"),"재미있는")</f>
        <v>재미있는</v>
      </c>
    </row>
    <row r="6167" ht="15.75" customHeight="1">
      <c r="A6167" s="1" t="s">
        <v>18146</v>
      </c>
      <c r="B6167" s="1">
        <v>7.0</v>
      </c>
      <c r="C6167" s="1" t="s">
        <v>18147</v>
      </c>
      <c r="D6167" s="1" t="s">
        <v>52</v>
      </c>
      <c r="E6167" s="1" t="s">
        <v>18148</v>
      </c>
      <c r="F6167" s="1" t="str">
        <f>IFERROR(__xludf.DUMMYFUNCTION("GOOGLETRANSLATE(A6167, ""zh-CN"", ""ko"")"),"소란")</f>
        <v>소란</v>
      </c>
    </row>
    <row r="6168" ht="15.75" customHeight="1">
      <c r="A6168" s="1" t="s">
        <v>18149</v>
      </c>
      <c r="B6168" s="1">
        <v>7.0</v>
      </c>
      <c r="C6168" s="1" t="s">
        <v>18150</v>
      </c>
      <c r="D6168" s="1" t="s">
        <v>16</v>
      </c>
      <c r="E6168" s="1" t="s">
        <v>18151</v>
      </c>
      <c r="F6168" s="1" t="str">
        <f>IFERROR(__xludf.DUMMYFUNCTION("GOOGLETRANSLATE(A6168, ""zh-CN"", ""ko"")"),"중국인")</f>
        <v>중국인</v>
      </c>
    </row>
    <row r="6169" ht="15.75" customHeight="1">
      <c r="A6169" s="1" t="s">
        <v>18152</v>
      </c>
      <c r="B6169" s="1">
        <v>7.0</v>
      </c>
      <c r="C6169" s="1" t="s">
        <v>18153</v>
      </c>
      <c r="D6169" s="1" t="s">
        <v>14735</v>
      </c>
      <c r="E6169" s="1" t="s">
        <v>18154</v>
      </c>
      <c r="F6169" s="1" t="str">
        <f>IFERROR(__xludf.DUMMYFUNCTION("GOOGLETRANSLATE(A6169, ""zh-CN"", ""ko"")"),"비용 효율적")</f>
        <v>비용 효율적</v>
      </c>
    </row>
    <row r="6170" ht="15.75" customHeight="1">
      <c r="A6170" s="1" t="s">
        <v>18155</v>
      </c>
      <c r="B6170" s="1">
        <v>7.0</v>
      </c>
      <c r="C6170" s="1" t="s">
        <v>18156</v>
      </c>
      <c r="D6170" s="1" t="s">
        <v>16</v>
      </c>
      <c r="E6170" s="1" t="s">
        <v>18157</v>
      </c>
      <c r="F6170" s="1" t="str">
        <f>IFERROR(__xludf.DUMMYFUNCTION("GOOGLETRANSLATE(A6170, ""zh-CN"", ""ko"")"),"슬라이드")</f>
        <v>슬라이드</v>
      </c>
    </row>
    <row r="6171" ht="15.75" customHeight="1">
      <c r="A6171" s="1" t="s">
        <v>18158</v>
      </c>
      <c r="B6171" s="1">
        <v>7.0</v>
      </c>
      <c r="C6171" s="1" t="s">
        <v>18159</v>
      </c>
      <c r="D6171" s="1" t="s">
        <v>16</v>
      </c>
      <c r="E6171" s="1" t="s">
        <v>18160</v>
      </c>
      <c r="F6171" s="1" t="str">
        <f>IFERROR(__xludf.DUMMYFUNCTION("GOOGLETRANSLATE(A6171, ""zh-CN"", ""ko"")"),"사진 앨범")</f>
        <v>사진 앨범</v>
      </c>
    </row>
    <row r="6172" ht="15.75" customHeight="1">
      <c r="A6172" s="1" t="s">
        <v>18161</v>
      </c>
      <c r="B6172" s="1">
        <v>7.0</v>
      </c>
      <c r="C6172" s="1" t="s">
        <v>18162</v>
      </c>
      <c r="D6172" s="1" t="s">
        <v>8</v>
      </c>
      <c r="E6172" s="1" t="s">
        <v>18163</v>
      </c>
      <c r="F6172" s="1" t="str">
        <f>IFERROR(__xludf.DUMMYFUNCTION("GOOGLETRANSLATE(A6172, ""zh-CN"", ""ko"")"),"해결하다")</f>
        <v>해결하다</v>
      </c>
    </row>
    <row r="6173" ht="15.75" customHeight="1">
      <c r="A6173" s="1" t="s">
        <v>18164</v>
      </c>
      <c r="B6173" s="1">
        <v>7.0</v>
      </c>
      <c r="C6173" s="1" t="s">
        <v>18165</v>
      </c>
      <c r="E6173" s="1" t="s">
        <v>18166</v>
      </c>
      <c r="F6173" s="1" t="str">
        <f>IFERROR(__xludf.DUMMYFUNCTION("GOOGLETRANSLATE(A6173, ""zh-CN"", ""ko"")"),"마지막 손질을 더하다")</f>
        <v>마지막 손질을 더하다</v>
      </c>
    </row>
    <row r="6174" ht="15.75" customHeight="1">
      <c r="A6174" s="1" t="s">
        <v>18167</v>
      </c>
      <c r="B6174" s="1">
        <v>7.0</v>
      </c>
      <c r="C6174" s="1" t="s">
        <v>18168</v>
      </c>
      <c r="D6174" s="1" t="s">
        <v>16</v>
      </c>
      <c r="E6174" s="1" t="s">
        <v>18169</v>
      </c>
      <c r="F6174" s="1" t="str">
        <f>IFERROR(__xludf.DUMMYFUNCTION("GOOGLETRANSLATE(A6174, ""zh-CN"", ""ko"")"),"강생")</f>
        <v>강생</v>
      </c>
    </row>
    <row r="6175" ht="15.75" customHeight="1">
      <c r="A6175" s="1" t="s">
        <v>18170</v>
      </c>
      <c r="B6175" s="1">
        <v>7.0</v>
      </c>
      <c r="C6175" s="1" t="s">
        <v>18171</v>
      </c>
      <c r="D6175" s="1" t="s">
        <v>52</v>
      </c>
      <c r="E6175" s="1" t="s">
        <v>18172</v>
      </c>
      <c r="F6175" s="1" t="str">
        <f>IFERROR(__xludf.DUMMYFUNCTION("GOOGLETRANSLATE(A6175, ""zh-CN"", ""ko"")"),"획기적인")</f>
        <v>획기적인</v>
      </c>
    </row>
    <row r="6176" ht="15.75" customHeight="1">
      <c r="A6176" s="1" t="s">
        <v>18173</v>
      </c>
      <c r="B6176" s="1">
        <v>7.0</v>
      </c>
      <c r="C6176" s="1" t="s">
        <v>18174</v>
      </c>
      <c r="E6176" s="1" t="s">
        <v>18175</v>
      </c>
      <c r="F6176" s="1" t="str">
        <f>IFERROR(__xludf.DUMMYFUNCTION("GOOGLETRANSLATE(A6176, ""zh-CN"", ""ko"")"),"위험을 안전으로 바꾸기")</f>
        <v>위험을 안전으로 바꾸기</v>
      </c>
    </row>
    <row r="6177" ht="15.75" customHeight="1">
      <c r="A6177" s="1" t="s">
        <v>18176</v>
      </c>
      <c r="B6177" s="1">
        <v>7.0</v>
      </c>
      <c r="C6177" s="1" t="s">
        <v>18177</v>
      </c>
      <c r="D6177" s="1" t="s">
        <v>16</v>
      </c>
      <c r="E6177" s="1" t="s">
        <v>18178</v>
      </c>
      <c r="F6177" s="1" t="str">
        <f>IFERROR(__xludf.DUMMYFUNCTION("GOOGLETRANSLATE(A6177, ""zh-CN"", ""ko"")"),"단어")</f>
        <v>단어</v>
      </c>
    </row>
    <row r="6178" ht="15.75" customHeight="1">
      <c r="A6178" s="1" t="s">
        <v>18179</v>
      </c>
      <c r="B6178" s="1">
        <v>7.0</v>
      </c>
      <c r="C6178" s="1" t="s">
        <v>18180</v>
      </c>
      <c r="D6178" s="1" t="s">
        <v>14870</v>
      </c>
      <c r="E6178" s="1" t="s">
        <v>18181</v>
      </c>
      <c r="F6178" s="1" t="str">
        <f>IFERROR(__xludf.DUMMYFUNCTION("GOOGLETRANSLATE(A6178, ""zh-CN"", ""ko"")"),"포옹하다")</f>
        <v>포옹하다</v>
      </c>
    </row>
    <row r="6179" ht="15.75" customHeight="1">
      <c r="A6179" s="1" t="s">
        <v>18182</v>
      </c>
      <c r="B6179" s="1">
        <v>7.0</v>
      </c>
      <c r="C6179" s="1" t="s">
        <v>18183</v>
      </c>
      <c r="D6179" s="1" t="s">
        <v>8</v>
      </c>
      <c r="E6179" s="1" t="s">
        <v>18184</v>
      </c>
      <c r="F6179" s="1" t="str">
        <f>IFERROR(__xludf.DUMMYFUNCTION("GOOGLETRANSLATE(A6179, ""zh-CN"", ""ko"")"),"노스탤지어")</f>
        <v>노스탤지어</v>
      </c>
    </row>
    <row r="6180" ht="15.75" customHeight="1">
      <c r="A6180" s="1" t="s">
        <v>18185</v>
      </c>
      <c r="B6180" s="1">
        <v>7.0</v>
      </c>
      <c r="C6180" s="1" t="s">
        <v>18186</v>
      </c>
      <c r="D6180" s="1" t="s">
        <v>16</v>
      </c>
      <c r="E6180" s="1" t="s">
        <v>18187</v>
      </c>
      <c r="F6180" s="1" t="str">
        <f>IFERROR(__xludf.DUMMYFUNCTION("GOOGLETRANSLATE(A6180, ""zh-CN"", ""ko"")"),"아카시아 나무")</f>
        <v>아카시아 나무</v>
      </c>
    </row>
    <row r="6181" ht="15.75" customHeight="1">
      <c r="A6181" s="1" t="s">
        <v>18188</v>
      </c>
      <c r="B6181" s="1">
        <v>7.0</v>
      </c>
      <c r="C6181" s="1" t="s">
        <v>18189</v>
      </c>
      <c r="D6181" s="1" t="s">
        <v>8</v>
      </c>
      <c r="E6181" s="1" t="s">
        <v>18190</v>
      </c>
      <c r="F6181" s="1" t="str">
        <f>IFERROR(__xludf.DUMMYFUNCTION("GOOGLETRANSLATE(A6181, ""zh-CN"", ""ko"")"),"환호")</f>
        <v>환호</v>
      </c>
    </row>
    <row r="6182" ht="15.75" customHeight="1">
      <c r="A6182" s="1" t="s">
        <v>18191</v>
      </c>
      <c r="B6182" s="1">
        <v>7.0</v>
      </c>
      <c r="C6182" s="1" t="s">
        <v>18192</v>
      </c>
      <c r="D6182" s="1" t="s">
        <v>8</v>
      </c>
      <c r="E6182" s="1" t="s">
        <v>18193</v>
      </c>
      <c r="F6182" s="1" t="str">
        <f>IFERROR(__xludf.DUMMYFUNCTION("GOOGLETRANSLATE(A6182, ""zh-CN"", ""ko"")"),"즐거운 모임 되세요")</f>
        <v>즐거운 모임 되세요</v>
      </c>
    </row>
    <row r="6183" ht="15.75" customHeight="1">
      <c r="A6183" s="1" t="s">
        <v>18194</v>
      </c>
      <c r="B6183" s="1">
        <v>7.0</v>
      </c>
      <c r="C6183" s="1" t="s">
        <v>18195</v>
      </c>
      <c r="D6183" s="1" t="s">
        <v>52</v>
      </c>
      <c r="E6183" s="1" t="s">
        <v>18196</v>
      </c>
      <c r="F6183" s="1" t="str">
        <f>IFERROR(__xludf.DUMMYFUNCTION("GOOGLETRANSLATE(A6183, ""zh-CN"", ""ko"")"),"쾌활한")</f>
        <v>쾌활한</v>
      </c>
    </row>
    <row r="6184" ht="15.75" customHeight="1">
      <c r="A6184" s="1" t="s">
        <v>18197</v>
      </c>
      <c r="B6184" s="1">
        <v>7.0</v>
      </c>
      <c r="C6184" s="1" t="s">
        <v>18198</v>
      </c>
      <c r="E6184" s="1" t="s">
        <v>18199</v>
      </c>
      <c r="F6184" s="1" t="str">
        <f>IFERROR(__xludf.DUMMYFUNCTION("GOOGLETRANSLATE(A6184, ""zh-CN"", ""ko"")"),"웃음과 환호")</f>
        <v>웃음과 환호</v>
      </c>
    </row>
    <row r="6185" ht="15.75" customHeight="1">
      <c r="A6185" s="1" t="s">
        <v>18200</v>
      </c>
      <c r="B6185" s="1">
        <v>7.0</v>
      </c>
      <c r="C6185" s="1" t="s">
        <v>18201</v>
      </c>
      <c r="D6185" s="1" t="s">
        <v>8</v>
      </c>
      <c r="E6185" s="1" t="s">
        <v>18202</v>
      </c>
      <c r="F6185" s="1" t="str">
        <f>IFERROR(__xludf.DUMMYFUNCTION("GOOGLETRANSLATE(A6185, ""zh-CN"", ""ko"")"),"월별")</f>
        <v>월별</v>
      </c>
    </row>
    <row r="6186" ht="15.75" customHeight="1">
      <c r="A6186" s="1" t="s">
        <v>18203</v>
      </c>
      <c r="B6186" s="1">
        <v>7.0</v>
      </c>
      <c r="C6186" s="1" t="s">
        <v>18204</v>
      </c>
      <c r="D6186" s="1" t="s">
        <v>8</v>
      </c>
      <c r="E6186" s="1" t="s">
        <v>18205</v>
      </c>
      <c r="F6186" s="1" t="str">
        <f>IFERROR(__xludf.DUMMYFUNCTION("GOOGLETRANSLATE(A6186, ""zh-CN"", ""ko"")"),"글로벌")</f>
        <v>글로벌</v>
      </c>
    </row>
    <row r="6187" ht="15.75" customHeight="1">
      <c r="A6187" s="1" t="s">
        <v>18206</v>
      </c>
      <c r="B6187" s="1">
        <v>7.0</v>
      </c>
      <c r="C6187" s="1" t="s">
        <v>18207</v>
      </c>
      <c r="D6187" s="1" t="s">
        <v>8</v>
      </c>
      <c r="E6187" s="1" t="s">
        <v>18208</v>
      </c>
      <c r="F6187" s="1" t="str">
        <f>IFERROR(__xludf.DUMMYFUNCTION("GOOGLETRANSLATE(A6187, ""zh-CN"", ""ko"")"),"주변")</f>
        <v>주변</v>
      </c>
    </row>
    <row r="6188" ht="15.75" customHeight="1">
      <c r="A6188" s="1" t="s">
        <v>18209</v>
      </c>
      <c r="B6188" s="1">
        <v>7.0</v>
      </c>
      <c r="C6188" s="1" t="s">
        <v>18210</v>
      </c>
      <c r="D6188" s="1" t="s">
        <v>8</v>
      </c>
      <c r="E6188" s="1" t="s">
        <v>18211</v>
      </c>
      <c r="F6188" s="1" t="str">
        <f>IFERROR(__xludf.DUMMYFUNCTION("GOOGLETRANSLATE(A6188, ""zh-CN"", ""ko"")"),"느린")</f>
        <v>느린</v>
      </c>
    </row>
    <row r="6189" ht="15.75" customHeight="1">
      <c r="A6189" s="1" t="s">
        <v>18212</v>
      </c>
      <c r="B6189" s="1">
        <v>7.0</v>
      </c>
      <c r="C6189" s="1" t="s">
        <v>18213</v>
      </c>
      <c r="D6189" s="1" t="s">
        <v>8</v>
      </c>
      <c r="E6189" s="1" t="s">
        <v>18214</v>
      </c>
      <c r="F6189" s="1" t="str">
        <f>IFERROR(__xludf.DUMMYFUNCTION("GOOGLETRANSLATE(A6189, ""zh-CN"", ""ko"")"),"활력을 되찾다")</f>
        <v>활력을 되찾다</v>
      </c>
    </row>
    <row r="6190" ht="15.75" customHeight="1">
      <c r="A6190" s="1" t="s">
        <v>18215</v>
      </c>
      <c r="B6190" s="1">
        <v>7.0</v>
      </c>
      <c r="C6190" s="1" t="s">
        <v>18216</v>
      </c>
      <c r="D6190" s="1" t="s">
        <v>16</v>
      </c>
      <c r="E6190" s="1" t="s">
        <v>18217</v>
      </c>
      <c r="F6190" s="1" t="str">
        <f>IFERROR(__xludf.DUMMYFUNCTION("GOOGLETRANSLATE(A6190, ""zh-CN"", ""ko"")"),"환각")</f>
        <v>환각</v>
      </c>
    </row>
    <row r="6191" ht="15.75" customHeight="1">
      <c r="A6191" s="1" t="s">
        <v>18218</v>
      </c>
      <c r="B6191" s="1">
        <v>7.0</v>
      </c>
      <c r="C6191" s="1" t="s">
        <v>18219</v>
      </c>
      <c r="D6191" s="1" t="s">
        <v>8</v>
      </c>
      <c r="E6191" s="1" t="s">
        <v>18220</v>
      </c>
      <c r="F6191" s="1" t="str">
        <f>IFERROR(__xludf.DUMMYFUNCTION("GOOGLETRANSLATE(A6191, ""zh-CN"", ""ko"")"),"깨우다")</f>
        <v>깨우다</v>
      </c>
    </row>
    <row r="6192" ht="15.75" customHeight="1">
      <c r="A6192" s="1" t="s">
        <v>18221</v>
      </c>
      <c r="B6192" s="1">
        <v>7.0</v>
      </c>
      <c r="C6192" s="1" t="s">
        <v>18222</v>
      </c>
      <c r="D6192" s="1" t="s">
        <v>8</v>
      </c>
      <c r="E6192" s="1" t="s">
        <v>18223</v>
      </c>
      <c r="F6192" s="1" t="str">
        <f>IFERROR(__xludf.DUMMYFUNCTION("GOOGLETRANSLATE(A6192, ""zh-CN"", ""ko"")"),"교환")</f>
        <v>교환</v>
      </c>
    </row>
    <row r="6193" ht="15.75" customHeight="1">
      <c r="A6193" s="1" t="s">
        <v>18224</v>
      </c>
      <c r="B6193" s="1">
        <v>7.0</v>
      </c>
      <c r="C6193" s="1" t="s">
        <v>18225</v>
      </c>
      <c r="E6193" s="1" t="s">
        <v>18226</v>
      </c>
      <c r="F6193" s="1" t="str">
        <f>IFERROR(__xludf.DUMMYFUNCTION("GOOGLETRANSLATE(A6193, ""zh-CN"", ""ko"")"),"완전히 새로운")</f>
        <v>완전히 새로운</v>
      </c>
    </row>
    <row r="6194" ht="15.75" customHeight="1">
      <c r="A6194" s="1" t="s">
        <v>18227</v>
      </c>
      <c r="B6194" s="1">
        <v>7.0</v>
      </c>
      <c r="C6194" s="1" t="s">
        <v>18228</v>
      </c>
      <c r="D6194" s="1" t="s">
        <v>8</v>
      </c>
      <c r="E6194" s="1" t="s">
        <v>18229</v>
      </c>
      <c r="F6194" s="1" t="str">
        <f>IFERROR(__xludf.DUMMYFUNCTION("GOOGLETRANSLATE(A6194, ""zh-CN"", ""ko"")"),"깨어 있다")</f>
        <v>깨어 있다</v>
      </c>
    </row>
    <row r="6195" ht="15.75" customHeight="1">
      <c r="A6195" s="1" t="s">
        <v>18230</v>
      </c>
      <c r="B6195" s="1">
        <v>7.0</v>
      </c>
      <c r="C6195" s="1" t="s">
        <v>18231</v>
      </c>
      <c r="D6195" s="1" t="s">
        <v>16</v>
      </c>
      <c r="E6195" s="1" t="s">
        <v>18232</v>
      </c>
      <c r="F6195" s="1" t="str">
        <f>IFERROR(__xludf.DUMMYFUNCTION("GOOGLETRANSLATE(A6195, ""zh-CN"", ""ko"")"),"환상")</f>
        <v>환상</v>
      </c>
    </row>
    <row r="6196" ht="15.75" customHeight="1">
      <c r="A6196" s="1" t="s">
        <v>18233</v>
      </c>
      <c r="B6196" s="1">
        <v>7.0</v>
      </c>
      <c r="C6196" s="1" t="s">
        <v>18234</v>
      </c>
      <c r="D6196" s="1" t="s">
        <v>52</v>
      </c>
      <c r="E6196" s="1" t="s">
        <v>18235</v>
      </c>
      <c r="F6196" s="1" t="str">
        <f>IFERROR(__xludf.DUMMYFUNCTION("GOOGLETRANSLATE(A6196, ""zh-CN"", ""ko"")"),"공황")</f>
        <v>공황</v>
      </c>
    </row>
    <row r="6197" ht="15.75" customHeight="1">
      <c r="A6197" s="1" t="s">
        <v>18236</v>
      </c>
      <c r="B6197" s="1">
        <v>7.0</v>
      </c>
      <c r="C6197" s="1" t="s">
        <v>18234</v>
      </c>
      <c r="D6197" s="1" t="s">
        <v>8</v>
      </c>
      <c r="E6197" s="1" t="s">
        <v>18237</v>
      </c>
      <c r="F6197" s="1" t="str">
        <f>IFERROR(__xludf.DUMMYFUNCTION("GOOGLETRANSLATE(A6197, ""zh-CN"", ""ko"")"),"부족")</f>
        <v>부족</v>
      </c>
    </row>
    <row r="6198" ht="15.75" customHeight="1">
      <c r="A6198" s="1" t="s">
        <v>18238</v>
      </c>
      <c r="B6198" s="1">
        <v>7.0</v>
      </c>
      <c r="C6198" s="1" t="s">
        <v>18239</v>
      </c>
      <c r="D6198" s="1" t="s">
        <v>52</v>
      </c>
      <c r="E6198" s="1" t="s">
        <v>18240</v>
      </c>
      <c r="F6198" s="1" t="str">
        <f>IFERROR(__xludf.DUMMYFUNCTION("GOOGLETRANSLATE(A6198, ""zh-CN"", ""ko"")"),"터무니없는")</f>
        <v>터무니없는</v>
      </c>
    </row>
    <row r="6199" ht="15.75" customHeight="1">
      <c r="A6199" s="1" t="s">
        <v>18241</v>
      </c>
      <c r="B6199" s="1">
        <v>7.0</v>
      </c>
      <c r="C6199" s="1" t="s">
        <v>18242</v>
      </c>
      <c r="D6199" s="1" t="s">
        <v>52</v>
      </c>
      <c r="E6199" s="1" t="s">
        <v>18243</v>
      </c>
      <c r="F6199" s="1" t="str">
        <f>IFERROR(__xludf.DUMMYFUNCTION("GOOGLETRANSLATE(A6199, ""zh-CN"", ""ko"")"),"공황")</f>
        <v>공황</v>
      </c>
    </row>
    <row r="6200" ht="15.75" customHeight="1">
      <c r="A6200" s="1" t="s">
        <v>18244</v>
      </c>
      <c r="B6200" s="1">
        <v>7.0</v>
      </c>
      <c r="C6200" s="1" t="s">
        <v>18245</v>
      </c>
      <c r="D6200" s="1" t="s">
        <v>52</v>
      </c>
      <c r="E6200" s="1" t="s">
        <v>18246</v>
      </c>
      <c r="F6200" s="1" t="str">
        <f>IFERROR(__xludf.DUMMYFUNCTION("GOOGLETRANSLATE(A6200, ""zh-CN"", ""ko"")"),"서두르다")</f>
        <v>서두르다</v>
      </c>
    </row>
    <row r="6201" ht="15.75" customHeight="1">
      <c r="A6201" s="1" t="s">
        <v>18247</v>
      </c>
      <c r="B6201" s="1">
        <v>7.0</v>
      </c>
      <c r="C6201" s="1" t="s">
        <v>18248</v>
      </c>
      <c r="D6201" s="1" t="s">
        <v>16</v>
      </c>
      <c r="E6201" s="1" t="s">
        <v>9295</v>
      </c>
      <c r="F6201" s="1" t="str">
        <f>IFERROR(__xludf.DUMMYFUNCTION("GOOGLETRANSLATE(A6201, ""zh-CN"", ""ko"")"),"대전")</f>
        <v>대전</v>
      </c>
    </row>
    <row r="6202" ht="15.75" customHeight="1">
      <c r="A6202" s="1" t="s">
        <v>18249</v>
      </c>
      <c r="B6202" s="1">
        <v>7.0</v>
      </c>
      <c r="C6202" s="1" t="s">
        <v>18250</v>
      </c>
      <c r="D6202" s="1" t="s">
        <v>16</v>
      </c>
      <c r="E6202" s="1" t="s">
        <v>9737</v>
      </c>
      <c r="F6202" s="1" t="str">
        <f>IFERROR(__xludf.DUMMYFUNCTION("GOOGLETRANSLATE(A6202, ""zh-CN"", ""ko"")"),"황제")</f>
        <v>황제</v>
      </c>
    </row>
    <row r="6203" ht="15.75" customHeight="1">
      <c r="A6203" s="1" t="s">
        <v>18251</v>
      </c>
      <c r="B6203" s="1">
        <v>7.0</v>
      </c>
      <c r="C6203" s="1" t="s">
        <v>18252</v>
      </c>
      <c r="D6203" s="1" t="s">
        <v>16</v>
      </c>
      <c r="E6203" s="1" t="s">
        <v>18253</v>
      </c>
      <c r="F6203" s="1" t="str">
        <f>IFERROR(__xludf.DUMMYFUNCTION("GOOGLETRANSLATE(A6203, ""zh-CN"", ""ko"")"),"왕실 가족")</f>
        <v>왕실 가족</v>
      </c>
    </row>
    <row r="6204" ht="15.75" customHeight="1">
      <c r="A6204" s="1" t="s">
        <v>18254</v>
      </c>
      <c r="B6204" s="1">
        <v>7.0</v>
      </c>
      <c r="C6204" s="1" t="s">
        <v>18255</v>
      </c>
      <c r="D6204" s="1" t="s">
        <v>16</v>
      </c>
      <c r="E6204" s="1" t="s">
        <v>18256</v>
      </c>
      <c r="F6204" s="1" t="str">
        <f>IFERROR(__xludf.DUMMYFUNCTION("GOOGLETRANSLATE(A6204, ""zh-CN"", ""ko"")"),"거짓말하다")</f>
        <v>거짓말하다</v>
      </c>
    </row>
    <row r="6205" ht="15.75" customHeight="1">
      <c r="A6205" s="1" t="s">
        <v>18257</v>
      </c>
      <c r="B6205" s="1">
        <v>7.0</v>
      </c>
      <c r="C6205" s="1" t="s">
        <v>18258</v>
      </c>
      <c r="D6205" s="1" t="s">
        <v>16</v>
      </c>
      <c r="E6205" s="1" t="s">
        <v>18256</v>
      </c>
      <c r="F6205" s="1" t="str">
        <f>IFERROR(__xludf.DUMMYFUNCTION("GOOGLETRANSLATE(A6205, ""zh-CN"", ""ko"")"),"거짓말하다")</f>
        <v>거짓말하다</v>
      </c>
    </row>
    <row r="6206" ht="15.75" customHeight="1">
      <c r="A6206" s="1" t="s">
        <v>18259</v>
      </c>
      <c r="B6206" s="1">
        <v>7.0</v>
      </c>
      <c r="C6206" s="1" t="s">
        <v>18260</v>
      </c>
      <c r="D6206" s="1" t="s">
        <v>8</v>
      </c>
      <c r="E6206" s="1" t="s">
        <v>18261</v>
      </c>
      <c r="F6206" s="1" t="str">
        <f>IFERROR(__xludf.DUMMYFUNCTION("GOOGLETRANSLATE(A6206, ""zh-CN"", ""ko"")"),"바위")</f>
        <v>바위</v>
      </c>
    </row>
    <row r="6207" ht="15.75" customHeight="1">
      <c r="A6207" s="1" t="s">
        <v>18262</v>
      </c>
      <c r="B6207" s="1">
        <v>7.0</v>
      </c>
      <c r="C6207" s="1" t="s">
        <v>18263</v>
      </c>
      <c r="D6207" s="1" t="s">
        <v>8</v>
      </c>
      <c r="E6207" s="1" t="s">
        <v>18264</v>
      </c>
      <c r="F6207" s="1" t="str">
        <f>IFERROR(__xludf.DUMMYFUNCTION("GOOGLETRANSLATE(A6207, ""zh-CN"", ""ko"")"),"파도")</f>
        <v>파도</v>
      </c>
    </row>
    <row r="6208" ht="15.75" customHeight="1">
      <c r="A6208" s="1" t="s">
        <v>18265</v>
      </c>
      <c r="B6208" s="1">
        <v>7.0</v>
      </c>
      <c r="C6208" s="1" t="s">
        <v>18266</v>
      </c>
      <c r="D6208" s="1" t="s">
        <v>8</v>
      </c>
      <c r="E6208" s="1" t="s">
        <v>18267</v>
      </c>
      <c r="F6208" s="1" t="str">
        <f>IFERROR(__xludf.DUMMYFUNCTION("GOOGLETRANSLATE(A6208, ""zh-CN"", ""ko"")"),"반품")</f>
        <v>반품</v>
      </c>
    </row>
    <row r="6209" ht="15.75" customHeight="1">
      <c r="A6209" s="1" t="s">
        <v>18268</v>
      </c>
      <c r="B6209" s="1">
        <v>7.0</v>
      </c>
      <c r="C6209" s="1" t="s">
        <v>18269</v>
      </c>
      <c r="D6209" s="1" t="s">
        <v>16</v>
      </c>
      <c r="E6209" s="1" t="s">
        <v>18270</v>
      </c>
      <c r="F6209" s="1" t="str">
        <f>IFERROR(__xludf.DUMMYFUNCTION("GOOGLETRANSLATE(A6209, ""zh-CN"", ""ko"")"),"둥근")</f>
        <v>둥근</v>
      </c>
    </row>
    <row r="6210" ht="15.75" customHeight="1">
      <c r="A6210" s="1" t="s">
        <v>18271</v>
      </c>
      <c r="B6210" s="1">
        <v>7.0</v>
      </c>
      <c r="C6210" s="1" t="s">
        <v>18272</v>
      </c>
      <c r="D6210" s="1" t="s">
        <v>8</v>
      </c>
      <c r="E6210" s="1" t="s">
        <v>18273</v>
      </c>
      <c r="F6210" s="1" t="str">
        <f>IFERROR(__xludf.DUMMYFUNCTION("GOOGLETRANSLATE(A6210, ""zh-CN"", ""ko"")"),"피드백")</f>
        <v>피드백</v>
      </c>
    </row>
    <row r="6211" ht="15.75" customHeight="1">
      <c r="A6211" s="1" t="s">
        <v>18274</v>
      </c>
      <c r="B6211" s="1">
        <v>7.0</v>
      </c>
      <c r="C6211" s="1" t="s">
        <v>18275</v>
      </c>
      <c r="D6211" s="1" t="s">
        <v>8</v>
      </c>
      <c r="E6211" s="1" t="s">
        <v>18276</v>
      </c>
      <c r="F6211" s="1" t="str">
        <f>IFERROR(__xludf.DUMMYFUNCTION("GOOGLETRANSLATE(A6211, ""zh-CN"", ""ko"")"),"풀백")</f>
        <v>풀백</v>
      </c>
    </row>
    <row r="6212" ht="15.75" customHeight="1">
      <c r="A6212" s="1" t="s">
        <v>18277</v>
      </c>
      <c r="B6212" s="1">
        <v>7.0</v>
      </c>
      <c r="C6212" s="1" t="s">
        <v>18278</v>
      </c>
      <c r="D6212" s="1" t="s">
        <v>8</v>
      </c>
      <c r="E6212" s="1" t="s">
        <v>18279</v>
      </c>
      <c r="F6212" s="1" t="str">
        <f>IFERROR(__xludf.DUMMYFUNCTION("GOOGLETRANSLATE(A6212, ""zh-CN"", ""ko"")"),"리바운드")</f>
        <v>리바운드</v>
      </c>
    </row>
    <row r="6213" ht="15.75" customHeight="1">
      <c r="A6213" s="1" t="s">
        <v>18280</v>
      </c>
      <c r="B6213" s="1">
        <v>7.0</v>
      </c>
      <c r="C6213" s="1" t="s">
        <v>18281</v>
      </c>
      <c r="D6213" s="1" t="s">
        <v>8</v>
      </c>
      <c r="E6213" s="1" t="s">
        <v>18282</v>
      </c>
      <c r="F6213" s="1" t="str">
        <f>IFERROR(__xludf.DUMMYFUNCTION("GOOGLETRANSLATE(A6213, ""zh-CN"", ""ko"")"),"뒤돌아보다")</f>
        <v>뒤돌아보다</v>
      </c>
    </row>
    <row r="6214" ht="15.75" customHeight="1">
      <c r="A6214" s="1" t="s">
        <v>18283</v>
      </c>
      <c r="B6214" s="1">
        <v>7.0</v>
      </c>
      <c r="C6214" s="1" t="s">
        <v>18284</v>
      </c>
      <c r="D6214" s="1" t="s">
        <v>14917</v>
      </c>
      <c r="E6214" s="1" t="s">
        <v>18285</v>
      </c>
      <c r="F6214" s="1" t="str">
        <f>IFERROR(__xludf.DUMMYFUNCTION("GOOGLETRANSLATE(A6214, ""zh-CN"", ""ko"")"),"뒷맛")</f>
        <v>뒷맛</v>
      </c>
    </row>
    <row r="6215" ht="15.75" customHeight="1">
      <c r="A6215" s="1" t="s">
        <v>18286</v>
      </c>
      <c r="B6215" s="1">
        <v>7.0</v>
      </c>
      <c r="C6215" s="1" t="s">
        <v>18287</v>
      </c>
      <c r="D6215" s="1" t="s">
        <v>8</v>
      </c>
      <c r="E6215" s="1" t="s">
        <v>18288</v>
      </c>
      <c r="F6215" s="1" t="str">
        <f>IFERROR(__xludf.DUMMYFUNCTION("GOOGLETRANSLATE(A6215, ""zh-CN"", ""ko"")"),"상기하다")</f>
        <v>상기하다</v>
      </c>
    </row>
    <row r="6216" ht="15.75" customHeight="1">
      <c r="A6216" s="1" t="s">
        <v>18289</v>
      </c>
      <c r="B6216" s="1">
        <v>7.0</v>
      </c>
      <c r="C6216" s="1" t="s">
        <v>18290</v>
      </c>
      <c r="D6216" s="1" t="s">
        <v>16</v>
      </c>
      <c r="E6216" s="1" t="s">
        <v>18291</v>
      </c>
      <c r="F6216" s="1" t="str">
        <f>IFERROR(__xludf.DUMMYFUNCTION("GOOGLETRANSLATE(A6216, ""zh-CN"", ""ko"")"),"회상록")</f>
        <v>회상록</v>
      </c>
    </row>
    <row r="6217" ht="15.75" customHeight="1">
      <c r="A6217" s="1" t="s">
        <v>18292</v>
      </c>
      <c r="B6217" s="1">
        <v>7.0</v>
      </c>
      <c r="C6217" s="1" t="s">
        <v>18293</v>
      </c>
      <c r="D6217" s="1" t="s">
        <v>8</v>
      </c>
      <c r="E6217" s="1" t="s">
        <v>16865</v>
      </c>
      <c r="F6217" s="1" t="str">
        <f>IFERROR(__xludf.DUMMYFUNCTION("GOOGLETRANSLATE(A6217, ""zh-CN"", ""ko"")"),"응답")</f>
        <v>응답</v>
      </c>
    </row>
    <row r="6218" ht="15.75" customHeight="1">
      <c r="A6218" s="1" t="s">
        <v>18294</v>
      </c>
      <c r="B6218" s="1">
        <v>7.0</v>
      </c>
      <c r="C6218" s="1" t="s">
        <v>18295</v>
      </c>
      <c r="D6218" s="1" t="s">
        <v>8</v>
      </c>
      <c r="E6218" s="1" t="s">
        <v>18296</v>
      </c>
      <c r="F6218" s="1" t="str">
        <f>IFERROR(__xludf.DUMMYFUNCTION("GOOGLETRANSLATE(A6218, ""zh-CN"", ""ko"")"),"파괴하다")</f>
        <v>파괴하다</v>
      </c>
    </row>
    <row r="6219" ht="15.75" customHeight="1">
      <c r="A6219" s="1" t="s">
        <v>18297</v>
      </c>
      <c r="B6219" s="1">
        <v>7.0</v>
      </c>
      <c r="C6219" s="1" t="s">
        <v>18298</v>
      </c>
      <c r="D6219" s="1" t="s">
        <v>8</v>
      </c>
      <c r="E6219" s="1" t="s">
        <v>18299</v>
      </c>
      <c r="F6219" s="1" t="str">
        <f>IFERROR(__xludf.DUMMYFUNCTION("GOOGLETRANSLATE(A6219, ""zh-CN"", ""ko"")"),"파괴")</f>
        <v>파괴</v>
      </c>
    </row>
    <row r="6220" ht="15.75" customHeight="1">
      <c r="A6220" s="1" t="s">
        <v>18300</v>
      </c>
      <c r="B6220" s="1">
        <v>7.0</v>
      </c>
      <c r="C6220" s="1" t="s">
        <v>18301</v>
      </c>
      <c r="D6220" s="1" t="s">
        <v>16</v>
      </c>
      <c r="E6220" s="1" t="s">
        <v>18302</v>
      </c>
      <c r="F6220" s="1" t="str">
        <f>IFERROR(__xludf.DUMMYFUNCTION("GOOGLETRANSLATE(A6220, ""zh-CN"", ""ko"")"),"장소")</f>
        <v>장소</v>
      </c>
    </row>
    <row r="6221" ht="15.75" customHeight="1">
      <c r="A6221" s="1" t="s">
        <v>18303</v>
      </c>
      <c r="B6221" s="1">
        <v>7.0</v>
      </c>
      <c r="C6221" s="1" t="s">
        <v>18304</v>
      </c>
      <c r="D6221" s="1" t="s">
        <v>8</v>
      </c>
      <c r="E6221" s="1" t="s">
        <v>18305</v>
      </c>
      <c r="F6221" s="1" t="str">
        <f>IFERROR(__xludf.DUMMYFUNCTION("GOOGLETRANSLATE(A6221, ""zh-CN"", ""ko"")"),"수렴")</f>
        <v>수렴</v>
      </c>
    </row>
    <row r="6222" ht="15.75" customHeight="1">
      <c r="A6222" s="1" t="s">
        <v>18306</v>
      </c>
      <c r="B6222" s="1">
        <v>7.0</v>
      </c>
      <c r="C6222" s="1" t="s">
        <v>18307</v>
      </c>
      <c r="D6222" s="1" t="s">
        <v>8</v>
      </c>
      <c r="E6222" s="1" t="s">
        <v>18308</v>
      </c>
      <c r="F6222" s="1" t="str">
        <f>IFERROR(__xludf.DUMMYFUNCTION("GOOGLETRANSLATE(A6222, ""zh-CN"", ""ko"")"),"수집")</f>
        <v>수집</v>
      </c>
    </row>
    <row r="6223" ht="15.75" customHeight="1">
      <c r="A6223" s="1" t="s">
        <v>18309</v>
      </c>
      <c r="B6223" s="1">
        <v>7.0</v>
      </c>
      <c r="C6223" s="1" t="s">
        <v>18310</v>
      </c>
      <c r="D6223" s="1" t="s">
        <v>8</v>
      </c>
      <c r="E6223" s="1" t="s">
        <v>18311</v>
      </c>
      <c r="F6223" s="1" t="str">
        <f>IFERROR(__xludf.DUMMYFUNCTION("GOOGLETRANSLATE(A6223, ""zh-CN"", ""ko"")"),"수렴")</f>
        <v>수렴</v>
      </c>
    </row>
    <row r="6224" ht="15.75" customHeight="1">
      <c r="A6224" s="1" t="s">
        <v>18312</v>
      </c>
      <c r="B6224" s="1">
        <v>7.0</v>
      </c>
      <c r="C6224" s="1" t="s">
        <v>18313</v>
      </c>
      <c r="D6224" s="1" t="s">
        <v>8</v>
      </c>
      <c r="E6224" s="1" t="s">
        <v>18314</v>
      </c>
      <c r="F6224" s="1" t="str">
        <f>IFERROR(__xludf.DUMMYFUNCTION("GOOGLETRANSLATE(A6224, ""zh-CN"", ""ko"")"),"만나다")</f>
        <v>만나다</v>
      </c>
    </row>
    <row r="6225" ht="15.75" customHeight="1">
      <c r="A6225" s="1" t="s">
        <v>18315</v>
      </c>
      <c r="B6225" s="1">
        <v>7.0</v>
      </c>
      <c r="C6225" s="1" t="s">
        <v>18316</v>
      </c>
      <c r="E6225" s="1" t="s">
        <v>18317</v>
      </c>
      <c r="F6225" s="1" t="str">
        <f>IFERROR(__xludf.DUMMYFUNCTION("GOOGLETRANSLATE(A6225, ""zh-CN"", ""ko"")"),"생생하고 다채로운")</f>
        <v>생생하고 다채로운</v>
      </c>
    </row>
    <row r="6226" ht="15.75" customHeight="1">
      <c r="A6226" s="1" t="s">
        <v>18318</v>
      </c>
      <c r="B6226" s="1">
        <v>7.0</v>
      </c>
      <c r="C6226" s="1" t="s">
        <v>18319</v>
      </c>
      <c r="D6226" s="1" t="s">
        <v>8</v>
      </c>
      <c r="E6226" s="1" t="s">
        <v>18320</v>
      </c>
      <c r="F6226" s="1" t="str">
        <f>IFERROR(__xludf.DUMMYFUNCTION("GOOGLETRANSLATE(A6226, ""zh-CN"", ""ko"")"),"대화")</f>
        <v>대화</v>
      </c>
    </row>
    <row r="6227" ht="15.75" customHeight="1">
      <c r="A6227" s="1" t="s">
        <v>18321</v>
      </c>
      <c r="B6227" s="1">
        <v>7.0</v>
      </c>
      <c r="C6227" s="1" t="s">
        <v>1225</v>
      </c>
      <c r="D6227" s="1" t="s">
        <v>8</v>
      </c>
      <c r="E6227" s="1" t="s">
        <v>18322</v>
      </c>
      <c r="F6227" s="1" t="str">
        <f>IFERROR(__xludf.DUMMYFUNCTION("GOOGLETRANSLATE(A6227, ""zh-CN"", ""ko"")"),"표의 문자 합성어")</f>
        <v>표의 문자 합성어</v>
      </c>
    </row>
    <row r="6228" ht="15.75" customHeight="1">
      <c r="A6228" s="1" t="s">
        <v>18323</v>
      </c>
      <c r="B6228" s="1">
        <v>7.0</v>
      </c>
      <c r="C6228" s="1" t="s">
        <v>18324</v>
      </c>
      <c r="D6228" s="1" t="s">
        <v>8</v>
      </c>
      <c r="E6228" s="1" t="s">
        <v>18325</v>
      </c>
      <c r="F6228" s="1" t="str">
        <f>IFERROR(__xludf.DUMMYFUNCTION("GOOGLETRANSLATE(A6228, ""zh-CN"", ""ko"")"),"상의")</f>
        <v>상의</v>
      </c>
    </row>
    <row r="6229" ht="15.75" customHeight="1">
      <c r="A6229" s="1" t="s">
        <v>18326</v>
      </c>
      <c r="B6229" s="1">
        <v>7.0</v>
      </c>
      <c r="C6229" s="1" t="s">
        <v>18327</v>
      </c>
      <c r="D6229" s="1" t="s">
        <v>8</v>
      </c>
      <c r="E6229" s="1" t="s">
        <v>18328</v>
      </c>
      <c r="F6229" s="1" t="str">
        <f>IFERROR(__xludf.DUMMYFUNCTION("GOOGLETRANSLATE(A6229, ""zh-CN"", ""ko"")"),"그리다")</f>
        <v>그리다</v>
      </c>
    </row>
    <row r="6230" ht="15.75" customHeight="1">
      <c r="A6230" s="1" t="s">
        <v>18329</v>
      </c>
      <c r="B6230" s="1">
        <v>7.0</v>
      </c>
      <c r="C6230" s="1" t="s">
        <v>9784</v>
      </c>
      <c r="D6230" s="1" t="s">
        <v>8</v>
      </c>
      <c r="E6230" s="1" t="s">
        <v>18330</v>
      </c>
      <c r="F6230" s="1" t="str">
        <f>IFERROR(__xludf.DUMMYFUNCTION("GOOGLETRANSLATE(A6230, ""zh-CN"", ""ko"")"),"희미한")</f>
        <v>희미한</v>
      </c>
    </row>
    <row r="6231" ht="15.75" customHeight="1">
      <c r="A6231" s="1" t="s">
        <v>18331</v>
      </c>
      <c r="B6231" s="1">
        <v>7.0</v>
      </c>
      <c r="C6231" s="1" t="s">
        <v>18332</v>
      </c>
      <c r="D6231" s="1" t="s">
        <v>16</v>
      </c>
      <c r="E6231" s="1" t="s">
        <v>18333</v>
      </c>
      <c r="F6231" s="1" t="str">
        <f>IFERROR(__xludf.DUMMYFUNCTION("GOOGLETRANSLATE(A6231, ""zh-CN"", ""ko"")"),"웨딩드레스")</f>
        <v>웨딩드레스</v>
      </c>
    </row>
    <row r="6232" ht="15.75" customHeight="1">
      <c r="A6232" s="1" t="s">
        <v>18334</v>
      </c>
      <c r="B6232" s="1">
        <v>7.0</v>
      </c>
      <c r="C6232" s="1" t="s">
        <v>18335</v>
      </c>
      <c r="D6232" s="1" t="s">
        <v>8</v>
      </c>
      <c r="E6232" s="1" t="s">
        <v>18336</v>
      </c>
      <c r="F6232" s="1" t="str">
        <f>IFERROR(__xludf.DUMMYFUNCTION("GOOGLETRANSLATE(A6232, ""zh-CN"", ""ko"")"),"豁")</f>
        <v>豁</v>
      </c>
    </row>
    <row r="6233" ht="15.75" customHeight="1">
      <c r="A6233" s="1" t="s">
        <v>18337</v>
      </c>
      <c r="B6233" s="1">
        <v>7.0</v>
      </c>
      <c r="C6233" s="1" t="s">
        <v>18338</v>
      </c>
      <c r="E6233" s="1" t="s">
        <v>18339</v>
      </c>
      <c r="F6233" s="1" t="str">
        <f>IFERROR(__xludf.DUMMYFUNCTION("GOOGLETRANSLATE(A6233, ""zh-CN"", ""ko"")"),"모든 힘을 다해라")</f>
        <v>모든 힘을 다해라</v>
      </c>
    </row>
    <row r="6234" ht="15.75" customHeight="1">
      <c r="A6234" s="1" t="s">
        <v>18340</v>
      </c>
      <c r="B6234" s="1">
        <v>7.0</v>
      </c>
      <c r="C6234" s="1" t="s">
        <v>18341</v>
      </c>
      <c r="D6234" s="1" t="s">
        <v>52</v>
      </c>
      <c r="E6234" s="1" t="s">
        <v>18342</v>
      </c>
      <c r="F6234" s="1" t="str">
        <f>IFERROR(__xludf.DUMMYFUNCTION("GOOGLETRANSLATE(A6234, ""zh-CN"", ""ko"")"),"현재의")</f>
        <v>현재의</v>
      </c>
    </row>
    <row r="6235" ht="15.75" customHeight="1">
      <c r="A6235" s="1" t="s">
        <v>18343</v>
      </c>
      <c r="B6235" s="1">
        <v>7.0</v>
      </c>
      <c r="C6235" s="1" t="s">
        <v>18344</v>
      </c>
      <c r="D6235" s="1" t="s">
        <v>52</v>
      </c>
      <c r="E6235" s="1" t="s">
        <v>18345</v>
      </c>
      <c r="F6235" s="1" t="str">
        <f>IFERROR(__xludf.DUMMYFUNCTION("GOOGLETRANSLATE(A6235, ""zh-CN"", ""ko"")"),"인기 있는")</f>
        <v>인기 있는</v>
      </c>
    </row>
    <row r="6236" ht="15.75" customHeight="1">
      <c r="A6236" s="1" t="s">
        <v>18346</v>
      </c>
      <c r="B6236" s="1">
        <v>7.0</v>
      </c>
      <c r="C6236" s="1" t="s">
        <v>18347</v>
      </c>
      <c r="D6236" s="1" t="s">
        <v>16</v>
      </c>
      <c r="E6236" s="1" t="s">
        <v>18348</v>
      </c>
      <c r="F6236" s="1" t="str">
        <f>IFERROR(__xludf.DUMMYFUNCTION("GOOGLETRANSLATE(A6236, ""zh-CN"", ""ko"")"),"조리 온도")</f>
        <v>조리 온도</v>
      </c>
    </row>
    <row r="6237" ht="15.75" customHeight="1">
      <c r="A6237" s="1" t="s">
        <v>18349</v>
      </c>
      <c r="B6237" s="1">
        <v>7.0</v>
      </c>
      <c r="C6237" s="1" t="s">
        <v>18350</v>
      </c>
      <c r="D6237" s="1" t="s">
        <v>16</v>
      </c>
      <c r="E6237" s="1" t="s">
        <v>18351</v>
      </c>
      <c r="F6237" s="1" t="str">
        <f>IFERROR(__xludf.DUMMYFUNCTION("GOOGLETRANSLATE(A6237, ""zh-CN"", ""ko"")"),"불꽃")</f>
        <v>불꽃</v>
      </c>
    </row>
    <row r="6238" ht="15.75" customHeight="1">
      <c r="A6238" s="1" t="s">
        <v>18352</v>
      </c>
      <c r="B6238" s="1">
        <v>7.0</v>
      </c>
      <c r="C6238" s="1" t="s">
        <v>18353</v>
      </c>
      <c r="D6238" s="1" t="s">
        <v>16</v>
      </c>
      <c r="E6238" s="1" t="s">
        <v>18354</v>
      </c>
      <c r="F6238" s="1" t="str">
        <f>IFERROR(__xludf.DUMMYFUNCTION("GOOGLETRANSLATE(A6238, ""zh-CN"", ""ko"")"),"토치")</f>
        <v>토치</v>
      </c>
    </row>
    <row r="6239" ht="15.75" customHeight="1">
      <c r="A6239" s="1" t="s">
        <v>18355</v>
      </c>
      <c r="B6239" s="1">
        <v>7.0</v>
      </c>
      <c r="C6239" s="1" t="s">
        <v>18356</v>
      </c>
      <c r="D6239" s="1" t="s">
        <v>52</v>
      </c>
      <c r="E6239" s="1" t="s">
        <v>18357</v>
      </c>
      <c r="F6239" s="1" t="str">
        <f>IFERROR(__xludf.DUMMYFUNCTION("GOOGLETRANSLATE(A6239, ""zh-CN"", ""ko"")"),"맵고 얼큰한")</f>
        <v>맵고 얼큰한</v>
      </c>
    </row>
    <row r="6240" ht="15.75" customHeight="1">
      <c r="A6240" s="1" t="s">
        <v>18358</v>
      </c>
      <c r="B6240" s="1">
        <v>7.0</v>
      </c>
      <c r="C6240" s="1" t="s">
        <v>18359</v>
      </c>
      <c r="D6240" s="1" t="s">
        <v>52</v>
      </c>
      <c r="E6240" s="1" t="s">
        <v>18360</v>
      </c>
      <c r="F6240" s="1" t="str">
        <f>IFERROR(__xludf.DUMMYFUNCTION("GOOGLETRANSLATE(A6240, ""zh-CN"", ""ko"")"),"불 같은")</f>
        <v>불 같은</v>
      </c>
    </row>
    <row r="6241" ht="15.75" customHeight="1">
      <c r="A6241" s="1" t="s">
        <v>18361</v>
      </c>
      <c r="B6241" s="1">
        <v>7.0</v>
      </c>
      <c r="C6241" s="1" t="s">
        <v>18362</v>
      </c>
      <c r="D6241" s="1" t="s">
        <v>16</v>
      </c>
      <c r="E6241" s="1" t="s">
        <v>18363</v>
      </c>
      <c r="F6241" s="1" t="str">
        <f>IFERROR(__xludf.DUMMYFUNCTION("GOOGLETRANSLATE(A6241, ""zh-CN"", ""ko"")"),"화산")</f>
        <v>화산</v>
      </c>
    </row>
    <row r="6242" ht="15.75" customHeight="1">
      <c r="A6242" s="1" t="s">
        <v>18364</v>
      </c>
      <c r="B6242" s="1">
        <v>7.0</v>
      </c>
      <c r="C6242" s="1" t="s">
        <v>18365</v>
      </c>
      <c r="D6242" s="1" t="s">
        <v>16</v>
      </c>
      <c r="E6242" s="1" t="s">
        <v>18366</v>
      </c>
      <c r="F6242" s="1" t="str">
        <f>IFERROR(__xludf.DUMMYFUNCTION("GOOGLETRANSLATE(A6242, ""zh-CN"", ""ko"")"),"음식")</f>
        <v>음식</v>
      </c>
    </row>
    <row r="6243" ht="15.75" customHeight="1">
      <c r="A6243" s="1" t="s">
        <v>18367</v>
      </c>
      <c r="B6243" s="1">
        <v>7.0</v>
      </c>
      <c r="C6243" s="1" t="s">
        <v>18368</v>
      </c>
      <c r="D6243" s="1" t="s">
        <v>33</v>
      </c>
      <c r="E6243" s="1" t="s">
        <v>18369</v>
      </c>
      <c r="F6243" s="1" t="str">
        <f>IFERROR(__xludf.DUMMYFUNCTION("GOOGLETRANSLATE(A6243, ""zh-CN"", ""ko"")"),"신속하게")</f>
        <v>신속하게</v>
      </c>
    </row>
    <row r="6244" ht="15.75" customHeight="1">
      <c r="A6244" s="1" t="s">
        <v>18370</v>
      </c>
      <c r="B6244" s="1">
        <v>7.0</v>
      </c>
      <c r="C6244" s="1" t="s">
        <v>18371</v>
      </c>
      <c r="D6244" s="1" t="s">
        <v>16</v>
      </c>
      <c r="E6244" s="1" t="s">
        <v>18372</v>
      </c>
      <c r="F6244" s="1" t="str">
        <f>IFERROR(__xludf.DUMMYFUNCTION("GOOGLETRANSLATE(A6244, ""zh-CN"", ""ko"")"),"햄")</f>
        <v>햄</v>
      </c>
    </row>
    <row r="6245" ht="15.75" customHeight="1">
      <c r="A6245" s="1" t="s">
        <v>18373</v>
      </c>
      <c r="B6245" s="1">
        <v>7.0</v>
      </c>
      <c r="C6245" s="1" t="s">
        <v>18374</v>
      </c>
      <c r="D6245" s="1" t="s">
        <v>52</v>
      </c>
      <c r="E6245" s="1" t="s">
        <v>18375</v>
      </c>
      <c r="F6245" s="1" t="str">
        <f>IFERROR(__xludf.DUMMYFUNCTION("GOOGLETRANSLATE(A6245, ""zh-CN"", ""ko"")"),"열린 마음")</f>
        <v>열린 마음</v>
      </c>
    </row>
    <row r="6246" ht="15.75" customHeight="1">
      <c r="A6246" s="1" t="s">
        <v>18376</v>
      </c>
      <c r="B6246" s="1">
        <v>7.0</v>
      </c>
      <c r="C6246" s="1" t="s">
        <v>18377</v>
      </c>
      <c r="E6246" s="1" t="s">
        <v>18378</v>
      </c>
      <c r="F6246" s="1" t="str">
        <f>IFERROR(__xludf.DUMMYFUNCTION("GOOGLETRANSLATE(A6246, ""zh-CN"", ""ko"")"),"대략")</f>
        <v>대략</v>
      </c>
    </row>
    <row r="6247" ht="15.75" customHeight="1">
      <c r="A6247" s="1" t="s">
        <v>18379</v>
      </c>
      <c r="B6247" s="1">
        <v>7.0</v>
      </c>
      <c r="C6247" s="1" t="s">
        <v>18380</v>
      </c>
      <c r="D6247" s="1" t="s">
        <v>14917</v>
      </c>
      <c r="E6247" s="1" t="s">
        <v>18381</v>
      </c>
      <c r="F6247" s="1" t="str">
        <f>IFERROR(__xludf.DUMMYFUNCTION("GOOGLETRANSLATE(A6247, ""zh-CN"", ""ko"")"),"채찍")</f>
        <v>채찍</v>
      </c>
    </row>
    <row r="6248" ht="15.75" customHeight="1">
      <c r="A6248" s="1" t="s">
        <v>18382</v>
      </c>
      <c r="B6248" s="1">
        <v>7.0</v>
      </c>
      <c r="C6248" s="1" t="s">
        <v>18383</v>
      </c>
      <c r="D6248" s="1" t="s">
        <v>8</v>
      </c>
      <c r="E6248" s="1" t="s">
        <v>18384</v>
      </c>
      <c r="F6248" s="1" t="str">
        <f>IFERROR(__xludf.DUMMYFUNCTION("GOOGLETRANSLATE(A6248, ""zh-CN"", ""ko"")"),"알게 되었다")</f>
        <v>알게 되었다</v>
      </c>
    </row>
    <row r="6249" ht="15.75" customHeight="1">
      <c r="A6249" s="1" t="s">
        <v>18385</v>
      </c>
      <c r="B6249" s="1">
        <v>7.0</v>
      </c>
      <c r="C6249" s="1" t="s">
        <v>18386</v>
      </c>
      <c r="D6249" s="1" t="s">
        <v>16</v>
      </c>
      <c r="E6249" s="1" t="s">
        <v>18387</v>
      </c>
      <c r="F6249" s="1" t="str">
        <f>IFERROR(__xludf.DUMMYFUNCTION("GOOGLETRANSLATE(A6249, ""zh-CN"", ""ko"")"),"화물")</f>
        <v>화물</v>
      </c>
    </row>
    <row r="6250" ht="15.75" customHeight="1">
      <c r="A6250" s="1" t="s">
        <v>18388</v>
      </c>
      <c r="B6250" s="1">
        <v>7.0</v>
      </c>
      <c r="C6250" s="1" t="s">
        <v>18389</v>
      </c>
      <c r="D6250" s="1" t="s">
        <v>8</v>
      </c>
      <c r="E6250" s="1" t="s">
        <v>18390</v>
      </c>
      <c r="F6250" s="1" t="str">
        <f>IFERROR(__xludf.DUMMYFUNCTION("GOOGLETRANSLATE(A6250, ""zh-CN"", ""ko"")"),"제품")</f>
        <v>제품</v>
      </c>
    </row>
    <row r="6251" ht="15.75" customHeight="1">
      <c r="A6251" s="1" t="s">
        <v>18391</v>
      </c>
      <c r="B6251" s="1">
        <v>7.0</v>
      </c>
      <c r="C6251" s="1" t="s">
        <v>18392</v>
      </c>
      <c r="D6251" s="1" t="s">
        <v>16</v>
      </c>
      <c r="E6251" s="1" t="s">
        <v>18393</v>
      </c>
      <c r="F6251" s="1" t="str">
        <f>IFERROR(__xludf.DUMMYFUNCTION("GOOGLETRANSLATE(A6251, ""zh-CN"", ""ko"")"),"기본 기술")</f>
        <v>기본 기술</v>
      </c>
    </row>
    <row r="6252" ht="15.75" customHeight="1">
      <c r="A6252" s="1" t="s">
        <v>18394</v>
      </c>
      <c r="B6252" s="1">
        <v>7.0</v>
      </c>
      <c r="C6252" s="1" t="s">
        <v>18395</v>
      </c>
      <c r="D6252" s="1" t="s">
        <v>16</v>
      </c>
      <c r="E6252" s="1" t="s">
        <v>18396</v>
      </c>
      <c r="F6252" s="1" t="str">
        <f>IFERROR(__xludf.DUMMYFUNCTION("GOOGLETRANSLATE(A6252, ""zh-CN"", ""ko"")"),"선실")</f>
        <v>선실</v>
      </c>
    </row>
    <row r="6253" ht="15.75" customHeight="1">
      <c r="A6253" s="1" t="s">
        <v>18397</v>
      </c>
      <c r="B6253" s="1">
        <v>7.0</v>
      </c>
      <c r="C6253" s="1" t="s">
        <v>18398</v>
      </c>
      <c r="D6253" s="1" t="s">
        <v>16</v>
      </c>
      <c r="E6253" s="1" t="s">
        <v>18399</v>
      </c>
      <c r="F6253" s="1" t="str">
        <f>IFERROR(__xludf.DUMMYFUNCTION("GOOGLETRANSLATE(A6253, ""zh-CN"", ""ko"")"),"기본적인")</f>
        <v>기본적인</v>
      </c>
    </row>
    <row r="6254" ht="15.75" customHeight="1">
      <c r="A6254" s="1" t="s">
        <v>18400</v>
      </c>
      <c r="B6254" s="1">
        <v>7.0</v>
      </c>
      <c r="C6254" s="1" t="s">
        <v>18401</v>
      </c>
      <c r="D6254" s="1" t="s">
        <v>8</v>
      </c>
      <c r="E6254" s="1" t="s">
        <v>18402</v>
      </c>
      <c r="F6254" s="1" t="str">
        <f>IFERROR(__xludf.DUMMYFUNCTION("GOOGLETRANSLATE(A6254, ""zh-CN"", ""ko"")"),"난류")</f>
        <v>난류</v>
      </c>
    </row>
    <row r="6255" ht="15.75" customHeight="1">
      <c r="A6255" s="1" t="s">
        <v>18403</v>
      </c>
      <c r="B6255" s="1">
        <v>7.0</v>
      </c>
      <c r="C6255" s="1" t="s">
        <v>18404</v>
      </c>
      <c r="D6255" s="1" t="s">
        <v>14870</v>
      </c>
      <c r="E6255" s="1" t="s">
        <v>18405</v>
      </c>
      <c r="F6255" s="1" t="str">
        <f>IFERROR(__xludf.DUMMYFUNCTION("GOOGLETRANSLATE(A6255, ""zh-CN"", ""ko"")"),"축적")</f>
        <v>축적</v>
      </c>
    </row>
    <row r="6256" ht="15.75" customHeight="1">
      <c r="A6256" s="1" t="s">
        <v>18406</v>
      </c>
      <c r="B6256" s="1">
        <v>7.0</v>
      </c>
      <c r="C6256" s="1" t="s">
        <v>18407</v>
      </c>
      <c r="D6256" s="1" t="s">
        <v>16</v>
      </c>
      <c r="E6256" s="1" t="s">
        <v>18408</v>
      </c>
      <c r="F6256" s="1" t="str">
        <f>IFERROR(__xludf.DUMMYFUNCTION("GOOGLETRANSLATE(A6256, ""zh-CN"", ""ko"")"),"피부")</f>
        <v>피부</v>
      </c>
    </row>
    <row r="6257" ht="15.75" customHeight="1">
      <c r="A6257" s="1" t="s">
        <v>18409</v>
      </c>
      <c r="B6257" s="1">
        <v>7.0</v>
      </c>
      <c r="C6257" s="1" t="s">
        <v>18410</v>
      </c>
      <c r="D6257" s="1" t="s">
        <v>15011</v>
      </c>
      <c r="E6257" s="1" t="s">
        <v>18411</v>
      </c>
      <c r="F6257" s="1" t="str">
        <f>IFERROR(__xludf.DUMMYFUNCTION("GOOGLETRANSLATE(A6257, ""zh-CN"", ""ko"")"),"오르간")</f>
        <v>오르간</v>
      </c>
    </row>
    <row r="6258" ht="15.75" customHeight="1">
      <c r="A6258" s="1" t="s">
        <v>18412</v>
      </c>
      <c r="B6258" s="1">
        <v>7.0</v>
      </c>
      <c r="C6258" s="1" t="s">
        <v>18413</v>
      </c>
      <c r="D6258" s="1" t="s">
        <v>16</v>
      </c>
      <c r="E6258" s="1" t="s">
        <v>18414</v>
      </c>
      <c r="F6258" s="1" t="str">
        <f>IFERROR(__xludf.DUMMYFUNCTION("GOOGLETRANSLATE(A6258, ""zh-CN"", ""ko"")"),"원자 램프")</f>
        <v>원자 램프</v>
      </c>
    </row>
    <row r="6259" ht="15.75" customHeight="1">
      <c r="A6259" s="1" t="s">
        <v>18415</v>
      </c>
      <c r="B6259" s="1">
        <v>7.0</v>
      </c>
      <c r="C6259" s="1" t="s">
        <v>18416</v>
      </c>
      <c r="D6259" s="1" t="s">
        <v>8</v>
      </c>
      <c r="E6259" s="1" t="s">
        <v>18417</v>
      </c>
      <c r="F6259" s="1" t="str">
        <f>IFERROR(__xludf.DUMMYFUNCTION("GOOGLETRANSLATE(A6259, ""zh-CN"", ""ko"")"),"강하게 하다")</f>
        <v>강하게 하다</v>
      </c>
    </row>
    <row r="6260" ht="15.75" customHeight="1">
      <c r="A6260" s="1" t="s">
        <v>18418</v>
      </c>
      <c r="B6260" s="1">
        <v>7.0</v>
      </c>
      <c r="C6260" s="1" t="s">
        <v>18419</v>
      </c>
      <c r="D6260" s="1" t="s">
        <v>8</v>
      </c>
      <c r="E6260" s="1" t="s">
        <v>18420</v>
      </c>
      <c r="F6260" s="1" t="str">
        <f>IFERROR(__xludf.DUMMYFUNCTION("GOOGLETRANSLATE(A6260, ""zh-CN"", ""ko"")"),"활성화")</f>
        <v>활성화</v>
      </c>
    </row>
    <row r="6261" ht="15.75" customHeight="1">
      <c r="A6261" s="1" t="s">
        <v>18421</v>
      </c>
      <c r="B6261" s="1">
        <v>7.0</v>
      </c>
      <c r="C6261" s="1" t="s">
        <v>18422</v>
      </c>
      <c r="D6261" s="1" t="s">
        <v>16</v>
      </c>
      <c r="E6261" s="1" t="s">
        <v>18423</v>
      </c>
      <c r="F6261" s="1" t="str">
        <f>IFERROR(__xludf.DUMMYFUNCTION("GOOGLETRANSLATE(A6261, ""zh-CN"", ""ko"")"),"하부 구조")</f>
        <v>하부 구조</v>
      </c>
    </row>
    <row r="6262" ht="15.75" customHeight="1">
      <c r="A6262" s="1" t="s">
        <v>18424</v>
      </c>
      <c r="B6262" s="1">
        <v>7.0</v>
      </c>
      <c r="C6262" s="1" t="s">
        <v>18425</v>
      </c>
      <c r="D6262" s="1" t="s">
        <v>16</v>
      </c>
      <c r="E6262" s="1" t="s">
        <v>18426</v>
      </c>
      <c r="F6262" s="1" t="str">
        <f>IFERROR(__xludf.DUMMYFUNCTION("GOOGLETRANSLATE(A6262, ""zh-CN"", ""ko"")"),"기반")</f>
        <v>기반</v>
      </c>
    </row>
    <row r="6263" ht="15.75" customHeight="1">
      <c r="A6263" s="1" t="s">
        <v>18427</v>
      </c>
      <c r="B6263" s="1">
        <v>7.0</v>
      </c>
      <c r="C6263" s="1" t="s">
        <v>18428</v>
      </c>
      <c r="D6263" s="1" t="s">
        <v>8</v>
      </c>
      <c r="E6263" s="1" t="s">
        <v>18429</v>
      </c>
      <c r="F6263" s="1" t="str">
        <f>IFERROR(__xludf.DUMMYFUNCTION("GOOGLETRANSLATE(A6263, ""zh-CN"", ""ko"")"),"깨우다")</f>
        <v>깨우다</v>
      </c>
    </row>
    <row r="6264" ht="15.75" customHeight="1">
      <c r="A6264" s="1" t="s">
        <v>18430</v>
      </c>
      <c r="B6264" s="1">
        <v>7.0</v>
      </c>
      <c r="C6264" s="1" t="s">
        <v>18431</v>
      </c>
      <c r="D6264" s="1" t="s">
        <v>16</v>
      </c>
      <c r="E6264" s="1" t="s">
        <v>18432</v>
      </c>
      <c r="F6264" s="1" t="str">
        <f>IFERROR(__xludf.DUMMYFUNCTION("GOOGLETRANSLATE(A6264, ""zh-CN"", ""ko"")"),"호르몬")</f>
        <v>호르몬</v>
      </c>
    </row>
    <row r="6265" ht="15.75" customHeight="1">
      <c r="A6265" s="1" t="s">
        <v>18433</v>
      </c>
      <c r="B6265" s="1">
        <v>7.0</v>
      </c>
      <c r="C6265" s="1" t="s">
        <v>18434</v>
      </c>
      <c r="D6265" s="1" t="s">
        <v>52</v>
      </c>
      <c r="E6265" s="1" t="s">
        <v>18435</v>
      </c>
      <c r="F6265" s="1" t="str">
        <f>IFERROR(__xludf.DUMMYFUNCTION("GOOGLETRANSLATE(A6265, ""zh-CN"", ""ko"")"),"기형")</f>
        <v>기형</v>
      </c>
    </row>
    <row r="6266" ht="15.75" customHeight="1">
      <c r="A6266" s="1" t="s">
        <v>18436</v>
      </c>
      <c r="B6266" s="1">
        <v>7.0</v>
      </c>
      <c r="C6266" s="1" t="s">
        <v>18437</v>
      </c>
      <c r="D6266" s="1" t="s">
        <v>14870</v>
      </c>
      <c r="E6266" s="1" t="s">
        <v>18438</v>
      </c>
      <c r="F6266" s="1" t="str">
        <f>IFERROR(__xludf.DUMMYFUNCTION("GOOGLETRANSLATE(A6266, ""zh-CN"", ""ko"")"),"저금")</f>
        <v>저금</v>
      </c>
    </row>
    <row r="6267" ht="15.75" customHeight="1">
      <c r="A6267" s="1" t="s">
        <v>18439</v>
      </c>
      <c r="B6267" s="1">
        <v>7.0</v>
      </c>
      <c r="C6267" s="1" t="s">
        <v>18440</v>
      </c>
      <c r="D6267" s="1" t="s">
        <v>486</v>
      </c>
      <c r="E6267" s="1" t="s">
        <v>18441</v>
      </c>
      <c r="F6267" s="1" t="str">
        <f>IFERROR(__xludf.DUMMYFUNCTION("GOOGLETRANSLATE(A6267, ""zh-CN"", ""ko"")"),"~을 기반으로")</f>
        <v>~을 기반으로</v>
      </c>
    </row>
    <row r="6268" ht="15.75" customHeight="1">
      <c r="A6268" s="1" t="s">
        <v>18442</v>
      </c>
      <c r="B6268" s="1">
        <v>7.0</v>
      </c>
      <c r="C6268" s="1" t="s">
        <v>18443</v>
      </c>
      <c r="D6268" s="1" t="s">
        <v>8</v>
      </c>
      <c r="E6268" s="1" t="s">
        <v>18444</v>
      </c>
      <c r="F6268" s="1" t="str">
        <f>IFERROR(__xludf.DUMMYFUNCTION("GOOGLETRANSLATE(A6268, ""zh-CN"", ""ko"")"),"모으다")</f>
        <v>모으다</v>
      </c>
    </row>
    <row r="6269" ht="15.75" customHeight="1">
      <c r="A6269" s="1" t="s">
        <v>18445</v>
      </c>
      <c r="B6269" s="1">
        <v>7.0</v>
      </c>
      <c r="C6269" s="1" t="s">
        <v>18446</v>
      </c>
      <c r="D6269" s="1" t="s">
        <v>8</v>
      </c>
      <c r="E6269" s="1" t="s">
        <v>18447</v>
      </c>
      <c r="F6269" s="1" t="str">
        <f>IFERROR(__xludf.DUMMYFUNCTION("GOOGLETRANSLATE(A6269, ""zh-CN"", ""ko"")"),"급등하다")</f>
        <v>급등하다</v>
      </c>
    </row>
    <row r="6270" ht="15.75" customHeight="1">
      <c r="A6270" s="1" t="s">
        <v>18448</v>
      </c>
      <c r="B6270" s="1">
        <v>7.0</v>
      </c>
      <c r="C6270" s="1" t="s">
        <v>18449</v>
      </c>
      <c r="D6270" s="1" t="s">
        <v>16</v>
      </c>
      <c r="E6270" s="1" t="s">
        <v>18450</v>
      </c>
      <c r="F6270" s="1" t="str">
        <f>IFERROR(__xludf.DUMMYFUNCTION("GOOGLETRANSLATE(A6270, ""zh-CN"", ""ko"")"),"기준")</f>
        <v>기준</v>
      </c>
    </row>
    <row r="6271" ht="15.75" customHeight="1">
      <c r="A6271" s="1" t="s">
        <v>18451</v>
      </c>
      <c r="B6271" s="1">
        <v>7.0</v>
      </c>
      <c r="C6271" s="1" t="s">
        <v>1237</v>
      </c>
      <c r="D6271" s="1" t="s">
        <v>33</v>
      </c>
      <c r="E6271" s="1" t="s">
        <v>18452</v>
      </c>
      <c r="F6271" s="1" t="str">
        <f>IFERROR(__xludf.DUMMYFUNCTION("GOOGLETRANSLATE(A6271, ""zh-CN"", ""ko"")"),"지금 바로")</f>
        <v>지금 바로</v>
      </c>
    </row>
    <row r="6272" ht="15.75" customHeight="1">
      <c r="A6272" s="1" t="s">
        <v>18453</v>
      </c>
      <c r="B6272" s="1">
        <v>7.0</v>
      </c>
      <c r="C6272" s="1" t="s">
        <v>18454</v>
      </c>
      <c r="D6272" s="1" t="s">
        <v>52</v>
      </c>
      <c r="E6272" s="1" t="s">
        <v>18455</v>
      </c>
      <c r="F6272" s="1" t="str">
        <f>IFERROR(__xludf.DUMMYFUNCTION("GOOGLETRANSLATE(A6272, ""zh-CN"", ""ko"")"),"빠른")</f>
        <v>빠른</v>
      </c>
    </row>
    <row r="6273" ht="15.75" customHeight="1">
      <c r="A6273" s="1" t="s">
        <v>18456</v>
      </c>
      <c r="B6273" s="1">
        <v>7.0</v>
      </c>
      <c r="C6273" s="1" t="s">
        <v>9877</v>
      </c>
      <c r="D6273" s="1" t="s">
        <v>33</v>
      </c>
      <c r="E6273" s="1" t="s">
        <v>18457</v>
      </c>
      <c r="F6273" s="1" t="str">
        <f>IFERROR(__xludf.DUMMYFUNCTION("GOOGLETRANSLATE(A6273, ""zh-CN"", ""ko"")"),"극심한")</f>
        <v>극심한</v>
      </c>
    </row>
    <row r="6274" ht="15.75" customHeight="1">
      <c r="A6274" s="1" t="s">
        <v>18458</v>
      </c>
      <c r="B6274" s="1">
        <v>7.0</v>
      </c>
      <c r="C6274" s="1" t="s">
        <v>18459</v>
      </c>
      <c r="D6274" s="1" t="s">
        <v>14917</v>
      </c>
      <c r="E6274" s="1" t="s">
        <v>18460</v>
      </c>
      <c r="F6274" s="1" t="str">
        <f>IFERROR(__xludf.DUMMYFUNCTION("GOOGLETRANSLATE(A6274, ""zh-CN"", ""ko"")"),"집회")</f>
        <v>집회</v>
      </c>
    </row>
    <row r="6275" ht="15.75" customHeight="1">
      <c r="A6275" s="1" t="s">
        <v>18461</v>
      </c>
      <c r="B6275" s="1">
        <v>7.0</v>
      </c>
      <c r="C6275" s="1" t="s">
        <v>18462</v>
      </c>
      <c r="D6275" s="1" t="s">
        <v>8</v>
      </c>
      <c r="E6275" s="1" t="s">
        <v>18463</v>
      </c>
      <c r="F6275" s="1" t="str">
        <f>IFERROR(__xludf.DUMMYFUNCTION("GOOGLETRANSLATE(A6275, ""zh-CN"", ""ko"")"),"그게 다예요")</f>
        <v>그게 다예요</v>
      </c>
    </row>
    <row r="6276" ht="15.75" customHeight="1">
      <c r="A6276" s="1" t="s">
        <v>18464</v>
      </c>
      <c r="B6276" s="1">
        <v>7.0</v>
      </c>
      <c r="C6276" s="1" t="s">
        <v>18465</v>
      </c>
      <c r="D6276" s="1" t="s">
        <v>52</v>
      </c>
      <c r="E6276" s="1" t="s">
        <v>18466</v>
      </c>
      <c r="F6276" s="1" t="str">
        <f>IFERROR(__xludf.DUMMYFUNCTION("GOOGLETRANSLATE(A6276, ""zh-CN"", ""ko"")"),"길조")</f>
        <v>길조</v>
      </c>
    </row>
    <row r="6277" ht="15.75" customHeight="1">
      <c r="A6277" s="1" t="s">
        <v>18467</v>
      </c>
      <c r="B6277" s="1">
        <v>7.0</v>
      </c>
      <c r="C6277" s="1" t="s">
        <v>18465</v>
      </c>
      <c r="D6277" s="1" t="s">
        <v>33</v>
      </c>
      <c r="E6277" s="1" t="s">
        <v>18468</v>
      </c>
      <c r="F6277" s="1" t="str">
        <f>IFERROR(__xludf.DUMMYFUNCTION("GOOGLETRANSLATE(A6277, ""zh-CN"", ""ko"")"),"자신의 능력껏")</f>
        <v>자신의 능력껏</v>
      </c>
    </row>
    <row r="6278" ht="15.75" customHeight="1">
      <c r="A6278" s="1" t="s">
        <v>18469</v>
      </c>
      <c r="B6278" s="1">
        <v>7.0</v>
      </c>
      <c r="C6278" s="1" t="s">
        <v>18470</v>
      </c>
      <c r="D6278" s="1" t="s">
        <v>52</v>
      </c>
      <c r="E6278" s="1" t="s">
        <v>18471</v>
      </c>
      <c r="F6278" s="1" t="str">
        <f>IFERROR(__xludf.DUMMYFUNCTION("GOOGLETRANSLATE(A6278, ""zh-CN"", ""ko"")"),"긴급한")</f>
        <v>긴급한</v>
      </c>
    </row>
    <row r="6279" ht="15.75" customHeight="1">
      <c r="A6279" s="1" t="s">
        <v>18472</v>
      </c>
      <c r="B6279" s="1">
        <v>7.0</v>
      </c>
      <c r="C6279" s="1" t="s">
        <v>18473</v>
      </c>
      <c r="D6279" s="1" t="s">
        <v>8</v>
      </c>
      <c r="E6279" s="1" t="s">
        <v>18474</v>
      </c>
      <c r="F6279" s="1" t="str">
        <f>IFERROR(__xludf.DUMMYFUNCTION("GOOGLETRANSLATE(A6279, ""zh-CN"", ""ko"")"),"그리다")</f>
        <v>그리다</v>
      </c>
    </row>
    <row r="6280" ht="15.75" customHeight="1">
      <c r="A6280" s="1" t="s">
        <v>18475</v>
      </c>
      <c r="B6280" s="1">
        <v>7.0</v>
      </c>
      <c r="C6280" s="1" t="s">
        <v>18476</v>
      </c>
      <c r="D6280" s="1" t="s">
        <v>16</v>
      </c>
      <c r="E6280" s="1" t="s">
        <v>18477</v>
      </c>
      <c r="F6280" s="1" t="str">
        <f>IFERROR(__xludf.DUMMYFUNCTION("GOOGLETRANSLATE(A6280, ""zh-CN"", ""ko"")"),"오늘")</f>
        <v>오늘</v>
      </c>
    </row>
    <row r="6281" ht="15.75" customHeight="1">
      <c r="A6281" s="1" t="s">
        <v>18478</v>
      </c>
      <c r="B6281" s="1">
        <v>7.0</v>
      </c>
      <c r="C6281" s="1" t="s">
        <v>2334</v>
      </c>
      <c r="D6281" s="1" t="s">
        <v>33</v>
      </c>
      <c r="E6281" s="1" t="s">
        <v>1383</v>
      </c>
      <c r="F6281" s="1" t="str">
        <f>IFERROR(__xludf.DUMMYFUNCTION("GOOGLETRANSLATE(A6281, ""zh-CN"", ""ko"")"),"즉각적인")</f>
        <v>즉각적인</v>
      </c>
    </row>
    <row r="6282" ht="15.75" customHeight="1">
      <c r="A6282" s="1" t="s">
        <v>18479</v>
      </c>
      <c r="B6282" s="1">
        <v>7.0</v>
      </c>
      <c r="C6282" s="1" t="s">
        <v>18480</v>
      </c>
      <c r="D6282" s="1" t="s">
        <v>16</v>
      </c>
      <c r="E6282" s="1" t="s">
        <v>6070</v>
      </c>
      <c r="F6282" s="1" t="str">
        <f>IFERROR(__xludf.DUMMYFUNCTION("GOOGLETRANSLATE(A6282, ""zh-CN"", ""ko"")"),"시장")</f>
        <v>시장</v>
      </c>
    </row>
    <row r="6283" ht="15.75" customHeight="1">
      <c r="A6283" s="1" t="s">
        <v>18481</v>
      </c>
      <c r="B6283" s="1">
        <v>7.0</v>
      </c>
      <c r="C6283" s="1" t="s">
        <v>18482</v>
      </c>
      <c r="D6283" s="1" t="s">
        <v>52</v>
      </c>
      <c r="E6283" s="1" t="s">
        <v>18483</v>
      </c>
      <c r="F6283" s="1" t="str">
        <f>IFERROR(__xludf.DUMMYFUNCTION("GOOGLETRANSLATE(A6283, ""zh-CN"", ""ko"")"),"교활한")</f>
        <v>교활한</v>
      </c>
    </row>
    <row r="6284" ht="15.75" customHeight="1">
      <c r="A6284" s="1" t="s">
        <v>18484</v>
      </c>
      <c r="B6284" s="1">
        <v>7.0</v>
      </c>
      <c r="C6284" s="1" t="s">
        <v>18485</v>
      </c>
      <c r="E6284" s="1" t="s">
        <v>18486</v>
      </c>
      <c r="F6284" s="1" t="str">
        <f>IFERROR(__xludf.DUMMYFUNCTION("GOOGLETRANSLATE(A6284, ""zh-CN"", ""ko"")"),"브레인스토밍")</f>
        <v>브레인스토밍</v>
      </c>
    </row>
    <row r="6285" ht="15.75" customHeight="1">
      <c r="A6285" s="1" t="s">
        <v>18487</v>
      </c>
      <c r="B6285" s="1">
        <v>7.0</v>
      </c>
      <c r="C6285" s="1" t="s">
        <v>18488</v>
      </c>
      <c r="D6285" s="1" t="s">
        <v>16</v>
      </c>
      <c r="E6285" s="1" t="s">
        <v>18489</v>
      </c>
      <c r="F6285" s="1" t="str">
        <f>IFERROR(__xludf.DUMMYFUNCTION("GOOGLETRANSLATE(A6285, ""zh-CN"", ""ko"")"),"기타")</f>
        <v>기타</v>
      </c>
    </row>
    <row r="6286" ht="15.75" customHeight="1">
      <c r="A6286" s="1" t="s">
        <v>18490</v>
      </c>
      <c r="B6286" s="1">
        <v>7.0</v>
      </c>
      <c r="C6286" s="1" t="s">
        <v>18491</v>
      </c>
      <c r="D6286" s="1" t="s">
        <v>16</v>
      </c>
      <c r="E6286" s="1" t="s">
        <v>18492</v>
      </c>
      <c r="F6286" s="1" t="str">
        <f>IFERROR(__xludf.DUMMYFUNCTION("GOOGLETRANSLATE(A6286, ""zh-CN"", ""ko"")"),"마스코트")</f>
        <v>마스코트</v>
      </c>
    </row>
    <row r="6287" ht="15.75" customHeight="1">
      <c r="A6287" s="1" t="s">
        <v>18493</v>
      </c>
      <c r="B6287" s="1">
        <v>7.0</v>
      </c>
      <c r="C6287" s="1" t="s">
        <v>18494</v>
      </c>
      <c r="D6287" s="1" t="s">
        <v>52</v>
      </c>
      <c r="E6287" s="1" t="s">
        <v>18495</v>
      </c>
      <c r="F6287" s="1" t="str">
        <f>IFERROR(__xludf.DUMMYFUNCTION("GOOGLETRANSLATE(A6287, ""zh-CN"", ""ko"")"),"심각한")</f>
        <v>심각한</v>
      </c>
    </row>
    <row r="6288" ht="15.75" customHeight="1">
      <c r="A6288" s="1" t="s">
        <v>18496</v>
      </c>
      <c r="B6288" s="1">
        <v>7.0</v>
      </c>
      <c r="C6288" s="1" t="s">
        <v>18497</v>
      </c>
      <c r="D6288" s="1" t="s">
        <v>8</v>
      </c>
      <c r="E6288" s="1" t="s">
        <v>18498</v>
      </c>
      <c r="F6288" s="1" t="str">
        <f>IFERROR(__xludf.DUMMYFUNCTION("GOOGLETRANSLATE(A6288, ""zh-CN"", ""ko"")"),"열렬한")</f>
        <v>열렬한</v>
      </c>
    </row>
    <row r="6289" ht="15.75" customHeight="1">
      <c r="A6289" s="1" t="s">
        <v>18499</v>
      </c>
      <c r="B6289" s="1">
        <v>7.0</v>
      </c>
      <c r="C6289" s="1" t="s">
        <v>18500</v>
      </c>
      <c r="E6289" s="1" t="s">
        <v>18501</v>
      </c>
      <c r="F6289" s="1" t="str">
        <f>IFERROR(__xludf.DUMMYFUNCTION("GOOGLETRANSLATE(A6289, ""zh-CN"", ""ko"")"),"빠른 판단력")</f>
        <v>빠른 판단력</v>
      </c>
    </row>
    <row r="6290" ht="15.75" customHeight="1">
      <c r="A6290" s="1" t="s">
        <v>18502</v>
      </c>
      <c r="B6290" s="1">
        <v>7.0</v>
      </c>
      <c r="C6290" s="1" t="s">
        <v>18503</v>
      </c>
      <c r="D6290" s="1" t="s">
        <v>16</v>
      </c>
      <c r="E6290" s="1" t="s">
        <v>18504</v>
      </c>
      <c r="F6290" s="1" t="str">
        <f>IFERROR(__xludf.DUMMYFUNCTION("GOOGLETRANSLATE(A6290, ""zh-CN"", ""ko"")"),"컨테이너")</f>
        <v>컨테이너</v>
      </c>
    </row>
    <row r="6291" ht="15.75" customHeight="1">
      <c r="A6291" s="1" t="s">
        <v>18505</v>
      </c>
      <c r="B6291" s="1">
        <v>7.0</v>
      </c>
      <c r="C6291" s="1" t="s">
        <v>18506</v>
      </c>
      <c r="D6291" s="1" t="s">
        <v>8</v>
      </c>
      <c r="E6291" s="1" t="s">
        <v>18507</v>
      </c>
      <c r="F6291" s="1" t="str">
        <f>IFERROR(__xludf.DUMMYFUNCTION("GOOGLETRANSLATE(A6291, ""zh-CN"", ""ko"")"),"모금 활동")</f>
        <v>모금 활동</v>
      </c>
    </row>
    <row r="6292" ht="15.75" customHeight="1">
      <c r="A6292" s="1" t="s">
        <v>18508</v>
      </c>
      <c r="B6292" s="1">
        <v>7.0</v>
      </c>
      <c r="C6292" s="1" t="s">
        <v>18509</v>
      </c>
      <c r="D6292" s="1" t="s">
        <v>16</v>
      </c>
      <c r="E6292" s="1" t="s">
        <v>18510</v>
      </c>
      <c r="F6292" s="1" t="str">
        <f>IFERROR(__xludf.DUMMYFUNCTION("GOOGLETRANSLATE(A6292, ""zh-CN"", ""ko"")"),"등뼈")</f>
        <v>등뼈</v>
      </c>
    </row>
    <row r="6293" ht="15.75" customHeight="1">
      <c r="A6293" s="1" t="s">
        <v>18511</v>
      </c>
      <c r="B6293" s="1">
        <v>7.0</v>
      </c>
      <c r="C6293" s="1" t="s">
        <v>18512</v>
      </c>
      <c r="D6293" s="1" t="s">
        <v>8</v>
      </c>
      <c r="E6293" s="1" t="s">
        <v>18513</v>
      </c>
      <c r="F6293" s="1" t="str">
        <f>IFERROR(__xludf.DUMMYFUNCTION("GOOGLETRANSLATE(A6293, ""zh-CN"", ""ko"")"),"압출")</f>
        <v>압출</v>
      </c>
    </row>
    <row r="6294" ht="15.75" customHeight="1">
      <c r="A6294" s="1" t="s">
        <v>18514</v>
      </c>
      <c r="B6294" s="1">
        <v>7.0</v>
      </c>
      <c r="C6294" s="1" t="s">
        <v>2340</v>
      </c>
      <c r="D6294" s="1" t="s">
        <v>1473</v>
      </c>
      <c r="E6294" s="1" t="s">
        <v>133</v>
      </c>
      <c r="F6294" s="1" t="str">
        <f>IFERROR(__xludf.DUMMYFUNCTION("GOOGLETRANSLATE(A6294, ""zh-CN"", ""ko"")"),"그리고")</f>
        <v>그리고</v>
      </c>
    </row>
    <row r="6295" ht="15.75" customHeight="1">
      <c r="A6295" s="1" t="s">
        <v>18515</v>
      </c>
      <c r="B6295" s="1">
        <v>7.0</v>
      </c>
      <c r="C6295" s="1" t="s">
        <v>2340</v>
      </c>
      <c r="D6295" s="1" t="s">
        <v>17233</v>
      </c>
      <c r="E6295" s="1" t="s">
        <v>18516</v>
      </c>
      <c r="F6295" s="1" t="str">
        <f>IFERROR(__xludf.DUMMYFUNCTION("GOOGLETRANSLATE(A6295, ""zh-CN"", ""ko"")"),"대리인")</f>
        <v>대리인</v>
      </c>
    </row>
    <row r="6296" ht="15.75" customHeight="1">
      <c r="A6296" s="1" t="s">
        <v>18517</v>
      </c>
      <c r="B6296" s="1">
        <v>7.0</v>
      </c>
      <c r="C6296" s="1" t="s">
        <v>2340</v>
      </c>
      <c r="D6296" s="1" t="s">
        <v>8</v>
      </c>
      <c r="E6296" s="1" t="s">
        <v>18518</v>
      </c>
      <c r="F6296" s="1" t="str">
        <f>IFERROR(__xludf.DUMMYFUNCTION("GOOGLETRANSLATE(A6296, ""zh-CN"", ""ko"")"),"피하다")</f>
        <v>피하다</v>
      </c>
    </row>
    <row r="6297" ht="15.75" customHeight="1">
      <c r="A6297" s="1" t="s">
        <v>18519</v>
      </c>
      <c r="B6297" s="1">
        <v>7.0</v>
      </c>
      <c r="C6297" s="1" t="s">
        <v>2340</v>
      </c>
      <c r="D6297" s="1" t="s">
        <v>8</v>
      </c>
      <c r="E6297" s="1" t="s">
        <v>18520</v>
      </c>
      <c r="F6297" s="1" t="str">
        <f>IFERROR(__xludf.DUMMYFUNCTION("GOOGLETRANSLATE(A6297, ""zh-CN"", ""ko"")"),"희생")</f>
        <v>희생</v>
      </c>
    </row>
    <row r="6298" ht="15.75" customHeight="1">
      <c r="A6298" s="1" t="s">
        <v>18521</v>
      </c>
      <c r="B6298" s="1">
        <v>7.0</v>
      </c>
      <c r="C6298" s="1" t="s">
        <v>2340</v>
      </c>
      <c r="D6298" s="1" t="s">
        <v>8</v>
      </c>
      <c r="E6298" s="1" t="s">
        <v>18522</v>
      </c>
      <c r="F6298" s="1" t="str">
        <f>IFERROR(__xludf.DUMMYFUNCTION("GOOGLETRANSLATE(A6298, ""zh-CN"", ""ko"")"),"수행원")</f>
        <v>수행원</v>
      </c>
    </row>
    <row r="6299" ht="15.75" customHeight="1">
      <c r="A6299" s="1" t="s">
        <v>18523</v>
      </c>
      <c r="B6299" s="1">
        <v>7.0</v>
      </c>
      <c r="C6299" s="1" t="s">
        <v>2340</v>
      </c>
      <c r="D6299" s="1" t="s">
        <v>14917</v>
      </c>
      <c r="E6299" s="1" t="s">
        <v>18524</v>
      </c>
      <c r="F6299" s="1" t="str">
        <f>IFERROR(__xludf.DUMMYFUNCTION("GOOGLETRANSLATE(A6299, ""zh-CN"", ""ko"")"),"세다")</f>
        <v>세다</v>
      </c>
    </row>
    <row r="6300" ht="15.75" customHeight="1">
      <c r="A6300" s="1" t="s">
        <v>18525</v>
      </c>
      <c r="B6300" s="1">
        <v>7.0</v>
      </c>
      <c r="C6300" s="1" t="s">
        <v>18526</v>
      </c>
      <c r="D6300" s="1" t="s">
        <v>16</v>
      </c>
      <c r="E6300" s="1" t="s">
        <v>18527</v>
      </c>
      <c r="F6300" s="1" t="str">
        <f>IFERROR(__xludf.DUMMYFUNCTION("GOOGLETRANSLATE(A6300, ""zh-CN"", ""ko"")"),"계획")</f>
        <v>계획</v>
      </c>
    </row>
    <row r="6301" ht="15.75" customHeight="1">
      <c r="A6301" s="1" t="s">
        <v>18528</v>
      </c>
      <c r="B6301" s="1">
        <v>7.0</v>
      </c>
      <c r="C6301" s="1" t="s">
        <v>18529</v>
      </c>
      <c r="D6301" s="1" t="s">
        <v>8</v>
      </c>
      <c r="E6301" s="1" t="s">
        <v>18530</v>
      </c>
      <c r="F6301" s="1" t="str">
        <f>IFERROR(__xludf.DUMMYFUNCTION("GOOGLETRANSLATE(A6301, ""zh-CN"", ""ko"")"),"기념물")</f>
        <v>기념물</v>
      </c>
    </row>
    <row r="6302" ht="15.75" customHeight="1">
      <c r="A6302" s="1" t="s">
        <v>18531</v>
      </c>
      <c r="B6302" s="1">
        <v>7.0</v>
      </c>
      <c r="C6302" s="1" t="s">
        <v>9922</v>
      </c>
      <c r="D6302" s="1" t="s">
        <v>8</v>
      </c>
      <c r="E6302" s="1" t="s">
        <v>18532</v>
      </c>
      <c r="F6302" s="1" t="str">
        <f>IFERROR(__xludf.DUMMYFUNCTION("GOOGLETRANSLATE(A6302, ""zh-CN"", ""ko"")"),"질투")</f>
        <v>질투</v>
      </c>
    </row>
    <row r="6303" ht="15.75" customHeight="1">
      <c r="A6303" s="1" t="s">
        <v>18533</v>
      </c>
      <c r="B6303" s="1">
        <v>7.0</v>
      </c>
      <c r="C6303" s="1" t="s">
        <v>18534</v>
      </c>
      <c r="D6303" s="1" t="s">
        <v>1473</v>
      </c>
      <c r="E6303" s="1" t="s">
        <v>18535</v>
      </c>
      <c r="F6303" s="1" t="str">
        <f>IFERROR(__xludf.DUMMYFUNCTION("GOOGLETRANSLATE(A6303, ""zh-CN"", ""ko"")"),"그 다음에")</f>
        <v>그 다음에</v>
      </c>
    </row>
    <row r="6304" ht="15.75" customHeight="1">
      <c r="A6304" s="1" t="s">
        <v>18536</v>
      </c>
      <c r="B6304" s="1">
        <v>7.0</v>
      </c>
      <c r="C6304" s="1" t="s">
        <v>18537</v>
      </c>
      <c r="D6304" s="1" t="s">
        <v>16</v>
      </c>
      <c r="E6304" s="1" t="s">
        <v>18538</v>
      </c>
      <c r="F6304" s="1" t="str">
        <f>IFERROR(__xludf.DUMMYFUNCTION("GOOGLETRANSLATE(A6304, ""zh-CN"", ""ko"")"),"의붓아버지")</f>
        <v>의붓아버지</v>
      </c>
    </row>
    <row r="6305" ht="15.75" customHeight="1">
      <c r="A6305" s="1" t="s">
        <v>18539</v>
      </c>
      <c r="B6305" s="1">
        <v>7.0</v>
      </c>
      <c r="C6305" s="1" t="s">
        <v>18540</v>
      </c>
      <c r="D6305" s="1" t="s">
        <v>16</v>
      </c>
      <c r="E6305" s="1" t="s">
        <v>18541</v>
      </c>
      <c r="F6305" s="1" t="str">
        <f>IFERROR(__xludf.DUMMYFUNCTION("GOOGLETRANSLATE(A6305, ""zh-CN"", ""ko"")"),"표시")</f>
        <v>표시</v>
      </c>
    </row>
    <row r="6306" ht="15.75" customHeight="1">
      <c r="A6306" s="1" t="s">
        <v>18542</v>
      </c>
      <c r="B6306" s="1">
        <v>7.0</v>
      </c>
      <c r="C6306" s="1" t="s">
        <v>18543</v>
      </c>
      <c r="D6306" s="1" t="s">
        <v>16</v>
      </c>
      <c r="E6306" s="1" t="s">
        <v>18544</v>
      </c>
      <c r="F6306" s="1" t="str">
        <f>IFERROR(__xludf.DUMMYFUNCTION("GOOGLETRANSLATE(A6306, ""zh-CN"", ""ko"")"),"다이어트")</f>
        <v>다이어트</v>
      </c>
    </row>
    <row r="6307" ht="15.75" customHeight="1">
      <c r="A6307" s="1" t="s">
        <v>18545</v>
      </c>
      <c r="B6307" s="1">
        <v>7.0</v>
      </c>
      <c r="C6307" s="1" t="s">
        <v>18546</v>
      </c>
      <c r="D6307" s="1" t="s">
        <v>16</v>
      </c>
      <c r="E6307" s="1" t="s">
        <v>18547</v>
      </c>
      <c r="F6307" s="1" t="str">
        <f>IFERROR(__xludf.DUMMYFUNCTION("GOOGLETRANSLATE(A6307, ""zh-CN"", ""ko"")"),"정량")</f>
        <v>정량</v>
      </c>
    </row>
    <row r="6308" ht="15.75" customHeight="1">
      <c r="A6308" s="1" t="s">
        <v>18548</v>
      </c>
      <c r="B6308" s="1">
        <v>7.0</v>
      </c>
      <c r="C6308" s="1" t="s">
        <v>18549</v>
      </c>
      <c r="D6308" s="1" t="s">
        <v>16</v>
      </c>
      <c r="E6308" s="1" t="s">
        <v>18550</v>
      </c>
      <c r="F6308" s="1" t="str">
        <f>IFERROR(__xludf.DUMMYFUNCTION("GOOGLETRANSLATE(A6308, ""zh-CN"", ""ko"")"),"계모")</f>
        <v>계모</v>
      </c>
    </row>
    <row r="6309" ht="15.75" customHeight="1">
      <c r="A6309" s="1" t="s">
        <v>18551</v>
      </c>
      <c r="B6309" s="1">
        <v>7.0</v>
      </c>
      <c r="C6309" s="1" t="s">
        <v>18552</v>
      </c>
      <c r="D6309" s="1" t="s">
        <v>16</v>
      </c>
      <c r="E6309" s="1" t="s">
        <v>18553</v>
      </c>
      <c r="F6309" s="1" t="str">
        <f>IFERROR(__xludf.DUMMYFUNCTION("GOOGLETRANSLATE(A6309, ""zh-CN"", ""ko"")"),"기념물")</f>
        <v>기념물</v>
      </c>
    </row>
    <row r="6310" ht="15.75" customHeight="1">
      <c r="A6310" s="1" t="s">
        <v>18554</v>
      </c>
      <c r="B6310" s="1">
        <v>7.0</v>
      </c>
      <c r="C6310" s="1" t="s">
        <v>18555</v>
      </c>
      <c r="D6310" s="1" t="s">
        <v>14870</v>
      </c>
      <c r="E6310" s="1" t="s">
        <v>18556</v>
      </c>
      <c r="F6310" s="1" t="str">
        <f>IFERROR(__xludf.DUMMYFUNCTION("GOOGLETRANSLATE(A6310, ""zh-CN"", ""ko"")"),"기록한 것")</f>
        <v>기록한 것</v>
      </c>
    </row>
    <row r="6311" ht="15.75" customHeight="1">
      <c r="A6311" s="1" t="s">
        <v>18557</v>
      </c>
      <c r="B6311" s="1">
        <v>7.0</v>
      </c>
      <c r="C6311" s="1" t="s">
        <v>18558</v>
      </c>
      <c r="D6311" s="1" t="s">
        <v>8</v>
      </c>
      <c r="E6311" s="1" t="s">
        <v>18559</v>
      </c>
      <c r="F6311" s="1" t="str">
        <f>IFERROR(__xludf.DUMMYFUNCTION("GOOGLETRANSLATE(A6311, ""zh-CN"", ""ko"")"),"희생")</f>
        <v>희생</v>
      </c>
    </row>
    <row r="6312" ht="15.75" customHeight="1">
      <c r="A6312" s="1" t="s">
        <v>18560</v>
      </c>
      <c r="B6312" s="1">
        <v>7.0</v>
      </c>
      <c r="C6312" s="1" t="s">
        <v>18561</v>
      </c>
      <c r="D6312" s="1" t="s">
        <v>16</v>
      </c>
      <c r="E6312" s="1" t="s">
        <v>1852</v>
      </c>
      <c r="F6312" s="1" t="str">
        <f>IFERROR(__xludf.DUMMYFUNCTION("GOOGLETRANSLATE(A6312, ""zh-CN"", ""ko"")"),"성능")</f>
        <v>성능</v>
      </c>
    </row>
    <row r="6313" ht="15.75" customHeight="1">
      <c r="A6313" s="1" t="s">
        <v>18562</v>
      </c>
      <c r="B6313" s="1">
        <v>7.0</v>
      </c>
      <c r="C6313" s="1" t="s">
        <v>18563</v>
      </c>
      <c r="E6313" s="1" t="s">
        <v>18564</v>
      </c>
      <c r="F6313" s="1" t="str">
        <f>IFERROR(__xludf.DUMMYFUNCTION("GOOGLETRANSLATE(A6313, ""zh-CN"", ""ko"")"),"기억에 남는")</f>
        <v>기억에 남는</v>
      </c>
    </row>
    <row r="6314" ht="15.75" customHeight="1">
      <c r="A6314" s="1" t="s">
        <v>18565</v>
      </c>
      <c r="B6314" s="1">
        <v>7.0</v>
      </c>
      <c r="C6314" s="1" t="s">
        <v>18566</v>
      </c>
      <c r="D6314" s="1" t="s">
        <v>16</v>
      </c>
      <c r="E6314" s="1" t="s">
        <v>18567</v>
      </c>
      <c r="F6314" s="1" t="str">
        <f>IFERROR(__xludf.DUMMYFUNCTION("GOOGLETRANSLATE(A6314, ""zh-CN"", ""ko"")"),"가정 교사")</f>
        <v>가정 교사</v>
      </c>
    </row>
    <row r="6315" ht="15.75" customHeight="1">
      <c r="A6315" s="1" t="s">
        <v>18568</v>
      </c>
      <c r="B6315" s="1">
        <v>7.0</v>
      </c>
      <c r="C6315" s="1" t="s">
        <v>18569</v>
      </c>
      <c r="D6315" s="1" t="s">
        <v>16</v>
      </c>
      <c r="E6315" s="1" t="s">
        <v>18570</v>
      </c>
      <c r="F6315" s="1" t="str">
        <f>IFERROR(__xludf.DUMMYFUNCTION("GOOGLETRANSLATE(A6315, ""zh-CN"", ""ko"")"),"제전")</f>
        <v>제전</v>
      </c>
    </row>
    <row r="6316" ht="15.75" customHeight="1">
      <c r="A6316" s="1" t="s">
        <v>18571</v>
      </c>
      <c r="B6316" s="1">
        <v>7.0</v>
      </c>
      <c r="C6316" s="1" t="s">
        <v>18572</v>
      </c>
      <c r="D6316" s="1" t="s">
        <v>8</v>
      </c>
      <c r="E6316" s="1" t="s">
        <v>18573</v>
      </c>
      <c r="F6316" s="1" t="str">
        <f>IFERROR(__xludf.DUMMYFUNCTION("GOOGLETRANSLATE(A6316, ""zh-CN"", ""ko"")"),"강하게 하다")</f>
        <v>강하게 하다</v>
      </c>
    </row>
    <row r="6317" ht="15.75" customHeight="1">
      <c r="A6317" s="1" t="s">
        <v>18574</v>
      </c>
      <c r="B6317" s="1">
        <v>7.0</v>
      </c>
      <c r="C6317" s="1" t="s">
        <v>18575</v>
      </c>
      <c r="D6317" s="1" t="s">
        <v>16</v>
      </c>
      <c r="E6317" s="1" t="s">
        <v>18576</v>
      </c>
      <c r="F6317" s="1" t="str">
        <f>IFERROR(__xludf.DUMMYFUNCTION("GOOGLETRANSLATE(A6317, ""zh-CN"", ""ko"")"),"가족 배경")</f>
        <v>가족 배경</v>
      </c>
    </row>
    <row r="6318" ht="15.75" customHeight="1">
      <c r="A6318" s="1" t="s">
        <v>18577</v>
      </c>
      <c r="B6318" s="1">
        <v>7.0</v>
      </c>
      <c r="C6318" s="1" t="s">
        <v>18578</v>
      </c>
      <c r="D6318" s="1" t="s">
        <v>8</v>
      </c>
      <c r="E6318" s="1" t="s">
        <v>18579</v>
      </c>
      <c r="F6318" s="1" t="str">
        <f>IFERROR(__xludf.DUMMYFUNCTION("GOOGLETRANSLATE(A6318, ""zh-CN"", ""ko"")"),"독점 판매권")</f>
        <v>독점 판매권</v>
      </c>
    </row>
    <row r="6319" ht="15.75" customHeight="1">
      <c r="A6319" s="1" t="s">
        <v>18580</v>
      </c>
      <c r="B6319" s="1">
        <v>7.0</v>
      </c>
      <c r="C6319" s="1" t="s">
        <v>18581</v>
      </c>
      <c r="D6319" s="1" t="s">
        <v>16</v>
      </c>
      <c r="E6319" s="1" t="s">
        <v>18582</v>
      </c>
      <c r="F6319" s="1" t="str">
        <f>IFERROR(__xludf.DUMMYFUNCTION("GOOGLETRANSLATE(A6319, ""zh-CN"", ""ko"")"),"사육제")</f>
        <v>사육제</v>
      </c>
    </row>
    <row r="6320" ht="15.75" customHeight="1">
      <c r="A6320" s="1" t="s">
        <v>18583</v>
      </c>
      <c r="B6320" s="1">
        <v>7.0</v>
      </c>
      <c r="C6320" s="1" t="s">
        <v>18584</v>
      </c>
      <c r="D6320" s="1" t="s">
        <v>16</v>
      </c>
      <c r="E6320" s="1" t="s">
        <v>18585</v>
      </c>
      <c r="F6320" s="1" t="str">
        <f>IFERROR(__xludf.DUMMYFUNCTION("GOOGLETRANSLATE(A6320, ""zh-CN"", ""ko"")"),"가금류")</f>
        <v>가금류</v>
      </c>
    </row>
    <row r="6321" ht="15.75" customHeight="1">
      <c r="A6321" s="1" t="s">
        <v>18586</v>
      </c>
      <c r="B6321" s="1">
        <v>7.0</v>
      </c>
      <c r="C6321" s="1" t="s">
        <v>18587</v>
      </c>
      <c r="D6321" s="1" t="s">
        <v>16</v>
      </c>
      <c r="E6321" s="1" t="s">
        <v>8241</v>
      </c>
      <c r="F6321" s="1" t="str">
        <f>IFERROR(__xludf.DUMMYFUNCTION("GOOGLETRANSLATE(A6321, ""zh-CN"", ""ko"")"),"가족 배경")</f>
        <v>가족 배경</v>
      </c>
    </row>
    <row r="6322" ht="15.75" customHeight="1">
      <c r="A6322" s="1" t="s">
        <v>18588</v>
      </c>
      <c r="B6322" s="1">
        <v>7.0</v>
      </c>
      <c r="C6322" s="1" t="s">
        <v>18589</v>
      </c>
      <c r="D6322" s="1" t="s">
        <v>15011</v>
      </c>
      <c r="E6322" s="1" t="s">
        <v>18590</v>
      </c>
      <c r="F6322" s="1" t="str">
        <f>IFERROR(__xludf.DUMMYFUNCTION("GOOGLETRANSLATE(A6322, ""zh-CN"", ""ko"")"),"집")</f>
        <v>집</v>
      </c>
    </row>
    <row r="6323" ht="15.75" customHeight="1">
      <c r="A6323" s="1" t="s">
        <v>18591</v>
      </c>
      <c r="B6323" s="1">
        <v>7.0</v>
      </c>
      <c r="C6323" s="1" t="s">
        <v>18592</v>
      </c>
      <c r="D6323" s="1" t="s">
        <v>16</v>
      </c>
      <c r="E6323" s="1" t="s">
        <v>18593</v>
      </c>
      <c r="F6323" s="1" t="str">
        <f>IFERROR(__xludf.DUMMYFUNCTION("GOOGLETRANSLATE(A6323, ""zh-CN"", ""ko"")"),"가정")</f>
        <v>가정</v>
      </c>
    </row>
    <row r="6324" ht="15.75" customHeight="1">
      <c r="A6324" s="1" t="s">
        <v>18594</v>
      </c>
      <c r="B6324" s="1">
        <v>7.0</v>
      </c>
      <c r="C6324" s="1" t="s">
        <v>18595</v>
      </c>
      <c r="D6324" s="1" t="s">
        <v>1473</v>
      </c>
      <c r="E6324" s="1" t="s">
        <v>18596</v>
      </c>
      <c r="F6324" s="1" t="str">
        <f>IFERROR(__xludf.DUMMYFUNCTION("GOOGLETRANSLATE(A6324, ""zh-CN"", ""ko"")"),"게다가")</f>
        <v>게다가</v>
      </c>
    </row>
    <row r="6325" ht="15.75" customHeight="1">
      <c r="A6325" s="1" t="s">
        <v>18597</v>
      </c>
      <c r="B6325" s="1">
        <v>7.0</v>
      </c>
      <c r="C6325" s="1" t="s">
        <v>18598</v>
      </c>
      <c r="D6325" s="1" t="s">
        <v>16</v>
      </c>
      <c r="E6325" s="1" t="s">
        <v>18599</v>
      </c>
      <c r="F6325" s="1" t="str">
        <f>IFERROR(__xludf.DUMMYFUNCTION("GOOGLETRANSLATE(A6325, ""zh-CN"", ""ko"")"),"가족")</f>
        <v>가족</v>
      </c>
    </row>
    <row r="6326" ht="15.75" customHeight="1">
      <c r="A6326" s="1" t="s">
        <v>18600</v>
      </c>
      <c r="B6326" s="1">
        <v>7.0</v>
      </c>
      <c r="C6326" s="1" t="s">
        <v>18601</v>
      </c>
      <c r="D6326" s="1" t="s">
        <v>8</v>
      </c>
      <c r="E6326" s="1" t="s">
        <v>18602</v>
      </c>
      <c r="F6326" s="1" t="str">
        <f>IFERROR(__xludf.DUMMYFUNCTION("GOOGLETRANSLATE(A6326, ""zh-CN"", ""ko"")"),"꾸민")</f>
        <v>꾸민</v>
      </c>
    </row>
    <row r="6327" ht="15.75" customHeight="1">
      <c r="A6327" s="1" t="s">
        <v>18603</v>
      </c>
      <c r="B6327" s="1">
        <v>7.0</v>
      </c>
      <c r="C6327" s="1" t="s">
        <v>18604</v>
      </c>
      <c r="D6327" s="1" t="s">
        <v>8</v>
      </c>
      <c r="E6327" s="1" t="s">
        <v>18605</v>
      </c>
      <c r="F6327" s="1" t="str">
        <f>IFERROR(__xludf.DUMMYFUNCTION("GOOGLETRANSLATE(A6327, ""zh-CN"", ""ko"")"),"위조 물건")</f>
        <v>위조 물건</v>
      </c>
    </row>
    <row r="6328" ht="15.75" customHeight="1">
      <c r="A6328" s="1" t="s">
        <v>18606</v>
      </c>
      <c r="B6328" s="1">
        <v>7.0</v>
      </c>
      <c r="C6328" s="1" t="s">
        <v>18607</v>
      </c>
      <c r="D6328" s="1" t="s">
        <v>1473</v>
      </c>
      <c r="E6328" s="1" t="s">
        <v>18608</v>
      </c>
      <c r="F6328" s="1" t="str">
        <f>IFERROR(__xludf.DUMMYFUNCTION("GOOGLETRANSLATE(A6328, ""zh-CN"", ""ko"")"),"만약에")</f>
        <v>만약에</v>
      </c>
    </row>
    <row r="6329" ht="15.75" customHeight="1">
      <c r="A6329" s="1" t="s">
        <v>18609</v>
      </c>
      <c r="B6329" s="1">
        <v>7.0</v>
      </c>
      <c r="C6329" s="1" t="s">
        <v>4906</v>
      </c>
      <c r="D6329" s="1" t="s">
        <v>8</v>
      </c>
      <c r="E6329" s="1" t="s">
        <v>18610</v>
      </c>
      <c r="F6329" s="1" t="str">
        <f>IFERROR(__xludf.DUMMYFUNCTION("GOOGLETRANSLATE(A6329, ""zh-CN"", ""ko"")"),"운전하다")</f>
        <v>운전하다</v>
      </c>
    </row>
    <row r="6330" ht="15.75" customHeight="1">
      <c r="A6330" s="1" t="s">
        <v>18611</v>
      </c>
      <c r="B6330" s="1">
        <v>7.0</v>
      </c>
      <c r="C6330" s="1" t="s">
        <v>18612</v>
      </c>
      <c r="D6330" s="1" t="s">
        <v>16</v>
      </c>
      <c r="E6330" s="1" t="s">
        <v>18613</v>
      </c>
      <c r="F6330" s="1" t="str">
        <f>IFERROR(__xludf.DUMMYFUNCTION("GOOGLETRANSLATE(A6330, ""zh-CN"", ""ko"")"),"위치")</f>
        <v>위치</v>
      </c>
    </row>
    <row r="6331" ht="15.75" customHeight="1">
      <c r="A6331" s="1" t="s">
        <v>18614</v>
      </c>
      <c r="B6331" s="1">
        <v>7.0</v>
      </c>
      <c r="C6331" s="1" t="s">
        <v>18615</v>
      </c>
      <c r="D6331" s="1" t="s">
        <v>16</v>
      </c>
      <c r="E6331" s="1" t="s">
        <v>18616</v>
      </c>
      <c r="F6331" s="1" t="str">
        <f>IFERROR(__xludf.DUMMYFUNCTION("GOOGLETRANSLATE(A6331, ""zh-CN"", ""ko"")"),"가격대")</f>
        <v>가격대</v>
      </c>
    </row>
    <row r="6332" ht="15.75" customHeight="1">
      <c r="A6332" s="1" t="s">
        <v>18617</v>
      </c>
      <c r="B6332" s="1">
        <v>7.0</v>
      </c>
      <c r="C6332" s="1" t="s">
        <v>18618</v>
      </c>
      <c r="D6332" s="1" t="s">
        <v>8</v>
      </c>
      <c r="E6332" s="1" t="s">
        <v>18619</v>
      </c>
      <c r="F6332" s="1" t="str">
        <f>IFERROR(__xludf.DUMMYFUNCTION("GOOGLETRANSLATE(A6332, ""zh-CN"", ""ko"")"),"제어")</f>
        <v>제어</v>
      </c>
    </row>
    <row r="6333" ht="15.75" customHeight="1">
      <c r="A6333" s="1" t="s">
        <v>18620</v>
      </c>
      <c r="B6333" s="1">
        <v>7.0</v>
      </c>
      <c r="C6333" s="1" t="s">
        <v>18621</v>
      </c>
      <c r="D6333" s="1" t="s">
        <v>16</v>
      </c>
      <c r="E6333" s="1" t="s">
        <v>18622</v>
      </c>
      <c r="F6333" s="1" t="str">
        <f>IFERROR(__xludf.DUMMYFUNCTION("GOOGLETRANSLATE(A6333, ""zh-CN"", ""ko"")"),"값")</f>
        <v>값</v>
      </c>
    </row>
    <row r="6334" ht="15.75" customHeight="1">
      <c r="A6334" s="1" t="s">
        <v>18623</v>
      </c>
      <c r="B6334" s="1">
        <v>7.0</v>
      </c>
      <c r="C6334" s="1" t="s">
        <v>18624</v>
      </c>
      <c r="D6334" s="1" t="s">
        <v>16</v>
      </c>
      <c r="E6334" s="1" t="s">
        <v>18625</v>
      </c>
      <c r="F6334" s="1" t="str">
        <f>IFERROR(__xludf.DUMMYFUNCTION("GOOGLETRANSLATE(A6334, ""zh-CN"", ""ko"")"),"결혼 지참금")</f>
        <v>결혼 지참금</v>
      </c>
    </row>
    <row r="6335" ht="15.75" customHeight="1">
      <c r="A6335" s="1" t="s">
        <v>18626</v>
      </c>
      <c r="B6335" s="1">
        <v>7.0</v>
      </c>
      <c r="C6335" s="1" t="s">
        <v>18627</v>
      </c>
      <c r="D6335" s="1" t="s">
        <v>16</v>
      </c>
      <c r="E6335" s="1" t="s">
        <v>18628</v>
      </c>
      <c r="F6335" s="1" t="str">
        <f>IFERROR(__xludf.DUMMYFUNCTION("GOOGLETRANSLATE(A6335, ""zh-CN"", ""ko"")"),"선반")</f>
        <v>선반</v>
      </c>
    </row>
    <row r="6336" ht="15.75" customHeight="1">
      <c r="A6336" s="1" t="s">
        <v>18629</v>
      </c>
      <c r="B6336" s="1">
        <v>7.0</v>
      </c>
      <c r="C6336" s="1" t="s">
        <v>9978</v>
      </c>
      <c r="D6336" s="1" t="s">
        <v>8</v>
      </c>
      <c r="E6336" s="1" t="s">
        <v>18630</v>
      </c>
      <c r="F6336" s="1" t="str">
        <f>IFERROR(__xludf.DUMMYFUNCTION("GOOGLETRANSLATE(A6336, ""zh-CN"", ""ko"")"),"동시")</f>
        <v>동시</v>
      </c>
    </row>
    <row r="6337" ht="15.75" customHeight="1">
      <c r="A6337" s="1" t="s">
        <v>18631</v>
      </c>
      <c r="B6337" s="1">
        <v>7.0</v>
      </c>
      <c r="C6337" s="1" t="s">
        <v>18632</v>
      </c>
      <c r="D6337" s="1" t="s">
        <v>8</v>
      </c>
      <c r="E6337" s="1" t="s">
        <v>18633</v>
      </c>
      <c r="F6337" s="1" t="str">
        <f>IFERROR(__xludf.DUMMYFUNCTION("GOOGLETRANSLATE(A6337, ""zh-CN"", ""ko"")"),"고통")</f>
        <v>고통</v>
      </c>
    </row>
    <row r="6338" ht="15.75" customHeight="1">
      <c r="A6338" s="1" t="s">
        <v>18634</v>
      </c>
      <c r="B6338" s="1">
        <v>7.0</v>
      </c>
      <c r="C6338" s="1" t="s">
        <v>18635</v>
      </c>
      <c r="D6338" s="1" t="s">
        <v>8</v>
      </c>
      <c r="E6338" s="1" t="s">
        <v>18636</v>
      </c>
      <c r="F6338" s="1" t="str">
        <f>IFERROR(__xludf.DUMMYFUNCTION("GOOGLETRANSLATE(A6338, ""zh-CN"", ""ko"")"),"감독")</f>
        <v>감독</v>
      </c>
    </row>
    <row r="6339" ht="15.75" customHeight="1">
      <c r="A6339" s="1" t="s">
        <v>18637</v>
      </c>
      <c r="B6339" s="1">
        <v>7.0</v>
      </c>
      <c r="C6339" s="1" t="s">
        <v>18638</v>
      </c>
      <c r="D6339" s="1" t="s">
        <v>8</v>
      </c>
      <c r="E6339" s="1" t="s">
        <v>15637</v>
      </c>
      <c r="F6339" s="1" t="str">
        <f>IFERROR(__xludf.DUMMYFUNCTION("GOOGLETRANSLATE(A6339, ""zh-CN"", ""ko"")"),"어깨")</f>
        <v>어깨</v>
      </c>
    </row>
    <row r="6340" ht="15.75" customHeight="1">
      <c r="A6340" s="1" t="s">
        <v>18639</v>
      </c>
      <c r="B6340" s="1">
        <v>7.0</v>
      </c>
      <c r="C6340" s="1" t="s">
        <v>9990</v>
      </c>
      <c r="D6340" s="1" t="s">
        <v>8</v>
      </c>
      <c r="E6340" s="1" t="s">
        <v>18640</v>
      </c>
      <c r="F6340" s="1" t="str">
        <f>IFERROR(__xludf.DUMMYFUNCTION("GOOGLETRANSLATE(A6340, ""zh-CN"", ""ko"")"),"고려하세요")</f>
        <v>고려하세요</v>
      </c>
    </row>
    <row r="6341" ht="15.75" customHeight="1">
      <c r="A6341" s="1" t="s">
        <v>18641</v>
      </c>
      <c r="B6341" s="1">
        <v>7.0</v>
      </c>
      <c r="C6341" s="1" t="s">
        <v>18642</v>
      </c>
      <c r="D6341" s="1" t="s">
        <v>8</v>
      </c>
      <c r="E6341" s="1" t="s">
        <v>18643</v>
      </c>
      <c r="F6341" s="1" t="str">
        <f>IFERROR(__xludf.DUMMYFUNCTION("GOOGLETRANSLATE(A6341, ""zh-CN"", ""ko"")"),"규제")</f>
        <v>규제</v>
      </c>
    </row>
    <row r="6342" ht="15.75" customHeight="1">
      <c r="A6342" s="1" t="s">
        <v>18644</v>
      </c>
      <c r="B6342" s="1">
        <v>7.0</v>
      </c>
      <c r="C6342" s="1" t="s">
        <v>18645</v>
      </c>
      <c r="D6342" s="1" t="s">
        <v>16</v>
      </c>
      <c r="E6342" s="1" t="s">
        <v>18646</v>
      </c>
      <c r="F6342" s="1" t="str">
        <f>IFERROR(__xludf.DUMMYFUNCTION("GOOGLETRANSLATE(A6342, ""zh-CN"", ""ko"")"),"너트")</f>
        <v>너트</v>
      </c>
    </row>
    <row r="6343" ht="15.75" customHeight="1">
      <c r="A6343" s="1" t="s">
        <v>18647</v>
      </c>
      <c r="B6343" s="1">
        <v>7.0</v>
      </c>
      <c r="C6343" s="1" t="s">
        <v>18648</v>
      </c>
      <c r="D6343" s="1" t="s">
        <v>8</v>
      </c>
      <c r="E6343" s="1" t="s">
        <v>18649</v>
      </c>
      <c r="F6343" s="1" t="str">
        <f>IFERROR(__xludf.DUMMYFUNCTION("GOOGLETRANSLATE(A6343, ""zh-CN"", ""ko"")"),"후견")</f>
        <v>후견</v>
      </c>
    </row>
    <row r="6344" ht="15.75" customHeight="1">
      <c r="A6344" s="1" t="s">
        <v>18650</v>
      </c>
      <c r="B6344" s="1">
        <v>7.0</v>
      </c>
      <c r="C6344" s="1" t="s">
        <v>18651</v>
      </c>
      <c r="D6344" s="1" t="s">
        <v>8</v>
      </c>
      <c r="E6344" s="1" t="s">
        <v>18652</v>
      </c>
      <c r="F6344" s="1" t="str">
        <f>IFERROR(__xludf.DUMMYFUNCTION("GOOGLETRANSLATE(A6344, ""zh-CN"", ""ko"")"),"감시 장치")</f>
        <v>감시 장치</v>
      </c>
    </row>
    <row r="6345" ht="15.75" customHeight="1">
      <c r="A6345" s="1" t="s">
        <v>18653</v>
      </c>
      <c r="B6345" s="1">
        <v>7.0</v>
      </c>
      <c r="C6345" s="1" t="s">
        <v>18654</v>
      </c>
      <c r="D6345" s="1" t="s">
        <v>8</v>
      </c>
      <c r="E6345" s="1" t="s">
        <v>18655</v>
      </c>
      <c r="F6345" s="1" t="str">
        <f>IFERROR(__xludf.DUMMYFUNCTION("GOOGLETRANSLATE(A6345, ""zh-CN"", ""ko"")"),"전멸")</f>
        <v>전멸</v>
      </c>
    </row>
    <row r="6346" ht="15.75" customHeight="1">
      <c r="A6346" s="1" t="s">
        <v>18656</v>
      </c>
      <c r="B6346" s="1">
        <v>7.0</v>
      </c>
      <c r="C6346" s="1" t="s">
        <v>9996</v>
      </c>
      <c r="D6346" s="1" t="s">
        <v>8</v>
      </c>
      <c r="E6346" s="1" t="s">
        <v>18657</v>
      </c>
      <c r="F6346" s="1" t="str">
        <f>IFERROR(__xludf.DUMMYFUNCTION("GOOGLETRANSLATE(A6346, ""zh-CN"", ""ko"")"),"동시에")</f>
        <v>동시에</v>
      </c>
    </row>
    <row r="6347" ht="15.75" customHeight="1">
      <c r="A6347" s="1" t="s">
        <v>18658</v>
      </c>
      <c r="B6347" s="1">
        <v>7.0</v>
      </c>
      <c r="C6347" s="1" t="s">
        <v>18659</v>
      </c>
      <c r="D6347" s="1" t="s">
        <v>8</v>
      </c>
      <c r="E6347" s="1" t="s">
        <v>18660</v>
      </c>
      <c r="F6347" s="1" t="str">
        <f>IFERROR(__xludf.DUMMYFUNCTION("GOOGLETRANSLATE(A6347, ""zh-CN"", ""ko"")"),"호환 가능")</f>
        <v>호환 가능</v>
      </c>
    </row>
    <row r="6348" ht="15.75" customHeight="1">
      <c r="A6348" s="1" t="s">
        <v>18661</v>
      </c>
      <c r="B6348" s="1">
        <v>7.0</v>
      </c>
      <c r="C6348" s="1" t="s">
        <v>18662</v>
      </c>
      <c r="D6348" s="1" t="s">
        <v>8</v>
      </c>
      <c r="E6348" s="1" t="s">
        <v>18663</v>
      </c>
      <c r="F6348" s="1" t="str">
        <f>IFERROR(__xludf.DUMMYFUNCTION("GOOGLETRANSLATE(A6348, ""zh-CN"", ""ko"")"),"꽉 붙잡으세요")</f>
        <v>꽉 붙잡으세요</v>
      </c>
    </row>
    <row r="6349" ht="15.75" customHeight="1">
      <c r="A6349" s="1" t="s">
        <v>18664</v>
      </c>
      <c r="B6349" s="1">
        <v>7.0</v>
      </c>
      <c r="C6349" s="1" t="s">
        <v>18665</v>
      </c>
      <c r="D6349" s="1" t="s">
        <v>52</v>
      </c>
      <c r="E6349" s="1" t="s">
        <v>18666</v>
      </c>
      <c r="F6349" s="1" t="str">
        <f>IFERROR(__xludf.DUMMYFUNCTION("GOOGLETRANSLATE(A6349, ""zh-CN"", ""ko"")"),"어려운")</f>
        <v>어려운</v>
      </c>
    </row>
    <row r="6350" ht="15.75" customHeight="1">
      <c r="A6350" s="1" t="s">
        <v>18667</v>
      </c>
      <c r="B6350" s="1">
        <v>7.0</v>
      </c>
      <c r="C6350" s="1" t="s">
        <v>18668</v>
      </c>
      <c r="D6350" s="1" t="s">
        <v>8</v>
      </c>
      <c r="E6350" s="1" t="s">
        <v>18669</v>
      </c>
      <c r="F6350" s="1" t="str">
        <f>IFERROR(__xludf.DUMMYFUNCTION("GOOGLETRANSLATE(A6350, ""zh-CN"", ""ko"")"),"굳게 믿는다")</f>
        <v>굳게 믿는다</v>
      </c>
    </row>
    <row r="6351" ht="15.75" customHeight="1">
      <c r="A6351" s="1" t="s">
        <v>18670</v>
      </c>
      <c r="B6351" s="1">
        <v>7.0</v>
      </c>
      <c r="C6351" s="1" t="s">
        <v>18671</v>
      </c>
      <c r="D6351" s="1" t="s">
        <v>52</v>
      </c>
      <c r="E6351" s="1" t="s">
        <v>18672</v>
      </c>
      <c r="F6351" s="1" t="str">
        <f>IFERROR(__xludf.DUMMYFUNCTION("GOOGLETRANSLATE(A6351, ""zh-CN"", ""ko"")"),"믿을 수 없는")</f>
        <v>믿을 수 없는</v>
      </c>
    </row>
    <row r="6352" ht="15.75" customHeight="1">
      <c r="A6352" s="1" t="s">
        <v>18673</v>
      </c>
      <c r="B6352" s="1">
        <v>7.0</v>
      </c>
      <c r="C6352" s="1" t="s">
        <v>1246</v>
      </c>
      <c r="D6352" s="1" t="s">
        <v>8</v>
      </c>
      <c r="E6352" s="1" t="s">
        <v>18674</v>
      </c>
      <c r="F6352" s="1" t="str">
        <f>IFERROR(__xludf.DUMMYFUNCTION("GOOGLETRANSLATE(A6352, ""zh-CN"", ""ko"")"),"고발자")</f>
        <v>고발자</v>
      </c>
    </row>
    <row r="6353" ht="15.75" customHeight="1">
      <c r="A6353" s="1" t="s">
        <v>18675</v>
      </c>
      <c r="B6353" s="1">
        <v>7.0</v>
      </c>
      <c r="C6353" s="1" t="s">
        <v>18676</v>
      </c>
      <c r="D6353" s="1" t="s">
        <v>14870</v>
      </c>
      <c r="E6353" s="1" t="s">
        <v>18677</v>
      </c>
      <c r="F6353" s="1" t="str">
        <f>IFERROR(__xludf.DUMMYFUNCTION("GOOGLETRANSLATE(A6353, ""zh-CN"", ""ko"")"),"약어")</f>
        <v>약어</v>
      </c>
    </row>
    <row r="6354" ht="15.75" customHeight="1">
      <c r="A6354" s="1" t="s">
        <v>18678</v>
      </c>
      <c r="B6354" s="1">
        <v>7.0</v>
      </c>
      <c r="C6354" s="1" t="s">
        <v>18679</v>
      </c>
      <c r="D6354" s="1" t="s">
        <v>52</v>
      </c>
      <c r="E6354" s="1" t="s">
        <v>18680</v>
      </c>
      <c r="F6354" s="1" t="str">
        <f>IFERROR(__xludf.DUMMYFUNCTION("GOOGLETRANSLATE(A6354, ""zh-CN"", ""ko"")"),"짧은")</f>
        <v>짧은</v>
      </c>
    </row>
    <row r="6355" ht="15.75" customHeight="1">
      <c r="A6355" s="1" t="s">
        <v>18681</v>
      </c>
      <c r="B6355" s="1">
        <v>7.0</v>
      </c>
      <c r="C6355" s="1" t="s">
        <v>18682</v>
      </c>
      <c r="D6355" s="1" t="s">
        <v>8</v>
      </c>
      <c r="E6355" s="1" t="s">
        <v>18683</v>
      </c>
      <c r="F6355" s="1" t="str">
        <f>IFERROR(__xludf.DUMMYFUNCTION("GOOGLETRANSLATE(A6355, ""zh-CN"", ""ko"")"),"부담을 줄이세요")</f>
        <v>부담을 줄이세요</v>
      </c>
    </row>
    <row r="6356" ht="15.75" customHeight="1">
      <c r="A6356" s="1" t="s">
        <v>18684</v>
      </c>
      <c r="B6356" s="1">
        <v>7.0</v>
      </c>
      <c r="C6356" s="1" t="s">
        <v>18685</v>
      </c>
      <c r="D6356" s="1" t="s">
        <v>8</v>
      </c>
      <c r="E6356" s="1" t="s">
        <v>18686</v>
      </c>
      <c r="F6356" s="1" t="str">
        <f>IFERROR(__xludf.DUMMYFUNCTION("GOOGLETRANSLATE(A6356, ""zh-CN"", ""ko"")"),"편집")</f>
        <v>편집</v>
      </c>
    </row>
    <row r="6357" ht="15.75" customHeight="1">
      <c r="A6357" s="1" t="s">
        <v>18687</v>
      </c>
      <c r="B6357" s="1">
        <v>7.0</v>
      </c>
      <c r="C6357" s="1" t="s">
        <v>18688</v>
      </c>
      <c r="D6357" s="1" t="s">
        <v>52</v>
      </c>
      <c r="E6357" s="1" t="s">
        <v>18689</v>
      </c>
      <c r="F6357" s="1" t="str">
        <f>IFERROR(__xludf.DUMMYFUNCTION("GOOGLETRANSLATE(A6357, ""zh-CN"", ""ko"")"),"간결한")</f>
        <v>간결한</v>
      </c>
    </row>
    <row r="6358" ht="15.75" customHeight="1">
      <c r="A6358" s="1" t="s">
        <v>18690</v>
      </c>
      <c r="B6358" s="1">
        <v>7.0</v>
      </c>
      <c r="C6358" s="1" t="s">
        <v>18691</v>
      </c>
      <c r="D6358" s="1" t="s">
        <v>52</v>
      </c>
      <c r="E6358" s="1" t="s">
        <v>18692</v>
      </c>
      <c r="F6358" s="1" t="str">
        <f>IFERROR(__xludf.DUMMYFUNCTION("GOOGLETRANSLATE(A6358, ""zh-CN"", ""ko"")"),"간결한")</f>
        <v>간결한</v>
      </c>
    </row>
    <row r="6359" ht="15.75" customHeight="1">
      <c r="A6359" s="1" t="s">
        <v>18693</v>
      </c>
      <c r="B6359" s="1">
        <v>7.0</v>
      </c>
      <c r="C6359" s="1" t="s">
        <v>18694</v>
      </c>
      <c r="D6359" s="1" t="s">
        <v>8</v>
      </c>
      <c r="E6359" s="1" t="s">
        <v>18695</v>
      </c>
      <c r="F6359" s="1" t="str">
        <f>IFERROR(__xludf.DUMMYFUNCTION("GOOGLETRANSLATE(A6359, ""zh-CN"", ""ko"")"),"절감")</f>
        <v>절감</v>
      </c>
    </row>
    <row r="6360" ht="15.75" customHeight="1">
      <c r="A6360" s="1" t="s">
        <v>18696</v>
      </c>
      <c r="B6360" s="1">
        <v>7.0</v>
      </c>
      <c r="C6360" s="1" t="s">
        <v>18697</v>
      </c>
      <c r="D6360" s="1" t="s">
        <v>8</v>
      </c>
      <c r="E6360" s="1" t="s">
        <v>6342</v>
      </c>
      <c r="F6360" s="1" t="str">
        <f>IFERROR(__xludf.DUMMYFUNCTION("GOOGLETRANSLATE(A6360, ""zh-CN"", ""ko"")"),"감소")</f>
        <v>감소</v>
      </c>
    </row>
    <row r="6361" ht="15.75" customHeight="1">
      <c r="A6361" s="1" t="s">
        <v>18698</v>
      </c>
      <c r="B6361" s="1">
        <v>7.0</v>
      </c>
      <c r="C6361" s="1" t="s">
        <v>18699</v>
      </c>
      <c r="D6361" s="1" t="s">
        <v>52</v>
      </c>
      <c r="E6361" s="1" t="s">
        <v>18700</v>
      </c>
      <c r="F6361" s="1" t="str">
        <f>IFERROR(__xludf.DUMMYFUNCTION("GOOGLETRANSLATE(A6361, ""zh-CN"", ""ko"")"),"단순한")</f>
        <v>단순한</v>
      </c>
    </row>
    <row r="6362" ht="15.75" customHeight="1">
      <c r="A6362" s="1" t="s">
        <v>18701</v>
      </c>
      <c r="B6362" s="1">
        <v>7.0</v>
      </c>
      <c r="C6362" s="1" t="s">
        <v>600</v>
      </c>
      <c r="D6362" s="1" t="s">
        <v>52</v>
      </c>
      <c r="E6362" s="1" t="s">
        <v>18702</v>
      </c>
      <c r="F6362" s="1" t="str">
        <f>IFERROR(__xludf.DUMMYFUNCTION("GOOGLETRANSLATE(A6362, ""zh-CN"", ""ko"")"),"값이 싼")</f>
        <v>값이 싼</v>
      </c>
    </row>
    <row r="6363" ht="15.75" customHeight="1">
      <c r="A6363" s="1" t="s">
        <v>18703</v>
      </c>
      <c r="B6363" s="1">
        <v>7.0</v>
      </c>
      <c r="C6363" s="1" t="s">
        <v>18704</v>
      </c>
      <c r="D6363" s="1" t="s">
        <v>8</v>
      </c>
      <c r="E6363" s="1" t="s">
        <v>18705</v>
      </c>
      <c r="F6363" s="1" t="str">
        <f>IFERROR(__xludf.DUMMYFUNCTION("GOOGLETRANSLATE(A6363, ""zh-CN"", ""ko"")"),"간헐적")</f>
        <v>간헐적</v>
      </c>
    </row>
    <row r="6364" ht="15.75" customHeight="1">
      <c r="A6364" s="1" t="s">
        <v>18706</v>
      </c>
      <c r="B6364" s="1">
        <v>7.0</v>
      </c>
      <c r="C6364" s="1" t="s">
        <v>18707</v>
      </c>
      <c r="E6364" s="1" t="s">
        <v>18708</v>
      </c>
      <c r="F6364" s="1" t="str">
        <f>IFERROR(__xludf.DUMMYFUNCTION("GOOGLETRANSLATE(A6364, ""zh-CN"", ""ko"")"),"이익을 위해 정의를 잊어버리세요")</f>
        <v>이익을 위해 정의를 잊어버리세요</v>
      </c>
    </row>
    <row r="6365" ht="15.75" customHeight="1">
      <c r="A6365" s="1" t="s">
        <v>18709</v>
      </c>
      <c r="B6365" s="1">
        <v>7.0</v>
      </c>
      <c r="C6365" s="1" t="s">
        <v>18710</v>
      </c>
      <c r="D6365" s="1" t="s">
        <v>15011</v>
      </c>
      <c r="E6365" s="1" t="s">
        <v>18711</v>
      </c>
      <c r="F6365" s="1" t="str">
        <f>IFERROR(__xludf.DUMMYFUNCTION("GOOGLETRANSLATE(A6365, ""zh-CN"", ""ko"")"),"보디빌딩")</f>
        <v>보디빌딩</v>
      </c>
    </row>
    <row r="6366" ht="15.75" customHeight="1">
      <c r="A6366" s="1" t="s">
        <v>18712</v>
      </c>
      <c r="B6366" s="1">
        <v>7.0</v>
      </c>
      <c r="C6366" s="1" t="s">
        <v>18713</v>
      </c>
      <c r="E6366" s="1" t="s">
        <v>18714</v>
      </c>
      <c r="F6366" s="1" t="str">
        <f>IFERROR(__xludf.DUMMYFUNCTION("GOOGLETRANSLATE(A6366, ""zh-CN"", ""ko"")"),"의견은 다양하다")</f>
        <v>의견은 다양하다</v>
      </c>
    </row>
    <row r="6367" ht="15.75" customHeight="1">
      <c r="A6367" s="1" t="s">
        <v>18715</v>
      </c>
      <c r="B6367" s="1">
        <v>7.0</v>
      </c>
      <c r="C6367" s="1" t="s">
        <v>18716</v>
      </c>
      <c r="D6367" s="1" t="s">
        <v>8</v>
      </c>
      <c r="E6367" s="1" t="s">
        <v>18717</v>
      </c>
      <c r="F6367" s="1" t="str">
        <f>IFERROR(__xludf.DUMMYFUNCTION("GOOGLETRANSLATE(A6367, ""zh-CN"", ""ko"")"),"감사")</f>
        <v>감사</v>
      </c>
    </row>
    <row r="6368" ht="15.75" customHeight="1">
      <c r="A6368" s="1" t="s">
        <v>18718</v>
      </c>
      <c r="B6368" s="1">
        <v>7.0</v>
      </c>
      <c r="C6368" s="1" t="s">
        <v>18719</v>
      </c>
      <c r="D6368" s="1" t="s">
        <v>14870</v>
      </c>
      <c r="E6368" s="1" t="s">
        <v>18720</v>
      </c>
      <c r="F6368" s="1" t="str">
        <f>IFERROR(__xludf.DUMMYFUNCTION("GOOGLETRANSLATE(A6368, ""zh-CN"", ""ko"")"),"경험")</f>
        <v>경험</v>
      </c>
    </row>
    <row r="6369" ht="15.75" customHeight="1">
      <c r="A6369" s="1" t="s">
        <v>18721</v>
      </c>
      <c r="B6369" s="1">
        <v>7.0</v>
      </c>
      <c r="C6369" s="1" t="s">
        <v>18722</v>
      </c>
      <c r="D6369" s="1" t="s">
        <v>14870</v>
      </c>
      <c r="E6369" s="1" t="s">
        <v>18723</v>
      </c>
      <c r="F6369" s="1" t="str">
        <f>IFERROR(__xludf.DUMMYFUNCTION("GOOGLETRANSLATE(A6369, ""zh-CN"", ""ko"")"),"업적")</f>
        <v>업적</v>
      </c>
    </row>
    <row r="6370" ht="15.75" customHeight="1">
      <c r="A6370" s="1" t="s">
        <v>18724</v>
      </c>
      <c r="B6370" s="1">
        <v>7.0</v>
      </c>
      <c r="C6370" s="1" t="s">
        <v>18725</v>
      </c>
      <c r="D6370" s="1" t="s">
        <v>52</v>
      </c>
      <c r="E6370" s="1" t="s">
        <v>18726</v>
      </c>
      <c r="F6370" s="1" t="str">
        <f>IFERROR(__xludf.DUMMYFUNCTION("GOOGLETRANSLATE(A6370, ""zh-CN"", ""ko"")"),"밖을 보세요")</f>
        <v>밖을 보세요</v>
      </c>
    </row>
    <row r="6371" ht="15.75" customHeight="1">
      <c r="A6371" s="1" t="s">
        <v>18727</v>
      </c>
      <c r="B6371" s="1">
        <v>7.0</v>
      </c>
      <c r="C6371" s="1" t="s">
        <v>18728</v>
      </c>
      <c r="D6371" s="1" t="s">
        <v>16</v>
      </c>
      <c r="E6371" s="1" t="s">
        <v>18729</v>
      </c>
      <c r="F6371" s="1" t="str">
        <f>IFERROR(__xludf.DUMMYFUNCTION("GOOGLETRANSLATE(A6371, ""zh-CN"", ""ko"")"),"갭")</f>
        <v>갭</v>
      </c>
    </row>
    <row r="6372" ht="15.75" customHeight="1">
      <c r="A6372" s="1" t="s">
        <v>18730</v>
      </c>
      <c r="B6372" s="1">
        <v>7.0</v>
      </c>
      <c r="C6372" s="1" t="s">
        <v>18731</v>
      </c>
      <c r="D6372" s="1" t="s">
        <v>8</v>
      </c>
      <c r="E6372" s="1" t="s">
        <v>18732</v>
      </c>
      <c r="F6372" s="1" t="str">
        <f>IFERROR(__xludf.DUMMYFUNCTION("GOOGLETRANSLATE(A6372, ""zh-CN"", ""ko"")"),"효과적인")</f>
        <v>효과적인</v>
      </c>
    </row>
    <row r="6373" ht="15.75" customHeight="1">
      <c r="A6373" s="1" t="s">
        <v>18733</v>
      </c>
      <c r="B6373" s="1">
        <v>7.0</v>
      </c>
      <c r="C6373" s="1" t="s">
        <v>18734</v>
      </c>
      <c r="D6373" s="1" t="s">
        <v>8</v>
      </c>
      <c r="E6373" s="1" t="s">
        <v>18735</v>
      </c>
      <c r="F6373" s="1" t="str">
        <f>IFERROR(__xludf.DUMMYFUNCTION("GOOGLETRANSLATE(A6373, ""zh-CN"", ""ko"")"),"간헐적")</f>
        <v>간헐적</v>
      </c>
    </row>
    <row r="6374" ht="15.75" customHeight="1">
      <c r="A6374" s="1" t="s">
        <v>18736</v>
      </c>
      <c r="B6374" s="1">
        <v>7.0</v>
      </c>
      <c r="C6374" s="1" t="s">
        <v>18737</v>
      </c>
      <c r="D6374" s="1" t="s">
        <v>14870</v>
      </c>
      <c r="E6374" s="1" t="s">
        <v>18738</v>
      </c>
      <c r="F6374" s="1" t="str">
        <f>IFERROR(__xludf.DUMMYFUNCTION("GOOGLETRANSLATE(A6374, ""zh-CN"", ""ko"")"),"증인")</f>
        <v>증인</v>
      </c>
    </row>
    <row r="6375" ht="15.75" customHeight="1">
      <c r="A6375" s="1" t="s">
        <v>18739</v>
      </c>
      <c r="B6375" s="1">
        <v>7.0</v>
      </c>
      <c r="C6375" s="1" t="s">
        <v>18740</v>
      </c>
      <c r="D6375" s="1" t="s">
        <v>52</v>
      </c>
      <c r="E6375" s="1" t="s">
        <v>18741</v>
      </c>
      <c r="F6375" s="1" t="str">
        <f>IFERROR(__xludf.DUMMYFUNCTION("GOOGLETRANSLATE(A6375, ""zh-CN"", ""ko"")"),"건장한")</f>
        <v>건장한</v>
      </c>
    </row>
    <row r="6376" ht="15.75" customHeight="1">
      <c r="A6376" s="1" t="s">
        <v>18742</v>
      </c>
      <c r="B6376" s="1">
        <v>7.0</v>
      </c>
      <c r="C6376" s="1" t="s">
        <v>18743</v>
      </c>
      <c r="D6376" s="1" t="s">
        <v>52</v>
      </c>
      <c r="E6376" s="1" t="s">
        <v>18744</v>
      </c>
      <c r="F6376" s="1" t="str">
        <f>IFERROR(__xludf.DUMMYFUNCTION("GOOGLETRANSLATE(A6376, ""zh-CN"", ""ko"")"),"뻣뻣한")</f>
        <v>뻣뻣한</v>
      </c>
    </row>
    <row r="6377" ht="15.75" customHeight="1">
      <c r="A6377" s="1" t="s">
        <v>18745</v>
      </c>
      <c r="B6377" s="1">
        <v>7.0</v>
      </c>
      <c r="C6377" s="1" t="s">
        <v>18743</v>
      </c>
      <c r="D6377" s="1" t="s">
        <v>16</v>
      </c>
      <c r="E6377" s="1" t="s">
        <v>18746</v>
      </c>
      <c r="F6377" s="1" t="str">
        <f>IFERROR(__xludf.DUMMYFUNCTION("GOOGLETRANSLATE(A6377, ""zh-CN"", ""ko"")"),"생강")</f>
        <v>생강</v>
      </c>
    </row>
    <row r="6378" ht="15.75" customHeight="1">
      <c r="A6378" s="1" t="s">
        <v>18747</v>
      </c>
      <c r="B6378" s="1">
        <v>7.0</v>
      </c>
      <c r="C6378" s="1" t="s">
        <v>18748</v>
      </c>
      <c r="D6378" s="1" t="s">
        <v>8</v>
      </c>
      <c r="E6378" s="1" t="s">
        <v>18749</v>
      </c>
      <c r="F6378" s="1" t="str">
        <f>IFERROR(__xludf.DUMMYFUNCTION("GOOGLETRANSLATE(A6378, ""zh-CN"", ""ko"")"),"엄격")</f>
        <v>엄격</v>
      </c>
    </row>
    <row r="6379" ht="15.75" customHeight="1">
      <c r="A6379" s="1" t="s">
        <v>18750</v>
      </c>
      <c r="B6379" s="1">
        <v>7.0</v>
      </c>
      <c r="C6379" s="1" t="s">
        <v>18751</v>
      </c>
      <c r="D6379" s="1" t="s">
        <v>16</v>
      </c>
      <c r="E6379" s="1" t="s">
        <v>18752</v>
      </c>
      <c r="F6379" s="1" t="str">
        <f>IFERROR(__xludf.DUMMYFUNCTION("GOOGLETRANSLATE(A6379, ""zh-CN"", ""ko"")"),"이중 자물쇠")</f>
        <v>이중 자물쇠</v>
      </c>
    </row>
    <row r="6380" ht="15.75" customHeight="1">
      <c r="A6380" s="1" t="s">
        <v>18753</v>
      </c>
      <c r="B6380" s="1">
        <v>7.0</v>
      </c>
      <c r="C6380" s="1" t="s">
        <v>18754</v>
      </c>
      <c r="D6380" s="1" t="s">
        <v>16</v>
      </c>
      <c r="E6380" s="1" t="s">
        <v>18755</v>
      </c>
      <c r="F6380" s="1" t="str">
        <f>IFERROR(__xludf.DUMMYFUNCTION("GOOGLETRANSLATE(A6380, ""zh-CN"", ""ko"")"),"국가")</f>
        <v>국가</v>
      </c>
    </row>
    <row r="6381" ht="15.75" customHeight="1">
      <c r="A6381" s="1" t="s">
        <v>18756</v>
      </c>
      <c r="B6381" s="1">
        <v>7.0</v>
      </c>
      <c r="C6381" s="1" t="s">
        <v>18757</v>
      </c>
      <c r="D6381" s="1" t="s">
        <v>16</v>
      </c>
      <c r="E6381" s="1" t="s">
        <v>18758</v>
      </c>
      <c r="F6381" s="1" t="str">
        <f>IFERROR(__xludf.DUMMYFUNCTION("GOOGLETRANSLATE(A6381, ""zh-CN"", ""ko"")"),"트로피")</f>
        <v>트로피</v>
      </c>
    </row>
    <row r="6382" ht="15.75" customHeight="1">
      <c r="A6382" s="1" t="s">
        <v>18759</v>
      </c>
      <c r="B6382" s="1">
        <v>7.0</v>
      </c>
      <c r="C6382" s="1" t="s">
        <v>18760</v>
      </c>
      <c r="D6382" s="1" t="s">
        <v>14735</v>
      </c>
      <c r="E6382" s="1" t="s">
        <v>18761</v>
      </c>
      <c r="F6382" s="1" t="str">
        <f>IFERROR(__xludf.DUMMYFUNCTION("GOOGLETRANSLATE(A6382, ""zh-CN"", ""ko"")"),"이유")</f>
        <v>이유</v>
      </c>
    </row>
    <row r="6383" ht="15.75" customHeight="1">
      <c r="A6383" s="1" t="s">
        <v>18762</v>
      </c>
      <c r="B6383" s="1">
        <v>7.0</v>
      </c>
      <c r="C6383" s="1" t="s">
        <v>18763</v>
      </c>
      <c r="D6383" s="1" t="s">
        <v>16</v>
      </c>
      <c r="E6383" s="1" t="s">
        <v>18764</v>
      </c>
      <c r="F6383" s="1" t="str">
        <f>IFERROR(__xludf.DUMMYFUNCTION("GOOGLETRANSLATE(A6383, ""zh-CN"", ""ko"")"),"수상")</f>
        <v>수상</v>
      </c>
    </row>
    <row r="6384" ht="15.75" customHeight="1">
      <c r="A6384" s="1" t="s">
        <v>18765</v>
      </c>
      <c r="B6384" s="1">
        <v>7.0</v>
      </c>
      <c r="C6384" s="1" t="s">
        <v>1260</v>
      </c>
      <c r="D6384" s="1" t="s">
        <v>52</v>
      </c>
      <c r="E6384" s="1" t="s">
        <v>18766</v>
      </c>
      <c r="F6384" s="1" t="str">
        <f>IFERROR(__xludf.DUMMYFUNCTION("GOOGLETRANSLATE(A6384, ""zh-CN"", ""ko"")"),"자오")</f>
        <v>자오</v>
      </c>
    </row>
    <row r="6385" ht="15.75" customHeight="1">
      <c r="A6385" s="1" t="s">
        <v>18767</v>
      </c>
      <c r="B6385" s="1">
        <v>7.0</v>
      </c>
      <c r="C6385" s="1" t="s">
        <v>18768</v>
      </c>
      <c r="D6385" s="1" t="s">
        <v>8</v>
      </c>
      <c r="E6385" s="1" t="s">
        <v>18769</v>
      </c>
      <c r="F6385" s="1" t="str">
        <f>IFERROR(__xludf.DUMMYFUNCTION("GOOGLETRANSLATE(A6385, ""zh-CN"", ""ko"")"),"충돌")</f>
        <v>충돌</v>
      </c>
    </row>
    <row r="6386" ht="15.75" customHeight="1">
      <c r="A6386" s="1" t="s">
        <v>18770</v>
      </c>
      <c r="B6386" s="1">
        <v>7.0</v>
      </c>
      <c r="C6386" s="1" t="s">
        <v>18771</v>
      </c>
      <c r="D6386" s="1" t="s">
        <v>8</v>
      </c>
      <c r="E6386" s="1" t="s">
        <v>18772</v>
      </c>
      <c r="F6386" s="1" t="str">
        <f>IFERROR(__xludf.DUMMYFUNCTION("GOOGLETRANSLATE(A6386, ""zh-CN"", ""ko"")"),"배달하다")</f>
        <v>배달하다</v>
      </c>
    </row>
    <row r="6387" ht="15.75" customHeight="1">
      <c r="A6387" s="1" t="s">
        <v>18773</v>
      </c>
      <c r="B6387" s="1">
        <v>7.0</v>
      </c>
      <c r="C6387" s="1" t="s">
        <v>18774</v>
      </c>
      <c r="D6387" s="1" t="s">
        <v>8</v>
      </c>
      <c r="E6387" s="1" t="s">
        <v>18775</v>
      </c>
      <c r="F6387" s="1" t="str">
        <f>IFERROR(__xludf.DUMMYFUNCTION("GOOGLETRANSLATE(A6387, ""zh-CN"", ""ko"")"),"버릇없는")</f>
        <v>버릇없는</v>
      </c>
    </row>
    <row r="6388" ht="15.75" customHeight="1">
      <c r="A6388" s="1" t="s">
        <v>18776</v>
      </c>
      <c r="B6388" s="1">
        <v>7.0</v>
      </c>
      <c r="C6388" s="1" t="s">
        <v>18777</v>
      </c>
      <c r="D6388" s="1" t="s">
        <v>18778</v>
      </c>
      <c r="E6388" s="1" t="s">
        <v>18779</v>
      </c>
      <c r="F6388" s="1" t="str">
        <f>IFERROR(__xludf.DUMMYFUNCTION("GOOGLETRANSLATE(A6388, ""zh-CN"", ""ko"")"),"상호 작용")</f>
        <v>상호 작용</v>
      </c>
    </row>
    <row r="6389" ht="15.75" customHeight="1">
      <c r="A6389" s="1" t="s">
        <v>18780</v>
      </c>
      <c r="B6389" s="1">
        <v>7.0</v>
      </c>
      <c r="C6389" s="1" t="s">
        <v>10112</v>
      </c>
      <c r="D6389" s="1" t="s">
        <v>8</v>
      </c>
      <c r="E6389" s="1" t="s">
        <v>18781</v>
      </c>
      <c r="F6389" s="1" t="str">
        <f>IFERROR(__xludf.DUMMYFUNCTION("GOOGLETRANSLATE(A6389, ""zh-CN"", ""ko"")"),"교차로")</f>
        <v>교차로</v>
      </c>
    </row>
    <row r="6390" ht="15.75" customHeight="1">
      <c r="A6390" s="1" t="s">
        <v>18782</v>
      </c>
      <c r="B6390" s="1">
        <v>7.0</v>
      </c>
      <c r="C6390" s="1" t="s">
        <v>18783</v>
      </c>
      <c r="D6390" s="1" t="s">
        <v>8</v>
      </c>
      <c r="E6390" s="1" t="s">
        <v>18784</v>
      </c>
      <c r="F6390" s="1" t="str">
        <f>IFERROR(__xludf.DUMMYFUNCTION("GOOGLETRANSLATE(A6390, ""zh-CN"", ""ko"")"),"이양")</f>
        <v>이양</v>
      </c>
    </row>
    <row r="6391" ht="15.75" customHeight="1">
      <c r="A6391" s="1" t="s">
        <v>18785</v>
      </c>
      <c r="B6391" s="1">
        <v>7.0</v>
      </c>
      <c r="C6391" s="1" t="s">
        <v>18786</v>
      </c>
      <c r="D6391" s="1" t="s">
        <v>8</v>
      </c>
      <c r="E6391" s="1" t="s">
        <v>18787</v>
      </c>
      <c r="F6391" s="1" t="str">
        <f>IFERROR(__xludf.DUMMYFUNCTION("GOOGLETRANSLATE(A6391, ""zh-CN"", ""ko"")"),"국경")</f>
        <v>국경</v>
      </c>
    </row>
    <row r="6392" ht="15.75" customHeight="1">
      <c r="A6392" s="1" t="s">
        <v>18788</v>
      </c>
      <c r="B6392" s="1">
        <v>7.0</v>
      </c>
      <c r="C6392" s="1" t="s">
        <v>18789</v>
      </c>
      <c r="D6392" s="1" t="s">
        <v>8</v>
      </c>
      <c r="E6392" s="1" t="s">
        <v>18790</v>
      </c>
      <c r="F6392" s="1" t="str">
        <f>IFERROR(__xludf.DUMMYFUNCTION("GOOGLETRANSLATE(A6392, ""zh-CN"", ""ko"")"),"지불하다")</f>
        <v>지불하다</v>
      </c>
    </row>
    <row r="6393" ht="15.75" customHeight="1">
      <c r="A6393" s="1" t="s">
        <v>18791</v>
      </c>
      <c r="B6393" s="1">
        <v>7.0</v>
      </c>
      <c r="C6393" s="1" t="s">
        <v>18792</v>
      </c>
      <c r="D6393" s="1" t="s">
        <v>16</v>
      </c>
      <c r="E6393" s="1" t="s">
        <v>18793</v>
      </c>
      <c r="F6393" s="1" t="str">
        <f>IFERROR(__xludf.DUMMYFUNCTION("GOOGLETRANSLATE(A6393, ""zh-CN"", ""ko"")"),"캡슐")</f>
        <v>캡슐</v>
      </c>
    </row>
    <row r="6394" ht="15.75" customHeight="1">
      <c r="A6394" s="1" t="s">
        <v>18794</v>
      </c>
      <c r="B6394" s="1">
        <v>7.0</v>
      </c>
      <c r="C6394" s="1" t="s">
        <v>18795</v>
      </c>
      <c r="D6394" s="1" t="s">
        <v>16</v>
      </c>
      <c r="E6394" s="1" t="s">
        <v>18796</v>
      </c>
      <c r="F6394" s="1" t="str">
        <f>IFERROR(__xludf.DUMMYFUNCTION("GOOGLETRANSLATE(A6394, ""zh-CN"", ""ko"")"),"우정")</f>
        <v>우정</v>
      </c>
    </row>
    <row r="6395" ht="15.75" customHeight="1">
      <c r="A6395" s="1" t="s">
        <v>18797</v>
      </c>
      <c r="B6395" s="1">
        <v>7.0</v>
      </c>
      <c r="C6395" s="1" t="s">
        <v>18798</v>
      </c>
      <c r="D6395" s="1" t="s">
        <v>16</v>
      </c>
      <c r="E6395" s="1" t="s">
        <v>18799</v>
      </c>
      <c r="F6395" s="1" t="str">
        <f>IFERROR(__xludf.DUMMYFUNCTION("GOOGLETRANSLATE(A6395, ""zh-CN"", ""ko"")"),"암초")</f>
        <v>암초</v>
      </c>
    </row>
    <row r="6396" ht="15.75" customHeight="1">
      <c r="A6396" s="1" t="s">
        <v>18800</v>
      </c>
      <c r="B6396" s="1">
        <v>7.0</v>
      </c>
      <c r="C6396" s="1" t="s">
        <v>18801</v>
      </c>
      <c r="D6396" s="1" t="s">
        <v>8</v>
      </c>
      <c r="E6396" s="1" t="s">
        <v>18802</v>
      </c>
      <c r="F6396" s="1" t="str">
        <f>IFERROR(__xludf.DUMMYFUNCTION("GOOGLETRANSLATE(A6396, ""zh-CN"", ""ko"")"),"번갈아")</f>
        <v>번갈아</v>
      </c>
    </row>
    <row r="6397" ht="15.75" customHeight="1">
      <c r="A6397" s="1" t="s">
        <v>18803</v>
      </c>
      <c r="B6397" s="1">
        <v>7.0</v>
      </c>
      <c r="C6397" s="1" t="s">
        <v>18804</v>
      </c>
      <c r="E6397" s="1" t="s">
        <v>18805</v>
      </c>
      <c r="F6397" s="1" t="str">
        <f>IFERROR(__xludf.DUMMYFUNCTION("GOOGLETRANSLATE(A6397, ""zh-CN"", ""ko"")"),"속삭이는")</f>
        <v>속삭이는</v>
      </c>
    </row>
    <row r="6398" ht="15.75" customHeight="1">
      <c r="A6398" s="1" t="s">
        <v>18806</v>
      </c>
      <c r="B6398" s="1">
        <v>7.0</v>
      </c>
      <c r="C6398" s="1" t="s">
        <v>18807</v>
      </c>
      <c r="D6398" s="1" t="s">
        <v>16</v>
      </c>
      <c r="E6398" s="1" t="s">
        <v>18808</v>
      </c>
      <c r="F6398" s="1" t="str">
        <f>IFERROR(__xludf.DUMMYFUNCTION("GOOGLETRANSLATE(A6398, ""zh-CN"", ""ko"")"),"교향곡")</f>
        <v>교향곡</v>
      </c>
    </row>
    <row r="6399" ht="15.75" customHeight="1">
      <c r="A6399" s="1" t="s">
        <v>18809</v>
      </c>
      <c r="B6399" s="1">
        <v>7.0</v>
      </c>
      <c r="C6399" s="1" t="s">
        <v>18810</v>
      </c>
      <c r="D6399" s="1" t="s">
        <v>8</v>
      </c>
      <c r="E6399" s="1" t="s">
        <v>18811</v>
      </c>
      <c r="F6399" s="1" t="str">
        <f>IFERROR(__xludf.DUMMYFUNCTION("GOOGLETRANSLATE(A6399, ""zh-CN"", ""ko"")"),"피크닉")</f>
        <v>피크닉</v>
      </c>
    </row>
    <row r="6400" ht="15.75" customHeight="1">
      <c r="A6400" s="1" t="s">
        <v>18812</v>
      </c>
      <c r="B6400" s="1">
        <v>7.0</v>
      </c>
      <c r="C6400" s="1" t="s">
        <v>18813</v>
      </c>
      <c r="D6400" s="1" t="s">
        <v>52</v>
      </c>
      <c r="E6400" s="1" t="s">
        <v>16844</v>
      </c>
      <c r="F6400" s="1" t="str">
        <f>IFERROR(__xludf.DUMMYFUNCTION("GOOGLETRANSLATE(A6400, ""zh-CN"", ""ko"")"),"불안")</f>
        <v>불안</v>
      </c>
    </row>
    <row r="6401" ht="15.75" customHeight="1">
      <c r="A6401" s="1" t="s">
        <v>18814</v>
      </c>
      <c r="B6401" s="1">
        <v>7.0</v>
      </c>
      <c r="C6401" s="1" t="s">
        <v>18815</v>
      </c>
      <c r="D6401" s="1" t="s">
        <v>8</v>
      </c>
      <c r="E6401" s="1" t="s">
        <v>18816</v>
      </c>
      <c r="F6401" s="1" t="str">
        <f>IFERROR(__xludf.DUMMYFUNCTION("GOOGLETRANSLATE(A6401, ""zh-CN"", ""ko"")"),"얽혀있는")</f>
        <v>얽혀있는</v>
      </c>
    </row>
    <row r="6402" ht="15.75" customHeight="1">
      <c r="A6402" s="1" t="s">
        <v>18817</v>
      </c>
      <c r="B6402" s="1">
        <v>7.0</v>
      </c>
      <c r="C6402" s="1" t="s">
        <v>18818</v>
      </c>
      <c r="D6402" s="1" t="s">
        <v>8</v>
      </c>
      <c r="E6402" s="1" t="s">
        <v>18819</v>
      </c>
      <c r="F6402" s="1" t="str">
        <f>IFERROR(__xludf.DUMMYFUNCTION("GOOGLETRANSLATE(A6402, ""zh-CN"", ""ko"")"),"씹다")</f>
        <v>씹다</v>
      </c>
    </row>
    <row r="6403" ht="15.75" customHeight="1">
      <c r="A6403" s="1" t="s">
        <v>18820</v>
      </c>
      <c r="B6403" s="1">
        <v>7.0</v>
      </c>
      <c r="C6403" s="1" t="s">
        <v>1263</v>
      </c>
      <c r="D6403" s="1" t="s">
        <v>8</v>
      </c>
      <c r="E6403" s="1" t="s">
        <v>18821</v>
      </c>
      <c r="F6403" s="1" t="str">
        <f>IFERROR(__xludf.DUMMYFUNCTION("GOOGLETRANSLATE(A6403, ""zh-CN"", ""ko"")"),"젓다")</f>
        <v>젓다</v>
      </c>
    </row>
    <row r="6404" ht="15.75" customHeight="1">
      <c r="A6404" s="1" t="s">
        <v>18822</v>
      </c>
      <c r="B6404" s="1">
        <v>7.0</v>
      </c>
      <c r="C6404" s="1" t="s">
        <v>1263</v>
      </c>
      <c r="D6404" s="1" t="s">
        <v>8</v>
      </c>
      <c r="E6404" s="1" t="s">
        <v>18823</v>
      </c>
      <c r="F6404" s="1" t="str">
        <f>IFERROR(__xludf.DUMMYFUNCTION("GOOGLETRANSLATE(A6404, ""zh-CN"", ""ko"")"),"트위스트")</f>
        <v>트위스트</v>
      </c>
    </row>
    <row r="6405" ht="15.75" customHeight="1">
      <c r="A6405" s="1" t="s">
        <v>18824</v>
      </c>
      <c r="B6405" s="1">
        <v>7.0</v>
      </c>
      <c r="C6405" s="1" t="s">
        <v>1263</v>
      </c>
      <c r="D6405" s="1" t="s">
        <v>8</v>
      </c>
      <c r="E6405" s="1" t="s">
        <v>18825</v>
      </c>
      <c r="F6405" s="1" t="str">
        <f>IFERROR(__xludf.DUMMYFUNCTION("GOOGLETRANSLATE(A6405, ""zh-CN"", ""ko"")"),"지불하다")</f>
        <v>지불하다</v>
      </c>
    </row>
    <row r="6406" ht="15.75" customHeight="1">
      <c r="A6406" s="1" t="s">
        <v>18826</v>
      </c>
      <c r="B6406" s="1">
        <v>7.0</v>
      </c>
      <c r="C6406" s="1" t="s">
        <v>18827</v>
      </c>
      <c r="E6406" s="1" t="s">
        <v>18828</v>
      </c>
      <c r="F6406" s="1" t="str">
        <f>IFERROR(__xludf.DUMMYFUNCTION("GOOGLETRANSLATE(A6406, ""zh-CN"", ""ko"")"),"소탈한")</f>
        <v>소탈한</v>
      </c>
    </row>
    <row r="6407" ht="15.75" customHeight="1">
      <c r="A6407" s="1" t="s">
        <v>18829</v>
      </c>
      <c r="B6407" s="1">
        <v>7.0</v>
      </c>
      <c r="C6407" s="1" t="s">
        <v>18830</v>
      </c>
      <c r="D6407" s="1" t="s">
        <v>8</v>
      </c>
      <c r="E6407" s="1" t="s">
        <v>18831</v>
      </c>
      <c r="F6407" s="1" t="str">
        <f>IFERROR(__xludf.DUMMYFUNCTION("GOOGLETRANSLATE(A6407, ""zh-CN"", ""ko"")"),"보정")</f>
        <v>보정</v>
      </c>
    </row>
    <row r="6408" ht="15.75" customHeight="1">
      <c r="A6408" s="1" t="s">
        <v>18832</v>
      </c>
      <c r="B6408" s="1">
        <v>7.0</v>
      </c>
      <c r="C6408" s="1" t="s">
        <v>18833</v>
      </c>
      <c r="D6408" s="1" t="s">
        <v>8</v>
      </c>
      <c r="E6408" s="1" t="s">
        <v>18834</v>
      </c>
      <c r="F6408" s="1" t="str">
        <f>IFERROR(__xludf.DUMMYFUNCTION("GOOGLETRANSLATE(A6408, ""zh-CN"", ""ko"")"),"도전")</f>
        <v>도전</v>
      </c>
    </row>
    <row r="6409" ht="15.75" customHeight="1">
      <c r="A6409" s="1" t="s">
        <v>18835</v>
      </c>
      <c r="B6409" s="1">
        <v>7.0</v>
      </c>
      <c r="C6409" s="1" t="s">
        <v>18836</v>
      </c>
      <c r="D6409" s="1" t="s">
        <v>16</v>
      </c>
      <c r="E6409" s="1" t="s">
        <v>18837</v>
      </c>
      <c r="F6409" s="1" t="str">
        <f>IFERROR(__xludf.DUMMYFUNCTION("GOOGLETRANSLATE(A6409, ""zh-CN"", ""ko"")"),"자동차")</f>
        <v>자동차</v>
      </c>
    </row>
    <row r="6410" ht="15.75" customHeight="1">
      <c r="A6410" s="1" t="s">
        <v>18838</v>
      </c>
      <c r="B6410" s="1">
        <v>7.0</v>
      </c>
      <c r="C6410" s="1" t="s">
        <v>18839</v>
      </c>
      <c r="D6410" s="1" t="s">
        <v>8</v>
      </c>
      <c r="E6410" s="1" t="s">
        <v>18840</v>
      </c>
      <c r="F6410" s="1" t="str">
        <f>IFERROR(__xludf.DUMMYFUNCTION("GOOGLETRANSLATE(A6410, ""zh-CN"", ""ko"")"),"건배")</f>
        <v>건배</v>
      </c>
    </row>
    <row r="6411" ht="15.75" customHeight="1">
      <c r="A6411" s="1" t="s">
        <v>18841</v>
      </c>
      <c r="B6411" s="1">
        <v>7.0</v>
      </c>
      <c r="C6411" s="1" t="s">
        <v>18842</v>
      </c>
      <c r="D6411" s="1" t="s">
        <v>8</v>
      </c>
      <c r="E6411" s="1" t="s">
        <v>18843</v>
      </c>
      <c r="F6411" s="1" t="str">
        <f>IFERROR(__xludf.DUMMYFUNCTION("GOOGLETRANSLATE(A6411, ""zh-CN"", ""ko"")"),"경쟁")</f>
        <v>경쟁</v>
      </c>
    </row>
    <row r="6412" ht="15.75" customHeight="1">
      <c r="A6412" s="1" t="s">
        <v>18844</v>
      </c>
      <c r="B6412" s="1">
        <v>7.0</v>
      </c>
      <c r="C6412" s="1" t="s">
        <v>18845</v>
      </c>
      <c r="D6412" s="1" t="s">
        <v>16</v>
      </c>
      <c r="E6412" s="1" t="s">
        <v>18846</v>
      </c>
      <c r="F6412" s="1" t="str">
        <f>IFERROR(__xludf.DUMMYFUNCTION("GOOGLETRANSLATE(A6412, ""zh-CN"", ""ko"")"),"교과서")</f>
        <v>교과서</v>
      </c>
    </row>
    <row r="6413" ht="15.75" customHeight="1">
      <c r="A6413" s="1" t="s">
        <v>18847</v>
      </c>
      <c r="B6413" s="1">
        <v>7.0</v>
      </c>
      <c r="C6413" s="1" t="s">
        <v>18848</v>
      </c>
      <c r="D6413" s="1" t="s">
        <v>15011</v>
      </c>
      <c r="E6413" s="1" t="s">
        <v>18849</v>
      </c>
      <c r="F6413" s="1" t="str">
        <f>IFERROR(__xludf.DUMMYFUNCTION("GOOGLETRANSLATE(A6413, ""zh-CN"", ""ko"")"),"교조")</f>
        <v>교조</v>
      </c>
    </row>
    <row r="6414" ht="15.75" customHeight="1">
      <c r="A6414" s="1" t="s">
        <v>18850</v>
      </c>
      <c r="B6414" s="1">
        <v>7.0</v>
      </c>
      <c r="C6414" s="1" t="s">
        <v>1268</v>
      </c>
      <c r="D6414" s="1" t="s">
        <v>8</v>
      </c>
      <c r="E6414" s="1" t="s">
        <v>18851</v>
      </c>
      <c r="F6414" s="1" t="str">
        <f>IFERROR(__xludf.DUMMYFUNCTION("GOOGLETRANSLATE(A6414, ""zh-CN"", ""ko"")"),"드러내다")</f>
        <v>드러내다</v>
      </c>
    </row>
    <row r="6415" ht="15.75" customHeight="1">
      <c r="A6415" s="1" t="s">
        <v>18852</v>
      </c>
      <c r="B6415" s="1">
        <v>7.0</v>
      </c>
      <c r="C6415" s="1" t="s">
        <v>18853</v>
      </c>
      <c r="E6415" s="1" t="s">
        <v>18854</v>
      </c>
      <c r="F6415" s="1" t="str">
        <f>IFERROR(__xludf.DUMMYFUNCTION("GOOGLETRANSLATE(A6415, ""zh-CN"", ""ko"")"),"계승")</f>
        <v>계승</v>
      </c>
    </row>
    <row r="6416" ht="15.75" customHeight="1">
      <c r="A6416" s="1" t="s">
        <v>18855</v>
      </c>
      <c r="B6416" s="1">
        <v>7.0</v>
      </c>
      <c r="C6416" s="1" t="s">
        <v>18856</v>
      </c>
      <c r="D6416" s="1" t="s">
        <v>16</v>
      </c>
      <c r="E6416" s="1" t="s">
        <v>18857</v>
      </c>
      <c r="F6416" s="1" t="str">
        <f>IFERROR(__xludf.DUMMYFUNCTION("GOOGLETRANSLATE(A6416, ""zh-CN"", ""ko"")"),"후임")</f>
        <v>후임</v>
      </c>
    </row>
    <row r="6417" ht="15.75" customHeight="1">
      <c r="A6417" s="1" t="s">
        <v>18858</v>
      </c>
      <c r="B6417" s="1">
        <v>7.0</v>
      </c>
      <c r="C6417" s="1" t="s">
        <v>18859</v>
      </c>
      <c r="E6417" s="1" t="s">
        <v>18860</v>
      </c>
      <c r="F6417" s="1" t="str">
        <f>IFERROR(__xludf.DUMMYFUNCTION("GOOGLETRANSLATE(A6417, ""zh-CN"", ""ko"")"),"모두가 행복했다")</f>
        <v>모두가 행복했다</v>
      </c>
    </row>
    <row r="6418" ht="15.75" customHeight="1">
      <c r="A6418" s="1" t="s">
        <v>18861</v>
      </c>
      <c r="B6418" s="1">
        <v>7.0</v>
      </c>
      <c r="C6418" s="1" t="s">
        <v>18862</v>
      </c>
      <c r="E6418" s="1" t="s">
        <v>18863</v>
      </c>
      <c r="F6418" s="1" t="str">
        <f>IFERROR(__xludf.DUMMYFUNCTION("GOOGLETRANSLATE(A6418, ""zh-CN"", ""ko"")"),"하나씩 차례로")</f>
        <v>하나씩 차례로</v>
      </c>
    </row>
    <row r="6419" ht="15.75" customHeight="1">
      <c r="A6419" s="1" t="s">
        <v>18864</v>
      </c>
      <c r="B6419" s="1">
        <v>7.0</v>
      </c>
      <c r="C6419" s="1" t="s">
        <v>18865</v>
      </c>
      <c r="D6419" s="1" t="s">
        <v>8</v>
      </c>
      <c r="E6419" s="1" t="s">
        <v>18866</v>
      </c>
      <c r="F6419" s="1" t="str">
        <f>IFERROR(__xludf.DUMMYFUNCTION("GOOGLETRANSLATE(A6419, ""zh-CN"", ""ko"")"),"폭로하다")</f>
        <v>폭로하다</v>
      </c>
    </row>
    <row r="6420" ht="15.75" customHeight="1">
      <c r="A6420" s="1" t="s">
        <v>18867</v>
      </c>
      <c r="B6420" s="1">
        <v>7.0</v>
      </c>
      <c r="C6420" s="1" t="s">
        <v>18868</v>
      </c>
      <c r="D6420" s="1" t="s">
        <v>16</v>
      </c>
      <c r="E6420" s="1" t="s">
        <v>18869</v>
      </c>
      <c r="F6420" s="1" t="str">
        <f>IFERROR(__xludf.DUMMYFUNCTION("GOOGLETRANSLATE(A6420, ""zh-CN"", ""ko"")"),"이웃")</f>
        <v>이웃</v>
      </c>
    </row>
    <row r="6421" ht="15.75" customHeight="1">
      <c r="A6421" s="1" t="s">
        <v>18870</v>
      </c>
      <c r="B6421" s="1">
        <v>7.0</v>
      </c>
      <c r="C6421" s="1" t="s">
        <v>18871</v>
      </c>
      <c r="E6421" s="1" t="s">
        <v>18872</v>
      </c>
      <c r="F6421" s="1" t="str">
        <f>IFERROR(__xludf.DUMMYFUNCTION("GOOGLETRANSLATE(A6421, ""zh-CN"", ""ko"")"),"조정")</f>
        <v>조정</v>
      </c>
    </row>
    <row r="6422" ht="15.75" customHeight="1">
      <c r="A6422" s="1" t="s">
        <v>18873</v>
      </c>
      <c r="B6422" s="1">
        <v>7.0</v>
      </c>
      <c r="C6422" s="1" t="s">
        <v>18874</v>
      </c>
      <c r="D6422" s="1" t="s">
        <v>16</v>
      </c>
      <c r="E6422" s="1" t="s">
        <v>18875</v>
      </c>
      <c r="F6422" s="1" t="str">
        <f>IFERROR(__xludf.DUMMYFUNCTION("GOOGLETRANSLATE(A6422, ""zh-CN"", ""ko"")"),"수업")</f>
        <v>수업</v>
      </c>
    </row>
    <row r="6423" ht="15.75" customHeight="1">
      <c r="A6423" s="1" t="s">
        <v>18876</v>
      </c>
      <c r="B6423" s="1">
        <v>7.0</v>
      </c>
      <c r="C6423" s="1" t="s">
        <v>18877</v>
      </c>
      <c r="D6423" s="1" t="s">
        <v>8</v>
      </c>
      <c r="E6423" s="1" t="s">
        <v>18878</v>
      </c>
      <c r="F6423" s="1" t="str">
        <f>IFERROR(__xludf.DUMMYFUNCTION("GOOGLETRANSLATE(A6423, ""zh-CN"", ""ko"")"),"안도")</f>
        <v>안도</v>
      </c>
    </row>
    <row r="6424" ht="15.75" customHeight="1">
      <c r="A6424" s="1" t="s">
        <v>18879</v>
      </c>
      <c r="B6424" s="1">
        <v>7.0</v>
      </c>
      <c r="C6424" s="1" t="s">
        <v>18880</v>
      </c>
      <c r="D6424" s="1" t="s">
        <v>8</v>
      </c>
      <c r="E6424" s="1" t="s">
        <v>18881</v>
      </c>
      <c r="F6424" s="1" t="str">
        <f>IFERROR(__xludf.DUMMYFUNCTION("GOOGLETRANSLATE(A6424, ""zh-CN"", ""ko"")"),"리셉션")</f>
        <v>리셉션</v>
      </c>
    </row>
    <row r="6425" ht="15.75" customHeight="1">
      <c r="A6425" s="1" t="s">
        <v>18882</v>
      </c>
      <c r="B6425" s="1">
        <v>7.0</v>
      </c>
      <c r="C6425" s="1" t="s">
        <v>18883</v>
      </c>
      <c r="D6425" s="1" t="s">
        <v>8</v>
      </c>
      <c r="E6425" s="1" t="s">
        <v>18884</v>
      </c>
      <c r="F6425" s="1" t="str">
        <f>IFERROR(__xludf.DUMMYFUNCTION("GOOGLETRANSLATE(A6425, ""zh-CN"", ""ko"")"),"계전기")</f>
        <v>계전기</v>
      </c>
    </row>
    <row r="6426" ht="15.75" customHeight="1">
      <c r="A6426" s="1" t="s">
        <v>18885</v>
      </c>
      <c r="B6426" s="1">
        <v>7.0</v>
      </c>
      <c r="C6426" s="1" t="s">
        <v>18886</v>
      </c>
      <c r="D6426" s="1" t="s">
        <v>8</v>
      </c>
      <c r="E6426" s="1" t="s">
        <v>18887</v>
      </c>
      <c r="F6426" s="1" t="str">
        <f>IFERROR(__xludf.DUMMYFUNCTION("GOOGLETRANSLATE(A6426, ""zh-CN"", ""ko"")"),"수락")</f>
        <v>수락</v>
      </c>
    </row>
    <row r="6427" ht="15.75" customHeight="1">
      <c r="A6427" s="1" t="s">
        <v>18888</v>
      </c>
      <c r="B6427" s="1">
        <v>7.0</v>
      </c>
      <c r="C6427" s="1" t="s">
        <v>18889</v>
      </c>
      <c r="D6427" s="1" t="s">
        <v>8</v>
      </c>
      <c r="E6427" s="1" t="s">
        <v>18890</v>
      </c>
      <c r="F6427" s="1" t="str">
        <f>IFERROR(__xludf.DUMMYFUNCTION("GOOGLETRANSLATE(A6427, ""zh-CN"", ""ko"")"),"드러내다")</f>
        <v>드러내다</v>
      </c>
    </row>
    <row r="6428" ht="15.75" customHeight="1">
      <c r="A6428" s="1" t="s">
        <v>18891</v>
      </c>
      <c r="B6428" s="1">
        <v>7.0</v>
      </c>
      <c r="C6428" s="1" t="s">
        <v>18892</v>
      </c>
      <c r="D6428" s="1" t="s">
        <v>8</v>
      </c>
      <c r="E6428" s="1" t="s">
        <v>18893</v>
      </c>
      <c r="F6428" s="1" t="str">
        <f>IFERROR(__xludf.DUMMYFUNCTION("GOOGLETRANSLATE(A6428, ""zh-CN"", ""ko"")"),"인수하세요")</f>
        <v>인수하세요</v>
      </c>
    </row>
    <row r="6429" ht="15.75" customHeight="1">
      <c r="A6429" s="1" t="s">
        <v>18894</v>
      </c>
      <c r="B6429" s="1">
        <v>7.0</v>
      </c>
      <c r="C6429" s="1" t="s">
        <v>18895</v>
      </c>
      <c r="D6429" s="1" t="s">
        <v>16</v>
      </c>
      <c r="E6429" s="1" t="s">
        <v>18896</v>
      </c>
      <c r="F6429" s="1" t="str">
        <f>IFERROR(__xludf.DUMMYFUNCTION("GOOGLETRANSLATE(A6429, ""zh-CN"", ""ko"")"),"사다리")</f>
        <v>사다리</v>
      </c>
    </row>
    <row r="6430" ht="15.75" customHeight="1">
      <c r="A6430" s="1" t="s">
        <v>18897</v>
      </c>
      <c r="B6430" s="1">
        <v>7.0</v>
      </c>
      <c r="C6430" s="1" t="s">
        <v>18898</v>
      </c>
      <c r="D6430" s="1" t="s">
        <v>8</v>
      </c>
      <c r="E6430" s="1" t="s">
        <v>18899</v>
      </c>
      <c r="F6430" s="1" t="str">
        <f>IFERROR(__xludf.DUMMYFUNCTION("GOOGLETRANSLATE(A6430, ""zh-CN"", ""ko"")"),"성공하다")</f>
        <v>성공하다</v>
      </c>
    </row>
    <row r="6431" ht="15.75" customHeight="1">
      <c r="A6431" s="1" t="s">
        <v>18900</v>
      </c>
      <c r="B6431" s="1">
        <v>7.0</v>
      </c>
      <c r="C6431" s="1" t="s">
        <v>18901</v>
      </c>
      <c r="D6431" s="1" t="s">
        <v>8</v>
      </c>
      <c r="E6431" s="1" t="s">
        <v>18902</v>
      </c>
      <c r="F6431" s="1" t="str">
        <f>IFERROR(__xludf.DUMMYFUNCTION("GOOGLETRANSLATE(A6431, ""zh-CN"", ""ko"")"),"노출된")</f>
        <v>노출된</v>
      </c>
    </row>
    <row r="6432" ht="15.75" customHeight="1">
      <c r="A6432" s="1" t="s">
        <v>18903</v>
      </c>
      <c r="B6432" s="1">
        <v>7.0</v>
      </c>
      <c r="C6432" s="1" t="s">
        <v>2426</v>
      </c>
      <c r="D6432" s="1" t="s">
        <v>8</v>
      </c>
      <c r="E6432" s="1" t="s">
        <v>18904</v>
      </c>
      <c r="F6432" s="1" t="str">
        <f>IFERROR(__xludf.DUMMYFUNCTION("GOOGLETRANSLATE(A6432, ""zh-CN"", ""ko"")"),"강도")</f>
        <v>강도</v>
      </c>
    </row>
    <row r="6433" ht="15.75" customHeight="1">
      <c r="A6433" s="1" t="s">
        <v>18905</v>
      </c>
      <c r="B6433" s="1">
        <v>7.0</v>
      </c>
      <c r="C6433" s="1" t="s">
        <v>2426</v>
      </c>
      <c r="D6433" s="1" t="s">
        <v>18906</v>
      </c>
      <c r="E6433" s="1" t="s">
        <v>18907</v>
      </c>
      <c r="F6433" s="1" t="str">
        <f>IFERROR(__xludf.DUMMYFUNCTION("GOOGLETRANSLATE(A6433, ""zh-CN"", ""ko"")"),"자르다")</f>
        <v>자르다</v>
      </c>
    </row>
    <row r="6434" ht="15.75" customHeight="1">
      <c r="A6434" s="1" t="s">
        <v>18908</v>
      </c>
      <c r="B6434" s="1">
        <v>7.0</v>
      </c>
      <c r="C6434" s="1" t="s">
        <v>18909</v>
      </c>
      <c r="D6434" s="1" t="s">
        <v>52</v>
      </c>
      <c r="E6434" s="1" t="s">
        <v>474</v>
      </c>
      <c r="F6434" s="1" t="str">
        <f>IFERROR(__xludf.DUMMYFUNCTION("GOOGLETRANSLATE(A6434, ""zh-CN"", ""ko"")"),"순백색")</f>
        <v>순백색</v>
      </c>
    </row>
    <row r="6435" ht="15.75" customHeight="1">
      <c r="A6435" s="1" t="s">
        <v>18910</v>
      </c>
      <c r="B6435" s="1">
        <v>7.0</v>
      </c>
      <c r="C6435" s="1" t="s">
        <v>18911</v>
      </c>
      <c r="D6435" s="1" t="s">
        <v>8</v>
      </c>
      <c r="E6435" s="1" t="s">
        <v>18912</v>
      </c>
      <c r="F6435" s="1" t="str">
        <f>IFERROR(__xludf.DUMMYFUNCTION("GOOGLETRANSLATE(A6435, ""zh-CN"", ""ko"")"),"하이재킹")</f>
        <v>하이재킹</v>
      </c>
    </row>
    <row r="6436" ht="15.75" customHeight="1">
      <c r="A6436" s="1" t="s">
        <v>18913</v>
      </c>
      <c r="B6436" s="1">
        <v>7.0</v>
      </c>
      <c r="C6436" s="1" t="s">
        <v>18914</v>
      </c>
      <c r="D6436" s="1" t="s">
        <v>52</v>
      </c>
      <c r="E6436" s="1" t="s">
        <v>18915</v>
      </c>
      <c r="F6436" s="1" t="str">
        <f>IFERROR(__xludf.DUMMYFUNCTION("GOOGLETRANSLATE(A6436, ""zh-CN"", ""ko"")"),"검소한")</f>
        <v>검소한</v>
      </c>
    </row>
    <row r="6437" ht="15.75" customHeight="1">
      <c r="A6437" s="1" t="s">
        <v>18916</v>
      </c>
      <c r="B6437" s="1">
        <v>7.0</v>
      </c>
      <c r="C6437" s="1" t="s">
        <v>18917</v>
      </c>
      <c r="D6437" s="1" t="s">
        <v>52</v>
      </c>
      <c r="E6437" s="1" t="s">
        <v>18918</v>
      </c>
      <c r="F6437" s="1" t="str">
        <f>IFERROR(__xludf.DUMMYFUNCTION("GOOGLETRANSLATE(A6437, ""zh-CN"", ""ko"")"),"깨끗한")</f>
        <v>깨끗한</v>
      </c>
    </row>
    <row r="6438" ht="15.75" customHeight="1">
      <c r="A6438" s="1" t="s">
        <v>18919</v>
      </c>
      <c r="B6438" s="1">
        <v>7.0</v>
      </c>
      <c r="C6438" s="1" t="s">
        <v>18917</v>
      </c>
      <c r="D6438" s="1" t="s">
        <v>16</v>
      </c>
      <c r="E6438" s="1" t="s">
        <v>18920</v>
      </c>
      <c r="F6438" s="1" t="str">
        <f>IFERROR(__xludf.DUMMYFUNCTION("GOOGLETRANSLATE(A6438, ""zh-CN"", ""ko"")"),"지름길")</f>
        <v>지름길</v>
      </c>
    </row>
    <row r="6439" ht="15.75" customHeight="1">
      <c r="A6439" s="1" t="s">
        <v>18921</v>
      </c>
      <c r="B6439" s="1">
        <v>7.0</v>
      </c>
      <c r="C6439" s="1" t="s">
        <v>18922</v>
      </c>
      <c r="D6439" s="1" t="s">
        <v>33</v>
      </c>
      <c r="E6439" s="1" t="s">
        <v>18923</v>
      </c>
      <c r="F6439" s="1" t="str">
        <f>IFERROR(__xludf.DUMMYFUNCTION("GOOGLETRANSLATE(A6439, ""zh-CN"", ""ko"")"),"애쓰다")</f>
        <v>애쓰다</v>
      </c>
    </row>
    <row r="6440" ht="15.75" customHeight="1">
      <c r="A6440" s="1" t="s">
        <v>18924</v>
      </c>
      <c r="B6440" s="1">
        <v>7.0</v>
      </c>
      <c r="C6440" s="1" t="s">
        <v>18925</v>
      </c>
      <c r="D6440" s="1" t="s">
        <v>16</v>
      </c>
      <c r="E6440" s="1" t="s">
        <v>18926</v>
      </c>
      <c r="F6440" s="1" t="str">
        <f>IFERROR(__xludf.DUMMYFUNCTION("GOOGLETRANSLATE(A6440, ""zh-CN"", ""ko"")"),"절기")</f>
        <v>절기</v>
      </c>
    </row>
    <row r="6441" ht="15.75" customHeight="1">
      <c r="A6441" s="1" t="s">
        <v>18927</v>
      </c>
      <c r="B6441" s="1">
        <v>7.0</v>
      </c>
      <c r="C6441" s="1" t="s">
        <v>18928</v>
      </c>
      <c r="E6441" s="1" t="s">
        <v>18929</v>
      </c>
      <c r="F6441" s="1" t="str">
        <f>IFERROR(__xludf.DUMMYFUNCTION("GOOGLETRANSLATE(A6441, ""zh-CN"", ""ko"")"),"완전히 다릅니다")</f>
        <v>완전히 다릅니다</v>
      </c>
    </row>
    <row r="6442" ht="15.75" customHeight="1">
      <c r="A6442" s="1" t="s">
        <v>18930</v>
      </c>
      <c r="B6442" s="1">
        <v>7.0</v>
      </c>
      <c r="C6442" s="1" t="s">
        <v>18931</v>
      </c>
      <c r="D6442" s="1" t="s">
        <v>8</v>
      </c>
      <c r="E6442" s="1" t="s">
        <v>18932</v>
      </c>
      <c r="F6442" s="1" t="str">
        <f>IFERROR(__xludf.DUMMYFUNCTION("GOOGLETRANSLATE(A6442, ""zh-CN"", ""ko"")"),"알아가 보세요")</f>
        <v>알아가 보세요</v>
      </c>
    </row>
    <row r="6443" ht="15.75" customHeight="1">
      <c r="A6443" s="1" t="s">
        <v>18933</v>
      </c>
      <c r="B6443" s="1">
        <v>7.0</v>
      </c>
      <c r="C6443" s="1" t="s">
        <v>18934</v>
      </c>
      <c r="E6443" s="1" t="s">
        <v>18935</v>
      </c>
      <c r="F6443" s="1" t="str">
        <f>IFERROR(__xludf.DUMMYFUNCTION("GOOGLETRANSLATE(A6443, ""zh-CN"", ""ko"")"),"음식과 옷 소비를 줄이세요")</f>
        <v>음식과 옷 소비를 줄이세요</v>
      </c>
    </row>
    <row r="6444" ht="15.75" customHeight="1">
      <c r="A6444" s="1" t="s">
        <v>18936</v>
      </c>
      <c r="B6444" s="1">
        <v>7.0</v>
      </c>
      <c r="C6444" s="1" t="s">
        <v>18937</v>
      </c>
      <c r="D6444" s="1" t="s">
        <v>8</v>
      </c>
      <c r="E6444" s="1" t="s">
        <v>18938</v>
      </c>
      <c r="F6444" s="1" t="str">
        <f>IFERROR(__xludf.DUMMYFUNCTION("GOOGLETRANSLATE(A6444, ""zh-CN"", ""ko"")"),"구조하다")</f>
        <v>구조하다</v>
      </c>
    </row>
    <row r="6445" ht="15.75" customHeight="1">
      <c r="A6445" s="1" t="s">
        <v>18939</v>
      </c>
      <c r="B6445" s="1">
        <v>7.0</v>
      </c>
      <c r="C6445" s="1" t="s">
        <v>18940</v>
      </c>
      <c r="D6445" s="1" t="s">
        <v>8</v>
      </c>
      <c r="E6445" s="1" t="s">
        <v>18941</v>
      </c>
      <c r="F6445" s="1" t="str">
        <f>IFERROR(__xludf.DUMMYFUNCTION("GOOGLETRANSLATE(A6445, ""zh-CN"", ""ko"")"),"갈증 해소")</f>
        <v>갈증 해소</v>
      </c>
    </row>
    <row r="6446" ht="15.75" customHeight="1">
      <c r="A6446" s="1" t="s">
        <v>18942</v>
      </c>
      <c r="B6446" s="1">
        <v>7.0</v>
      </c>
      <c r="C6446" s="1" t="s">
        <v>18943</v>
      </c>
      <c r="D6446" s="1" t="s">
        <v>8</v>
      </c>
      <c r="E6446" s="1" t="s">
        <v>18944</v>
      </c>
      <c r="F6446" s="1" t="str">
        <f>IFERROR(__xludf.DUMMYFUNCTION("GOOGLETRANSLATE(A6446, ""zh-CN"", ""ko"")"),"안도")</f>
        <v>안도</v>
      </c>
    </row>
    <row r="6447" ht="15.75" customHeight="1">
      <c r="A6447" s="1" t="s">
        <v>18945</v>
      </c>
      <c r="B6447" s="1">
        <v>7.0</v>
      </c>
      <c r="C6447" s="1" t="s">
        <v>18946</v>
      </c>
      <c r="D6447" s="1" t="s">
        <v>8</v>
      </c>
      <c r="E6447" s="1" t="s">
        <v>18947</v>
      </c>
      <c r="F6447" s="1" t="str">
        <f>IFERROR(__xludf.DUMMYFUNCTION("GOOGLETRANSLATE(A6447, ""zh-CN"", ""ko"")"),"안도")</f>
        <v>안도</v>
      </c>
    </row>
    <row r="6448" ht="15.75" customHeight="1">
      <c r="A6448" s="1" t="s">
        <v>18948</v>
      </c>
      <c r="B6448" s="1">
        <v>7.0</v>
      </c>
      <c r="C6448" s="1" t="s">
        <v>18949</v>
      </c>
      <c r="D6448" s="1" t="s">
        <v>8</v>
      </c>
      <c r="E6448" s="1" t="s">
        <v>18950</v>
      </c>
      <c r="F6448" s="1" t="str">
        <f>IFERROR(__xludf.DUMMYFUNCTION("GOOGLETRANSLATE(A6448, ""zh-CN"", ""ko"")"),"분석")</f>
        <v>분석</v>
      </c>
    </row>
    <row r="6449" ht="15.75" customHeight="1">
      <c r="A6449" s="1" t="s">
        <v>18951</v>
      </c>
      <c r="B6449" s="1">
        <v>7.0</v>
      </c>
      <c r="C6449" s="1" t="s">
        <v>18952</v>
      </c>
      <c r="D6449" s="1" t="s">
        <v>8</v>
      </c>
      <c r="E6449" s="1" t="s">
        <v>18953</v>
      </c>
      <c r="F6449" s="1" t="str">
        <f>IFERROR(__xludf.DUMMYFUNCTION("GOOGLETRANSLATE(A6449, ""zh-CN"", ""ko"")"),"계약 해지")</f>
        <v>계약 해지</v>
      </c>
    </row>
    <row r="6450" ht="15.75" customHeight="1">
      <c r="A6450" s="1" t="s">
        <v>18954</v>
      </c>
      <c r="B6450" s="1">
        <v>7.0</v>
      </c>
      <c r="C6450" s="1" t="s">
        <v>1289</v>
      </c>
      <c r="D6450" s="1" t="s">
        <v>18955</v>
      </c>
      <c r="E6450" s="1" t="s">
        <v>18956</v>
      </c>
      <c r="F6450" s="1" t="str">
        <f>IFERROR(__xludf.DUMMYFUNCTION("GOOGLETRANSLATE(A6450, ""zh-CN"", ""ko"")"),"경계")</f>
        <v>경계</v>
      </c>
    </row>
    <row r="6451" ht="15.75" customHeight="1">
      <c r="A6451" s="1" t="s">
        <v>18957</v>
      </c>
      <c r="B6451" s="1">
        <v>7.0</v>
      </c>
      <c r="C6451" s="1" t="s">
        <v>18958</v>
      </c>
      <c r="D6451" s="1" t="s">
        <v>8</v>
      </c>
      <c r="E6451" s="1" t="s">
        <v>18959</v>
      </c>
      <c r="F6451" s="1" t="str">
        <f>IFERROR(__xludf.DUMMYFUNCTION("GOOGLETRANSLATE(A6451, ""zh-CN"", ""ko"")"),"정의하다")</f>
        <v>정의하다</v>
      </c>
    </row>
    <row r="6452" ht="15.75" customHeight="1">
      <c r="A6452" s="1" t="s">
        <v>18960</v>
      </c>
      <c r="B6452" s="1">
        <v>7.0</v>
      </c>
      <c r="C6452" s="1" t="s">
        <v>18961</v>
      </c>
      <c r="D6452" s="1" t="s">
        <v>8</v>
      </c>
      <c r="E6452" s="1" t="s">
        <v>18962</v>
      </c>
      <c r="F6452" s="1" t="str">
        <f>IFERROR(__xludf.DUMMYFUNCTION("GOOGLETRANSLATE(A6452, ""zh-CN"", ""ko"")"),"간섭")</f>
        <v>간섭</v>
      </c>
    </row>
    <row r="6453" ht="15.75" customHeight="1">
      <c r="A6453" s="1" t="s">
        <v>18963</v>
      </c>
      <c r="B6453" s="1">
        <v>7.0</v>
      </c>
      <c r="C6453" s="1" t="s">
        <v>18964</v>
      </c>
      <c r="D6453" s="1" t="s">
        <v>33</v>
      </c>
      <c r="E6453" s="1" t="s">
        <v>18965</v>
      </c>
      <c r="F6453" s="1" t="str">
        <f>IFERROR(__xludf.DUMMYFUNCTION("GOOGLETRANSLATE(A6453, ""zh-CN"", ""ko"")"),"그때에")</f>
        <v>그때에</v>
      </c>
    </row>
    <row r="6454" ht="15.75" customHeight="1">
      <c r="A6454" s="1" t="s">
        <v>18966</v>
      </c>
      <c r="B6454" s="1">
        <v>7.0</v>
      </c>
      <c r="C6454" s="1" t="s">
        <v>18967</v>
      </c>
      <c r="D6454" s="1" t="s">
        <v>16</v>
      </c>
      <c r="E6454" s="1" t="s">
        <v>18968</v>
      </c>
      <c r="F6454" s="1" t="str">
        <f>IFERROR(__xludf.DUMMYFUNCTION("GOOGLETRANSLATE(A6454, ""zh-CN"", ""ko"")"),"차용증")</f>
        <v>차용증</v>
      </c>
    </row>
    <row r="6455" ht="15.75" customHeight="1">
      <c r="A6455" s="1" t="s">
        <v>18969</v>
      </c>
      <c r="B6455" s="1">
        <v>7.0</v>
      </c>
      <c r="C6455" s="1" t="s">
        <v>10203</v>
      </c>
      <c r="D6455" s="1" t="s">
        <v>16</v>
      </c>
      <c r="E6455" s="1" t="s">
        <v>18970</v>
      </c>
      <c r="F6455" s="1" t="str">
        <f>IFERROR(__xludf.DUMMYFUNCTION("GOOGLETRANSLATE(A6455, ""zh-CN"", ""ko"")"),"경계")</f>
        <v>경계</v>
      </c>
    </row>
    <row r="6456" ht="15.75" customHeight="1">
      <c r="A6456" s="1" t="s">
        <v>18971</v>
      </c>
      <c r="B6456" s="1">
        <v>7.0</v>
      </c>
      <c r="C6456" s="1" t="s">
        <v>18972</v>
      </c>
      <c r="D6456" s="1" t="s">
        <v>8</v>
      </c>
      <c r="E6456" s="1" t="s">
        <v>18973</v>
      </c>
      <c r="F6456" s="1" t="str">
        <f>IFERROR(__xludf.DUMMYFUNCTION("GOOGLETRANSLATE(A6456, ""zh-CN"", ""ko"")"),"정신")</f>
        <v>정신</v>
      </c>
    </row>
    <row r="6457" ht="15.75" customHeight="1">
      <c r="A6457" s="1" t="s">
        <v>18974</v>
      </c>
      <c r="B6457" s="1">
        <v>7.0</v>
      </c>
      <c r="C6457" s="1" t="s">
        <v>18975</v>
      </c>
      <c r="D6457" s="1" t="s">
        <v>8</v>
      </c>
      <c r="E6457" s="1" t="s">
        <v>18976</v>
      </c>
      <c r="F6457" s="1" t="str">
        <f>IFERROR(__xludf.DUMMYFUNCTION("GOOGLETRANSLATE(A6457, ""zh-CN"", ""ko"")"),"빌리다")</f>
        <v>빌리다</v>
      </c>
    </row>
    <row r="6458" ht="15.75" customHeight="1">
      <c r="A6458" s="1" t="s">
        <v>18977</v>
      </c>
      <c r="B6458" s="1">
        <v>7.0</v>
      </c>
      <c r="C6458" s="1" t="s">
        <v>18978</v>
      </c>
      <c r="D6458" s="1" t="s">
        <v>8</v>
      </c>
      <c r="E6458" s="1" t="s">
        <v>18979</v>
      </c>
      <c r="F6458" s="1" t="str">
        <f>IFERROR(__xludf.DUMMYFUNCTION("GOOGLETRANSLATE(A6458, ""zh-CN"", ""ko"")"),"사이")</f>
        <v>사이</v>
      </c>
    </row>
    <row r="6459" ht="15.75" customHeight="1">
      <c r="A6459" s="1" t="s">
        <v>18980</v>
      </c>
      <c r="B6459" s="1">
        <v>7.0</v>
      </c>
      <c r="C6459" s="1" t="s">
        <v>18981</v>
      </c>
      <c r="D6459" s="1" t="s">
        <v>16</v>
      </c>
      <c r="E6459" s="1" t="s">
        <v>18982</v>
      </c>
      <c r="F6459" s="1" t="str">
        <f>IFERROR(__xludf.DUMMYFUNCTION("GOOGLETRANSLATE(A6459, ""zh-CN"", ""ko"")"),"건")</f>
        <v>건</v>
      </c>
    </row>
    <row r="6460" ht="15.75" customHeight="1">
      <c r="A6460" s="1" t="s">
        <v>18983</v>
      </c>
      <c r="B6460" s="1">
        <v>7.0</v>
      </c>
      <c r="C6460" s="1" t="s">
        <v>18984</v>
      </c>
      <c r="D6460" s="1" t="s">
        <v>8</v>
      </c>
      <c r="E6460" s="1" t="s">
        <v>18985</v>
      </c>
      <c r="F6460" s="1" t="str">
        <f>IFERROR(__xludf.DUMMYFUNCTION("GOOGLETRANSLATE(A6460, ""zh-CN"", ""ko"")"),"저항할 수 없어")</f>
        <v>저항할 수 없어</v>
      </c>
    </row>
    <row r="6461" ht="15.75" customHeight="1">
      <c r="A6461" s="1" t="s">
        <v>18986</v>
      </c>
      <c r="B6461" s="1">
        <v>7.0</v>
      </c>
      <c r="C6461" s="1" t="s">
        <v>18987</v>
      </c>
      <c r="D6461" s="1" t="s">
        <v>52</v>
      </c>
      <c r="E6461" s="1" t="s">
        <v>18988</v>
      </c>
      <c r="F6461" s="1" t="str">
        <f>IFERROR(__xludf.DUMMYFUNCTION("GOOGLETRANSLATE(A6461, ""zh-CN"", ""ko"")"),"콤팩트")</f>
        <v>콤팩트</v>
      </c>
    </row>
    <row r="6462" ht="15.75" customHeight="1">
      <c r="A6462" s="1" t="s">
        <v>18989</v>
      </c>
      <c r="B6462" s="1">
        <v>7.0</v>
      </c>
      <c r="C6462" s="1" t="s">
        <v>18990</v>
      </c>
      <c r="D6462" s="1" t="s">
        <v>16</v>
      </c>
      <c r="E6462" s="1" t="s">
        <v>18991</v>
      </c>
      <c r="F6462" s="1" t="str">
        <f>IFERROR(__xludf.DUMMYFUNCTION("GOOGLETRANSLATE(A6462, ""zh-CN"", ""ko"")"),"기치")</f>
        <v>기치</v>
      </c>
    </row>
    <row r="6463" ht="15.75" customHeight="1">
      <c r="A6463" s="1" t="s">
        <v>18992</v>
      </c>
      <c r="B6463" s="1">
        <v>7.0</v>
      </c>
      <c r="C6463" s="1" t="s">
        <v>18993</v>
      </c>
      <c r="D6463" s="1" t="s">
        <v>52</v>
      </c>
      <c r="E6463" s="1" t="s">
        <v>18994</v>
      </c>
      <c r="F6463" s="1" t="str">
        <f>IFERROR(__xludf.DUMMYFUNCTION("GOOGLETRANSLATE(A6463, ""zh-CN"", ""ko"")"),"부족")</f>
        <v>부족</v>
      </c>
    </row>
    <row r="6464" ht="15.75" customHeight="1">
      <c r="A6464" s="1" t="s">
        <v>18995</v>
      </c>
      <c r="B6464" s="1">
        <v>7.0</v>
      </c>
      <c r="C6464" s="1" t="s">
        <v>18996</v>
      </c>
      <c r="D6464" s="1" t="s">
        <v>8</v>
      </c>
      <c r="E6464" s="1" t="s">
        <v>18997</v>
      </c>
      <c r="F6464" s="1" t="str">
        <f>IFERROR(__xludf.DUMMYFUNCTION("GOOGLETRANSLATE(A6464, ""zh-CN"", ""ko"")"),"조임")</f>
        <v>조임</v>
      </c>
    </row>
    <row r="6465" ht="15.75" customHeight="1">
      <c r="A6465" s="1" t="s">
        <v>18998</v>
      </c>
      <c r="B6465" s="1">
        <v>7.0</v>
      </c>
      <c r="C6465" s="1" t="s">
        <v>18999</v>
      </c>
      <c r="D6465" s="1" t="s">
        <v>33</v>
      </c>
      <c r="E6465" s="1" t="s">
        <v>19000</v>
      </c>
      <c r="F6465" s="1" t="str">
        <f>IFERROR(__xludf.DUMMYFUNCTION("GOOGLETRANSLATE(A6465, ""zh-CN"", ""ko"")"),"가능한 한 빨리")</f>
        <v>가능한 한 빨리</v>
      </c>
    </row>
    <row r="6466" ht="15.75" customHeight="1">
      <c r="A6466" s="1" t="s">
        <v>19001</v>
      </c>
      <c r="B6466" s="1">
        <v>7.0</v>
      </c>
      <c r="C6466" s="1" t="s">
        <v>612</v>
      </c>
      <c r="D6466" s="1" t="s">
        <v>16</v>
      </c>
      <c r="E6466" s="1" t="s">
        <v>2610</v>
      </c>
      <c r="F6466" s="1" t="str">
        <f>IFERROR(__xludf.DUMMYFUNCTION("GOOGLETRANSLATE(A6466, ""zh-CN"", ""ko"")"),"힘")</f>
        <v>힘</v>
      </c>
    </row>
    <row r="6467" ht="15.75" customHeight="1">
      <c r="A6467" s="1" t="s">
        <v>19002</v>
      </c>
      <c r="B6467" s="1">
        <v>7.0</v>
      </c>
      <c r="C6467" s="1" t="s">
        <v>612</v>
      </c>
      <c r="D6467" s="1" t="s">
        <v>14992</v>
      </c>
      <c r="E6467" s="1" t="s">
        <v>19003</v>
      </c>
      <c r="F6467" s="1" t="str">
        <f>IFERROR(__xludf.DUMMYFUNCTION("GOOGLETRANSLATE(A6467, ""zh-CN"", ""ko"")"),"탈진한")</f>
        <v>탈진한</v>
      </c>
    </row>
    <row r="6468" ht="15.75" customHeight="1">
      <c r="A6468" s="1" t="s">
        <v>19004</v>
      </c>
      <c r="B6468" s="1">
        <v>7.0</v>
      </c>
      <c r="C6468" s="1" t="s">
        <v>19005</v>
      </c>
      <c r="D6468" s="1" t="s">
        <v>16</v>
      </c>
      <c r="E6468" s="1" t="s">
        <v>19006</v>
      </c>
      <c r="F6468" s="1" t="str">
        <f>IFERROR(__xludf.DUMMYFUNCTION("GOOGLETRANSLATE(A6468, ""zh-CN"", ""ko"")"),"프로세스")</f>
        <v>프로세스</v>
      </c>
    </row>
    <row r="6469" ht="15.75" customHeight="1">
      <c r="A6469" s="1" t="s">
        <v>19007</v>
      </c>
      <c r="B6469" s="1">
        <v>7.0</v>
      </c>
      <c r="C6469" s="1" t="s">
        <v>19008</v>
      </c>
      <c r="D6469" s="1" t="s">
        <v>8</v>
      </c>
      <c r="E6469" s="1" t="s">
        <v>19009</v>
      </c>
      <c r="F6469" s="1" t="str">
        <f>IFERROR(__xludf.DUMMYFUNCTION("GOOGLETRANSLATE(A6469, ""zh-CN"", ""ko"")"),"진보")</f>
        <v>진보</v>
      </c>
    </row>
    <row r="6470" ht="15.75" customHeight="1">
      <c r="A6470" s="1" t="s">
        <v>19010</v>
      </c>
      <c r="B6470" s="1">
        <v>7.0</v>
      </c>
      <c r="C6470" s="1" t="s">
        <v>19011</v>
      </c>
      <c r="D6470" s="1" t="s">
        <v>14917</v>
      </c>
      <c r="E6470" s="1" t="s">
        <v>19012</v>
      </c>
      <c r="F6470" s="1" t="str">
        <f>IFERROR(__xludf.DUMMYFUNCTION("GOOGLETRANSLATE(A6470, ""zh-CN"", ""ko"")"),"금기")</f>
        <v>금기</v>
      </c>
    </row>
    <row r="6471" ht="15.75" customHeight="1">
      <c r="A6471" s="1" t="s">
        <v>19013</v>
      </c>
      <c r="B6471" s="1">
        <v>7.0</v>
      </c>
      <c r="C6471" s="1" t="s">
        <v>19014</v>
      </c>
      <c r="D6471" s="1" t="s">
        <v>8</v>
      </c>
      <c r="E6471" s="1" t="s">
        <v>19015</v>
      </c>
      <c r="F6471" s="1" t="str">
        <f>IFERROR(__xludf.DUMMYFUNCTION("GOOGLETRANSLATE(A6471, ""zh-CN"", ""ko"")"),"3월")</f>
        <v>3월</v>
      </c>
    </row>
    <row r="6472" ht="15.75" customHeight="1">
      <c r="A6472" s="1" t="s">
        <v>19016</v>
      </c>
      <c r="B6472" s="1">
        <v>7.0</v>
      </c>
      <c r="C6472" s="1" t="s">
        <v>19017</v>
      </c>
      <c r="D6472" s="1" t="s">
        <v>33</v>
      </c>
      <c r="E6472" s="1" t="s">
        <v>19018</v>
      </c>
      <c r="F6472" s="1" t="str">
        <f>IFERROR(__xludf.DUMMYFUNCTION("GOOGLETRANSLATE(A6472, ""zh-CN"", ""ko"")"),"즐기다")</f>
        <v>즐기다</v>
      </c>
    </row>
    <row r="6473" ht="15.75" customHeight="1">
      <c r="A6473" s="1" t="s">
        <v>19019</v>
      </c>
      <c r="B6473" s="1">
        <v>7.0</v>
      </c>
      <c r="C6473" s="1" t="s">
        <v>19020</v>
      </c>
      <c r="D6473" s="1" t="s">
        <v>16</v>
      </c>
      <c r="E6473" s="1" t="s">
        <v>19021</v>
      </c>
      <c r="F6473" s="1" t="str">
        <f>IFERROR(__xludf.DUMMYFUNCTION("GOOGLETRANSLATE(A6473, ""zh-CN"", ""ko"")"),"금지")</f>
        <v>금지</v>
      </c>
    </row>
    <row r="6474" ht="15.75" customHeight="1">
      <c r="A6474" s="1" t="s">
        <v>19022</v>
      </c>
      <c r="B6474" s="1">
        <v>7.0</v>
      </c>
      <c r="C6474" s="1" t="s">
        <v>19023</v>
      </c>
      <c r="D6474" s="1" t="s">
        <v>8</v>
      </c>
      <c r="E6474" s="1" t="s">
        <v>19024</v>
      </c>
      <c r="F6474" s="1" t="str">
        <f>IFERROR(__xludf.DUMMYFUNCTION("GOOGLETRANSLATE(A6474, ""zh-CN"", ""ko"")"),"진취적인")</f>
        <v>진취적인</v>
      </c>
    </row>
    <row r="6475" ht="15.75" customHeight="1">
      <c r="A6475" s="1" t="s">
        <v>19025</v>
      </c>
      <c r="B6475" s="1">
        <v>7.0</v>
      </c>
      <c r="C6475" s="1" t="s">
        <v>19026</v>
      </c>
      <c r="D6475" s="1" t="s">
        <v>16</v>
      </c>
      <c r="E6475" s="1" t="s">
        <v>19027</v>
      </c>
      <c r="F6475" s="1" t="str">
        <f>IFERROR(__xludf.DUMMYFUNCTION("GOOGLETRANSLATE(A6475, ""zh-CN"", ""ko"")"),"에너지")</f>
        <v>에너지</v>
      </c>
    </row>
    <row r="6476" ht="15.75" customHeight="1">
      <c r="A6476" s="1" t="s">
        <v>19028</v>
      </c>
      <c r="B6476" s="1">
        <v>7.0</v>
      </c>
      <c r="C6476" s="1" t="s">
        <v>19026</v>
      </c>
      <c r="D6476" s="1" t="s">
        <v>16</v>
      </c>
      <c r="E6476" s="1" t="s">
        <v>19029</v>
      </c>
      <c r="F6476" s="1" t="str">
        <f>IFERROR(__xludf.DUMMYFUNCTION("GOOGLETRANSLATE(A6476, ""zh-CN"", ""ko"")"),"끝")</f>
        <v>끝</v>
      </c>
    </row>
    <row r="6477" ht="15.75" customHeight="1">
      <c r="A6477" s="1" t="s">
        <v>19030</v>
      </c>
      <c r="B6477" s="1">
        <v>7.0</v>
      </c>
      <c r="C6477" s="1" t="s">
        <v>19031</v>
      </c>
      <c r="D6477" s="1" t="s">
        <v>8</v>
      </c>
      <c r="E6477" s="1" t="s">
        <v>19032</v>
      </c>
      <c r="F6477" s="1" t="str">
        <f>IFERROR(__xludf.DUMMYFUNCTION("GOOGLETRANSLATE(A6477, ""zh-CN"", ""ko"")"),"추가 교육")</f>
        <v>추가 교육</v>
      </c>
    </row>
    <row r="6478" ht="15.75" customHeight="1">
      <c r="A6478" s="1" t="s">
        <v>19033</v>
      </c>
      <c r="B6478" s="1">
        <v>7.0</v>
      </c>
      <c r="C6478" s="1" t="s">
        <v>10242</v>
      </c>
      <c r="D6478" s="1" t="s">
        <v>52</v>
      </c>
      <c r="E6478" s="1" t="s">
        <v>19034</v>
      </c>
      <c r="F6478" s="1" t="str">
        <f>IFERROR(__xludf.DUMMYFUNCTION("GOOGLETRANSLATE(A6478, ""zh-CN"", ""ko"")"),"세련된")</f>
        <v>세련된</v>
      </c>
    </row>
    <row r="6479" ht="15.75" customHeight="1">
      <c r="A6479" s="1" t="s">
        <v>19035</v>
      </c>
      <c r="B6479" s="1">
        <v>7.0</v>
      </c>
      <c r="C6479" s="1" t="s">
        <v>10242</v>
      </c>
      <c r="D6479" s="1" t="s">
        <v>16</v>
      </c>
      <c r="E6479" s="1" t="s">
        <v>19036</v>
      </c>
      <c r="F6479" s="1" t="str">
        <f>IFERROR(__xludf.DUMMYFUNCTION("GOOGLETRANSLATE(A6479, ""zh-CN"", ""ko"")"),"고래")</f>
        <v>고래</v>
      </c>
    </row>
    <row r="6480" ht="15.75" customHeight="1">
      <c r="A6480" s="1" t="s">
        <v>19037</v>
      </c>
      <c r="B6480" s="1">
        <v>7.0</v>
      </c>
      <c r="C6480" s="1" t="s">
        <v>10242</v>
      </c>
      <c r="D6480" s="1" t="s">
        <v>8</v>
      </c>
      <c r="E6480" s="1" t="s">
        <v>19038</v>
      </c>
      <c r="F6480" s="1" t="str">
        <f>IFERROR(__xludf.DUMMYFUNCTION("GOOGLETRANSLATE(A6480, ""zh-CN"", ""ko"")"),"~을 통해")</f>
        <v>~을 통해</v>
      </c>
    </row>
    <row r="6481" ht="15.75" customHeight="1">
      <c r="A6481" s="1" t="s">
        <v>19039</v>
      </c>
      <c r="B6481" s="1">
        <v>7.0</v>
      </c>
      <c r="C6481" s="1" t="s">
        <v>19040</v>
      </c>
      <c r="E6481" s="1" t="s">
        <v>19041</v>
      </c>
      <c r="F6481" s="1" t="str">
        <f>IFERROR(__xludf.DUMMYFUNCTION("GOOGLETRANSLATE(A6481, ""zh-CN"", ""ko"")"),"아주 멋진")</f>
        <v>아주 멋진</v>
      </c>
    </row>
    <row r="6482" ht="15.75" customHeight="1">
      <c r="A6482" s="1" t="s">
        <v>19042</v>
      </c>
      <c r="B6482" s="1">
        <v>7.0</v>
      </c>
      <c r="C6482" s="1" t="s">
        <v>19043</v>
      </c>
      <c r="D6482" s="1" t="s">
        <v>16</v>
      </c>
      <c r="E6482" s="1" t="s">
        <v>19044</v>
      </c>
      <c r="F6482" s="1" t="str">
        <f>IFERROR(__xludf.DUMMYFUNCTION("GOOGLETRANSLATE(A6482, ""zh-CN"", ""ko"")"),"정확성")</f>
        <v>정확성</v>
      </c>
    </row>
    <row r="6483" ht="15.75" customHeight="1">
      <c r="A6483" s="1" t="s">
        <v>19045</v>
      </c>
      <c r="B6483" s="1">
        <v>7.0</v>
      </c>
      <c r="C6483" s="1" t="s">
        <v>19043</v>
      </c>
      <c r="D6483" s="1" t="s">
        <v>16</v>
      </c>
      <c r="E6483" s="1" t="s">
        <v>19046</v>
      </c>
      <c r="F6483" s="1" t="str">
        <f>IFERROR(__xludf.DUMMYFUNCTION("GOOGLETRANSLATE(A6483, ""zh-CN"", ""ko"")"),"경도")</f>
        <v>경도</v>
      </c>
    </row>
    <row r="6484" ht="15.75" customHeight="1">
      <c r="A6484" s="1" t="s">
        <v>19047</v>
      </c>
      <c r="B6484" s="1">
        <v>7.0</v>
      </c>
      <c r="C6484" s="1" t="s">
        <v>19048</v>
      </c>
      <c r="D6484" s="1" t="s">
        <v>52</v>
      </c>
      <c r="E6484" s="1" t="s">
        <v>19049</v>
      </c>
      <c r="F6484" s="1" t="str">
        <f>IFERROR(__xludf.DUMMYFUNCTION("GOOGLETRANSLATE(A6484, ""zh-CN"", ""ko"")"),"공황")</f>
        <v>공황</v>
      </c>
    </row>
    <row r="6485" ht="15.75" customHeight="1">
      <c r="A6485" s="1" t="s">
        <v>19050</v>
      </c>
      <c r="B6485" s="1">
        <v>7.0</v>
      </c>
      <c r="C6485" s="1" t="s">
        <v>19051</v>
      </c>
      <c r="E6485" s="1" t="s">
        <v>19052</v>
      </c>
      <c r="F6485" s="1" t="str">
        <f>IFERROR(__xludf.DUMMYFUNCTION("GOOGLETRANSLATE(A6485, ""zh-CN"", ""ko"")"),"공황")</f>
        <v>공황</v>
      </c>
    </row>
    <row r="6486" ht="15.75" customHeight="1">
      <c r="A6486" s="1" t="s">
        <v>19053</v>
      </c>
      <c r="B6486" s="1">
        <v>7.0</v>
      </c>
      <c r="C6486" s="1" t="s">
        <v>19054</v>
      </c>
      <c r="D6486" s="1" t="s">
        <v>16</v>
      </c>
      <c r="E6486" s="1" t="s">
        <v>19055</v>
      </c>
      <c r="F6486" s="1" t="str">
        <f>IFERROR(__xludf.DUMMYFUNCTION("GOOGLETRANSLATE(A6486, ""zh-CN"", ""ko"")"),"가시")</f>
        <v>가시</v>
      </c>
    </row>
    <row r="6487" ht="15.75" customHeight="1">
      <c r="A6487" s="1" t="s">
        <v>19056</v>
      </c>
      <c r="B6487" s="1">
        <v>7.0</v>
      </c>
      <c r="C6487" s="1" t="s">
        <v>19057</v>
      </c>
      <c r="E6487" s="1" t="s">
        <v>19058</v>
      </c>
      <c r="F6487" s="1" t="str">
        <f>IFERROR(__xludf.DUMMYFUNCTION("GOOGLETRANSLATE(A6487, ""zh-CN"", ""ko"")"),"참을 수 있는")</f>
        <v>참을 수 있는</v>
      </c>
    </row>
    <row r="6488" ht="15.75" customHeight="1">
      <c r="A6488" s="1" t="s">
        <v>19059</v>
      </c>
      <c r="B6488" s="1">
        <v>7.0</v>
      </c>
      <c r="C6488" s="1" t="s">
        <v>19060</v>
      </c>
      <c r="D6488" s="1" t="s">
        <v>52</v>
      </c>
      <c r="E6488" s="1" t="s">
        <v>19061</v>
      </c>
      <c r="F6488" s="1" t="str">
        <f>IFERROR(__xludf.DUMMYFUNCTION("GOOGLETRANSLATE(A6488, ""zh-CN"", ""ko"")"),"간결한")</f>
        <v>간결한</v>
      </c>
    </row>
    <row r="6489" ht="15.75" customHeight="1">
      <c r="A6489" s="1" t="s">
        <v>19062</v>
      </c>
      <c r="B6489" s="1">
        <v>7.0</v>
      </c>
      <c r="C6489" s="1" t="s">
        <v>19063</v>
      </c>
      <c r="D6489" s="1" t="s">
        <v>16</v>
      </c>
      <c r="E6489" s="1" t="s">
        <v>19064</v>
      </c>
      <c r="F6489" s="1" t="str">
        <f>IFERROR(__xludf.DUMMYFUNCTION("GOOGLETRANSLATE(A6489, ""zh-CN"", ""ko"")"),"거래")</f>
        <v>거래</v>
      </c>
    </row>
    <row r="6490" ht="15.75" customHeight="1">
      <c r="A6490" s="1" t="s">
        <v>19065</v>
      </c>
      <c r="B6490" s="1">
        <v>7.0</v>
      </c>
      <c r="C6490" s="1" t="s">
        <v>19066</v>
      </c>
      <c r="D6490" s="1" t="s">
        <v>52</v>
      </c>
      <c r="E6490" s="1" t="s">
        <v>19067</v>
      </c>
      <c r="F6490" s="1" t="str">
        <f>IFERROR(__xludf.DUMMYFUNCTION("GOOGLETRANSLATE(A6490, ""zh-CN"", ""ko"")"),"절묘한")</f>
        <v>절묘한</v>
      </c>
    </row>
    <row r="6491" ht="15.75" customHeight="1">
      <c r="A6491" s="1" t="s">
        <v>19068</v>
      </c>
      <c r="B6491" s="1">
        <v>7.0</v>
      </c>
      <c r="C6491" s="1" t="s">
        <v>19069</v>
      </c>
      <c r="D6491" s="1" t="s">
        <v>52</v>
      </c>
      <c r="E6491" s="1" t="s">
        <v>19070</v>
      </c>
      <c r="F6491" s="1" t="str">
        <f>IFERROR(__xludf.DUMMYFUNCTION("GOOGLETRANSLATE(A6491, ""zh-CN"", ""ko"")"),"날카로운")</f>
        <v>날카로운</v>
      </c>
    </row>
    <row r="6492" ht="15.75" customHeight="1">
      <c r="A6492" s="1" t="s">
        <v>19071</v>
      </c>
      <c r="B6492" s="1">
        <v>7.0</v>
      </c>
      <c r="C6492" s="1" t="s">
        <v>19072</v>
      </c>
      <c r="E6492" s="1" t="s">
        <v>19073</v>
      </c>
      <c r="F6492" s="1" t="str">
        <f>IFERROR(__xludf.DUMMYFUNCTION("GOOGLETRANSLATE(A6492, ""zh-CN"", ""ko"")"),"탈진한")</f>
        <v>탈진한</v>
      </c>
    </row>
    <row r="6493" ht="15.75" customHeight="1">
      <c r="A6493" s="1" t="s">
        <v>19074</v>
      </c>
      <c r="B6493" s="1">
        <v>7.0</v>
      </c>
      <c r="C6493" s="1" t="s">
        <v>19075</v>
      </c>
      <c r="D6493" s="1" t="s">
        <v>16</v>
      </c>
      <c r="E6493" s="1" t="s">
        <v>19076</v>
      </c>
      <c r="F6493" s="1" t="str">
        <f>IFERROR(__xludf.DUMMYFUNCTION("GOOGLETRANSLATE(A6493, ""zh-CN"", ""ko"")"),"괜찮은")</f>
        <v>괜찮은</v>
      </c>
    </row>
    <row r="6494" ht="15.75" customHeight="1">
      <c r="A6494" s="1" t="s">
        <v>19077</v>
      </c>
      <c r="B6494" s="1">
        <v>7.0</v>
      </c>
      <c r="C6494" s="1" t="s">
        <v>19078</v>
      </c>
      <c r="D6494" s="1" t="s">
        <v>52</v>
      </c>
      <c r="E6494" s="1" t="s">
        <v>19079</v>
      </c>
      <c r="F6494" s="1" t="str">
        <f>IFERROR(__xludf.DUMMYFUNCTION("GOOGLETRANSLATE(A6494, ""zh-CN"", ""ko"")"),"연약한")</f>
        <v>연약한</v>
      </c>
    </row>
    <row r="6495" ht="15.75" customHeight="1">
      <c r="A6495" s="1" t="s">
        <v>19080</v>
      </c>
      <c r="B6495" s="1">
        <v>7.0</v>
      </c>
      <c r="C6495" s="1" t="s">
        <v>19081</v>
      </c>
      <c r="D6495" s="1" t="s">
        <v>16</v>
      </c>
      <c r="E6495" s="1" t="s">
        <v>19082</v>
      </c>
      <c r="F6495" s="1" t="str">
        <f>IFERROR(__xludf.DUMMYFUNCTION("GOOGLETRANSLATE(A6495, ""zh-CN"", ""ko"")"),"정신 질환")</f>
        <v>정신 질환</v>
      </c>
    </row>
    <row r="6496" ht="15.75" customHeight="1">
      <c r="A6496" s="1" t="s">
        <v>19083</v>
      </c>
      <c r="B6496" s="1">
        <v>7.0</v>
      </c>
      <c r="C6496" s="1" t="s">
        <v>19084</v>
      </c>
      <c r="D6496" s="1" t="s">
        <v>8</v>
      </c>
      <c r="E6496" s="1" t="s">
        <v>19085</v>
      </c>
      <c r="F6496" s="1" t="str">
        <f>IFERROR(__xludf.DUMMYFUNCTION("GOOGLETRANSLATE(A6496, ""zh-CN"", ""ko"")"),"견디다")</f>
        <v>견디다</v>
      </c>
    </row>
    <row r="6497" ht="15.75" customHeight="1">
      <c r="A6497" s="1" t="s">
        <v>19086</v>
      </c>
      <c r="B6497" s="1">
        <v>7.0</v>
      </c>
      <c r="C6497" s="1" t="s">
        <v>19087</v>
      </c>
      <c r="D6497" s="1" t="s">
        <v>16</v>
      </c>
      <c r="E6497" s="1" t="s">
        <v>19088</v>
      </c>
      <c r="F6497" s="1" t="str">
        <f>IFERROR(__xludf.DUMMYFUNCTION("GOOGLETRANSLATE(A6497, ""zh-CN"", ""ko"")"),"본질")</f>
        <v>본질</v>
      </c>
    </row>
    <row r="6498" ht="15.75" customHeight="1">
      <c r="A6498" s="1" t="s">
        <v>19089</v>
      </c>
      <c r="B6498" s="1">
        <v>7.0</v>
      </c>
      <c r="C6498" s="1" t="s">
        <v>19090</v>
      </c>
      <c r="D6498" s="1" t="s">
        <v>8</v>
      </c>
      <c r="E6498" s="1" t="s">
        <v>19091</v>
      </c>
      <c r="F6498" s="1" t="str">
        <f>IFERROR(__xludf.DUMMYFUNCTION("GOOGLETRANSLATE(A6498, ""zh-CN"", ""ko"")"),"놀라운")</f>
        <v>놀라운</v>
      </c>
    </row>
    <row r="6499" ht="15.75" customHeight="1">
      <c r="A6499" s="1" t="s">
        <v>19092</v>
      </c>
      <c r="B6499" s="1">
        <v>7.0</v>
      </c>
      <c r="C6499" s="1" t="s">
        <v>19093</v>
      </c>
      <c r="E6499" s="1" t="s">
        <v>19094</v>
      </c>
      <c r="F6499" s="1" t="str">
        <f>IFERROR(__xludf.DUMMYFUNCTION("GOOGLETRANSLATE(A6499, ""zh-CN"", ""ko"")"),"세상을 뒤흔드는")</f>
        <v>세상을 뒤흔드는</v>
      </c>
    </row>
    <row r="6500" ht="15.75" customHeight="1">
      <c r="A6500" s="1" t="s">
        <v>19095</v>
      </c>
      <c r="B6500" s="1">
        <v>7.0</v>
      </c>
      <c r="C6500" s="1" t="s">
        <v>19096</v>
      </c>
      <c r="D6500" s="1" t="s">
        <v>52</v>
      </c>
      <c r="E6500" s="1" t="s">
        <v>19097</v>
      </c>
      <c r="F6500" s="1" t="str">
        <f>IFERROR(__xludf.DUMMYFUNCTION("GOOGLETRANSLATE(A6500, ""zh-CN"", ""ko"")"),"괜찮은")</f>
        <v>괜찮은</v>
      </c>
    </row>
    <row r="6501" ht="15.75" customHeight="1">
      <c r="A6501" s="1" t="s">
        <v>19098</v>
      </c>
      <c r="B6501" s="1">
        <v>7.0</v>
      </c>
      <c r="C6501" s="1" t="s">
        <v>19099</v>
      </c>
      <c r="D6501" s="1" t="s">
        <v>8</v>
      </c>
      <c r="E6501" s="1" t="s">
        <v>19100</v>
      </c>
      <c r="F6501" s="1" t="str">
        <f>IFERROR(__xludf.DUMMYFUNCTION("GOOGLETRANSLATE(A6501, ""zh-CN"", ""ko"")"),"공포")</f>
        <v>공포</v>
      </c>
    </row>
    <row r="6502" ht="15.75" customHeight="1">
      <c r="A6502" s="1" t="s">
        <v>19101</v>
      </c>
      <c r="B6502" s="1">
        <v>7.0</v>
      </c>
      <c r="C6502" s="1" t="s">
        <v>19102</v>
      </c>
      <c r="D6502" s="1" t="s">
        <v>52</v>
      </c>
      <c r="E6502" s="1" t="s">
        <v>19103</v>
      </c>
      <c r="F6502" s="1" t="str">
        <f>IFERROR(__xludf.DUMMYFUNCTION("GOOGLETRANSLATE(A6502, ""zh-CN"", ""ko"")"),"떨리는")</f>
        <v>떨리는</v>
      </c>
    </row>
    <row r="6503" ht="15.75" customHeight="1">
      <c r="A6503" s="1" t="s">
        <v>19104</v>
      </c>
      <c r="B6503" s="1">
        <v>7.0</v>
      </c>
      <c r="C6503" s="1" t="s">
        <v>19105</v>
      </c>
      <c r="E6503" s="1" t="s">
        <v>19106</v>
      </c>
      <c r="F6503" s="1" t="str">
        <f>IFERROR(__xludf.DUMMYFUNCTION("GOOGLETRANSLATE(A6503, ""zh-CN"", ""ko"")"),"떨리는")</f>
        <v>떨리는</v>
      </c>
    </row>
    <row r="6504" ht="15.75" customHeight="1">
      <c r="A6504" s="1" t="s">
        <v>19107</v>
      </c>
      <c r="B6504" s="1">
        <v>7.0</v>
      </c>
      <c r="C6504" s="1" t="s">
        <v>19108</v>
      </c>
      <c r="D6504" s="1" t="s">
        <v>16</v>
      </c>
      <c r="E6504" s="1" t="s">
        <v>19109</v>
      </c>
      <c r="F6504" s="1" t="str">
        <f>IFERROR(__xludf.DUMMYFUNCTION("GOOGLETRANSLATE(A6504, ""zh-CN"", ""ko"")"),"엘리트")</f>
        <v>엘리트</v>
      </c>
    </row>
    <row r="6505" ht="15.75" customHeight="1">
      <c r="A6505" s="1" t="s">
        <v>19110</v>
      </c>
      <c r="B6505" s="1">
        <v>7.0</v>
      </c>
      <c r="C6505" s="1" t="s">
        <v>5075</v>
      </c>
      <c r="D6505" s="1" t="s">
        <v>52</v>
      </c>
      <c r="E6505" s="1" t="s">
        <v>19111</v>
      </c>
      <c r="F6505" s="1" t="str">
        <f>IFERROR(__xludf.DUMMYFUNCTION("GOOGLETRANSLATE(A6505, ""zh-CN"", ""ko"")"),"수정처럼 맑음")</f>
        <v>수정처럼 맑음</v>
      </c>
    </row>
    <row r="6506" ht="15.75" customHeight="1">
      <c r="A6506" s="1" t="s">
        <v>19112</v>
      </c>
      <c r="B6506" s="1">
        <v>7.0</v>
      </c>
      <c r="C6506" s="1" t="s">
        <v>19113</v>
      </c>
      <c r="D6506" s="1" t="s">
        <v>52</v>
      </c>
      <c r="E6506" s="1" t="s">
        <v>19114</v>
      </c>
      <c r="F6506" s="1" t="str">
        <f>IFERROR(__xludf.DUMMYFUNCTION("GOOGLETRANSLATE(A6506, ""zh-CN"", ""ko"")"),"절묘한")</f>
        <v>절묘한</v>
      </c>
    </row>
    <row r="6507" ht="15.75" customHeight="1">
      <c r="A6507" s="1" t="s">
        <v>19115</v>
      </c>
      <c r="B6507" s="1">
        <v>7.0</v>
      </c>
      <c r="C6507" s="1" t="s">
        <v>19116</v>
      </c>
      <c r="D6507" s="1" t="s">
        <v>16</v>
      </c>
      <c r="E6507" s="1" t="s">
        <v>19117</v>
      </c>
      <c r="F6507" s="1" t="str">
        <f>IFERROR(__xludf.DUMMYFUNCTION("GOOGLETRANSLATE(A6507, ""zh-CN"", ""ko"")"),"경보")</f>
        <v>경보</v>
      </c>
    </row>
    <row r="6508" ht="15.75" customHeight="1">
      <c r="A6508" s="1" t="s">
        <v>19118</v>
      </c>
      <c r="B6508" s="1">
        <v>7.0</v>
      </c>
      <c r="C6508" s="1" t="s">
        <v>19119</v>
      </c>
      <c r="E6508" s="1" t="s">
        <v>19120</v>
      </c>
      <c r="F6508" s="1" t="str">
        <f>IFERROR(__xludf.DUMMYFUNCTION("GOOGLETRANSLATE(A6508, ""zh-CN"", ""ko"")"),"우물 바닥의 개구리")</f>
        <v>우물 바닥의 개구리</v>
      </c>
    </row>
    <row r="6509" ht="15.75" customHeight="1">
      <c r="A6509" s="1" t="s">
        <v>19121</v>
      </c>
      <c r="B6509" s="1">
        <v>7.0</v>
      </c>
      <c r="C6509" s="1" t="s">
        <v>19122</v>
      </c>
      <c r="D6509" s="1" t="s">
        <v>8</v>
      </c>
      <c r="E6509" s="1" t="s">
        <v>19123</v>
      </c>
      <c r="F6509" s="1" t="str">
        <f>IFERROR(__xludf.DUMMYFUNCTION("GOOGLETRANSLATE(A6509, ""zh-CN"", ""ko"")"),"알리다")</f>
        <v>알리다</v>
      </c>
    </row>
    <row r="6510" ht="15.75" customHeight="1">
      <c r="A6510" s="1" t="s">
        <v>19124</v>
      </c>
      <c r="B6510" s="1">
        <v>7.0</v>
      </c>
      <c r="C6510" s="1" t="s">
        <v>19125</v>
      </c>
      <c r="D6510" s="1" t="s">
        <v>16</v>
      </c>
      <c r="E6510" s="1" t="s">
        <v>19126</v>
      </c>
      <c r="F6510" s="1" t="str">
        <f>IFERROR(__xludf.DUMMYFUNCTION("GOOGLETRANSLATE(A6510, ""zh-CN"", ""ko"")"),"경찰견")</f>
        <v>경찰견</v>
      </c>
    </row>
    <row r="6511" ht="15.75" customHeight="1">
      <c r="A6511" s="1" t="s">
        <v>19127</v>
      </c>
      <c r="B6511" s="1">
        <v>7.0</v>
      </c>
      <c r="C6511" s="1" t="s">
        <v>19128</v>
      </c>
      <c r="D6511" s="1" t="s">
        <v>8</v>
      </c>
      <c r="E6511" s="1" t="s">
        <v>19123</v>
      </c>
      <c r="F6511" s="1" t="str">
        <f>IFERROR(__xludf.DUMMYFUNCTION("GOOGLETRANSLATE(A6511, ""zh-CN"", ""ko"")"),"경고")</f>
        <v>경고</v>
      </c>
    </row>
    <row r="6512" ht="15.75" customHeight="1">
      <c r="A6512" s="1" t="s">
        <v>19129</v>
      </c>
      <c r="B6512" s="1">
        <v>7.0</v>
      </c>
      <c r="C6512" s="1" t="s">
        <v>19130</v>
      </c>
      <c r="D6512" s="1" t="s">
        <v>16</v>
      </c>
      <c r="E6512" s="1" t="s">
        <v>19131</v>
      </c>
      <c r="F6512" s="1" t="str">
        <f>IFERROR(__xludf.DUMMYFUNCTION("GOOGLETRANSLATE(A6512, ""zh-CN"", ""ko"")"),"경고 벨")</f>
        <v>경고 벨</v>
      </c>
    </row>
    <row r="6513" ht="15.75" customHeight="1">
      <c r="A6513" s="1" t="s">
        <v>19132</v>
      </c>
      <c r="B6513" s="1">
        <v>7.0</v>
      </c>
      <c r="C6513" s="1" t="s">
        <v>19133</v>
      </c>
      <c r="D6513" s="1" t="s">
        <v>8</v>
      </c>
      <c r="E6513" s="1" t="s">
        <v>19134</v>
      </c>
      <c r="F6513" s="1" t="str">
        <f>IFERROR(__xludf.DUMMYFUNCTION("GOOGLETRANSLATE(A6513, ""zh-CN"", ""ko"")"),"존경")</f>
        <v>존경</v>
      </c>
    </row>
    <row r="6514" ht="15.75" customHeight="1">
      <c r="A6514" s="1" t="s">
        <v>19135</v>
      </c>
      <c r="B6514" s="1">
        <v>7.0</v>
      </c>
      <c r="C6514" s="1" t="s">
        <v>19133</v>
      </c>
      <c r="D6514" s="1" t="s">
        <v>33</v>
      </c>
      <c r="E6514" s="1" t="s">
        <v>19136</v>
      </c>
      <c r="F6514" s="1" t="str">
        <f>IFERROR(__xludf.DUMMYFUNCTION("GOOGLETRANSLATE(A6514, ""zh-CN"", ""ko"")"),"실제로")</f>
        <v>실제로</v>
      </c>
    </row>
    <row r="6515" ht="15.75" customHeight="1">
      <c r="A6515" s="1" t="s">
        <v>19137</v>
      </c>
      <c r="B6515" s="1">
        <v>7.0</v>
      </c>
      <c r="C6515" s="1" t="s">
        <v>19138</v>
      </c>
      <c r="D6515" s="1" t="s">
        <v>8</v>
      </c>
      <c r="E6515" s="1" t="s">
        <v>19139</v>
      </c>
      <c r="F6515" s="1" t="str">
        <f>IFERROR(__xludf.DUMMYFUNCTION("GOOGLETRANSLATE(A6515, ""zh-CN"", ""ko"")"),"~에게")</f>
        <v>~에게</v>
      </c>
    </row>
    <row r="6516" ht="15.75" customHeight="1">
      <c r="A6516" s="1" t="s">
        <v>19140</v>
      </c>
      <c r="B6516" s="1">
        <v>7.0</v>
      </c>
      <c r="C6516" s="1" t="s">
        <v>19141</v>
      </c>
      <c r="D6516" s="1" t="s">
        <v>16</v>
      </c>
      <c r="E6516" s="1" t="s">
        <v>19142</v>
      </c>
      <c r="F6516" s="1" t="str">
        <f>IFERROR(__xludf.DUMMYFUNCTION("GOOGLETRANSLATE(A6516, ""zh-CN"", ""ko"")"),"상황")</f>
        <v>상황</v>
      </c>
    </row>
    <row r="6517" ht="15.75" customHeight="1">
      <c r="A6517" s="1" t="s">
        <v>19143</v>
      </c>
      <c r="B6517" s="1">
        <v>7.0</v>
      </c>
      <c r="C6517" s="1" t="s">
        <v>19144</v>
      </c>
      <c r="E6517" s="1" t="s">
        <v>19145</v>
      </c>
      <c r="F6517" s="1" t="str">
        <f>IFERROR(__xludf.DUMMYFUNCTION("GOOGLETRANSLATE(A6517, ""zh-CN"", ""ko"")"),"존중하되 거리를 유지하세요")</f>
        <v>존중하되 거리를 유지하세요</v>
      </c>
    </row>
    <row r="6518" ht="15.75" customHeight="1">
      <c r="A6518" s="1" t="s">
        <v>19146</v>
      </c>
      <c r="B6518" s="1">
        <v>7.0</v>
      </c>
      <c r="C6518" s="1" t="s">
        <v>19147</v>
      </c>
      <c r="D6518" s="1" t="s">
        <v>8</v>
      </c>
      <c r="E6518" s="1" t="s">
        <v>19148</v>
      </c>
      <c r="F6518" s="1" t="str">
        <f>IFERROR(__xludf.DUMMYFUNCTION("GOOGLETRANSLATE(A6518, ""zh-CN"", ""ko"")"),"정화")</f>
        <v>정화</v>
      </c>
    </row>
    <row r="6519" ht="15.75" customHeight="1">
      <c r="A6519" s="1" t="s">
        <v>19149</v>
      </c>
      <c r="B6519" s="1">
        <v>7.0</v>
      </c>
      <c r="C6519" s="1" t="s">
        <v>19150</v>
      </c>
      <c r="D6519" s="1" t="s">
        <v>8</v>
      </c>
      <c r="E6519" s="1" t="s">
        <v>19151</v>
      </c>
      <c r="F6519" s="1" t="str">
        <f>IFERROR(__xludf.DUMMYFUNCTION("GOOGLETRANSLATE(A6519, ""zh-CN"", ""ko"")"),"스포츠")</f>
        <v>스포츠</v>
      </c>
    </row>
    <row r="6520" ht="15.75" customHeight="1">
      <c r="A6520" s="1" t="s">
        <v>19152</v>
      </c>
      <c r="B6520" s="1">
        <v>7.0</v>
      </c>
      <c r="C6520" s="1" t="s">
        <v>19153</v>
      </c>
      <c r="D6520" s="1" t="s">
        <v>16</v>
      </c>
      <c r="E6520" s="1" t="s">
        <v>19154</v>
      </c>
      <c r="F6520" s="1" t="str">
        <f>IFERROR(__xludf.DUMMYFUNCTION("GOOGLETRANSLATE(A6520, ""zh-CN"", ""ko"")"),"영토 내에서")</f>
        <v>영토 내에서</v>
      </c>
    </row>
    <row r="6521" ht="15.75" customHeight="1">
      <c r="A6521" s="1" t="s">
        <v>19155</v>
      </c>
      <c r="B6521" s="1">
        <v>7.0</v>
      </c>
      <c r="C6521" s="1" t="s">
        <v>19156</v>
      </c>
      <c r="D6521" s="1" t="s">
        <v>8</v>
      </c>
      <c r="E6521" s="1" t="s">
        <v>19157</v>
      </c>
      <c r="F6521" s="1" t="str">
        <f>IFERROR(__xludf.DUMMYFUNCTION("GOOGLETRANSLATE(A6521, ""zh-CN"", ""ko"")"),"존경하다")</f>
        <v>존경하다</v>
      </c>
    </row>
    <row r="6522" ht="15.75" customHeight="1">
      <c r="A6522" s="1" t="s">
        <v>19158</v>
      </c>
      <c r="B6522" s="1">
        <v>7.0</v>
      </c>
      <c r="C6522" s="1" t="s">
        <v>19159</v>
      </c>
      <c r="D6522" s="1" t="s">
        <v>8</v>
      </c>
      <c r="E6522" s="1" t="s">
        <v>19160</v>
      </c>
      <c r="F6522" s="1" t="str">
        <f>IFERROR(__xludf.DUMMYFUNCTION("GOOGLETRANSLATE(A6522, ""zh-CN"", ""ko"")"),"제발")</f>
        <v>제발</v>
      </c>
    </row>
    <row r="6523" ht="15.75" customHeight="1">
      <c r="A6523" s="1" t="s">
        <v>19161</v>
      </c>
      <c r="B6523" s="1">
        <v>7.0</v>
      </c>
      <c r="C6523" s="1" t="s">
        <v>19162</v>
      </c>
      <c r="D6523" s="1" t="s">
        <v>16</v>
      </c>
      <c r="E6523" s="1" t="s">
        <v>19163</v>
      </c>
      <c r="F6523" s="1" t="str">
        <f>IFERROR(__xludf.DUMMYFUNCTION("GOOGLETRANSLATE(A6523, ""zh-CN"", ""ko"")"),"해외")</f>
        <v>해외</v>
      </c>
    </row>
    <row r="6524" ht="15.75" customHeight="1">
      <c r="A6524" s="1" t="s">
        <v>19164</v>
      </c>
      <c r="B6524" s="1">
        <v>7.0</v>
      </c>
      <c r="C6524" s="1" t="s">
        <v>19165</v>
      </c>
      <c r="D6524" s="1" t="s">
        <v>8</v>
      </c>
      <c r="E6524" s="1" t="s">
        <v>19166</v>
      </c>
      <c r="F6524" s="1" t="str">
        <f>IFERROR(__xludf.DUMMYFUNCTION("GOOGLETRANSLATE(A6524, ""zh-CN"", ""ko"")"),"경례")</f>
        <v>경례</v>
      </c>
    </row>
    <row r="6525" ht="15.75" customHeight="1">
      <c r="A6525" s="1" t="s">
        <v>19167</v>
      </c>
      <c r="B6525" s="1">
        <v>7.0</v>
      </c>
      <c r="C6525" s="1" t="s">
        <v>19168</v>
      </c>
      <c r="D6525" s="1" t="s">
        <v>33</v>
      </c>
      <c r="E6525" s="1" t="s">
        <v>19169</v>
      </c>
      <c r="F6525" s="1" t="str">
        <f>IFERROR(__xludf.DUMMYFUNCTION("GOOGLETRANSLATE(A6525, ""zh-CN"", ""ko"")"),"경쟁하는")</f>
        <v>경쟁하는</v>
      </c>
    </row>
    <row r="6526" ht="15.75" customHeight="1">
      <c r="A6526" s="1" t="s">
        <v>19170</v>
      </c>
      <c r="B6526" s="1">
        <v>7.0</v>
      </c>
      <c r="C6526" s="1" t="s">
        <v>19171</v>
      </c>
      <c r="D6526" s="1" t="s">
        <v>16</v>
      </c>
      <c r="E6526" s="1" t="s">
        <v>19172</v>
      </c>
      <c r="F6526" s="1" t="str">
        <f>IFERROR(__xludf.DUMMYFUNCTION("GOOGLETRANSLATE(A6526, ""zh-CN"", ""ko"")"),"존경")</f>
        <v>존경</v>
      </c>
    </row>
    <row r="6527" ht="15.75" customHeight="1">
      <c r="A6527" s="1" t="s">
        <v>19173</v>
      </c>
      <c r="B6527" s="1">
        <v>7.0</v>
      </c>
      <c r="C6527" s="1" t="s">
        <v>19174</v>
      </c>
      <c r="D6527" s="1" t="s">
        <v>16</v>
      </c>
      <c r="E6527" s="1" t="s">
        <v>19175</v>
      </c>
      <c r="F6527" s="1" t="str">
        <f>IFERROR(__xludf.DUMMYFUNCTION("GOOGLETRANSLATE(A6527, ""zh-CN"", ""ko"")"),"상황")</f>
        <v>상황</v>
      </c>
    </row>
    <row r="6528" ht="15.75" customHeight="1">
      <c r="A6528" s="1" t="s">
        <v>19176</v>
      </c>
      <c r="B6528" s="1">
        <v>7.0</v>
      </c>
      <c r="C6528" s="1" t="s">
        <v>19177</v>
      </c>
      <c r="D6528" s="1" t="s">
        <v>33</v>
      </c>
      <c r="E6528" s="1" t="s">
        <v>19178</v>
      </c>
      <c r="F6528" s="1" t="str">
        <f>IFERROR(__xludf.DUMMYFUNCTION("GOOGLETRANSLATE(A6528, ""zh-CN"", ""ko"")"),"똑바로")</f>
        <v>똑바로</v>
      </c>
    </row>
    <row r="6529" ht="15.75" customHeight="1">
      <c r="A6529" s="1" t="s">
        <v>19179</v>
      </c>
      <c r="B6529" s="1">
        <v>7.0</v>
      </c>
      <c r="C6529" s="1" t="s">
        <v>19180</v>
      </c>
      <c r="D6529" s="1" t="s">
        <v>8</v>
      </c>
      <c r="E6529" s="1" t="s">
        <v>19181</v>
      </c>
      <c r="F6529" s="1" t="str">
        <f>IFERROR(__xludf.DUMMYFUNCTION("GOOGLETRANSLATE(A6529, ""zh-CN"", ""ko"")"),"아직")</f>
        <v>아직</v>
      </c>
    </row>
    <row r="6530" ht="15.75" customHeight="1">
      <c r="A6530" s="1" t="s">
        <v>19182</v>
      </c>
      <c r="B6530" s="1">
        <v>7.0</v>
      </c>
      <c r="C6530" s="1" t="s">
        <v>19183</v>
      </c>
      <c r="D6530" s="1" t="s">
        <v>8</v>
      </c>
      <c r="E6530" s="1" t="s">
        <v>19184</v>
      </c>
      <c r="F6530" s="1" t="str">
        <f>IFERROR(__xludf.DUMMYFUNCTION("GOOGLETRANSLATE(A6530, ""zh-CN"", ""ko"")"),"존경")</f>
        <v>존경</v>
      </c>
    </row>
    <row r="6531" ht="15.75" customHeight="1">
      <c r="A6531" s="1" t="s">
        <v>19185</v>
      </c>
      <c r="B6531" s="1">
        <v>7.0</v>
      </c>
      <c r="C6531" s="1" t="s">
        <v>19186</v>
      </c>
      <c r="D6531" s="1" t="s">
        <v>52</v>
      </c>
      <c r="E6531" s="1" t="s">
        <v>19187</v>
      </c>
      <c r="F6531" s="1" t="str">
        <f>IFERROR(__xludf.DUMMYFUNCTION("GOOGLETRANSLATE(A6531, ""zh-CN"", ""ko"")"),"당황")</f>
        <v>당황</v>
      </c>
    </row>
    <row r="6532" ht="15.75" customHeight="1">
      <c r="A6532" s="1" t="s">
        <v>19188</v>
      </c>
      <c r="B6532" s="1">
        <v>7.0</v>
      </c>
      <c r="C6532" s="1" t="s">
        <v>19189</v>
      </c>
      <c r="D6532" s="1" t="s">
        <v>8</v>
      </c>
      <c r="E6532" s="1" t="s">
        <v>19190</v>
      </c>
      <c r="F6532" s="1" t="str">
        <f>IFERROR(__xludf.DUMMYFUNCTION("GOOGLETRANSLATE(A6532, ""zh-CN"", ""ko"")"),"당기다")</f>
        <v>당기다</v>
      </c>
    </row>
    <row r="6533" ht="15.75" customHeight="1">
      <c r="A6533" s="1" t="s">
        <v>19191</v>
      </c>
      <c r="B6533" s="1">
        <v>7.0</v>
      </c>
      <c r="C6533" s="1" t="s">
        <v>19192</v>
      </c>
      <c r="D6533" s="1" t="s">
        <v>8</v>
      </c>
      <c r="E6533" s="1" t="s">
        <v>19193</v>
      </c>
      <c r="F6533" s="1" t="str">
        <f>IFERROR(__xludf.DUMMYFUNCTION("GOOGLETRANSLATE(A6533, ""zh-CN"", ""ko"")"),"녹채")</f>
        <v>녹채</v>
      </c>
    </row>
    <row r="6534" ht="15.75" customHeight="1">
      <c r="A6534" s="1" t="s">
        <v>19194</v>
      </c>
      <c r="B6534" s="1">
        <v>7.0</v>
      </c>
      <c r="C6534" s="1" t="s">
        <v>19195</v>
      </c>
      <c r="D6534" s="1" t="s">
        <v>16</v>
      </c>
      <c r="E6534" s="1" t="s">
        <v>19196</v>
      </c>
      <c r="F6534" s="1" t="str">
        <f>IFERROR(__xludf.DUMMYFUNCTION("GOOGLETRANSLATE(A6534, ""zh-CN"", ""ko"")"),"식당")</f>
        <v>식당</v>
      </c>
    </row>
    <row r="6535" ht="15.75" customHeight="1">
      <c r="A6535" s="1" t="s">
        <v>19197</v>
      </c>
      <c r="B6535" s="1">
        <v>7.0</v>
      </c>
      <c r="C6535" s="1" t="s">
        <v>19198</v>
      </c>
      <c r="D6535" s="1" t="s">
        <v>8</v>
      </c>
      <c r="E6535" s="1" t="s">
        <v>19199</v>
      </c>
      <c r="F6535" s="1" t="str">
        <f>IFERROR(__xludf.DUMMYFUNCTION("GOOGLETRANSLATE(A6535, ""zh-CN"", ""ko"")"),"오랜만이에요")</f>
        <v>오랜만이에요</v>
      </c>
    </row>
    <row r="6536" ht="15.75" customHeight="1">
      <c r="A6536" s="1" t="s">
        <v>19200</v>
      </c>
      <c r="B6536" s="1">
        <v>7.0</v>
      </c>
      <c r="C6536" s="1" t="s">
        <v>19201</v>
      </c>
      <c r="D6536" s="1" t="s">
        <v>8</v>
      </c>
      <c r="E6536" s="1" t="s">
        <v>19202</v>
      </c>
      <c r="F6536" s="1" t="str">
        <f>IFERROR(__xludf.DUMMYFUNCTION("GOOGLETRANSLATE(A6536, ""zh-CN"", ""ko"")"),"당신에 대해 정말 많이 들었어요.")</f>
        <v>당신에 대해 정말 많이 들었어요.</v>
      </c>
    </row>
    <row r="6537" ht="15.75" customHeight="1">
      <c r="A6537" s="1" t="s">
        <v>19203</v>
      </c>
      <c r="B6537" s="1">
        <v>7.0</v>
      </c>
      <c r="C6537" s="1" t="s">
        <v>19204</v>
      </c>
      <c r="D6537" s="1" t="s">
        <v>8</v>
      </c>
      <c r="E6537" s="1" t="s">
        <v>19205</v>
      </c>
      <c r="F6537" s="1" t="str">
        <f>IFERROR(__xludf.DUMMYFUNCTION("GOOGLETRANSLATE(A6537, ""zh-CN"", ""ko"")"),"식사")</f>
        <v>식사</v>
      </c>
    </row>
    <row r="6538" ht="15.75" customHeight="1">
      <c r="A6538" s="1" t="s">
        <v>19206</v>
      </c>
      <c r="B6538" s="1">
        <v>7.0</v>
      </c>
      <c r="C6538" s="1" t="s">
        <v>19207</v>
      </c>
      <c r="D6538" s="1" t="s">
        <v>33</v>
      </c>
      <c r="E6538" s="1" t="s">
        <v>19208</v>
      </c>
      <c r="F6538" s="1" t="str">
        <f>IFERROR(__xludf.DUMMYFUNCTION("GOOGLETRANSLATE(A6538, ""zh-CN"", ""ko"")"),"지금까지")</f>
        <v>지금까지</v>
      </c>
    </row>
    <row r="6539" ht="15.75" customHeight="1">
      <c r="A6539" s="1" t="s">
        <v>19209</v>
      </c>
      <c r="B6539" s="1">
        <v>7.0</v>
      </c>
      <c r="C6539" s="1" t="s">
        <v>19210</v>
      </c>
      <c r="D6539" s="1" t="s">
        <v>33</v>
      </c>
      <c r="E6539" s="1" t="s">
        <v>19211</v>
      </c>
      <c r="F6539" s="1" t="str">
        <f>IFERROR(__xludf.DUMMYFUNCTION("GOOGLETRANSLATE(A6539, ""zh-CN"", ""ko"")"),"현장에서")</f>
        <v>현장에서</v>
      </c>
    </row>
    <row r="6540" ht="15.75" customHeight="1">
      <c r="A6540" s="1" t="s">
        <v>19212</v>
      </c>
      <c r="B6540" s="1">
        <v>7.0</v>
      </c>
      <c r="C6540" s="1" t="s">
        <v>19213</v>
      </c>
      <c r="D6540" s="1" t="s">
        <v>8</v>
      </c>
      <c r="E6540" s="1" t="s">
        <v>19214</v>
      </c>
      <c r="F6540" s="1" t="str">
        <f>IFERROR(__xludf.DUMMYFUNCTION("GOOGLETRANSLATE(A6540, ""zh-CN"", ""ko"")"),"취임하다")</f>
        <v>취임하다</v>
      </c>
    </row>
    <row r="6541" ht="15.75" customHeight="1">
      <c r="A6541" s="1" t="s">
        <v>19215</v>
      </c>
      <c r="B6541" s="1">
        <v>7.0</v>
      </c>
      <c r="C6541" s="1" t="s">
        <v>19216</v>
      </c>
      <c r="E6541" s="1" t="s">
        <v>19217</v>
      </c>
      <c r="F6541" s="1" t="str">
        <f>IFERROR(__xludf.DUMMYFUNCTION("GOOGLETRANSLATE(A6541, ""zh-CN"", ""ko"")"),"생명을 구하고 부상자를 치료하는 것")</f>
        <v>생명을 구하고 부상자를 치료하는 것</v>
      </c>
    </row>
    <row r="6542" ht="15.75" customHeight="1">
      <c r="A6542" s="1" t="s">
        <v>19218</v>
      </c>
      <c r="B6542" s="1">
        <v>7.0</v>
      </c>
      <c r="C6542" s="1" t="s">
        <v>19219</v>
      </c>
      <c r="D6542" s="1" t="s">
        <v>8</v>
      </c>
      <c r="E6542" s="1" t="s">
        <v>19220</v>
      </c>
      <c r="F6542" s="1" t="str">
        <f>IFERROR(__xludf.DUMMYFUNCTION("GOOGLETRANSLATE(A6542, ""zh-CN"", ""ko"")"),"준비가 된")</f>
        <v>준비가 된</v>
      </c>
    </row>
    <row r="6543" ht="15.75" customHeight="1">
      <c r="A6543" s="1" t="s">
        <v>19221</v>
      </c>
      <c r="B6543" s="1">
        <v>7.0</v>
      </c>
      <c r="C6543" s="1" t="s">
        <v>19222</v>
      </c>
      <c r="D6543" s="1" t="s">
        <v>8</v>
      </c>
      <c r="E6543" s="1" t="s">
        <v>19223</v>
      </c>
      <c r="F6543" s="1" t="str">
        <f>IFERROR(__xludf.DUMMYFUNCTION("GOOGLETRANSLATE(A6543, ""zh-CN"", ""ko"")"),"의료 치료를 받다")</f>
        <v>의료 치료를 받다</v>
      </c>
    </row>
    <row r="6544" ht="15.75" customHeight="1">
      <c r="A6544" s="1" t="s">
        <v>19224</v>
      </c>
      <c r="B6544" s="1">
        <v>7.0</v>
      </c>
      <c r="C6544" s="1" t="s">
        <v>19225</v>
      </c>
      <c r="D6544" s="1" t="s">
        <v>8</v>
      </c>
      <c r="E6544" s="1" t="s">
        <v>19226</v>
      </c>
      <c r="F6544" s="1" t="str">
        <f>IFERROR(__xludf.DUMMYFUNCTION("GOOGLETRANSLATE(A6544, ""zh-CN"", ""ko"")"),"진료")</f>
        <v>진료</v>
      </c>
    </row>
    <row r="6545" ht="15.75" customHeight="1">
      <c r="A6545" s="1" t="s">
        <v>19227</v>
      </c>
      <c r="B6545" s="1">
        <v>7.0</v>
      </c>
      <c r="C6545" s="1" t="s">
        <v>19228</v>
      </c>
      <c r="D6545" s="1" t="s">
        <v>8</v>
      </c>
      <c r="E6545" s="1" t="s">
        <v>19229</v>
      </c>
      <c r="F6545" s="1" t="str">
        <f>IFERROR(__xludf.DUMMYFUNCTION("GOOGLETRANSLATE(A6545, ""zh-CN"", ""ko"")"),"치료")</f>
        <v>치료</v>
      </c>
    </row>
    <row r="6546" ht="15.75" customHeight="1">
      <c r="A6546" s="1" t="s">
        <v>19230</v>
      </c>
      <c r="B6546" s="1">
        <v>7.0</v>
      </c>
      <c r="C6546" s="1" t="s">
        <v>19231</v>
      </c>
      <c r="D6546" s="1" t="s">
        <v>8</v>
      </c>
      <c r="E6546" s="1" t="s">
        <v>19232</v>
      </c>
      <c r="F6546" s="1" t="str">
        <f>IFERROR(__xludf.DUMMYFUNCTION("GOOGLETRANSLATE(A6546, ""zh-CN"", ""ko"")"),"자리에 앉으세요")</f>
        <v>자리에 앉으세요</v>
      </c>
    </row>
    <row r="6547" ht="15.75" customHeight="1">
      <c r="A6547" s="1" t="s">
        <v>19233</v>
      </c>
      <c r="B6547" s="1">
        <v>7.0</v>
      </c>
      <c r="C6547" s="1" t="s">
        <v>19234</v>
      </c>
      <c r="E6547" s="1" t="s">
        <v>19235</v>
      </c>
      <c r="F6547" s="1" t="str">
        <f>IFERROR(__xludf.DUMMYFUNCTION("GOOGLETRANSLATE(A6547, ""zh-CN"", ""ko"")"),"평화로운 시대에도 위험에 대비하라")</f>
        <v>평화로운 시대에도 위험에 대비하라</v>
      </c>
    </row>
    <row r="6548" ht="15.75" customHeight="1">
      <c r="A6548" s="1" t="s">
        <v>19236</v>
      </c>
      <c r="B6548" s="1">
        <v>7.0</v>
      </c>
      <c r="C6548" s="1" t="s">
        <v>19237</v>
      </c>
      <c r="E6548" s="1" t="s">
        <v>19238</v>
      </c>
      <c r="F6548" s="1" t="str">
        <f>IFERROR(__xludf.DUMMYFUNCTION("GOOGLETRANSLATE(A6548, ""zh-CN"", ""ko"")"),"높은 수준을 유지하고 있음")</f>
        <v>높은 수준을 유지하고 있음</v>
      </c>
    </row>
    <row r="6549" ht="15.75" customHeight="1">
      <c r="A6549" s="1" t="s">
        <v>19239</v>
      </c>
      <c r="B6549" s="1">
        <v>7.0</v>
      </c>
      <c r="C6549" s="1" t="s">
        <v>19240</v>
      </c>
      <c r="D6549" s="1" t="s">
        <v>8</v>
      </c>
      <c r="E6549" s="1" t="s">
        <v>19241</v>
      </c>
      <c r="F6549" s="1" t="str">
        <f>IFERROR(__xludf.DUMMYFUNCTION("GOOGLETRANSLATE(A6549, ""zh-CN"", ""ko"")"),"거주지")</f>
        <v>거주지</v>
      </c>
    </row>
    <row r="6550" ht="15.75" customHeight="1">
      <c r="A6550" s="1" t="s">
        <v>19242</v>
      </c>
      <c r="B6550" s="1">
        <v>7.0</v>
      </c>
      <c r="C6550" s="1" t="s">
        <v>19243</v>
      </c>
      <c r="D6550" s="1" t="s">
        <v>8</v>
      </c>
      <c r="E6550" s="1" t="s">
        <v>19244</v>
      </c>
      <c r="F6550" s="1" t="str">
        <f>IFERROR(__xludf.DUMMYFUNCTION("GOOGLETRANSLATE(A6550, ""zh-CN"", ""ko"")"),"보고서")</f>
        <v>보고서</v>
      </c>
    </row>
    <row r="6551" ht="15.75" customHeight="1">
      <c r="A6551" s="1" t="s">
        <v>19245</v>
      </c>
      <c r="B6551" s="1">
        <v>7.0</v>
      </c>
      <c r="C6551" s="1" t="s">
        <v>19246</v>
      </c>
      <c r="D6551" s="1" t="s">
        <v>16</v>
      </c>
      <c r="E6551" s="1" t="s">
        <v>19247</v>
      </c>
      <c r="F6551" s="1" t="str">
        <f>IFERROR(__xludf.DUMMYFUNCTION("GOOGLETRANSLATE(A6551, ""zh-CN"", ""ko"")"),"조치")</f>
        <v>조치</v>
      </c>
    </row>
    <row r="6552" ht="15.75" customHeight="1">
      <c r="A6552" s="1" t="s">
        <v>19248</v>
      </c>
      <c r="B6552" s="1">
        <v>7.0</v>
      </c>
      <c r="C6552" s="1" t="s">
        <v>19249</v>
      </c>
      <c r="E6552" s="1" t="s">
        <v>8181</v>
      </c>
      <c r="F6552" s="1" t="str">
        <f>IFERROR(__xludf.DUMMYFUNCTION("GOOGLETRANSLATE(A6552, ""zh-CN"", ""ko"")"),"미정")</f>
        <v>미정</v>
      </c>
    </row>
    <row r="6553" ht="15.75" customHeight="1">
      <c r="A6553" s="1" t="s">
        <v>19250</v>
      </c>
      <c r="B6553" s="1">
        <v>7.0</v>
      </c>
      <c r="C6553" s="1" t="s">
        <v>19251</v>
      </c>
      <c r="E6553" s="1" t="s">
        <v>19252</v>
      </c>
      <c r="F6553" s="1" t="str">
        <f>IFERROR(__xludf.DUMMYFUNCTION("GOOGLETRANSLATE(A6553, ""zh-CN"", ""ko"")"),"유추를 통해 배우세요")</f>
        <v>유추를 통해 배우세요</v>
      </c>
    </row>
    <row r="6554" ht="15.75" customHeight="1">
      <c r="A6554" s="1" t="s">
        <v>19253</v>
      </c>
      <c r="B6554" s="1">
        <v>7.0</v>
      </c>
      <c r="C6554" s="1" t="s">
        <v>19254</v>
      </c>
      <c r="D6554" s="1" t="s">
        <v>16</v>
      </c>
      <c r="E6554" s="1" t="s">
        <v>19255</v>
      </c>
      <c r="F6554" s="1" t="str">
        <f>IFERROR(__xludf.DUMMYFUNCTION("GOOGLETRANSLATE(A6554, ""zh-CN"", ""ko"")"),"방법")</f>
        <v>방법</v>
      </c>
    </row>
    <row r="6555" ht="15.75" customHeight="1">
      <c r="A6555" s="1" t="s">
        <v>19256</v>
      </c>
      <c r="B6555" s="1">
        <v>7.0</v>
      </c>
      <c r="C6555" s="1" t="s">
        <v>19257</v>
      </c>
      <c r="D6555" s="1" t="s">
        <v>16</v>
      </c>
      <c r="E6555" s="1" t="s">
        <v>19258</v>
      </c>
      <c r="F6555" s="1" t="str">
        <f>IFERROR(__xludf.DUMMYFUNCTION("GOOGLETRANSLATE(A6555, ""zh-CN"", ""ko"")"),"역도")</f>
        <v>역도</v>
      </c>
    </row>
    <row r="6556" ht="15.75" customHeight="1">
      <c r="A6556" s="1" t="s">
        <v>19259</v>
      </c>
      <c r="B6556" s="1">
        <v>7.0</v>
      </c>
      <c r="C6556" s="1" t="s">
        <v>19260</v>
      </c>
      <c r="D6556" s="1" t="s">
        <v>8</v>
      </c>
      <c r="E6556" s="1" t="s">
        <v>19261</v>
      </c>
      <c r="F6556" s="1" t="str">
        <f>IFERROR(__xludf.DUMMYFUNCTION("GOOGLETRANSLATE(A6556, ""zh-CN"", ""ko"")"),"극적인 변화")</f>
        <v>극적인 변화</v>
      </c>
    </row>
    <row r="6557" ht="15.75" customHeight="1">
      <c r="A6557" s="1" t="s">
        <v>19262</v>
      </c>
      <c r="B6557" s="1">
        <v>7.0</v>
      </c>
      <c r="C6557" s="1" t="s">
        <v>19263</v>
      </c>
      <c r="D6557" s="1" t="s">
        <v>52</v>
      </c>
      <c r="E6557" s="1" t="s">
        <v>19264</v>
      </c>
      <c r="F6557" s="1" t="str">
        <f>IFERROR(__xludf.DUMMYFUNCTION("GOOGLETRANSLATE(A6557, ""zh-CN"", ""ko"")"),"엄청난 양")</f>
        <v>엄청난 양</v>
      </c>
    </row>
    <row r="6558" ht="15.75" customHeight="1">
      <c r="A6558" s="1" t="s">
        <v>19265</v>
      </c>
      <c r="B6558" s="1">
        <v>7.0</v>
      </c>
      <c r="C6558" s="1" t="s">
        <v>19266</v>
      </c>
      <c r="D6558" s="1" t="s">
        <v>8</v>
      </c>
      <c r="E6558" s="1" t="s">
        <v>19267</v>
      </c>
      <c r="F6558" s="1" t="str">
        <f>IFERROR(__xludf.DUMMYFUNCTION("GOOGLETRANSLATE(A6558, ""zh-CN"", ""ko"")"),"집중하다")</f>
        <v>집중하다</v>
      </c>
    </row>
    <row r="6559" ht="15.75" customHeight="1">
      <c r="A6559" s="1" t="s">
        <v>19268</v>
      </c>
      <c r="B6559" s="1">
        <v>7.0</v>
      </c>
      <c r="C6559" s="1" t="s">
        <v>19269</v>
      </c>
      <c r="D6559" s="1" t="s">
        <v>16</v>
      </c>
      <c r="E6559" s="1" t="s">
        <v>19270</v>
      </c>
      <c r="F6559" s="1" t="str">
        <f>IFERROR(__xludf.DUMMYFUNCTION("GOOGLETRANSLATE(A6559, ""zh-CN"", ""ko"")"),"연극")</f>
        <v>연극</v>
      </c>
    </row>
    <row r="6560" ht="15.75" customHeight="1">
      <c r="A6560" s="1" t="s">
        <v>19271</v>
      </c>
      <c r="B6560" s="1">
        <v>7.0</v>
      </c>
      <c r="C6560" s="1" t="s">
        <v>19272</v>
      </c>
      <c r="D6560" s="1" t="s">
        <v>16</v>
      </c>
      <c r="E6560" s="1" t="s">
        <v>19273</v>
      </c>
      <c r="F6560" s="1" t="str">
        <f>IFERROR(__xludf.DUMMYFUNCTION("GOOGLETRANSLATE(A6560, ""zh-CN"", ""ko"")"),"구성")</f>
        <v>구성</v>
      </c>
    </row>
    <row r="6561" ht="15.75" customHeight="1">
      <c r="A6561" s="1" t="s">
        <v>19274</v>
      </c>
      <c r="B6561" s="1">
        <v>7.0</v>
      </c>
      <c r="C6561" s="1" t="s">
        <v>19275</v>
      </c>
      <c r="D6561" s="1" t="s">
        <v>16</v>
      </c>
      <c r="E6561" s="1" t="s">
        <v>19276</v>
      </c>
      <c r="F6561" s="1" t="str">
        <f>IFERROR(__xludf.DUMMYFUNCTION("GOOGLETRANSLATE(A6561, ""zh-CN"", ""ko"")"),"거대한")</f>
        <v>거대한</v>
      </c>
    </row>
    <row r="6562" ht="15.75" customHeight="1">
      <c r="A6562" s="1" t="s">
        <v>19277</v>
      </c>
      <c r="B6562" s="1">
        <v>7.0</v>
      </c>
      <c r="C6562" s="1" t="s">
        <v>19278</v>
      </c>
      <c r="D6562" s="1" t="s">
        <v>16</v>
      </c>
      <c r="E6562" s="1" t="s">
        <v>19279</v>
      </c>
      <c r="F6562" s="1" t="str">
        <f>IFERROR(__xludf.DUMMYFUNCTION("GOOGLETRANSLATE(A6562, ""zh-CN"", ""ko"")"),"거대한")</f>
        <v>거대한</v>
      </c>
    </row>
    <row r="6563" ht="15.75" customHeight="1">
      <c r="A6563" s="1" t="s">
        <v>19280</v>
      </c>
      <c r="B6563" s="1">
        <v>7.0</v>
      </c>
      <c r="C6563" s="1" t="s">
        <v>19281</v>
      </c>
      <c r="D6563" s="1" t="s">
        <v>8</v>
      </c>
      <c r="E6563" s="1" t="s">
        <v>19282</v>
      </c>
      <c r="F6563" s="1" t="str">
        <f>IFERROR(__xludf.DUMMYFUNCTION("GOOGLETRANSLATE(A6563, ""zh-CN"", ""ko"")"),"기부")</f>
        <v>기부</v>
      </c>
    </row>
    <row r="6564" ht="15.75" customHeight="1">
      <c r="A6564" s="1" t="s">
        <v>19283</v>
      </c>
      <c r="B6564" s="1">
        <v>7.0</v>
      </c>
      <c r="C6564" s="1" t="s">
        <v>19284</v>
      </c>
      <c r="D6564" s="1" t="s">
        <v>8</v>
      </c>
      <c r="E6564" s="1" t="s">
        <v>19285</v>
      </c>
      <c r="F6564" s="1" t="str">
        <f>IFERROR(__xludf.DUMMYFUNCTION("GOOGLETRANSLATE(A6564, ""zh-CN"", ""ko"")"),"관련된")</f>
        <v>관련된</v>
      </c>
    </row>
    <row r="6565" ht="15.75" customHeight="1">
      <c r="A6565" s="1" t="s">
        <v>19286</v>
      </c>
      <c r="B6565" s="1">
        <v>7.0</v>
      </c>
      <c r="C6565" s="1" t="s">
        <v>19287</v>
      </c>
      <c r="D6565" s="1" t="s">
        <v>19288</v>
      </c>
      <c r="E6565" s="1" t="s">
        <v>19289</v>
      </c>
      <c r="F6565" s="1" t="str">
        <f>IFERROR(__xludf.DUMMYFUNCTION("GOOGLETRANSLATE(A6565, ""zh-CN"", ""ko"")"),"순수한")</f>
        <v>순수한</v>
      </c>
    </row>
    <row r="6566" ht="15.75" customHeight="1">
      <c r="A6566" s="1" t="s">
        <v>19290</v>
      </c>
      <c r="B6566" s="1">
        <v>7.0</v>
      </c>
      <c r="C6566" s="1" t="s">
        <v>19291</v>
      </c>
      <c r="D6566" s="1" t="s">
        <v>8</v>
      </c>
      <c r="E6566" s="1" t="s">
        <v>19292</v>
      </c>
      <c r="F6566" s="1" t="str">
        <f>IFERROR(__xludf.DUMMYFUNCTION("GOOGLETRANSLATE(A6566, ""zh-CN"", ""ko"")"),"소멸")</f>
        <v>소멸</v>
      </c>
    </row>
    <row r="6567" ht="15.75" customHeight="1">
      <c r="A6567" s="1" t="s">
        <v>19293</v>
      </c>
      <c r="B6567" s="1">
        <v>7.0</v>
      </c>
      <c r="C6567" s="1" t="s">
        <v>19291</v>
      </c>
      <c r="D6567" s="1" t="s">
        <v>16</v>
      </c>
      <c r="E6567" s="1" t="s">
        <v>19294</v>
      </c>
      <c r="F6567" s="1" t="str">
        <f>IFERROR(__xludf.DUMMYFUNCTION("GOOGLETRANSLATE(A6567, ""zh-CN"", ""ko"")"),"묘기")</f>
        <v>묘기</v>
      </c>
    </row>
    <row r="6568" ht="15.75" customHeight="1">
      <c r="A6568" s="1" t="s">
        <v>19295</v>
      </c>
      <c r="B6568" s="1">
        <v>7.0</v>
      </c>
      <c r="C6568" s="1" t="s">
        <v>19296</v>
      </c>
      <c r="D6568" s="1" t="s">
        <v>8</v>
      </c>
      <c r="E6568" s="1" t="s">
        <v>19297</v>
      </c>
      <c r="F6568" s="1" t="str">
        <f>IFERROR(__xludf.DUMMYFUNCTION("GOOGLETRANSLATE(A6568, ""zh-CN"", ""ko"")"),"증가")</f>
        <v>증가</v>
      </c>
    </row>
    <row r="6569" ht="15.75" customHeight="1">
      <c r="A6569" s="1" t="s">
        <v>19298</v>
      </c>
      <c r="B6569" s="1">
        <v>7.0</v>
      </c>
      <c r="C6569" s="1" t="s">
        <v>19299</v>
      </c>
      <c r="D6569" s="1" t="s">
        <v>16</v>
      </c>
      <c r="E6569" s="1" t="s">
        <v>17728</v>
      </c>
      <c r="F6569" s="1" t="str">
        <f>IFERROR(__xludf.DUMMYFUNCTION("GOOGLETRANSLATE(A6569, ""zh-CN"", ""ko"")"),"팁")</f>
        <v>팁</v>
      </c>
    </row>
    <row r="6570" ht="15.75" customHeight="1">
      <c r="A6570" s="1" t="s">
        <v>19300</v>
      </c>
      <c r="B6570" s="1">
        <v>7.0</v>
      </c>
      <c r="C6570" s="1" t="s">
        <v>19301</v>
      </c>
      <c r="D6570" s="1" t="s">
        <v>16</v>
      </c>
      <c r="E6570" s="1" t="s">
        <v>19302</v>
      </c>
      <c r="F6570" s="1" t="str">
        <f>IFERROR(__xludf.DUMMYFUNCTION("GOOGLETRANSLATE(A6570, ""zh-CN"", ""ko"")"),"해결")</f>
        <v>해결</v>
      </c>
    </row>
    <row r="6571" ht="15.75" customHeight="1">
      <c r="A6571" s="1" t="s">
        <v>19303</v>
      </c>
      <c r="B6571" s="1">
        <v>7.0</v>
      </c>
      <c r="C6571" s="1" t="s">
        <v>19304</v>
      </c>
      <c r="D6571" s="1" t="s">
        <v>8</v>
      </c>
      <c r="E6571" s="1" t="s">
        <v>19305</v>
      </c>
      <c r="F6571" s="1" t="str">
        <f>IFERROR(__xludf.DUMMYFUNCTION("GOOGLETRANSLATE(A6571, ""zh-CN"", ""ko"")"),"격리")</f>
        <v>격리</v>
      </c>
    </row>
    <row r="6572" ht="15.75" customHeight="1">
      <c r="A6572" s="1" t="s">
        <v>19306</v>
      </c>
      <c r="B6572" s="1">
        <v>7.0</v>
      </c>
      <c r="C6572" s="1" t="s">
        <v>19307</v>
      </c>
      <c r="D6572" s="1" t="s">
        <v>8</v>
      </c>
      <c r="E6572" s="1" t="s">
        <v>19308</v>
      </c>
      <c r="F6572" s="1" t="str">
        <f>IFERROR(__xludf.DUMMYFUNCTION("GOOGLETRANSLATE(A6572, ""zh-CN"", ""ko"")"),"선택")</f>
        <v>선택</v>
      </c>
    </row>
    <row r="6573" ht="15.75" customHeight="1">
      <c r="A6573" s="1" t="s">
        <v>19309</v>
      </c>
      <c r="B6573" s="1">
        <v>7.0</v>
      </c>
      <c r="C6573" s="1" t="s">
        <v>19310</v>
      </c>
      <c r="D6573" s="1" t="s">
        <v>8</v>
      </c>
      <c r="E6573" s="1" t="s">
        <v>18843</v>
      </c>
      <c r="F6573" s="1" t="str">
        <f>IFERROR(__xludf.DUMMYFUNCTION("GOOGLETRANSLATE(A6573, ""zh-CN"", ""ko"")"),"경쟁")</f>
        <v>경쟁</v>
      </c>
    </row>
    <row r="6574" ht="15.75" customHeight="1">
      <c r="A6574" s="1" t="s">
        <v>19311</v>
      </c>
      <c r="B6574" s="1">
        <v>7.0</v>
      </c>
      <c r="C6574" s="1" t="s">
        <v>19312</v>
      </c>
      <c r="D6574" s="1" t="s">
        <v>52</v>
      </c>
      <c r="E6574" s="1" t="s">
        <v>19313</v>
      </c>
      <c r="F6574" s="1" t="str">
        <f>IFERROR(__xludf.DUMMYFUNCTION("GOOGLETRANSLATE(A6574, ""zh-CN"", ""ko"")"),"고집스러운")</f>
        <v>고집스러운</v>
      </c>
    </row>
    <row r="6575" ht="15.75" customHeight="1">
      <c r="A6575" s="1" t="s">
        <v>19314</v>
      </c>
      <c r="B6575" s="1">
        <v>7.0</v>
      </c>
      <c r="C6575" s="1" t="s">
        <v>19315</v>
      </c>
      <c r="D6575" s="1" t="s">
        <v>19316</v>
      </c>
      <c r="E6575" s="1" t="s">
        <v>19317</v>
      </c>
      <c r="F6575" s="1" t="str">
        <f>IFERROR(__xludf.DUMMYFUNCTION("GOOGLETRANSLATE(A6575, ""zh-CN"", ""ko"")"),"모두")</f>
        <v>모두</v>
      </c>
    </row>
    <row r="6576" ht="15.75" customHeight="1">
      <c r="A6576" s="1" t="s">
        <v>19318</v>
      </c>
      <c r="B6576" s="1">
        <v>7.0</v>
      </c>
      <c r="C6576" s="1" t="s">
        <v>19319</v>
      </c>
      <c r="D6576" s="1" t="s">
        <v>16</v>
      </c>
      <c r="E6576" s="1" t="s">
        <v>19320</v>
      </c>
      <c r="F6576" s="1" t="str">
        <f>IFERROR(__xludf.DUMMYFUNCTION("GOOGLETRANSLATE(A6576, ""zh-CN"", ""ko"")"),"장교")</f>
        <v>장교</v>
      </c>
    </row>
    <row r="6577" ht="15.75" customHeight="1">
      <c r="A6577" s="1" t="s">
        <v>19321</v>
      </c>
      <c r="B6577" s="1">
        <v>7.0</v>
      </c>
      <c r="C6577" s="1" t="s">
        <v>19322</v>
      </c>
      <c r="D6577" s="1" t="s">
        <v>52</v>
      </c>
      <c r="E6577" s="1" t="s">
        <v>19323</v>
      </c>
      <c r="F6577" s="1" t="str">
        <f>IFERROR(__xludf.DUMMYFUNCTION("GOOGLETRANSLATE(A6577, ""zh-CN"", ""ko"")"),"균형")</f>
        <v>균형</v>
      </c>
    </row>
    <row r="6578" ht="15.75" customHeight="1">
      <c r="A6578" s="1" t="s">
        <v>19324</v>
      </c>
      <c r="B6578" s="1">
        <v>7.0</v>
      </c>
      <c r="C6578" s="1" t="s">
        <v>19325</v>
      </c>
      <c r="D6578" s="1" t="s">
        <v>16</v>
      </c>
      <c r="E6578" s="1" t="s">
        <v>19326</v>
      </c>
      <c r="F6578" s="1" t="str">
        <f>IFERROR(__xludf.DUMMYFUNCTION("GOOGLETRANSLATE(A6578, ""zh-CN"", ""ko"")"),"군함")</f>
        <v>군함</v>
      </c>
    </row>
    <row r="6579" ht="15.75" customHeight="1">
      <c r="A6579" s="1" t="s">
        <v>19327</v>
      </c>
      <c r="B6579" s="1">
        <v>7.0</v>
      </c>
      <c r="C6579" s="1" t="s">
        <v>19328</v>
      </c>
      <c r="D6579" s="1" t="s">
        <v>52</v>
      </c>
      <c r="E6579" s="1" t="s">
        <v>19329</v>
      </c>
      <c r="F6579" s="1" t="str">
        <f>IFERROR(__xludf.DUMMYFUNCTION("GOOGLETRANSLATE(A6579, ""zh-CN"", ""ko"")"),"잘생긴")</f>
        <v>잘생긴</v>
      </c>
    </row>
    <row r="6580" ht="15.75" customHeight="1">
      <c r="A6580" s="1" t="s">
        <v>19330</v>
      </c>
      <c r="B6580" s="1">
        <v>7.0</v>
      </c>
      <c r="C6580" s="1" t="s">
        <v>19331</v>
      </c>
      <c r="D6580" s="1" t="s">
        <v>8</v>
      </c>
      <c r="E6580" s="1" t="s">
        <v>19332</v>
      </c>
      <c r="F6580" s="1" t="str">
        <f>IFERROR(__xludf.DUMMYFUNCTION("GOOGLETRANSLATE(A6580, ""zh-CN"", ""ko"")"),"완전한")</f>
        <v>완전한</v>
      </c>
    </row>
    <row r="6581" ht="15.75" customHeight="1">
      <c r="A6581" s="1" t="s">
        <v>19333</v>
      </c>
      <c r="B6581" s="1">
        <v>7.0</v>
      </c>
      <c r="C6581" s="1" t="s">
        <v>19334</v>
      </c>
      <c r="D6581" s="1" t="s">
        <v>16</v>
      </c>
      <c r="E6581" s="1" t="s">
        <v>19335</v>
      </c>
      <c r="F6581" s="1" t="str">
        <f>IFERROR(__xludf.DUMMYFUNCTION("GOOGLETRANSLATE(A6581, ""zh-CN"", ""ko"")"),"말")</f>
        <v>말</v>
      </c>
    </row>
    <row r="6582" ht="15.75" customHeight="1">
      <c r="A6582" s="1" t="s">
        <v>19336</v>
      </c>
      <c r="B6582" s="1">
        <v>7.0</v>
      </c>
      <c r="C6582" s="1" t="s">
        <v>19337</v>
      </c>
      <c r="D6582" s="1" t="s">
        <v>52</v>
      </c>
      <c r="E6582" s="1" t="s">
        <v>19338</v>
      </c>
      <c r="F6582" s="1" t="str">
        <f>IFERROR(__xludf.DUMMYFUNCTION("GOOGLETRANSLATE(A6582, ""zh-CN"", ""ko"")"),"멋있는")</f>
        <v>멋있는</v>
      </c>
    </row>
    <row r="6583" ht="15.75" customHeight="1">
      <c r="A6583" s="1" t="s">
        <v>19339</v>
      </c>
      <c r="B6583" s="1">
        <v>7.0</v>
      </c>
      <c r="C6583" s="1" t="s">
        <v>19340</v>
      </c>
      <c r="D6583" s="1" t="s">
        <v>8</v>
      </c>
      <c r="E6583" s="1" t="s">
        <v>19341</v>
      </c>
      <c r="F6583" s="1" t="str">
        <f>IFERROR(__xludf.DUMMYFUNCTION("GOOGLETRANSLATE(A6583, ""zh-CN"", ""ko"")"),"설립하다")</f>
        <v>설립하다</v>
      </c>
    </row>
    <row r="6584" ht="15.75" customHeight="1">
      <c r="A6584" s="1" t="s">
        <v>19342</v>
      </c>
      <c r="B6584" s="1">
        <v>7.0</v>
      </c>
      <c r="C6584" s="1" t="s">
        <v>19343</v>
      </c>
      <c r="D6584" s="1" t="s">
        <v>8</v>
      </c>
      <c r="E6584" s="1" t="s">
        <v>19344</v>
      </c>
      <c r="F6584" s="1" t="str">
        <f>IFERROR(__xludf.DUMMYFUNCTION("GOOGLETRANSLATE(A6584, ""zh-CN"", ""ko"")"),"열기")</f>
        <v>열기</v>
      </c>
    </row>
    <row r="6585" ht="15.75" customHeight="1">
      <c r="A6585" s="1" t="s">
        <v>19345</v>
      </c>
      <c r="B6585" s="1">
        <v>7.0</v>
      </c>
      <c r="C6585" s="1" t="s">
        <v>19346</v>
      </c>
      <c r="D6585" s="1" t="s">
        <v>16</v>
      </c>
      <c r="E6585" s="1" t="s">
        <v>19347</v>
      </c>
      <c r="F6585" s="1" t="str">
        <f>IFERROR(__xludf.DUMMYFUNCTION("GOOGLETRANSLATE(A6585, ""zh-CN"", ""ko"")"),"개회사")</f>
        <v>개회사</v>
      </c>
    </row>
    <row r="6586" ht="15.75" customHeight="1">
      <c r="A6586" s="1" t="s">
        <v>19348</v>
      </c>
      <c r="B6586" s="1">
        <v>7.0</v>
      </c>
      <c r="C6586" s="1" t="s">
        <v>19349</v>
      </c>
      <c r="D6586" s="1" t="s">
        <v>8</v>
      </c>
      <c r="E6586" s="1" t="s">
        <v>19350</v>
      </c>
      <c r="F6586" s="1" t="str">
        <f>IFERROR(__xludf.DUMMYFUNCTION("GOOGLETRANSLATE(A6586, ""zh-CN"", ""ko"")"),"시작")</f>
        <v>시작</v>
      </c>
    </row>
    <row r="6587" ht="15.75" customHeight="1">
      <c r="A6587" s="1" t="s">
        <v>19351</v>
      </c>
      <c r="B6587" s="1">
        <v>7.0</v>
      </c>
      <c r="C6587" s="1" t="s">
        <v>19352</v>
      </c>
      <c r="D6587" s="1" t="s">
        <v>16</v>
      </c>
      <c r="E6587" s="1" t="s">
        <v>19353</v>
      </c>
      <c r="F6587" s="1" t="str">
        <f>IFERROR(__xludf.DUMMYFUNCTION("GOOGLETRANSLATE(A6587, ""zh-CN"", ""ko"")"),"개발 구역")</f>
        <v>개발 구역</v>
      </c>
    </row>
    <row r="6588" ht="15.75" customHeight="1">
      <c r="A6588" s="1" t="s">
        <v>19354</v>
      </c>
      <c r="B6588" s="1">
        <v>7.0</v>
      </c>
      <c r="C6588" s="1" t="s">
        <v>19355</v>
      </c>
      <c r="D6588" s="1" t="s">
        <v>16</v>
      </c>
      <c r="E6588" s="1" t="s">
        <v>19356</v>
      </c>
      <c r="F6588" s="1" t="str">
        <f>IFERROR(__xludf.DUMMYFUNCTION("GOOGLETRANSLATE(A6588, ""zh-CN"", ""ko"")"),"개발자")</f>
        <v>개발자</v>
      </c>
    </row>
    <row r="6589" ht="15.75" customHeight="1">
      <c r="A6589" s="1" t="s">
        <v>19357</v>
      </c>
      <c r="B6589" s="1">
        <v>7.0</v>
      </c>
      <c r="C6589" s="1" t="s">
        <v>19358</v>
      </c>
      <c r="D6589" s="1" t="s">
        <v>8</v>
      </c>
      <c r="E6589" s="1" t="s">
        <v>19359</v>
      </c>
      <c r="F6589" s="1" t="str">
        <f>IFERROR(__xludf.DUMMYFUNCTION("GOOGLETRANSLATE(A6589, ""zh-CN"", ""ko"")"),"시작")</f>
        <v>시작</v>
      </c>
    </row>
    <row r="6590" ht="15.75" customHeight="1">
      <c r="A6590" s="1" t="s">
        <v>19360</v>
      </c>
      <c r="B6590" s="1">
        <v>7.0</v>
      </c>
      <c r="C6590" s="1" t="s">
        <v>19361</v>
      </c>
      <c r="D6590" s="1" t="s">
        <v>8</v>
      </c>
      <c r="E6590" s="1" t="s">
        <v>19362</v>
      </c>
      <c r="F6590" s="1" t="str">
        <f>IFERROR(__xludf.DUMMYFUNCTION("GOOGLETRANSLATE(A6590, ""zh-CN"", ""ko"")"),"교정")</f>
        <v>교정</v>
      </c>
    </row>
    <row r="6591" ht="15.75" customHeight="1">
      <c r="A6591" s="1" t="s">
        <v>19363</v>
      </c>
      <c r="B6591" s="1">
        <v>7.0</v>
      </c>
      <c r="C6591" s="1" t="s">
        <v>19364</v>
      </c>
      <c r="E6591" s="1" t="s">
        <v>19365</v>
      </c>
      <c r="F6591" s="1" t="str">
        <f>IFERROR(__xludf.DUMMYFUNCTION("GOOGLETRANSLATE(A6591, ""zh-CN"", ""ko"")"),"천지창조")</f>
        <v>천지창조</v>
      </c>
    </row>
    <row r="6592" ht="15.75" customHeight="1">
      <c r="A6592" s="1" t="s">
        <v>19366</v>
      </c>
      <c r="B6592" s="1">
        <v>7.0</v>
      </c>
      <c r="C6592" s="1" t="s">
        <v>19367</v>
      </c>
      <c r="D6592" s="1" t="s">
        <v>8</v>
      </c>
      <c r="E6592" s="1" t="s">
        <v>19368</v>
      </c>
      <c r="F6592" s="1" t="str">
        <f>IFERROR(__xludf.DUMMYFUNCTION("GOOGLETRANSLATE(A6592, ""zh-CN"", ""ko"")"),"법원")</f>
        <v>법원</v>
      </c>
    </row>
    <row r="6593" ht="15.75" customHeight="1">
      <c r="A6593" s="1" t="s">
        <v>19369</v>
      </c>
      <c r="B6593" s="1">
        <v>7.0</v>
      </c>
      <c r="C6593" s="1" t="s">
        <v>19370</v>
      </c>
      <c r="D6593" s="1" t="s">
        <v>14870</v>
      </c>
      <c r="E6593" s="1" t="s">
        <v>19371</v>
      </c>
      <c r="F6593" s="1" t="str">
        <f>IFERROR(__xludf.DUMMYFUNCTION("GOOGLETRANSLATE(A6593, ""zh-CN"", ""ko"")"),"경비")</f>
        <v>경비</v>
      </c>
    </row>
    <row r="6594" ht="15.75" customHeight="1">
      <c r="A6594" s="1" t="s">
        <v>19372</v>
      </c>
      <c r="B6594" s="1">
        <v>7.0</v>
      </c>
      <c r="C6594" s="1" t="s">
        <v>19373</v>
      </c>
      <c r="D6594" s="1" t="s">
        <v>8</v>
      </c>
      <c r="E6594" s="1" t="s">
        <v>19374</v>
      </c>
      <c r="F6594" s="1" t="str">
        <f>IFERROR(__xludf.DUMMYFUNCTION("GOOGLETRANSLATE(A6594, ""zh-CN"", ""ko"")"),"열기")</f>
        <v>열기</v>
      </c>
    </row>
    <row r="6595" ht="15.75" customHeight="1">
      <c r="A6595" s="1" t="s">
        <v>19375</v>
      </c>
      <c r="B6595" s="1">
        <v>7.0</v>
      </c>
      <c r="C6595" s="1" t="s">
        <v>19376</v>
      </c>
      <c r="D6595" s="1" t="s">
        <v>16</v>
      </c>
      <c r="E6595" s="1" t="s">
        <v>19377</v>
      </c>
      <c r="F6595" s="1" t="str">
        <f>IFERROR(__xludf.DUMMYFUNCTION("GOOGLETRANSLATE(A6595, ""zh-CN"", ""ko"")"),"모범")</f>
        <v>모범</v>
      </c>
    </row>
    <row r="6596" ht="15.75" customHeight="1">
      <c r="A6596" s="1" t="s">
        <v>19378</v>
      </c>
      <c r="B6596" s="1">
        <v>7.0</v>
      </c>
      <c r="C6596" s="1" t="s">
        <v>19379</v>
      </c>
      <c r="D6596" s="1" t="s">
        <v>8</v>
      </c>
      <c r="E6596" s="1" t="s">
        <v>19380</v>
      </c>
      <c r="F6596" s="1" t="str">
        <f>IFERROR(__xludf.DUMMYFUNCTION("GOOGLETRANSLATE(A6596, ""zh-CN"", ""ko"")"),"승리")</f>
        <v>승리</v>
      </c>
    </row>
    <row r="6597" ht="15.75" customHeight="1">
      <c r="A6597" s="1" t="s">
        <v>19381</v>
      </c>
      <c r="B6597" s="1">
        <v>7.0</v>
      </c>
      <c r="C6597" s="1" t="s">
        <v>19382</v>
      </c>
      <c r="D6597" s="1" t="s">
        <v>8</v>
      </c>
      <c r="E6597" s="1" t="s">
        <v>19383</v>
      </c>
      <c r="F6597" s="1" t="str">
        <f>IFERROR(__xludf.DUMMYFUNCTION("GOOGLETRANSLATE(A6597, ""zh-CN"", ""ko"")"),"그렇게 부를 수 있습니다.")</f>
        <v>그렇게 부를 수 있습니다.</v>
      </c>
    </row>
    <row r="6598" ht="15.75" customHeight="1">
      <c r="A6598" s="1" t="s">
        <v>19384</v>
      </c>
      <c r="B6598" s="1">
        <v>7.0</v>
      </c>
      <c r="C6598" s="1" t="s">
        <v>19385</v>
      </c>
      <c r="D6598" s="1" t="s">
        <v>8</v>
      </c>
      <c r="E6598" s="1" t="s">
        <v>19386</v>
      </c>
      <c r="F6598" s="1" t="str">
        <f>IFERROR(__xludf.DUMMYFUNCTION("GOOGLETRANSLATE(A6598, ""zh-CN"", ""ko"")"),"경비원")</f>
        <v>경비원</v>
      </c>
    </row>
    <row r="6599" ht="15.75" customHeight="1">
      <c r="A6599" s="1" t="s">
        <v>19387</v>
      </c>
      <c r="B6599" s="1">
        <v>7.0</v>
      </c>
      <c r="C6599" s="1" t="s">
        <v>19388</v>
      </c>
      <c r="D6599" s="1" t="s">
        <v>14870</v>
      </c>
      <c r="E6599" s="1" t="s">
        <v>19389</v>
      </c>
      <c r="F6599" s="1" t="str">
        <f>IFERROR(__xludf.DUMMYFUNCTION("GOOGLETRANSLATE(A6599, ""zh-CN"", ""ko"")"),"케어")</f>
        <v>케어</v>
      </c>
    </row>
    <row r="6600" ht="15.75" customHeight="1">
      <c r="A6600" s="1" t="s">
        <v>19390</v>
      </c>
      <c r="B6600" s="1">
        <v>7.0</v>
      </c>
      <c r="C6600" s="1" t="s">
        <v>19391</v>
      </c>
      <c r="D6600" s="1" t="s">
        <v>8</v>
      </c>
      <c r="E6600" s="1" t="s">
        <v>18121</v>
      </c>
      <c r="F6600" s="1" t="str">
        <f>IFERROR(__xludf.DUMMYFUNCTION("GOOGLETRANSLATE(A6600, ""zh-CN"", ""ko"")"),"경비원")</f>
        <v>경비원</v>
      </c>
    </row>
    <row r="6601" ht="15.75" customHeight="1">
      <c r="A6601" s="1" t="s">
        <v>19392</v>
      </c>
      <c r="B6601" s="1">
        <v>7.0</v>
      </c>
      <c r="C6601" s="1" t="s">
        <v>19393</v>
      </c>
      <c r="D6601" s="1" t="s">
        <v>52</v>
      </c>
      <c r="E6601" s="1" t="s">
        <v>19394</v>
      </c>
      <c r="F6601" s="1" t="str">
        <f>IFERROR(__xludf.DUMMYFUNCTION("GOOGLETRANSLATE(A6601, ""zh-CN"", ""ko"")"),"피부 돌출")</f>
        <v>피부 돌출</v>
      </c>
    </row>
    <row r="6602" ht="15.75" customHeight="1">
      <c r="A6602" s="1" t="s">
        <v>19395</v>
      </c>
      <c r="B6602" s="1">
        <v>7.0</v>
      </c>
      <c r="C6602" s="1" t="s">
        <v>19396</v>
      </c>
      <c r="D6602" s="1" t="s">
        <v>16</v>
      </c>
      <c r="E6602" s="1" t="s">
        <v>19397</v>
      </c>
      <c r="F6602" s="1" t="str">
        <f>IFERROR(__xludf.DUMMYFUNCTION("GOOGLETRANSLATE(A6602, ""zh-CN"", ""ko"")"),"관람석")</f>
        <v>관람석</v>
      </c>
    </row>
    <row r="6603" ht="15.75" customHeight="1">
      <c r="A6603" s="1" t="s">
        <v>19398</v>
      </c>
      <c r="B6603" s="1">
        <v>7.0</v>
      </c>
      <c r="C6603" s="1" t="s">
        <v>19399</v>
      </c>
      <c r="D6603" s="1" t="s">
        <v>8</v>
      </c>
      <c r="E6603" s="1" t="s">
        <v>19400</v>
      </c>
      <c r="F6603" s="1" t="str">
        <f>IFERROR(__xludf.DUMMYFUNCTION("GOOGLETRANSLATE(A6603, ""zh-CN"", ""ko"")"),"다투다")</f>
        <v>다투다</v>
      </c>
    </row>
    <row r="6604" ht="15.75" customHeight="1">
      <c r="A6604" s="1" t="s">
        <v>19401</v>
      </c>
      <c r="B6604" s="1">
        <v>7.0</v>
      </c>
      <c r="C6604" s="1" t="s">
        <v>19402</v>
      </c>
      <c r="D6604" s="1" t="s">
        <v>8</v>
      </c>
      <c r="E6604" s="1" t="s">
        <v>19403</v>
      </c>
      <c r="F6604" s="1" t="str">
        <f>IFERROR(__xludf.DUMMYFUNCTION("GOOGLETRANSLATE(A6604, ""zh-CN"", ""ko"")"),"저항하다")</f>
        <v>저항하다</v>
      </c>
    </row>
    <row r="6605" ht="15.75" customHeight="1">
      <c r="A6605" s="1" t="s">
        <v>19404</v>
      </c>
      <c r="B6605" s="1">
        <v>7.0</v>
      </c>
      <c r="C6605" s="1" t="s">
        <v>19405</v>
      </c>
      <c r="D6605" s="1" t="s">
        <v>16</v>
      </c>
      <c r="E6605" s="1" t="s">
        <v>19406</v>
      </c>
      <c r="F6605" s="1" t="str">
        <f>IFERROR(__xludf.DUMMYFUNCTION("GOOGLETRANSLATE(A6605, ""zh-CN"", ""ko"")"),"항생 물질")</f>
        <v>항생 물질</v>
      </c>
    </row>
    <row r="6606" ht="15.75" customHeight="1">
      <c r="A6606" s="1" t="s">
        <v>19407</v>
      </c>
      <c r="B6606" s="1">
        <v>7.0</v>
      </c>
      <c r="C6606" s="1" t="s">
        <v>19408</v>
      </c>
      <c r="D6606" s="1" t="s">
        <v>8</v>
      </c>
      <c r="E6606" s="1" t="s">
        <v>19409</v>
      </c>
      <c r="F6606" s="1" t="str">
        <f>IFERROR(__xludf.DUMMYFUNCTION("GOOGLETRANSLATE(A6606, ""zh-CN"", ""ko"")"),"저항")</f>
        <v>저항</v>
      </c>
    </row>
    <row r="6607" ht="15.75" customHeight="1">
      <c r="A6607" s="1" t="s">
        <v>19410</v>
      </c>
      <c r="B6607" s="1">
        <v>7.0</v>
      </c>
      <c r="C6607" s="1" t="s">
        <v>10472</v>
      </c>
      <c r="D6607" s="1" t="s">
        <v>8</v>
      </c>
      <c r="E6607" s="1" t="s">
        <v>19411</v>
      </c>
      <c r="F6607" s="1" t="str">
        <f>IFERROR(__xludf.DUMMYFUNCTION("GOOGLETRANSLATE(A6607, ""zh-CN"", ""ko"")"),"시험")</f>
        <v>시험</v>
      </c>
    </row>
    <row r="6608" ht="15.75" customHeight="1">
      <c r="A6608" s="1" t="s">
        <v>19412</v>
      </c>
      <c r="B6608" s="1">
        <v>7.0</v>
      </c>
      <c r="C6608" s="1" t="s">
        <v>19413</v>
      </c>
      <c r="D6608" s="1" t="s">
        <v>8</v>
      </c>
      <c r="E6608" s="1" t="s">
        <v>19414</v>
      </c>
      <c r="F6608" s="1" t="str">
        <f>IFERROR(__xludf.DUMMYFUNCTION("GOOGLETRANSLATE(A6608, ""zh-CN"", ""ko"")"),"고려 사항")</f>
        <v>고려 사항</v>
      </c>
    </row>
    <row r="6609" ht="15.75" customHeight="1">
      <c r="A6609" s="1" t="s">
        <v>19415</v>
      </c>
      <c r="B6609" s="1">
        <v>7.0</v>
      </c>
      <c r="C6609" s="1" t="s">
        <v>19416</v>
      </c>
      <c r="D6609" s="1" t="s">
        <v>52</v>
      </c>
      <c r="E6609" s="1" t="s">
        <v>19417</v>
      </c>
      <c r="F6609" s="1" t="str">
        <f>IFERROR(__xludf.DUMMYFUNCTION("GOOGLETRANSLATE(A6609, ""zh-CN"", ""ko"")"),"가혹한")</f>
        <v>가혹한</v>
      </c>
    </row>
    <row r="6610" ht="15.75" customHeight="1">
      <c r="A6610" s="1" t="s">
        <v>19418</v>
      </c>
      <c r="B6610" s="1">
        <v>7.0</v>
      </c>
      <c r="C6610" s="1" t="s">
        <v>19419</v>
      </c>
      <c r="D6610" s="1" t="s">
        <v>16</v>
      </c>
      <c r="E6610" s="1" t="s">
        <v>19420</v>
      </c>
      <c r="F6610" s="1" t="str">
        <f>IFERROR(__xludf.DUMMYFUNCTION("GOOGLETRANSLATE(A6610, ""zh-CN"", ""ko"")"),"입자")</f>
        <v>입자</v>
      </c>
    </row>
    <row r="6611" ht="15.75" customHeight="1">
      <c r="A6611" s="1" t="s">
        <v>19421</v>
      </c>
      <c r="B6611" s="1">
        <v>7.0</v>
      </c>
      <c r="C6611" s="1" t="s">
        <v>19422</v>
      </c>
      <c r="D6611" s="1" t="s">
        <v>16</v>
      </c>
      <c r="E6611" s="1" t="s">
        <v>19423</v>
      </c>
      <c r="F6611" s="1" t="str">
        <f>IFERROR(__xludf.DUMMYFUNCTION("GOOGLETRANSLATE(A6611, ""zh-CN"", ""ko"")"),"껍데기")</f>
        <v>껍데기</v>
      </c>
    </row>
    <row r="6612" ht="15.75" customHeight="1">
      <c r="A6612" s="1" t="s">
        <v>19424</v>
      </c>
      <c r="B6612" s="1">
        <v>7.0</v>
      </c>
      <c r="C6612" s="1" t="s">
        <v>19425</v>
      </c>
      <c r="D6612" s="1" t="s">
        <v>52</v>
      </c>
      <c r="E6612" s="1" t="s">
        <v>19426</v>
      </c>
      <c r="F6612" s="1" t="str">
        <f>IFERROR(__xludf.DUMMYFUNCTION("GOOGLETRANSLATE(A6612, ""zh-CN"", ""ko"")"),"슬픈")</f>
        <v>슬픈</v>
      </c>
    </row>
    <row r="6613" ht="15.75" customHeight="1">
      <c r="A6613" s="1" t="s">
        <v>19427</v>
      </c>
      <c r="B6613" s="1">
        <v>7.0</v>
      </c>
      <c r="C6613" s="1" t="s">
        <v>19428</v>
      </c>
      <c r="D6613" s="1" t="s">
        <v>33</v>
      </c>
      <c r="E6613" s="1" t="s">
        <v>19429</v>
      </c>
      <c r="F6613" s="1" t="str">
        <f>IFERROR(__xludf.DUMMYFUNCTION("GOOGLETRANSLATE(A6613, ""zh-CN"", ""ko"")"),"좋아요.")</f>
        <v>좋아요.</v>
      </c>
    </row>
    <row r="6614" ht="15.75" customHeight="1">
      <c r="A6614" s="1" t="s">
        <v>19430</v>
      </c>
      <c r="B6614" s="1">
        <v>7.0</v>
      </c>
      <c r="C6614" s="1" t="s">
        <v>19431</v>
      </c>
      <c r="E6614" s="1" t="s">
        <v>19432</v>
      </c>
      <c r="F6614" s="1" t="str">
        <f>IFERROR(__xludf.DUMMYFUNCTION("GOOGLETRANSLATE(A6614, ""zh-CN"", ""ko"")"),"기회")</f>
        <v>기회</v>
      </c>
    </row>
    <row r="6615" ht="15.75" customHeight="1">
      <c r="A6615" s="1" t="s">
        <v>19433</v>
      </c>
      <c r="B6615" s="1">
        <v>7.0</v>
      </c>
      <c r="C6615" s="1" t="s">
        <v>19434</v>
      </c>
      <c r="D6615" s="1" t="s">
        <v>52</v>
      </c>
      <c r="E6615" s="1" t="s">
        <v>19435</v>
      </c>
      <c r="F6615" s="1" t="str">
        <f>IFERROR(__xludf.DUMMYFUNCTION("GOOGLETRANSLATE(A6615, ""zh-CN"", ""ko"")"),"부끄러운")</f>
        <v>부끄러운</v>
      </c>
    </row>
    <row r="6616" ht="15.75" customHeight="1">
      <c r="A6616" s="1" t="s">
        <v>19436</v>
      </c>
      <c r="B6616" s="1">
        <v>7.0</v>
      </c>
      <c r="C6616" s="1" t="s">
        <v>19437</v>
      </c>
      <c r="D6616" s="1" t="s">
        <v>52</v>
      </c>
      <c r="E6616" s="1" t="s">
        <v>19438</v>
      </c>
      <c r="F6616" s="1" t="str">
        <f>IFERROR(__xludf.DUMMYFUNCTION("GOOGLETRANSLATE(A6616, ""zh-CN"", ""ko"")"),"귀중한")</f>
        <v>귀중한</v>
      </c>
    </row>
    <row r="6617" ht="15.75" customHeight="1">
      <c r="A6617" s="1" t="s">
        <v>19439</v>
      </c>
      <c r="B6617" s="1">
        <v>7.0</v>
      </c>
      <c r="C6617" s="1" t="s">
        <v>19440</v>
      </c>
      <c r="D6617" s="1" t="s">
        <v>8</v>
      </c>
      <c r="E6617" s="1" t="s">
        <v>19441</v>
      </c>
      <c r="F6617" s="1" t="str">
        <f>IFERROR(__xludf.DUMMYFUNCTION("GOOGLETRANSLATE(A6617, ""zh-CN"", ""ko"")"),"그렇게 말할 수 있습니다.")</f>
        <v>그렇게 말할 수 있습니다.</v>
      </c>
    </row>
    <row r="6618" ht="15.75" customHeight="1">
      <c r="A6618" s="1" t="s">
        <v>19442</v>
      </c>
      <c r="B6618" s="1">
        <v>7.0</v>
      </c>
      <c r="C6618" s="1" t="s">
        <v>19443</v>
      </c>
      <c r="E6618" s="1" t="s">
        <v>19444</v>
      </c>
      <c r="F6618" s="1" t="str">
        <f>IFERROR(__xludf.DUMMYFUNCTION("GOOGLETRANSLATE(A6618, ""zh-CN"", ""ko"")"),"상상할 수 있다")</f>
        <v>상상할 수 있다</v>
      </c>
    </row>
    <row r="6619" ht="15.75" customHeight="1">
      <c r="A6619" s="1" t="s">
        <v>19445</v>
      </c>
      <c r="B6619" s="1">
        <v>7.0</v>
      </c>
      <c r="C6619" s="1" t="s">
        <v>19446</v>
      </c>
      <c r="D6619" s="1" t="s">
        <v>52</v>
      </c>
      <c r="E6619" s="1" t="s">
        <v>19447</v>
      </c>
      <c r="F6619" s="1" t="str">
        <f>IFERROR(__xludf.DUMMYFUNCTION("GOOGLETRANSLATE(A6619, ""zh-CN"", ""ko"")"),"말도 안 되는")</f>
        <v>말도 안 되는</v>
      </c>
    </row>
    <row r="6620" ht="15.75" customHeight="1">
      <c r="A6620" s="1" t="s">
        <v>19448</v>
      </c>
      <c r="B6620" s="1">
        <v>7.0</v>
      </c>
      <c r="C6620" s="1" t="s">
        <v>19449</v>
      </c>
      <c r="D6620" s="1" t="s">
        <v>52</v>
      </c>
      <c r="E6620" s="1" t="s">
        <v>19450</v>
      </c>
      <c r="F6620" s="1" t="str">
        <f>IFERROR(__xludf.DUMMYFUNCTION("GOOGLETRANSLATE(A6620, ""zh-CN"", ""ko"")"),"의심스러운")</f>
        <v>의심스러운</v>
      </c>
    </row>
    <row r="6621" ht="15.75" customHeight="1">
      <c r="A6621" s="1" t="s">
        <v>19451</v>
      </c>
      <c r="B6621" s="1">
        <v>7.0</v>
      </c>
      <c r="C6621" s="1" t="s">
        <v>19452</v>
      </c>
      <c r="D6621" s="1" t="s">
        <v>16</v>
      </c>
      <c r="E6621" s="1" t="s">
        <v>19453</v>
      </c>
      <c r="F6621" s="1" t="str">
        <f>IFERROR(__xludf.DUMMYFUNCTION("GOOGLETRANSLATE(A6621, ""zh-CN"", ""ko"")"),"객실")</f>
        <v>객실</v>
      </c>
    </row>
    <row r="6622" ht="15.75" customHeight="1">
      <c r="A6622" s="1" t="s">
        <v>19454</v>
      </c>
      <c r="B6622" s="1">
        <v>7.0</v>
      </c>
      <c r="C6622" s="1" t="s">
        <v>19455</v>
      </c>
      <c r="D6622" s="1" t="s">
        <v>8</v>
      </c>
      <c r="E6622" s="1" t="s">
        <v>19456</v>
      </c>
      <c r="F6622" s="1" t="str">
        <f>IFERROR(__xludf.DUMMYFUNCTION("GOOGLETRANSLATE(A6622, ""zh-CN"", ""ko"")"),"초상")</f>
        <v>초상</v>
      </c>
    </row>
    <row r="6623" ht="15.75" customHeight="1">
      <c r="A6623" s="1" t="s">
        <v>19457</v>
      </c>
      <c r="B6623" s="1">
        <v>7.0</v>
      </c>
      <c r="C6623" s="1" t="s">
        <v>19458</v>
      </c>
      <c r="D6623" s="1" t="s">
        <v>16</v>
      </c>
      <c r="E6623" s="1" t="s">
        <v>19459</v>
      </c>
      <c r="F6623" s="1" t="str">
        <f>IFERROR(__xludf.DUMMYFUNCTION("GOOGLETRANSLATE(A6623, ""zh-CN"", ""ko"")"),"여객기")</f>
        <v>여객기</v>
      </c>
    </row>
    <row r="6624" ht="15.75" customHeight="1">
      <c r="A6624" s="1" t="s">
        <v>19460</v>
      </c>
      <c r="B6624" s="1">
        <v>7.0</v>
      </c>
      <c r="C6624" s="1" t="s">
        <v>19461</v>
      </c>
      <c r="D6624" s="1" t="s">
        <v>16</v>
      </c>
      <c r="E6624" s="1" t="s">
        <v>19462</v>
      </c>
      <c r="F6624" s="1" t="str">
        <f>IFERROR(__xludf.DUMMYFUNCTION("GOOGLETRANSLATE(A6624, ""zh-CN"", ""ko"")"),"승객 흐름")</f>
        <v>승객 흐름</v>
      </c>
    </row>
    <row r="6625" ht="15.75" customHeight="1">
      <c r="A6625" s="1" t="s">
        <v>19463</v>
      </c>
      <c r="B6625" s="1">
        <v>7.0</v>
      </c>
      <c r="C6625" s="1" t="s">
        <v>19464</v>
      </c>
      <c r="D6625" s="1" t="s">
        <v>8</v>
      </c>
      <c r="E6625" s="1" t="s">
        <v>19465</v>
      </c>
      <c r="F6625" s="1" t="str">
        <f>IFERROR(__xludf.DUMMYFUNCTION("GOOGLETRANSLATE(A6625, ""zh-CN"", ""ko"")"),"클론")</f>
        <v>클론</v>
      </c>
    </row>
    <row r="6626" ht="15.75" customHeight="1">
      <c r="A6626" s="1" t="s">
        <v>19466</v>
      </c>
      <c r="B6626" s="1">
        <v>7.0</v>
      </c>
      <c r="C6626" s="1" t="s">
        <v>19467</v>
      </c>
      <c r="D6626" s="1" t="s">
        <v>33</v>
      </c>
      <c r="E6626" s="1" t="s">
        <v>19468</v>
      </c>
      <c r="F6626" s="1" t="str">
        <f>IFERROR(__xludf.DUMMYFUNCTION("GOOGLETRANSLATE(A6626, ""zh-CN"", ""ko"")"),"고의의")</f>
        <v>고의의</v>
      </c>
    </row>
    <row r="6627" ht="15.75" customHeight="1">
      <c r="A6627" s="1" t="s">
        <v>19469</v>
      </c>
      <c r="B6627" s="1">
        <v>7.0</v>
      </c>
      <c r="C6627" s="1" t="s">
        <v>19470</v>
      </c>
      <c r="D6627" s="1" t="s">
        <v>16</v>
      </c>
      <c r="E6627" s="1" t="s">
        <v>19471</v>
      </c>
      <c r="F6627" s="1" t="str">
        <f>IFERROR(__xludf.DUMMYFUNCTION("GOOGLETRANSLATE(A6627, ""zh-CN"", ""ko"")"),"여객 운송")</f>
        <v>여객 운송</v>
      </c>
    </row>
    <row r="6628" ht="15.75" customHeight="1">
      <c r="A6628" s="1" t="s">
        <v>19472</v>
      </c>
      <c r="B6628" s="1">
        <v>7.0</v>
      </c>
      <c r="C6628" s="1" t="s">
        <v>19473</v>
      </c>
      <c r="E6628" s="1" t="s">
        <v>19474</v>
      </c>
      <c r="F6628" s="1" t="str">
        <f>IFERROR(__xludf.DUMMYFUNCTION("GOOGLETRANSLATE(A6628, ""zh-CN"", ""ko"")"),"검을 찾기 위해 배에 표시를 합니다")</f>
        <v>검을 찾기 위해 배에 표시를 합니다</v>
      </c>
    </row>
    <row r="6629" ht="15.75" customHeight="1">
      <c r="A6629" s="1" t="s">
        <v>19475</v>
      </c>
      <c r="B6629" s="1">
        <v>7.0</v>
      </c>
      <c r="C6629" s="1" t="s">
        <v>19476</v>
      </c>
      <c r="D6629" s="1" t="s">
        <v>8</v>
      </c>
      <c r="E6629" s="1" t="s">
        <v>19477</v>
      </c>
      <c r="F6629" s="1" t="str">
        <f>IFERROR(__xludf.DUMMYFUNCTION("GOOGLETRANSLATE(A6629, ""zh-CN"", ""ko"")"),"탄원")</f>
        <v>탄원</v>
      </c>
    </row>
    <row r="6630" ht="15.75" customHeight="1">
      <c r="A6630" s="1" t="s">
        <v>19478</v>
      </c>
      <c r="B6630" s="1">
        <v>7.0</v>
      </c>
      <c r="C6630" s="1" t="s">
        <v>19479</v>
      </c>
      <c r="D6630" s="1" t="s">
        <v>52</v>
      </c>
      <c r="E6630" s="1" t="s">
        <v>19480</v>
      </c>
      <c r="F6630" s="1" t="str">
        <f>IFERROR(__xludf.DUMMYFUNCTION("GOOGLETRANSLATE(A6630, ""zh-CN"", ""ko"")"),"비어 있는")</f>
        <v>비어 있는</v>
      </c>
    </row>
    <row r="6631" ht="15.75" customHeight="1">
      <c r="A6631" s="1" t="s">
        <v>19481</v>
      </c>
      <c r="B6631" s="1">
        <v>7.0</v>
      </c>
      <c r="C6631" s="1" t="s">
        <v>19482</v>
      </c>
      <c r="D6631" s="1" t="s">
        <v>16</v>
      </c>
      <c r="E6631" s="1" t="s">
        <v>19483</v>
      </c>
      <c r="F6631" s="1" t="str">
        <f>IFERROR(__xludf.DUMMYFUNCTION("GOOGLETRANSLATE(A6631, ""zh-CN"", ""ko"")"),"우주 정거장")</f>
        <v>우주 정거장</v>
      </c>
    </row>
    <row r="6632" ht="15.75" customHeight="1">
      <c r="A6632" s="1" t="s">
        <v>19484</v>
      </c>
      <c r="B6632" s="1">
        <v>7.0</v>
      </c>
      <c r="C6632" s="1" t="s">
        <v>19485</v>
      </c>
      <c r="D6632" s="1" t="s">
        <v>16</v>
      </c>
      <c r="E6632" s="1" t="s">
        <v>19486</v>
      </c>
      <c r="F6632" s="1" t="str">
        <f>IFERROR(__xludf.DUMMYFUNCTION("GOOGLETRANSLATE(A6632, ""zh-CN"", ""ko"")"),"공군")</f>
        <v>공군</v>
      </c>
    </row>
    <row r="6633" ht="15.75" customHeight="1">
      <c r="A6633" s="1" t="s">
        <v>19487</v>
      </c>
      <c r="B6633" s="1">
        <v>7.0</v>
      </c>
      <c r="C6633" s="1" t="s">
        <v>19488</v>
      </c>
      <c r="D6633" s="1" t="s">
        <v>16</v>
      </c>
      <c r="E6633" s="1" t="s">
        <v>19489</v>
      </c>
      <c r="F6633" s="1" t="str">
        <f>IFERROR(__xludf.DUMMYFUNCTION("GOOGLETRANSLATE(A6633, ""zh-CN"", ""ko"")"),"항공기 추락")</f>
        <v>항공기 추락</v>
      </c>
    </row>
    <row r="6634" ht="15.75" customHeight="1">
      <c r="A6634" s="1" t="s">
        <v>19490</v>
      </c>
      <c r="B6634" s="1">
        <v>7.0</v>
      </c>
      <c r="C6634" s="1" t="s">
        <v>19491</v>
      </c>
      <c r="D6634" s="1" t="s">
        <v>8</v>
      </c>
      <c r="E6634" s="1" t="s">
        <v>19492</v>
      </c>
      <c r="F6634" s="1" t="str">
        <f>IFERROR(__xludf.DUMMYFUNCTION("GOOGLETRANSLATE(A6634, ""zh-CN"", ""ko"")"),"전례 없는")</f>
        <v>전례 없는</v>
      </c>
    </row>
    <row r="6635" ht="15.75" customHeight="1">
      <c r="A6635" s="1" t="s">
        <v>19493</v>
      </c>
      <c r="B6635" s="1">
        <v>7.0</v>
      </c>
      <c r="C6635" s="1" t="s">
        <v>19494</v>
      </c>
      <c r="D6635" s="1" t="s">
        <v>52</v>
      </c>
      <c r="E6635" s="1" t="s">
        <v>19049</v>
      </c>
      <c r="F6635" s="1" t="str">
        <f>IFERROR(__xludf.DUMMYFUNCTION("GOOGLETRANSLATE(A6635, ""zh-CN"", ""ko"")"),"공황")</f>
        <v>공황</v>
      </c>
    </row>
    <row r="6636" ht="15.75" customHeight="1">
      <c r="A6636" s="1" t="s">
        <v>19495</v>
      </c>
      <c r="B6636" s="1">
        <v>7.0</v>
      </c>
      <c r="C6636" s="1" t="s">
        <v>19496</v>
      </c>
      <c r="D6636" s="1" t="s">
        <v>16</v>
      </c>
      <c r="E6636" s="1" t="s">
        <v>19497</v>
      </c>
      <c r="F6636" s="1" t="str">
        <f>IFERROR(__xludf.DUMMYFUNCTION("GOOGLETRANSLATE(A6636, ""zh-CN"", ""ko"")"),"공룡")</f>
        <v>공룡</v>
      </c>
    </row>
    <row r="6637" ht="15.75" customHeight="1">
      <c r="A6637" s="1" t="s">
        <v>19498</v>
      </c>
      <c r="B6637" s="1">
        <v>7.0</v>
      </c>
      <c r="C6637" s="1" t="s">
        <v>19499</v>
      </c>
      <c r="D6637" s="1" t="s">
        <v>8</v>
      </c>
      <c r="E6637" s="1" t="s">
        <v>19500</v>
      </c>
      <c r="F6637" s="1" t="str">
        <f>IFERROR(__xludf.DUMMYFUNCTION("GOOGLETRANSLATE(A6637, ""zh-CN"", ""ko"")"),"고발")</f>
        <v>고발</v>
      </c>
    </row>
    <row r="6638" ht="15.75" customHeight="1">
      <c r="A6638" s="1" t="s">
        <v>19501</v>
      </c>
      <c r="B6638" s="1">
        <v>7.0</v>
      </c>
      <c r="C6638" s="1" t="s">
        <v>19502</v>
      </c>
      <c r="D6638" s="1" t="s">
        <v>14735</v>
      </c>
      <c r="E6638" s="1" t="s">
        <v>19503</v>
      </c>
      <c r="F6638" s="1" t="str">
        <f>IFERROR(__xludf.DUMMYFUNCTION("GOOGLETRANSLATE(A6638, ""zh-CN"", ""ko"")"),"선택하다")</f>
        <v>선택하다</v>
      </c>
    </row>
    <row r="6639" ht="15.75" customHeight="1">
      <c r="A6639" s="1" t="s">
        <v>19504</v>
      </c>
      <c r="B6639" s="1">
        <v>7.0</v>
      </c>
      <c r="C6639" s="1" t="s">
        <v>19505</v>
      </c>
      <c r="D6639" s="1" t="s">
        <v>16</v>
      </c>
      <c r="E6639" s="1" t="s">
        <v>19506</v>
      </c>
      <c r="F6639" s="1" t="str">
        <f>IFERROR(__xludf.DUMMYFUNCTION("GOOGLETRANSLATE(A6639, ""zh-CN"", ""ko"")"),"포트")</f>
        <v>포트</v>
      </c>
    </row>
    <row r="6640" ht="15.75" customHeight="1">
      <c r="A6640" s="1" t="s">
        <v>19507</v>
      </c>
      <c r="B6640" s="1">
        <v>7.0</v>
      </c>
      <c r="C6640" s="1" t="s">
        <v>19508</v>
      </c>
      <c r="D6640" s="1" t="s">
        <v>16</v>
      </c>
      <c r="E6640" s="1" t="s">
        <v>19509</v>
      </c>
      <c r="F6640" s="1" t="str">
        <f>IFERROR(__xludf.DUMMYFUNCTION("GOOGLETRANSLATE(A6640, ""zh-CN"", ""ko"")"),"평판")</f>
        <v>평판</v>
      </c>
    </row>
    <row r="6641" ht="15.75" customHeight="1">
      <c r="A6641" s="1" t="s">
        <v>19510</v>
      </c>
      <c r="B6641" s="1">
        <v>7.0</v>
      </c>
      <c r="C6641" s="1" t="s">
        <v>19511</v>
      </c>
      <c r="D6641" s="1" t="s">
        <v>16</v>
      </c>
      <c r="E6641" s="1" t="s">
        <v>19512</v>
      </c>
      <c r="F6641" s="1" t="str">
        <f>IFERROR(__xludf.DUMMYFUNCTION("GOOGLETRANSLATE(A6641, ""zh-CN"", ""ko"")"),"웅변")</f>
        <v>웅변</v>
      </c>
    </row>
    <row r="6642" ht="15.75" customHeight="1">
      <c r="A6642" s="1" t="s">
        <v>19513</v>
      </c>
      <c r="B6642" s="1">
        <v>7.0</v>
      </c>
      <c r="C6642" s="1" t="s">
        <v>19514</v>
      </c>
      <c r="D6642" s="1" t="s">
        <v>8</v>
      </c>
      <c r="E6642" s="1" t="s">
        <v>19515</v>
      </c>
      <c r="F6642" s="1" t="str">
        <f>IFERROR(__xludf.DUMMYFUNCTION("GOOGLETRANSLATE(A6642, ""zh-CN"", ""ko"")"),"말더듬")</f>
        <v>말더듬</v>
      </c>
    </row>
    <row r="6643" ht="15.75" customHeight="1">
      <c r="A6643" s="1" t="s">
        <v>19516</v>
      </c>
      <c r="B6643" s="1">
        <v>7.0</v>
      </c>
      <c r="C6643" s="1" t="s">
        <v>19517</v>
      </c>
      <c r="D6643" s="1" t="s">
        <v>16</v>
      </c>
      <c r="E6643" s="1" t="s">
        <v>19518</v>
      </c>
      <c r="F6643" s="1" t="str">
        <f>IFERROR(__xludf.DUMMYFUNCTION("GOOGLETRANSLATE(A6643, ""zh-CN"", ""ko"")"),"구경")</f>
        <v>구경</v>
      </c>
    </row>
    <row r="6644" ht="15.75" customHeight="1">
      <c r="A6644" s="1" t="s">
        <v>19519</v>
      </c>
      <c r="B6644" s="1">
        <v>7.0</v>
      </c>
      <c r="C6644" s="1" t="s">
        <v>19520</v>
      </c>
      <c r="D6644" s="1" t="s">
        <v>16</v>
      </c>
      <c r="E6644" s="1" t="s">
        <v>19521</v>
      </c>
      <c r="F6644" s="1" t="str">
        <f>IFERROR(__xludf.DUMMYFUNCTION("GOOGLETRANSLATE(A6644, ""zh-CN"", ""ko"")"),"비밀번호")</f>
        <v>비밀번호</v>
      </c>
    </row>
    <row r="6645" ht="15.75" customHeight="1">
      <c r="A6645" s="1" t="s">
        <v>19522</v>
      </c>
      <c r="B6645" s="1">
        <v>7.0</v>
      </c>
      <c r="C6645" s="1" t="s">
        <v>19523</v>
      </c>
      <c r="D6645" s="1" t="s">
        <v>16</v>
      </c>
      <c r="E6645" s="1" t="s">
        <v>19524</v>
      </c>
      <c r="F6645" s="1" t="str">
        <f>IFERROR(__xludf.DUMMYFUNCTION("GOOGLETRANSLATE(A6645, ""zh-CN"", ""ko"")"),"휘파람")</f>
        <v>휘파람</v>
      </c>
    </row>
    <row r="6646" ht="15.75" customHeight="1">
      <c r="A6646" s="1" t="s">
        <v>19525</v>
      </c>
      <c r="B6646" s="1">
        <v>7.0</v>
      </c>
      <c r="C6646" s="1" t="s">
        <v>19526</v>
      </c>
      <c r="D6646" s="1" t="s">
        <v>16</v>
      </c>
      <c r="E6646" s="1" t="s">
        <v>19527</v>
      </c>
      <c r="F6646" s="1" t="str">
        <f>IFERROR(__xludf.DUMMYFUNCTION("GOOGLETRANSLATE(A6646, ""zh-CN"", ""ko"")"),"타액")</f>
        <v>타액</v>
      </c>
    </row>
    <row r="6647" ht="15.75" customHeight="1">
      <c r="A6647" s="1" t="s">
        <v>19528</v>
      </c>
      <c r="B6647" s="1">
        <v>7.0</v>
      </c>
      <c r="C6647" s="1" t="s">
        <v>19529</v>
      </c>
      <c r="D6647" s="1" t="s">
        <v>16</v>
      </c>
      <c r="E6647" s="1" t="s">
        <v>19530</v>
      </c>
      <c r="F6647" s="1" t="str">
        <f>IFERROR(__xludf.DUMMYFUNCTION("GOOGLETRANSLATE(A6647, ""zh-CN"", ""ko"")"),"캐치프레이즈")</f>
        <v>캐치프레이즈</v>
      </c>
    </row>
    <row r="6648" ht="15.75" customHeight="1">
      <c r="A6648" s="1" t="s">
        <v>19531</v>
      </c>
      <c r="B6648" s="1">
        <v>7.0</v>
      </c>
      <c r="C6648" s="1" t="s">
        <v>19532</v>
      </c>
      <c r="D6648" s="1" t="s">
        <v>16</v>
      </c>
      <c r="E6648" s="1" t="s">
        <v>19533</v>
      </c>
      <c r="F6648" s="1" t="str">
        <f>IFERROR(__xludf.DUMMYFUNCTION("GOOGLETRANSLATE(A6648, ""zh-CN"", ""ko"")"),"껌")</f>
        <v>껌</v>
      </c>
    </row>
    <row r="6649" ht="15.75" customHeight="1">
      <c r="A6649" s="1" t="s">
        <v>19534</v>
      </c>
      <c r="B6649" s="1">
        <v>7.0</v>
      </c>
      <c r="C6649" s="1" t="s">
        <v>19535</v>
      </c>
      <c r="D6649" s="1" t="s">
        <v>16</v>
      </c>
      <c r="E6649" s="1" t="s">
        <v>19536</v>
      </c>
      <c r="F6649" s="1" t="str">
        <f>IFERROR(__xludf.DUMMYFUNCTION("GOOGLETRANSLATE(A6649, ""zh-CN"", ""ko"")"),"마스크")</f>
        <v>마스크</v>
      </c>
    </row>
    <row r="6650" ht="15.75" customHeight="1">
      <c r="A6650" s="1" t="s">
        <v>19537</v>
      </c>
      <c r="B6650" s="1">
        <v>7.0</v>
      </c>
      <c r="C6650" s="1" t="s">
        <v>19538</v>
      </c>
      <c r="D6650" s="1" t="s">
        <v>16</v>
      </c>
      <c r="E6650" s="1" t="s">
        <v>19539</v>
      </c>
      <c r="F6650" s="1" t="str">
        <f>IFERROR(__xludf.DUMMYFUNCTION("GOOGLETRANSLATE(A6650, ""zh-CN"", ""ko"")"),"입")</f>
        <v>입</v>
      </c>
    </row>
    <row r="6651" ht="15.75" customHeight="1">
      <c r="A6651" s="1" t="s">
        <v>19540</v>
      </c>
      <c r="B6651" s="1">
        <v>7.0</v>
      </c>
      <c r="C6651" s="1" t="s">
        <v>19541</v>
      </c>
      <c r="D6651" s="1" t="s">
        <v>8</v>
      </c>
      <c r="E6651" s="1" t="s">
        <v>19542</v>
      </c>
      <c r="F6651" s="1" t="str">
        <f>IFERROR(__xludf.DUMMYFUNCTION("GOOGLETRANSLATE(A6651, ""zh-CN"", ""ko"")"),"빼다")</f>
        <v>빼다</v>
      </c>
    </row>
    <row r="6652" ht="15.75" customHeight="1">
      <c r="A6652" s="1" t="s">
        <v>19543</v>
      </c>
      <c r="B6652" s="1">
        <v>7.0</v>
      </c>
      <c r="C6652" s="1" t="s">
        <v>19544</v>
      </c>
      <c r="D6652" s="1" t="s">
        <v>8</v>
      </c>
      <c r="E6652" s="1" t="s">
        <v>19545</v>
      </c>
      <c r="F6652" s="1" t="str">
        <f>IFERROR(__xludf.DUMMYFUNCTION("GOOGLETRANSLATE(A6652, ""zh-CN"", ""ko"")"),"구금하다")</f>
        <v>구금하다</v>
      </c>
    </row>
    <row r="6653" ht="15.75" customHeight="1">
      <c r="A6653" s="1" t="s">
        <v>19546</v>
      </c>
      <c r="B6653" s="1">
        <v>7.0</v>
      </c>
      <c r="C6653" s="1" t="s">
        <v>19547</v>
      </c>
      <c r="E6653" s="1" t="s">
        <v>19548</v>
      </c>
      <c r="F6653" s="1" t="str">
        <f>IFERROR(__xludf.DUMMYFUNCTION("GOOGLETRANSLATE(A6653, ""zh-CN"", ""ko"")"),"신나는")</f>
        <v>신나는</v>
      </c>
    </row>
    <row r="6654" ht="15.75" customHeight="1">
      <c r="A6654" s="1" t="s">
        <v>19549</v>
      </c>
      <c r="B6654" s="1">
        <v>7.0</v>
      </c>
      <c r="C6654" s="1" t="s">
        <v>19550</v>
      </c>
      <c r="D6654" s="1" t="s">
        <v>8</v>
      </c>
      <c r="E6654" s="1" t="s">
        <v>19551</v>
      </c>
      <c r="F6654" s="1" t="str">
        <f>IFERROR(__xludf.DUMMYFUNCTION("GOOGLETRANSLATE(A6654, ""zh-CN"", ""ko"")"),"구류")</f>
        <v>구류</v>
      </c>
    </row>
    <row r="6655" ht="15.75" customHeight="1">
      <c r="A6655" s="1" t="s">
        <v>19552</v>
      </c>
      <c r="B6655" s="1">
        <v>7.0</v>
      </c>
      <c r="C6655" s="1" t="s">
        <v>19553</v>
      </c>
      <c r="D6655" s="1" t="s">
        <v>52</v>
      </c>
      <c r="E6655" s="1" t="s">
        <v>19554</v>
      </c>
      <c r="F6655" s="1" t="str">
        <f>IFERROR(__xludf.DUMMYFUNCTION("GOOGLETRANSLATE(A6655, ""zh-CN"", ""ko"")"),"탈진한")</f>
        <v>탈진한</v>
      </c>
    </row>
    <row r="6656" ht="15.75" customHeight="1">
      <c r="A6656" s="1" t="s">
        <v>19555</v>
      </c>
      <c r="B6656" s="1">
        <v>7.0</v>
      </c>
      <c r="C6656" s="1" t="s">
        <v>19556</v>
      </c>
      <c r="D6656" s="1" t="s">
        <v>16</v>
      </c>
      <c r="E6656" s="1" t="s">
        <v>19557</v>
      </c>
      <c r="F6656" s="1" t="str">
        <f>IFERROR(__xludf.DUMMYFUNCTION("GOOGLETRANSLATE(A6656, ""zh-CN"", ""ko"")"),"구멍")</f>
        <v>구멍</v>
      </c>
    </row>
    <row r="6657" ht="15.75" customHeight="1">
      <c r="A6657" s="1" t="s">
        <v>19558</v>
      </c>
      <c r="B6657" s="1">
        <v>7.0</v>
      </c>
      <c r="C6657" s="1" t="s">
        <v>19559</v>
      </c>
      <c r="E6657" s="1" t="s">
        <v>19560</v>
      </c>
      <c r="F6657" s="1" t="str">
        <f>IFERROR(__xludf.DUMMYFUNCTION("GOOGLETRANSLATE(A6657, ""zh-CN"", ""ko"")"),"웃어야 할지 울어야 할지 모르겠다.")</f>
        <v>웃어야 할지 울어야 할지 모르겠다.</v>
      </c>
    </row>
    <row r="6658" ht="15.75" customHeight="1">
      <c r="A6658" s="1" t="s">
        <v>19561</v>
      </c>
      <c r="B6658" s="1">
        <v>7.0</v>
      </c>
      <c r="C6658" s="1" t="s">
        <v>19562</v>
      </c>
      <c r="D6658" s="1" t="s">
        <v>16</v>
      </c>
      <c r="E6658" s="1" t="s">
        <v>19563</v>
      </c>
      <c r="F6658" s="1" t="str">
        <f>IFERROR(__xludf.DUMMYFUNCTION("GOOGLETRANSLATE(A6658, ""zh-CN"", ""ko"")"),"고통")</f>
        <v>고통</v>
      </c>
    </row>
    <row r="6659" ht="15.75" customHeight="1">
      <c r="A6659" s="1" t="s">
        <v>19564</v>
      </c>
      <c r="B6659" s="1">
        <v>7.0</v>
      </c>
      <c r="C6659" s="1" t="s">
        <v>19565</v>
      </c>
      <c r="D6659" s="1" t="s">
        <v>52</v>
      </c>
      <c r="E6659" s="1" t="s">
        <v>19566</v>
      </c>
      <c r="F6659" s="1" t="str">
        <f>IFERROR(__xludf.DUMMYFUNCTION("GOOGLETRANSLATE(A6659, ""zh-CN"", ""ko"")"),"괴로워하는")</f>
        <v>괴로워하는</v>
      </c>
    </row>
    <row r="6660" ht="15.75" customHeight="1">
      <c r="A6660" s="1" t="s">
        <v>19567</v>
      </c>
      <c r="B6660" s="1">
        <v>7.0</v>
      </c>
      <c r="C6660" s="1" t="s">
        <v>19568</v>
      </c>
      <c r="D6660" s="1" t="s">
        <v>8</v>
      </c>
      <c r="E6660" s="1" t="s">
        <v>19569</v>
      </c>
      <c r="F6660" s="1" t="str">
        <f>IFERROR(__xludf.DUMMYFUNCTION("GOOGLETRANSLATE(A6660, ""zh-CN"", ""ko"")"),"씁쓸한 미소")</f>
        <v>씁쓸한 미소</v>
      </c>
    </row>
    <row r="6661" ht="15.75" customHeight="1">
      <c r="A6661" s="1" t="s">
        <v>19570</v>
      </c>
      <c r="B6661" s="1">
        <v>7.0</v>
      </c>
      <c r="C6661" s="1" t="s">
        <v>19571</v>
      </c>
      <c r="D6661" s="1" t="s">
        <v>17886</v>
      </c>
      <c r="E6661" s="1" t="s">
        <v>19572</v>
      </c>
      <c r="F6661" s="1" t="str">
        <f>IFERROR(__xludf.DUMMYFUNCTION("GOOGLETRANSLATE(A6661, ""zh-CN"", ""ko"")"),"애씀")</f>
        <v>애씀</v>
      </c>
    </row>
    <row r="6662" ht="15.75" customHeight="1">
      <c r="A6662" s="1" t="s">
        <v>19573</v>
      </c>
      <c r="B6662" s="1">
        <v>7.0</v>
      </c>
      <c r="C6662" s="1" t="s">
        <v>19574</v>
      </c>
      <c r="D6662" s="1" t="s">
        <v>16</v>
      </c>
      <c r="E6662" s="1" t="s">
        <v>19575</v>
      </c>
      <c r="F6662" s="1" t="str">
        <f>IFERROR(__xludf.DUMMYFUNCTION("GOOGLETRANSLATE(A6662, ""zh-CN"", ""ko"")"),"재고 있음")</f>
        <v>재고 있음</v>
      </c>
    </row>
    <row r="6663" ht="15.75" customHeight="1">
      <c r="A6663" s="1" t="s">
        <v>19576</v>
      </c>
      <c r="B6663" s="1">
        <v>7.0</v>
      </c>
      <c r="C6663" s="1" t="s">
        <v>19577</v>
      </c>
      <c r="D6663" s="1" t="s">
        <v>8</v>
      </c>
      <c r="E6663" s="1" t="s">
        <v>19578</v>
      </c>
      <c r="F6663" s="1" t="str">
        <f>IFERROR(__xludf.DUMMYFUNCTION("GOOGLETRANSLATE(A6663, ""zh-CN"", ""ko"")"),"닮음")</f>
        <v>닮음</v>
      </c>
    </row>
    <row r="6664" ht="15.75" customHeight="1">
      <c r="A6664" s="1" t="s">
        <v>19579</v>
      </c>
      <c r="B6664" s="1">
        <v>7.0</v>
      </c>
      <c r="C6664" s="1" t="s">
        <v>19580</v>
      </c>
      <c r="D6664" s="1" t="s">
        <v>8</v>
      </c>
      <c r="E6664" s="1" t="s">
        <v>19581</v>
      </c>
      <c r="F6664" s="1" t="str">
        <f>IFERROR(__xludf.DUMMYFUNCTION("GOOGLETRANSLATE(A6664, ""zh-CN"", ""ko"")"),"과장하다")</f>
        <v>과장하다</v>
      </c>
    </row>
    <row r="6665" ht="15.75" customHeight="1">
      <c r="A6665" s="1" t="s">
        <v>19582</v>
      </c>
      <c r="B6665" s="1">
        <v>7.0</v>
      </c>
      <c r="C6665" s="1" t="s">
        <v>19583</v>
      </c>
      <c r="E6665" s="1" t="s">
        <v>19584</v>
      </c>
      <c r="F6665" s="1" t="str">
        <f>IFERROR(__xludf.DUMMYFUNCTION("GOOGLETRANSLATE(A6665, ""zh-CN"", ""ko"")"),"자랑스러운 말")</f>
        <v>자랑스러운 말</v>
      </c>
    </row>
    <row r="6666" ht="15.75" customHeight="1">
      <c r="A6666" s="1" t="s">
        <v>19585</v>
      </c>
      <c r="B6666" s="1">
        <v>7.0</v>
      </c>
      <c r="C6666" s="1" t="s">
        <v>19586</v>
      </c>
      <c r="D6666" s="1" t="s">
        <v>8</v>
      </c>
      <c r="E6666" s="1" t="s">
        <v>19587</v>
      </c>
      <c r="F6666" s="1" t="str">
        <f>IFERROR(__xludf.DUMMYFUNCTION("GOOGLETRANSLATE(A6666, ""zh-CN"", ""ko"")"),"자랑")</f>
        <v>자랑</v>
      </c>
    </row>
    <row r="6667" ht="15.75" customHeight="1">
      <c r="A6667" s="1" t="s">
        <v>19588</v>
      </c>
      <c r="B6667" s="1">
        <v>7.0</v>
      </c>
      <c r="C6667" s="1" t="s">
        <v>19589</v>
      </c>
      <c r="D6667" s="1" t="s">
        <v>8</v>
      </c>
      <c r="E6667" s="1" t="s">
        <v>19590</v>
      </c>
      <c r="F6667" s="1" t="str">
        <f>IFERROR(__xludf.DUMMYFUNCTION("GOOGLETRANSLATE(A6667, ""zh-CN"", ""ko"")"),"무너지다")</f>
        <v>무너지다</v>
      </c>
    </row>
    <row r="6668" ht="15.75" customHeight="1">
      <c r="A6668" s="1" t="s">
        <v>19591</v>
      </c>
      <c r="B6668" s="1">
        <v>7.0</v>
      </c>
      <c r="C6668" s="1" t="s">
        <v>19592</v>
      </c>
      <c r="D6668" s="1" t="s">
        <v>16</v>
      </c>
      <c r="E6668" s="1" t="s">
        <v>19593</v>
      </c>
      <c r="F6668" s="1" t="str">
        <f>IFERROR(__xludf.DUMMYFUNCTION("GOOGLETRANSLATE(A6668, ""zh-CN"", ""ko"")"),"기간")</f>
        <v>기간</v>
      </c>
    </row>
    <row r="6669" ht="15.75" customHeight="1">
      <c r="A6669" s="1" t="s">
        <v>19594</v>
      </c>
      <c r="B6669" s="1">
        <v>7.0</v>
      </c>
      <c r="C6669" s="1" t="s">
        <v>19595</v>
      </c>
      <c r="D6669" s="1" t="s">
        <v>8</v>
      </c>
      <c r="E6669" s="1" t="s">
        <v>19596</v>
      </c>
      <c r="F6669" s="1" t="str">
        <f>IFERROR(__xludf.DUMMYFUNCTION("GOOGLETRANSLATE(A6669, ""zh-CN"", ""ko"")"),"초국가적")</f>
        <v>초국가적</v>
      </c>
    </row>
    <row r="6670" ht="15.75" customHeight="1">
      <c r="A6670" s="1" t="s">
        <v>19597</v>
      </c>
      <c r="B6670" s="1">
        <v>7.0</v>
      </c>
      <c r="C6670" s="1" t="s">
        <v>19598</v>
      </c>
      <c r="D6670" s="1" t="s">
        <v>8</v>
      </c>
      <c r="E6670" s="1" t="s">
        <v>19599</v>
      </c>
      <c r="F6670" s="1" t="str">
        <f>IFERROR(__xludf.DUMMYFUNCTION("GOOGLETRANSLATE(A6670, ""zh-CN"", ""ko"")"),"십자가")</f>
        <v>십자가</v>
      </c>
    </row>
    <row r="6671" ht="15.75" customHeight="1">
      <c r="A6671" s="1" t="s">
        <v>19600</v>
      </c>
      <c r="B6671" s="1">
        <v>7.0</v>
      </c>
      <c r="C6671" s="1" t="s">
        <v>19601</v>
      </c>
      <c r="D6671" s="1" t="s">
        <v>52</v>
      </c>
      <c r="E6671" s="1" t="s">
        <v>19602</v>
      </c>
      <c r="F6671" s="1" t="str">
        <f>IFERROR(__xludf.DUMMYFUNCTION("GOOGLETRANSLATE(A6671, ""zh-CN"", ""ko"")"),"넓은")</f>
        <v>넓은</v>
      </c>
    </row>
    <row r="6672" ht="15.75" customHeight="1">
      <c r="A6672" s="1" t="s">
        <v>19603</v>
      </c>
      <c r="B6672" s="1">
        <v>7.0</v>
      </c>
      <c r="C6672" s="1" t="s">
        <v>19604</v>
      </c>
      <c r="D6672" s="1" t="s">
        <v>52</v>
      </c>
      <c r="E6672" s="1" t="s">
        <v>19605</v>
      </c>
      <c r="F6672" s="1" t="str">
        <f>IFERROR(__xludf.DUMMYFUNCTION("GOOGLETRANSLATE(A6672, ""zh-CN"", ""ko"")"),"넓은")</f>
        <v>넓은</v>
      </c>
    </row>
    <row r="6673" ht="15.75" customHeight="1">
      <c r="A6673" s="1" t="s">
        <v>19606</v>
      </c>
      <c r="B6673" s="1">
        <v>7.0</v>
      </c>
      <c r="C6673" s="1" t="s">
        <v>19607</v>
      </c>
      <c r="D6673" s="1" t="s">
        <v>52</v>
      </c>
      <c r="E6673" s="1" t="s">
        <v>19608</v>
      </c>
      <c r="F6673" s="1" t="str">
        <f>IFERROR(__xludf.DUMMYFUNCTION("GOOGLETRANSLATE(A6673, ""zh-CN"", ""ko"")"),"관대한")</f>
        <v>관대한</v>
      </c>
    </row>
    <row r="6674" ht="15.75" customHeight="1">
      <c r="A6674" s="1" t="s">
        <v>19609</v>
      </c>
      <c r="B6674" s="1">
        <v>7.0</v>
      </c>
      <c r="C6674" s="1" t="s">
        <v>19610</v>
      </c>
      <c r="D6674" s="1" t="s">
        <v>52</v>
      </c>
      <c r="E6674" s="1" t="s">
        <v>5205</v>
      </c>
      <c r="F6674" s="1" t="str">
        <f>IFERROR(__xludf.DUMMYFUNCTION("GOOGLETRANSLATE(A6674, ""zh-CN"", ""ko"")"),"넓은")</f>
        <v>넓은</v>
      </c>
    </row>
    <row r="6675" ht="15.75" customHeight="1">
      <c r="A6675" s="1" t="s">
        <v>19611</v>
      </c>
      <c r="B6675" s="1">
        <v>7.0</v>
      </c>
      <c r="C6675" s="1" t="s">
        <v>19612</v>
      </c>
      <c r="D6675" s="1" t="s">
        <v>8</v>
      </c>
      <c r="E6675" s="1" t="s">
        <v>19613</v>
      </c>
      <c r="F6675" s="1" t="str">
        <f>IFERROR(__xludf.DUMMYFUNCTION("GOOGLETRANSLATE(A6675, ""zh-CN"", ""ko"")"),"용서하다")</f>
        <v>용서하다</v>
      </c>
    </row>
    <row r="6676" ht="15.75" customHeight="1">
      <c r="A6676" s="1" t="s">
        <v>19614</v>
      </c>
      <c r="B6676" s="1">
        <v>7.0</v>
      </c>
      <c r="C6676" s="1" t="s">
        <v>19615</v>
      </c>
      <c r="D6676" s="1" t="s">
        <v>52</v>
      </c>
      <c r="E6676" s="1" t="s">
        <v>19616</v>
      </c>
      <c r="F6676" s="1" t="str">
        <f>IFERROR(__xludf.DUMMYFUNCTION("GOOGLETRANSLATE(A6676, ""zh-CN"", ""ko"")"),"헐렁한")</f>
        <v>헐렁한</v>
      </c>
    </row>
    <row r="6677" ht="15.75" customHeight="1">
      <c r="A6677" s="1" t="s">
        <v>19617</v>
      </c>
      <c r="B6677" s="1">
        <v>7.0</v>
      </c>
      <c r="C6677" s="1" t="s">
        <v>19618</v>
      </c>
      <c r="D6677" s="1" t="s">
        <v>16</v>
      </c>
      <c r="E6677" s="1" t="s">
        <v>19619</v>
      </c>
      <c r="F6677" s="1" t="str">
        <f>IFERROR(__xludf.DUMMYFUNCTION("GOOGLETRANSLATE(A6677, ""zh-CN"", ""ko"")"),"지불")</f>
        <v>지불</v>
      </c>
    </row>
    <row r="6678" ht="15.75" customHeight="1">
      <c r="A6678" s="1" t="s">
        <v>19620</v>
      </c>
      <c r="B6678" s="1">
        <v>7.0</v>
      </c>
      <c r="C6678" s="1" t="s">
        <v>19621</v>
      </c>
      <c r="D6678" s="1" t="s">
        <v>52</v>
      </c>
      <c r="E6678" s="1" t="s">
        <v>17022</v>
      </c>
      <c r="F6678" s="1" t="str">
        <f>IFERROR(__xludf.DUMMYFUNCTION("GOOGLETRANSLATE(A6678, ""zh-CN"", ""ko"")"),"미친")</f>
        <v>미친</v>
      </c>
    </row>
    <row r="6679" ht="15.75" customHeight="1">
      <c r="A6679" s="1" t="s">
        <v>19622</v>
      </c>
      <c r="B6679" s="1">
        <v>7.0</v>
      </c>
      <c r="C6679" s="1" t="s">
        <v>19623</v>
      </c>
      <c r="D6679" s="1" t="s">
        <v>8</v>
      </c>
      <c r="E6679" s="1" t="s">
        <v>19624</v>
      </c>
      <c r="F6679" s="1" t="str">
        <f>IFERROR(__xludf.DUMMYFUNCTION("GOOGLETRANSLATE(A6679, ""zh-CN"", ""ko"")"),"사육제")</f>
        <v>사육제</v>
      </c>
    </row>
    <row r="6680" ht="15.75" customHeight="1">
      <c r="A6680" s="1" t="s">
        <v>19625</v>
      </c>
      <c r="B6680" s="1">
        <v>7.0</v>
      </c>
      <c r="C6680" s="1" t="s">
        <v>19626</v>
      </c>
      <c r="D6680" s="1" t="s">
        <v>52</v>
      </c>
      <c r="E6680" s="1" t="s">
        <v>19627</v>
      </c>
      <c r="F6680" s="1" t="str">
        <f>IFERROR(__xludf.DUMMYFUNCTION("GOOGLETRANSLATE(A6680, ""zh-CN"", ""ko"")"),"열광")</f>
        <v>열광</v>
      </c>
    </row>
    <row r="6681" ht="15.75" customHeight="1">
      <c r="A6681" s="1" t="s">
        <v>19628</v>
      </c>
      <c r="B6681" s="1">
        <v>7.0</v>
      </c>
      <c r="C6681" s="1" t="s">
        <v>19629</v>
      </c>
      <c r="D6681" s="1" t="s">
        <v>16</v>
      </c>
      <c r="E6681" s="1" t="s">
        <v>19630</v>
      </c>
      <c r="F6681" s="1" t="str">
        <f>IFERROR(__xludf.DUMMYFUNCTION("GOOGLETRANSLATE(A6681, ""zh-CN"", ""ko"")"),"내 거")</f>
        <v>내 거</v>
      </c>
    </row>
    <row r="6682" ht="15.75" customHeight="1">
      <c r="A6682" s="1" t="s">
        <v>19631</v>
      </c>
      <c r="B6682" s="1">
        <v>7.0</v>
      </c>
      <c r="C6682" s="1" t="s">
        <v>19629</v>
      </c>
      <c r="D6682" s="1" t="s">
        <v>14917</v>
      </c>
      <c r="E6682" s="1" t="s">
        <v>19632</v>
      </c>
      <c r="F6682" s="1" t="str">
        <f>IFERROR(__xludf.DUMMYFUNCTION("GOOGLETRANSLATE(A6682, ""zh-CN"", ""ko"")"),"상자")</f>
        <v>상자</v>
      </c>
    </row>
    <row r="6683" ht="15.75" customHeight="1">
      <c r="A6683" s="1" t="s">
        <v>19633</v>
      </c>
      <c r="B6683" s="1">
        <v>7.0</v>
      </c>
      <c r="C6683" s="1" t="s">
        <v>19634</v>
      </c>
      <c r="D6683" s="1" t="s">
        <v>16</v>
      </c>
      <c r="E6683" s="1" t="s">
        <v>19635</v>
      </c>
      <c r="F6683" s="1" t="str">
        <f>IFERROR(__xludf.DUMMYFUNCTION("GOOGLETRANSLATE(A6683, ""zh-CN"", ""ko"")"),"광물")</f>
        <v>광물</v>
      </c>
    </row>
    <row r="6684" ht="15.75" customHeight="1">
      <c r="A6684" s="1" t="s">
        <v>19636</v>
      </c>
      <c r="B6684" s="1">
        <v>7.0</v>
      </c>
      <c r="C6684" s="1" t="s">
        <v>19637</v>
      </c>
      <c r="D6684" s="1" t="s">
        <v>8</v>
      </c>
      <c r="E6684" s="1" t="s">
        <v>19638</v>
      </c>
      <c r="F6684" s="1" t="str">
        <f>IFERROR(__xludf.DUMMYFUNCTION("GOOGLETRANSLATE(A6684, ""zh-CN"", ""ko"")"),"손실")</f>
        <v>손실</v>
      </c>
    </row>
    <row r="6685" ht="15.75" customHeight="1">
      <c r="A6685" s="1" t="s">
        <v>19639</v>
      </c>
      <c r="B6685" s="1">
        <v>7.0</v>
      </c>
      <c r="C6685" s="1" t="s">
        <v>19640</v>
      </c>
      <c r="D6685" s="1" t="s">
        <v>18906</v>
      </c>
      <c r="E6685" s="1" t="s">
        <v>19641</v>
      </c>
      <c r="F6685" s="1" t="str">
        <f>IFERROR(__xludf.DUMMYFUNCTION("GOOGLETRANSLATE(A6685, ""zh-CN"", ""ko"")"),"묶음")</f>
        <v>묶음</v>
      </c>
    </row>
    <row r="6686" ht="15.75" customHeight="1">
      <c r="A6686" s="1" t="s">
        <v>19642</v>
      </c>
      <c r="B6686" s="1">
        <v>7.0</v>
      </c>
      <c r="C6686" s="1" t="s">
        <v>19643</v>
      </c>
      <c r="D6686" s="1" t="s">
        <v>14742</v>
      </c>
      <c r="E6686" s="1" t="s">
        <v>19644</v>
      </c>
      <c r="F6686" s="1" t="str">
        <f>IFERROR(__xludf.DUMMYFUNCTION("GOOGLETRANSLATE(A6686, ""zh-CN"", ""ko"")"),"어찌할 바를 모르는")</f>
        <v>어찌할 바를 모르는</v>
      </c>
    </row>
    <row r="6687" ht="15.75" customHeight="1">
      <c r="A6687" s="1" t="s">
        <v>19645</v>
      </c>
      <c r="B6687" s="1">
        <v>7.0</v>
      </c>
      <c r="C6687" s="1" t="s">
        <v>19646</v>
      </c>
      <c r="D6687" s="1" t="s">
        <v>16</v>
      </c>
      <c r="E6687" s="1" t="s">
        <v>19647</v>
      </c>
      <c r="F6687" s="1" t="str">
        <f>IFERROR(__xludf.DUMMYFUNCTION("GOOGLETRANSLATE(A6687, ""zh-CN"", ""ko"")"),"양도 논법")</f>
        <v>양도 논법</v>
      </c>
    </row>
    <row r="6688" ht="15.75" customHeight="1">
      <c r="A6688" s="1" t="s">
        <v>19648</v>
      </c>
      <c r="B6688" s="1">
        <v>7.0</v>
      </c>
      <c r="C6688" s="1" t="s">
        <v>19649</v>
      </c>
      <c r="D6688" s="1" t="s">
        <v>8</v>
      </c>
      <c r="E6688" s="1" t="s">
        <v>19650</v>
      </c>
      <c r="F6688" s="1" t="str">
        <f>IFERROR(__xludf.DUMMYFUNCTION("GOOGLETRANSLATE(A6688, ""zh-CN"", ""ko"")"),"확장하다")</f>
        <v>확장하다</v>
      </c>
    </row>
    <row r="6689" ht="15.75" customHeight="1">
      <c r="A6689" s="1" t="s">
        <v>19651</v>
      </c>
      <c r="B6689" s="1">
        <v>7.0</v>
      </c>
      <c r="C6689" s="1" t="s">
        <v>19652</v>
      </c>
      <c r="D6689" s="1" t="s">
        <v>52</v>
      </c>
      <c r="E6689" s="1" t="s">
        <v>19653</v>
      </c>
      <c r="F6689" s="1" t="str">
        <f>IFERROR(__xludf.DUMMYFUNCTION("GOOGLETRANSLATE(A6689, ""zh-CN"", ""ko"")"),"관대한")</f>
        <v>관대한</v>
      </c>
    </row>
    <row r="6690" ht="15.75" customHeight="1">
      <c r="A6690" s="1" t="s">
        <v>19654</v>
      </c>
      <c r="B6690" s="1">
        <v>7.0</v>
      </c>
      <c r="C6690" s="1" t="s">
        <v>19655</v>
      </c>
      <c r="D6690" s="1" t="s">
        <v>16</v>
      </c>
      <c r="E6690" s="1" t="s">
        <v>19656</v>
      </c>
      <c r="F6690" s="1" t="str">
        <f>IFERROR(__xludf.DUMMYFUNCTION("GOOGLETRANSLATE(A6690, ""zh-CN"", ""ko"")"),"괄호")</f>
        <v>괄호</v>
      </c>
    </row>
    <row r="6691" ht="15.75" customHeight="1">
      <c r="A6691" s="1" t="s">
        <v>19657</v>
      </c>
      <c r="B6691" s="1">
        <v>7.0</v>
      </c>
      <c r="C6691" s="1" t="s">
        <v>19658</v>
      </c>
      <c r="D6691" s="1" t="s">
        <v>8</v>
      </c>
      <c r="E6691" s="1" t="s">
        <v>19659</v>
      </c>
      <c r="F6691" s="1" t="str">
        <f>IFERROR(__xludf.DUMMYFUNCTION("GOOGLETRANSLATE(A6691, ""zh-CN"", ""ko"")"),"확장")</f>
        <v>확장</v>
      </c>
    </row>
    <row r="6692" ht="15.75" customHeight="1">
      <c r="A6692" s="1" t="s">
        <v>19660</v>
      </c>
      <c r="B6692" s="1">
        <v>7.0</v>
      </c>
      <c r="C6692" s="1" t="s">
        <v>19661</v>
      </c>
      <c r="D6692" s="1" t="s">
        <v>8</v>
      </c>
      <c r="E6692" s="1" t="s">
        <v>19662</v>
      </c>
      <c r="F6692" s="1" t="str">
        <f>IFERROR(__xludf.DUMMYFUNCTION("GOOGLETRANSLATE(A6692, ""zh-CN"", ""ko"")"),"당기다")</f>
        <v>당기다</v>
      </c>
    </row>
    <row r="6693" ht="15.75" customHeight="1">
      <c r="A6693" s="1" t="s">
        <v>19663</v>
      </c>
      <c r="B6693" s="1">
        <v>7.0</v>
      </c>
      <c r="C6693" s="1" t="s">
        <v>19664</v>
      </c>
      <c r="D6693" s="1" t="s">
        <v>16</v>
      </c>
      <c r="E6693" s="1" t="s">
        <v>19665</v>
      </c>
      <c r="F6693" s="1" t="str">
        <f>IFERROR(__xludf.DUMMYFUNCTION("GOOGLETRANSLATE(A6693, ""zh-CN"", ""ko"")"),"치어리더들")</f>
        <v>치어리더들</v>
      </c>
    </row>
    <row r="6694" ht="15.75" customHeight="1">
      <c r="A6694" s="1" t="s">
        <v>19666</v>
      </c>
      <c r="B6694" s="1">
        <v>7.0</v>
      </c>
      <c r="C6694" s="1" t="s">
        <v>19667</v>
      </c>
      <c r="D6694" s="1" t="s">
        <v>16</v>
      </c>
      <c r="E6694" s="1" t="s">
        <v>19668</v>
      </c>
      <c r="F6694" s="1" t="str">
        <f>IFERROR(__xludf.DUMMYFUNCTION("GOOGLETRANSLATE(A6694, ""zh-CN"", ""ko"")"),"지퍼")</f>
        <v>지퍼</v>
      </c>
    </row>
    <row r="6695" ht="15.75" customHeight="1">
      <c r="A6695" s="1" t="s">
        <v>19669</v>
      </c>
      <c r="B6695" s="1">
        <v>7.0</v>
      </c>
      <c r="C6695" s="1" t="s">
        <v>19670</v>
      </c>
      <c r="D6695" s="1" t="s">
        <v>8</v>
      </c>
      <c r="E6695" s="1" t="s">
        <v>19671</v>
      </c>
      <c r="F6695" s="1" t="str">
        <f>IFERROR(__xludf.DUMMYFUNCTION("GOOGLETRANSLATE(A6695, ""zh-CN"", ""ko"")"),"승리하다")</f>
        <v>승리하다</v>
      </c>
    </row>
    <row r="6696" ht="15.75" customHeight="1">
      <c r="A6696" s="1" t="s">
        <v>19672</v>
      </c>
      <c r="B6696" s="1">
        <v>7.0</v>
      </c>
      <c r="C6696" s="1" t="s">
        <v>2564</v>
      </c>
      <c r="D6696" s="1" t="s">
        <v>16</v>
      </c>
      <c r="E6696" s="1" t="s">
        <v>19673</v>
      </c>
      <c r="F6696" s="1" t="str">
        <f>IFERROR(__xludf.DUMMYFUNCTION("GOOGLETRANSLATE(A6696, ""zh-CN"", ""ko"")"),"밀랍")</f>
        <v>밀랍</v>
      </c>
    </row>
    <row r="6697" ht="15.75" customHeight="1">
      <c r="A6697" s="1" t="s">
        <v>19674</v>
      </c>
      <c r="B6697" s="1">
        <v>7.0</v>
      </c>
      <c r="C6697" s="1" t="s">
        <v>19675</v>
      </c>
      <c r="D6697" s="1" t="s">
        <v>16</v>
      </c>
      <c r="E6697" s="1" t="s">
        <v>19676</v>
      </c>
      <c r="F6697" s="1" t="str">
        <f>IFERROR(__xludf.DUMMYFUNCTION("GOOGLETRANSLATE(A6697, ""zh-CN"", ""ko"")"),"12월")</f>
        <v>12월</v>
      </c>
    </row>
    <row r="6698" ht="15.75" customHeight="1">
      <c r="A6698" s="1" t="s">
        <v>19677</v>
      </c>
      <c r="B6698" s="1">
        <v>7.0</v>
      </c>
      <c r="C6698" s="1" t="s">
        <v>19678</v>
      </c>
      <c r="D6698" s="1" t="s">
        <v>16</v>
      </c>
      <c r="E6698" s="1" t="s">
        <v>19679</v>
      </c>
      <c r="F6698" s="1" t="str">
        <f>IFERROR(__xludf.DUMMYFUNCTION("GOOGLETRANSLATE(A6698, ""zh-CN"", ""ko"")"),"손님")</f>
        <v>손님</v>
      </c>
    </row>
    <row r="6699" ht="15.75" customHeight="1">
      <c r="A6699" s="1" t="s">
        <v>19680</v>
      </c>
      <c r="B6699" s="1">
        <v>7.0</v>
      </c>
      <c r="C6699" s="1" t="s">
        <v>19681</v>
      </c>
      <c r="D6699" s="1" t="s">
        <v>14870</v>
      </c>
      <c r="E6699" s="1" t="s">
        <v>19682</v>
      </c>
      <c r="F6699" s="1" t="str">
        <f>IFERROR(__xludf.DUMMYFUNCTION("GOOGLETRANSLATE(A6699, ""zh-CN"", ""ko"")"),"수신 전화")</f>
        <v>수신 전화</v>
      </c>
    </row>
    <row r="6700" ht="15.75" customHeight="1">
      <c r="A6700" s="1" t="s">
        <v>19683</v>
      </c>
      <c r="B6700" s="1">
        <v>7.0</v>
      </c>
      <c r="C6700" s="1" t="s">
        <v>19684</v>
      </c>
      <c r="D6700" s="1" t="s">
        <v>8</v>
      </c>
      <c r="E6700" s="1" t="s">
        <v>19685</v>
      </c>
      <c r="F6700" s="1" t="str">
        <f>IFERROR(__xludf.DUMMYFUNCTION("GOOGLETRANSLATE(A6700, ""zh-CN"", ""ko"")"),"방문객")</f>
        <v>방문객</v>
      </c>
    </row>
    <row r="6701" ht="15.75" customHeight="1">
      <c r="A6701" s="1" t="s">
        <v>19686</v>
      </c>
      <c r="B6701" s="1">
        <v>7.0</v>
      </c>
      <c r="C6701" s="1" t="s">
        <v>19687</v>
      </c>
      <c r="D6701" s="1" t="s">
        <v>19688</v>
      </c>
      <c r="E6701" s="1" t="s">
        <v>19689</v>
      </c>
      <c r="F6701" s="1" t="str">
        <f>IFERROR(__xludf.DUMMYFUNCTION("GOOGLETRANSLATE(A6701, ""zh-CN"", ""ko"")"),"이리저리")</f>
        <v>이리저리</v>
      </c>
    </row>
    <row r="6702" ht="15.75" customHeight="1">
      <c r="A6702" s="1" t="s">
        <v>19690</v>
      </c>
      <c r="B6702" s="1">
        <v>7.0</v>
      </c>
      <c r="C6702" s="1" t="s">
        <v>19691</v>
      </c>
      <c r="E6702" s="1" t="s">
        <v>19692</v>
      </c>
      <c r="F6702" s="1" t="str">
        <f>IFERROR(__xludf.DUMMYFUNCTION("GOOGLETRANSLATE(A6702, ""zh-CN"", ""ko"")"),"내부 및 외부")</f>
        <v>내부 및 외부</v>
      </c>
    </row>
    <row r="6703" ht="15.75" customHeight="1">
      <c r="A6703" s="1" t="s">
        <v>19693</v>
      </c>
      <c r="B6703" s="1">
        <v>7.0</v>
      </c>
      <c r="C6703" s="1" t="s">
        <v>19694</v>
      </c>
      <c r="D6703" s="1" t="s">
        <v>16</v>
      </c>
      <c r="E6703" s="1" t="s">
        <v>19695</v>
      </c>
      <c r="F6703" s="1" t="str">
        <f>IFERROR(__xludf.DUMMYFUNCTION("GOOGLETRANSLATE(A6703, ""zh-CN"", ""ko"")"),"내년")</f>
        <v>내년</v>
      </c>
    </row>
    <row r="6704" ht="15.75" customHeight="1">
      <c r="A6704" s="1" t="s">
        <v>19696</v>
      </c>
      <c r="B6704" s="1">
        <v>7.0</v>
      </c>
      <c r="C6704" s="1" t="s">
        <v>19697</v>
      </c>
      <c r="E6704" s="1" t="s">
        <v>19698</v>
      </c>
      <c r="F6704" s="1" t="str">
        <f>IFERROR(__xludf.DUMMYFUNCTION("GOOGLETRANSLATE(A6704, ""zh-CN"", ""ko"")"),"어렵게 얻은")</f>
        <v>어렵게 얻은</v>
      </c>
    </row>
    <row r="6705" ht="15.75" customHeight="1">
      <c r="A6705" s="1" t="s">
        <v>19699</v>
      </c>
      <c r="B6705" s="1">
        <v>7.0</v>
      </c>
      <c r="C6705" s="1" t="s">
        <v>19700</v>
      </c>
      <c r="D6705" s="1" t="s">
        <v>16</v>
      </c>
      <c r="E6705" s="1" t="s">
        <v>19701</v>
      </c>
      <c r="F6705" s="1" t="str">
        <f>IFERROR(__xludf.DUMMYFUNCTION("GOOGLETRANSLATE(A6705, ""zh-CN"", ""ko"")"),"난간")</f>
        <v>난간</v>
      </c>
    </row>
    <row r="6706" ht="15.75" customHeight="1">
      <c r="A6706" s="1" t="s">
        <v>19702</v>
      </c>
      <c r="B6706" s="1">
        <v>7.0</v>
      </c>
      <c r="C6706" s="1" t="s">
        <v>19703</v>
      </c>
      <c r="D6706" s="1" t="s">
        <v>16</v>
      </c>
      <c r="E6706" s="1" t="s">
        <v>19704</v>
      </c>
      <c r="F6706" s="1" t="str">
        <f>IFERROR(__xludf.DUMMYFUNCTION("GOOGLETRANSLATE(A6706, ""zh-CN"", ""ko"")"),"청사진")</f>
        <v>청사진</v>
      </c>
    </row>
    <row r="6707" ht="15.75" customHeight="1">
      <c r="A6707" s="1" t="s">
        <v>19705</v>
      </c>
      <c r="B6707" s="1">
        <v>7.0</v>
      </c>
      <c r="C6707" s="1" t="s">
        <v>2576</v>
      </c>
      <c r="D6707" s="1" t="s">
        <v>8</v>
      </c>
      <c r="E6707" s="1" t="s">
        <v>19706</v>
      </c>
      <c r="F6707" s="1" t="str">
        <f>IFERROR(__xludf.DUMMYFUNCTION("GOOGLETRANSLATE(A6707, ""zh-CN"", ""ko"")"),"포옹하다")</f>
        <v>포옹하다</v>
      </c>
    </row>
    <row r="6708" ht="15.75" customHeight="1">
      <c r="A6708" s="1" t="s">
        <v>19707</v>
      </c>
      <c r="B6708" s="1">
        <v>7.0</v>
      </c>
      <c r="C6708" s="1" t="s">
        <v>19708</v>
      </c>
      <c r="D6708" s="1" t="s">
        <v>16</v>
      </c>
      <c r="E6708" s="1" t="s">
        <v>19709</v>
      </c>
      <c r="F6708" s="1" t="str">
        <f>IFERROR(__xludf.DUMMYFUNCTION("GOOGLETRANSLATE(A6708, ""zh-CN"", ""ko"")"),"케이블 카")</f>
        <v>케이블 카</v>
      </c>
    </row>
    <row r="6709" ht="15.75" customHeight="1">
      <c r="A6709" s="1" t="s">
        <v>19710</v>
      </c>
      <c r="B6709" s="1">
        <v>7.0</v>
      </c>
      <c r="C6709" s="1" t="s">
        <v>19711</v>
      </c>
      <c r="D6709" s="1" t="s">
        <v>8</v>
      </c>
      <c r="E6709" s="1" t="s">
        <v>19712</v>
      </c>
      <c r="F6709" s="1" t="str">
        <f>IFERROR(__xludf.DUMMYFUNCTION("GOOGLETRANSLATE(A6709, ""zh-CN"", ""ko"")"),"너무 게을러")</f>
        <v>너무 게을러</v>
      </c>
    </row>
    <row r="6710" ht="15.75" customHeight="1">
      <c r="A6710" s="1" t="s">
        <v>19713</v>
      </c>
      <c r="B6710" s="1">
        <v>7.0</v>
      </c>
      <c r="C6710" s="1" t="s">
        <v>19714</v>
      </c>
      <c r="D6710" s="1" t="s">
        <v>8</v>
      </c>
      <c r="E6710" s="1" t="s">
        <v>19715</v>
      </c>
      <c r="F6710" s="1" t="str">
        <f>IFERROR(__xludf.DUMMYFUNCTION("GOOGLETRANSLATE(A6710, ""zh-CN"", ""ko"")"),"남용")</f>
        <v>남용</v>
      </c>
    </row>
    <row r="6711" ht="15.75" customHeight="1">
      <c r="A6711" s="1" t="s">
        <v>19716</v>
      </c>
      <c r="B6711" s="1">
        <v>7.0</v>
      </c>
      <c r="C6711" s="1" t="s">
        <v>19717</v>
      </c>
      <c r="D6711" s="1" t="s">
        <v>8</v>
      </c>
      <c r="E6711" s="1" t="s">
        <v>19718</v>
      </c>
      <c r="F6711" s="1" t="str">
        <f>IFERROR(__xludf.DUMMYFUNCTION("GOOGLETRANSLATE(A6711, ""zh-CN"", ""ko"")"),"암송")</f>
        <v>암송</v>
      </c>
    </row>
    <row r="6712" ht="15.75" customHeight="1">
      <c r="A6712" s="1" t="s">
        <v>19719</v>
      </c>
      <c r="B6712" s="1">
        <v>7.0</v>
      </c>
      <c r="C6712" s="1" t="s">
        <v>19720</v>
      </c>
      <c r="D6712" s="1" t="s">
        <v>8</v>
      </c>
      <c r="E6712" s="1" t="s">
        <v>19721</v>
      </c>
      <c r="F6712" s="1" t="str">
        <f>IFERROR(__xludf.DUMMYFUNCTION("GOOGLETRANSLATE(A6712, ""zh-CN"", ""ko"")"),"명심하세요")</f>
        <v>명심하세요</v>
      </c>
    </row>
    <row r="6713" ht="15.75" customHeight="1">
      <c r="A6713" s="1" t="s">
        <v>19722</v>
      </c>
      <c r="B6713" s="1">
        <v>7.0</v>
      </c>
      <c r="C6713" s="1" t="s">
        <v>19723</v>
      </c>
      <c r="D6713" s="1" t="s">
        <v>33</v>
      </c>
      <c r="E6713" s="1" t="s">
        <v>19724</v>
      </c>
      <c r="F6713" s="1" t="str">
        <f>IFERROR(__xludf.DUMMYFUNCTION("GOOGLETRANSLATE(A6713, ""zh-CN"", ""ko"")"),"단단히")</f>
        <v>단단히</v>
      </c>
    </row>
    <row r="6714" ht="15.75" customHeight="1">
      <c r="A6714" s="1" t="s">
        <v>19725</v>
      </c>
      <c r="B6714" s="1">
        <v>7.0</v>
      </c>
      <c r="C6714" s="1" t="s">
        <v>19726</v>
      </c>
      <c r="D6714" s="1" t="s">
        <v>52</v>
      </c>
      <c r="E6714" s="1" t="s">
        <v>19727</v>
      </c>
      <c r="F6714" s="1" t="str">
        <f>IFERROR(__xludf.DUMMYFUNCTION("GOOGLETRANSLATE(A6714, ""zh-CN"", ""ko"")"),"피로")</f>
        <v>피로</v>
      </c>
    </row>
    <row r="6715" ht="15.75" customHeight="1">
      <c r="A6715" s="1" t="s">
        <v>19728</v>
      </c>
      <c r="B6715" s="1">
        <v>7.0</v>
      </c>
      <c r="C6715" s="1" t="s">
        <v>19729</v>
      </c>
      <c r="D6715" s="1" t="s">
        <v>16</v>
      </c>
      <c r="E6715" s="1" t="s">
        <v>19730</v>
      </c>
      <c r="F6715" s="1" t="str">
        <f>IFERROR(__xludf.DUMMYFUNCTION("GOOGLETRANSLATE(A6715, ""zh-CN"", ""ko"")"),"서비스")</f>
        <v>서비스</v>
      </c>
    </row>
    <row r="6716" ht="15.75" customHeight="1">
      <c r="A6716" s="1" t="s">
        <v>19731</v>
      </c>
      <c r="B6716" s="1">
        <v>7.0</v>
      </c>
      <c r="C6716" s="1" t="s">
        <v>19732</v>
      </c>
      <c r="D6716" s="1" t="s">
        <v>16</v>
      </c>
      <c r="E6716" s="1" t="s">
        <v>19733</v>
      </c>
      <c r="F6716" s="1" t="str">
        <f>IFERROR(__xludf.DUMMYFUNCTION("GOOGLETRANSLATE(A6716, ""zh-CN"", ""ko"")"),"내 배우자")</f>
        <v>내 배우자</v>
      </c>
    </row>
    <row r="6717" ht="15.75" customHeight="1">
      <c r="A6717" s="1" t="s">
        <v>19734</v>
      </c>
      <c r="B6717" s="1">
        <v>7.0</v>
      </c>
      <c r="C6717" s="1" t="s">
        <v>19735</v>
      </c>
      <c r="D6717" s="1" t="s">
        <v>17886</v>
      </c>
      <c r="E6717" s="1" t="s">
        <v>19736</v>
      </c>
      <c r="F6717" s="1" t="str">
        <f>IFERROR(__xludf.DUMMYFUNCTION("GOOGLETRANSLATE(A6717, ""zh-CN"", ""ko"")"),"사장")</f>
        <v>사장</v>
      </c>
    </row>
    <row r="6718" ht="15.75" customHeight="1">
      <c r="A6718" s="1" t="s">
        <v>19737</v>
      </c>
      <c r="B6718" s="1">
        <v>7.0</v>
      </c>
      <c r="C6718" s="1" t="s">
        <v>19738</v>
      </c>
      <c r="D6718" s="1" t="s">
        <v>8</v>
      </c>
      <c r="E6718" s="1" t="s">
        <v>19739</v>
      </c>
      <c r="F6718" s="1" t="str">
        <f>IFERROR(__xludf.DUMMYFUNCTION("GOOGLETRANSLATE(A6718, ""zh-CN"", ""ko"")"),"노화")</f>
        <v>노화</v>
      </c>
    </row>
    <row r="6719" ht="15.75" customHeight="1">
      <c r="A6719" s="1" t="s">
        <v>19740</v>
      </c>
      <c r="B6719" s="1">
        <v>7.0</v>
      </c>
      <c r="C6719" s="1" t="s">
        <v>19741</v>
      </c>
      <c r="D6719" s="1" t="s">
        <v>16</v>
      </c>
      <c r="E6719" s="1" t="s">
        <v>19742</v>
      </c>
      <c r="F6719" s="1" t="str">
        <f>IFERROR(__xludf.DUMMYFUNCTION("GOOGLETRANSLATE(A6719, ""zh-CN"", ""ko"")"),"연세가 드신")</f>
        <v>연세가 드신</v>
      </c>
    </row>
    <row r="6720" ht="15.75" customHeight="1">
      <c r="A6720" s="1" t="s">
        <v>19743</v>
      </c>
      <c r="B6720" s="1">
        <v>7.0</v>
      </c>
      <c r="C6720" s="1" t="s">
        <v>19744</v>
      </c>
      <c r="D6720" s="1" t="s">
        <v>16</v>
      </c>
      <c r="E6720" s="1" t="s">
        <v>19745</v>
      </c>
      <c r="F6720" s="1" t="str">
        <f>IFERROR(__xludf.DUMMYFUNCTION("GOOGLETRANSLATE(A6720, ""zh-CN"", ""ko"")"),"마을 사람들")</f>
        <v>마을 사람들</v>
      </c>
    </row>
    <row r="6721" ht="15.75" customHeight="1">
      <c r="A6721" s="1" t="s">
        <v>19746</v>
      </c>
      <c r="B6721" s="1">
        <v>7.0</v>
      </c>
      <c r="C6721" s="1" t="s">
        <v>19747</v>
      </c>
      <c r="D6721" s="1" t="s">
        <v>16</v>
      </c>
      <c r="E6721" s="1" t="s">
        <v>19748</v>
      </c>
      <c r="F6721" s="1" t="str">
        <f>IFERROR(__xludf.DUMMYFUNCTION("GOOGLETRANSLATE(A6721, ""zh-CN"", ""ko"")"),"오랜 전통을 자랑하는 브랜드")</f>
        <v>오랜 전통을 자랑하는 브랜드</v>
      </c>
    </row>
    <row r="6722" ht="15.75" customHeight="1">
      <c r="A6722" s="1" t="s">
        <v>19749</v>
      </c>
      <c r="B6722" s="1">
        <v>7.0</v>
      </c>
      <c r="C6722" s="1" t="s">
        <v>19750</v>
      </c>
      <c r="D6722" s="1" t="s">
        <v>52</v>
      </c>
      <c r="E6722" s="1" t="s">
        <v>19751</v>
      </c>
      <c r="F6722" s="1" t="str">
        <f>IFERROR(__xludf.DUMMYFUNCTION("GOOGLETRANSLATE(A6722, ""zh-CN"", ""ko"")"),"침수")</f>
        <v>침수</v>
      </c>
    </row>
    <row r="6723" ht="15.75" customHeight="1">
      <c r="A6723" s="1" t="s">
        <v>19752</v>
      </c>
      <c r="B6723" s="1">
        <v>7.0</v>
      </c>
      <c r="C6723" s="1" t="s">
        <v>19753</v>
      </c>
      <c r="E6723" s="1" t="s">
        <v>19754</v>
      </c>
      <c r="F6723" s="1" t="str">
        <f>IFERROR(__xludf.DUMMYFUNCTION("GOOGLETRANSLATE(A6723, ""zh-CN"", ""ko"")"),"정말 즐기고 있어요")</f>
        <v>정말 즐기고 있어요</v>
      </c>
    </row>
    <row r="6724" ht="15.75" customHeight="1">
      <c r="A6724" s="1" t="s">
        <v>19755</v>
      </c>
      <c r="B6724" s="1">
        <v>7.0</v>
      </c>
      <c r="C6724" s="1" t="s">
        <v>19756</v>
      </c>
      <c r="D6724" s="1" t="s">
        <v>16</v>
      </c>
      <c r="E6724" s="1" t="s">
        <v>19757</v>
      </c>
      <c r="F6724" s="1" t="str">
        <f>IFERROR(__xludf.DUMMYFUNCTION("GOOGLETRANSLATE(A6724, ""zh-CN"", ""ko"")"),"천국")</f>
        <v>천국</v>
      </c>
    </row>
    <row r="6725" ht="15.75" customHeight="1">
      <c r="A6725" s="1" t="s">
        <v>19758</v>
      </c>
      <c r="B6725" s="1">
        <v>7.0</v>
      </c>
      <c r="C6725" s="1" t="s">
        <v>19759</v>
      </c>
      <c r="D6725" s="1" t="s">
        <v>8</v>
      </c>
      <c r="E6725" s="1" t="s">
        <v>19760</v>
      </c>
      <c r="F6725" s="1" t="str">
        <f>IFERROR(__xludf.DUMMYFUNCTION("GOOGLETRANSLATE(A6725, ""zh-CN"", ""ko"")"),"르")</f>
        <v>르</v>
      </c>
    </row>
    <row r="6726" ht="15.75" customHeight="1">
      <c r="A6726" s="1" t="s">
        <v>19761</v>
      </c>
      <c r="B6726" s="1">
        <v>7.0</v>
      </c>
      <c r="C6726" s="1" t="s">
        <v>19762</v>
      </c>
      <c r="D6726" s="1" t="s">
        <v>52</v>
      </c>
      <c r="E6726" s="1" t="s">
        <v>19763</v>
      </c>
      <c r="F6726" s="1" t="str">
        <f>IFERROR(__xludf.DUMMYFUNCTION("GOOGLETRANSLATE(A6726, ""zh-CN"", ""ko"")"),"비슷한")</f>
        <v>비슷한</v>
      </c>
    </row>
    <row r="6727" ht="15.75" customHeight="1">
      <c r="A6727" s="1" t="s">
        <v>19764</v>
      </c>
      <c r="B6727" s="1">
        <v>7.0</v>
      </c>
      <c r="C6727" s="1" t="s">
        <v>19765</v>
      </c>
      <c r="D6727" s="1" t="s">
        <v>19766</v>
      </c>
      <c r="E6727" s="1" t="s">
        <v>19767</v>
      </c>
      <c r="F6727" s="1" t="str">
        <f>IFERROR(__xludf.DUMMYFUNCTION("GOOGLETRANSLATE(A6727, ""zh-CN"", ""ko"")"),"부담")</f>
        <v>부담</v>
      </c>
    </row>
    <row r="6728" ht="15.75" customHeight="1">
      <c r="A6728" s="1" t="s">
        <v>19768</v>
      </c>
      <c r="B6728" s="1">
        <v>7.0</v>
      </c>
      <c r="C6728" s="1" t="s">
        <v>19769</v>
      </c>
      <c r="D6728" s="1" t="s">
        <v>8</v>
      </c>
      <c r="E6728" s="1" t="s">
        <v>19770</v>
      </c>
      <c r="F6728" s="1" t="str">
        <f>IFERROR(__xludf.DUMMYFUNCTION("GOOGLETRANSLATE(A6728, ""zh-CN"", ""ko"")"),"축적")</f>
        <v>축적</v>
      </c>
    </row>
    <row r="6729" ht="15.75" customHeight="1">
      <c r="A6729" s="1" t="s">
        <v>19771</v>
      </c>
      <c r="B6729" s="1">
        <v>7.0</v>
      </c>
      <c r="C6729" s="1" t="s">
        <v>19772</v>
      </c>
      <c r="D6729" s="1" t="s">
        <v>8</v>
      </c>
      <c r="E6729" s="1" t="s">
        <v>19773</v>
      </c>
      <c r="F6729" s="1" t="str">
        <f>IFERROR(__xludf.DUMMYFUNCTION("GOOGLETRANSLATE(A6729, ""zh-CN"", ""ko"")"),"총합계")</f>
        <v>총합계</v>
      </c>
    </row>
    <row r="6730" ht="15.75" customHeight="1">
      <c r="A6730" s="1" t="s">
        <v>19774</v>
      </c>
      <c r="B6730" s="1">
        <v>7.0</v>
      </c>
      <c r="C6730" s="1" t="s">
        <v>19775</v>
      </c>
      <c r="D6730" s="1" t="s">
        <v>16</v>
      </c>
      <c r="E6730" s="1" t="s">
        <v>19776</v>
      </c>
      <c r="F6730" s="1" t="str">
        <f>IFERROR(__xludf.DUMMYFUNCTION("GOOGLETRANSLATE(A6730, ""zh-CN"", ""ko"")"),"모서리와 모서리")</f>
        <v>모서리와 모서리</v>
      </c>
    </row>
    <row r="6731" ht="15.75" customHeight="1">
      <c r="A6731" s="1" t="s">
        <v>19777</v>
      </c>
      <c r="B6731" s="1">
        <v>7.0</v>
      </c>
      <c r="C6731" s="1" t="s">
        <v>19778</v>
      </c>
      <c r="D6731" s="1" t="s">
        <v>8</v>
      </c>
      <c r="E6731" s="1" t="s">
        <v>19779</v>
      </c>
      <c r="F6731" s="1" t="str">
        <f>IFERROR(__xludf.DUMMYFUNCTION("GOOGLETRANSLATE(A6731, ""zh-CN"", ""ko"")"),"동결")</f>
        <v>동결</v>
      </c>
    </row>
    <row r="6732" ht="15.75" customHeight="1">
      <c r="A6732" s="1" t="s">
        <v>19780</v>
      </c>
      <c r="B6732" s="1">
        <v>7.0</v>
      </c>
      <c r="C6732" s="1" t="s">
        <v>19781</v>
      </c>
      <c r="D6732" s="1" t="s">
        <v>16</v>
      </c>
      <c r="E6732" s="1" t="s">
        <v>19782</v>
      </c>
      <c r="F6732" s="1" t="str">
        <f>IFERROR(__xludf.DUMMYFUNCTION("GOOGLETRANSLATE(A6732, ""zh-CN"", ""ko"")"),"인기 없는")</f>
        <v>인기 없는</v>
      </c>
    </row>
    <row r="6733" ht="15.75" customHeight="1">
      <c r="A6733" s="1" t="s">
        <v>19783</v>
      </c>
      <c r="B6733" s="1">
        <v>7.0</v>
      </c>
      <c r="C6733" s="1" t="s">
        <v>19784</v>
      </c>
      <c r="D6733" s="1" t="s">
        <v>52</v>
      </c>
      <c r="E6733" s="1" t="s">
        <v>19785</v>
      </c>
      <c r="F6733" s="1" t="str">
        <f>IFERROR(__xludf.DUMMYFUNCTION("GOOGLETRANSLATE(A6733, ""zh-CN"", ""ko"")"),"무관심한")</f>
        <v>무관심한</v>
      </c>
    </row>
    <row r="6734" ht="15.75" customHeight="1">
      <c r="A6734" s="1" t="s">
        <v>19786</v>
      </c>
      <c r="B6734" s="1">
        <v>7.0</v>
      </c>
      <c r="C6734" s="1" t="s">
        <v>19787</v>
      </c>
      <c r="D6734" s="1" t="s">
        <v>16</v>
      </c>
      <c r="E6734" s="1" t="s">
        <v>19788</v>
      </c>
      <c r="F6734" s="1" t="str">
        <f>IFERROR(__xludf.DUMMYFUNCTION("GOOGLETRANSLATE(A6734, ""zh-CN"", ""ko"")"),"공기 조절")</f>
        <v>공기 조절</v>
      </c>
    </row>
    <row r="6735" ht="15.75" customHeight="1">
      <c r="A6735" s="1" t="s">
        <v>19789</v>
      </c>
      <c r="B6735" s="1">
        <v>7.0</v>
      </c>
      <c r="C6735" s="1" t="s">
        <v>19790</v>
      </c>
      <c r="D6735" s="1" t="s">
        <v>16</v>
      </c>
      <c r="E6735" s="1" t="s">
        <v>19791</v>
      </c>
      <c r="F6735" s="1" t="str">
        <f>IFERROR(__xludf.DUMMYFUNCTION("GOOGLETRANSLATE(A6735, ""zh-CN"", ""ko"")"),"냉전")</f>
        <v>냉전</v>
      </c>
    </row>
    <row r="6736" ht="15.75" customHeight="1">
      <c r="A6736" s="1" t="s">
        <v>19792</v>
      </c>
      <c r="B6736" s="1">
        <v>7.0</v>
      </c>
      <c r="C6736" s="1" t="s">
        <v>19793</v>
      </c>
      <c r="E6736" s="1" t="s">
        <v>19794</v>
      </c>
      <c r="F6736" s="1" t="str">
        <f>IFERROR(__xludf.DUMMYFUNCTION("GOOGLETRANSLATE(A6736, ""zh-CN"", ""ko"")"),"터무니없는")</f>
        <v>터무니없는</v>
      </c>
    </row>
    <row r="6737" ht="15.75" customHeight="1">
      <c r="A6737" s="1" t="s">
        <v>19795</v>
      </c>
      <c r="B6737" s="1">
        <v>7.0</v>
      </c>
      <c r="C6737" s="1" t="s">
        <v>19796</v>
      </c>
      <c r="D6737" s="1" t="s">
        <v>52</v>
      </c>
      <c r="E6737" s="1" t="s">
        <v>19797</v>
      </c>
      <c r="F6737" s="1" t="str">
        <f>IFERROR(__xludf.DUMMYFUNCTION("GOOGLETRANSLATE(A6737, ""zh-CN"", ""ko"")"),"기괴한")</f>
        <v>기괴한</v>
      </c>
    </row>
    <row r="6738" ht="15.75" customHeight="1">
      <c r="A6738" s="1" t="s">
        <v>19798</v>
      </c>
      <c r="B6738" s="1">
        <v>7.0</v>
      </c>
      <c r="C6738" s="1" t="s">
        <v>19799</v>
      </c>
      <c r="D6738" s="1" t="s">
        <v>16</v>
      </c>
      <c r="E6738" s="1" t="s">
        <v>19800</v>
      </c>
      <c r="F6738" s="1" t="str">
        <f>IFERROR(__xludf.DUMMYFUNCTION("GOOGLETRANSLATE(A6738, ""zh-CN"", ""ko"")"),"정장")</f>
        <v>정장</v>
      </c>
    </row>
    <row r="6739" ht="15.75" customHeight="1">
      <c r="A6739" s="1" t="s">
        <v>19801</v>
      </c>
      <c r="B6739" s="1">
        <v>7.0</v>
      </c>
      <c r="C6739" s="1" t="s">
        <v>19802</v>
      </c>
      <c r="D6739" s="1" t="s">
        <v>8</v>
      </c>
      <c r="E6739" s="1" t="s">
        <v>19803</v>
      </c>
      <c r="F6739" s="1" t="str">
        <f>IFERROR(__xludf.DUMMYFUNCTION("GOOGLETRANSLATE(A6739, ""zh-CN"", ""ko"")"),"주의 깊게 보세요")</f>
        <v>주의 깊게 보세요</v>
      </c>
    </row>
    <row r="6740" ht="15.75" customHeight="1">
      <c r="A6740" s="1" t="s">
        <v>19804</v>
      </c>
      <c r="B6740" s="1">
        <v>7.0</v>
      </c>
      <c r="C6740" s="1" t="s">
        <v>19805</v>
      </c>
      <c r="D6740" s="1" t="s">
        <v>16</v>
      </c>
      <c r="E6740" s="1" t="s">
        <v>19806</v>
      </c>
      <c r="F6740" s="1" t="str">
        <f>IFERROR(__xludf.DUMMYFUNCTION("GOOGLETRANSLATE(A6740, ""zh-CN"", ""ko"")"),"선물")</f>
        <v>선물</v>
      </c>
    </row>
    <row r="6741" ht="15.75" customHeight="1">
      <c r="A6741" s="1" t="s">
        <v>19807</v>
      </c>
      <c r="B6741" s="1">
        <v>7.0</v>
      </c>
      <c r="C6741" s="1" t="s">
        <v>19808</v>
      </c>
      <c r="D6741" s="1" t="s">
        <v>14917</v>
      </c>
      <c r="E6741" s="1" t="s">
        <v>19809</v>
      </c>
      <c r="F6741" s="1" t="str">
        <f>IFERROR(__xludf.DUMMYFUNCTION("GOOGLETRANSLATE(A6741, ""zh-CN"", ""ko"")"),"감독")</f>
        <v>감독</v>
      </c>
    </row>
    <row r="6742" ht="15.75" customHeight="1">
      <c r="A6742" s="1" t="s">
        <v>19810</v>
      </c>
      <c r="B6742" s="1">
        <v>7.0</v>
      </c>
      <c r="C6742" s="1" t="s">
        <v>19811</v>
      </c>
      <c r="D6742" s="1" t="s">
        <v>16</v>
      </c>
      <c r="E6742" s="1" t="s">
        <v>19812</v>
      </c>
      <c r="F6742" s="1" t="str">
        <f>IFERROR(__xludf.DUMMYFUNCTION("GOOGLETRANSLATE(A6742, ""zh-CN"", ""ko"")"),"홀")</f>
        <v>홀</v>
      </c>
    </row>
    <row r="6743" ht="15.75" customHeight="1">
      <c r="A6743" s="1" t="s">
        <v>19813</v>
      </c>
      <c r="B6743" s="1">
        <v>7.0</v>
      </c>
      <c r="C6743" s="1" t="s">
        <v>19814</v>
      </c>
      <c r="D6743" s="1" t="s">
        <v>16</v>
      </c>
      <c r="E6743" s="1" t="s">
        <v>19815</v>
      </c>
      <c r="F6743" s="1" t="str">
        <f>IFERROR(__xludf.DUMMYFUNCTION("GOOGLETRANSLATE(A6743, ""zh-CN"", ""ko"")"),"에티켓")</f>
        <v>에티켓</v>
      </c>
    </row>
    <row r="6744" ht="15.75" customHeight="1">
      <c r="A6744" s="1" t="s">
        <v>19816</v>
      </c>
      <c r="B6744" s="1">
        <v>7.0</v>
      </c>
      <c r="C6744" s="1" t="s">
        <v>19817</v>
      </c>
      <c r="D6744" s="1" t="s">
        <v>16</v>
      </c>
      <c r="E6744" s="1" t="s">
        <v>19818</v>
      </c>
      <c r="F6744" s="1" t="str">
        <f>IFERROR(__xludf.DUMMYFUNCTION("GOOGLETRANSLATE(A6744, ""zh-CN"", ""ko"")"),"잉어")</f>
        <v>잉어</v>
      </c>
    </row>
    <row r="6745" ht="15.75" customHeight="1">
      <c r="A6745" s="1" t="s">
        <v>19819</v>
      </c>
      <c r="B6745" s="1">
        <v>7.0</v>
      </c>
      <c r="C6745" s="1" t="s">
        <v>19820</v>
      </c>
      <c r="D6745" s="1" t="s">
        <v>8</v>
      </c>
      <c r="E6745" s="1" t="s">
        <v>19821</v>
      </c>
      <c r="F6745" s="1" t="str">
        <f>IFERROR(__xludf.DUMMYFUNCTION("GOOGLETRANSLATE(A6745, ""zh-CN"", ""ko"")"),"소송 제기됨")</f>
        <v>소송 제기됨</v>
      </c>
    </row>
    <row r="6746" ht="15.75" customHeight="1">
      <c r="A6746" s="1" t="s">
        <v>19822</v>
      </c>
      <c r="B6746" s="1">
        <v>7.0</v>
      </c>
      <c r="C6746" s="1" t="s">
        <v>19823</v>
      </c>
      <c r="D6746" s="1" t="s">
        <v>16</v>
      </c>
      <c r="E6746" s="1" t="s">
        <v>19824</v>
      </c>
      <c r="F6746" s="1" t="str">
        <f>IFERROR(__xludf.DUMMYFUNCTION("GOOGLETRANSLATE(A6746, ""zh-CN"", ""ko"")"),"장점과 단점")</f>
        <v>장점과 단점</v>
      </c>
    </row>
    <row r="6747" ht="15.75" customHeight="1">
      <c r="A6747" s="1" t="s">
        <v>19825</v>
      </c>
      <c r="B6747" s="1">
        <v>7.0</v>
      </c>
      <c r="C6747" s="1" t="s">
        <v>19826</v>
      </c>
      <c r="E6747" s="1" t="s">
        <v>19827</v>
      </c>
      <c r="F6747" s="1" t="str">
        <f>IFERROR(__xludf.DUMMYFUNCTION("GOOGLETRANSLATE(A6747, ""zh-CN"", ""ko"")"),"무력감을 느끼다")</f>
        <v>무력감을 느끼다</v>
      </c>
    </row>
    <row r="6748" ht="15.75" customHeight="1">
      <c r="A6748" s="1" t="s">
        <v>19828</v>
      </c>
      <c r="B6748" s="1">
        <v>7.0</v>
      </c>
      <c r="C6748" s="1" t="s">
        <v>19829</v>
      </c>
      <c r="D6748" s="1" t="s">
        <v>16</v>
      </c>
      <c r="E6748" s="1" t="s">
        <v>19830</v>
      </c>
      <c r="F6748" s="1" t="str">
        <f>IFERROR(__xludf.DUMMYFUNCTION("GOOGLETRANSLATE(A6748, ""zh-CN"", ""ko"")"),"강의")</f>
        <v>강의</v>
      </c>
    </row>
    <row r="6749" ht="15.75" customHeight="1">
      <c r="A6749" s="1" t="s">
        <v>19831</v>
      </c>
      <c r="B6749" s="1">
        <v>7.0</v>
      </c>
      <c r="C6749" s="1" t="s">
        <v>19832</v>
      </c>
      <c r="D6749" s="1" t="s">
        <v>8</v>
      </c>
      <c r="E6749" s="1" t="s">
        <v>19833</v>
      </c>
      <c r="F6749" s="1" t="str">
        <f>IFERROR(__xludf.DUMMYFUNCTION("GOOGLETRANSLATE(A6749, ""zh-CN"", ""ko"")"),"법률 제정")</f>
        <v>법률 제정</v>
      </c>
    </row>
    <row r="6750" ht="15.75" customHeight="1">
      <c r="A6750" s="1" t="s">
        <v>19834</v>
      </c>
      <c r="B6750" s="1">
        <v>7.0</v>
      </c>
      <c r="C6750" s="1" t="s">
        <v>19835</v>
      </c>
      <c r="D6750" s="1" t="s">
        <v>26</v>
      </c>
      <c r="E6750" s="1" t="s">
        <v>19836</v>
      </c>
      <c r="F6750" s="1" t="str">
        <f>IFERROR(__xludf.DUMMYFUNCTION("GOOGLETRANSLATE(A6750, ""zh-CN"", ""ko"")"),"세제곱미터")</f>
        <v>세제곱미터</v>
      </c>
    </row>
    <row r="6751" ht="15.75" customHeight="1">
      <c r="A6751" s="1" t="s">
        <v>19837</v>
      </c>
      <c r="B6751" s="1">
        <v>7.0</v>
      </c>
      <c r="C6751" s="1" t="s">
        <v>19838</v>
      </c>
      <c r="D6751" s="1" t="s">
        <v>8</v>
      </c>
      <c r="E6751" s="1" t="s">
        <v>19839</v>
      </c>
      <c r="F6751" s="1" t="str">
        <f>IFERROR(__xludf.DUMMYFUNCTION("GOOGLETRANSLATE(A6751, ""zh-CN"", ""ko"")"),"공로상")</f>
        <v>공로상</v>
      </c>
    </row>
    <row r="6752" ht="15.75" customHeight="1">
      <c r="A6752" s="1" t="s">
        <v>19840</v>
      </c>
      <c r="B6752" s="1">
        <v>7.0</v>
      </c>
      <c r="C6752" s="1" t="s">
        <v>19841</v>
      </c>
      <c r="D6752" s="1" t="s">
        <v>52</v>
      </c>
      <c r="E6752" s="1" t="s">
        <v>19842</v>
      </c>
      <c r="F6752" s="1" t="str">
        <f>IFERROR(__xludf.DUMMYFUNCTION("GOOGLETRANSLATE(A6752, ""zh-CN"", ""ko"")"),"이전 세션")</f>
        <v>이전 세션</v>
      </c>
    </row>
    <row r="6753" ht="15.75" customHeight="1">
      <c r="A6753" s="1" t="s">
        <v>19843</v>
      </c>
      <c r="B6753" s="1">
        <v>7.0</v>
      </c>
      <c r="C6753" s="1" t="s">
        <v>19844</v>
      </c>
      <c r="D6753" s="1" t="s">
        <v>8</v>
      </c>
      <c r="E6753" s="1" t="s">
        <v>19845</v>
      </c>
      <c r="F6753" s="1" t="str">
        <f>IFERROR(__xludf.DUMMYFUNCTION("GOOGLETRANSLATE(A6753, ""zh-CN"", ""ko"")"),"당신의 존재")</f>
        <v>당신의 존재</v>
      </c>
    </row>
    <row r="6754" ht="15.75" customHeight="1">
      <c r="A6754" s="1" t="s">
        <v>19846</v>
      </c>
      <c r="B6754" s="1">
        <v>7.0</v>
      </c>
      <c r="C6754" s="1" t="s">
        <v>19847</v>
      </c>
      <c r="D6754" s="1" t="s">
        <v>16</v>
      </c>
      <c r="E6754" s="1" t="s">
        <v>19848</v>
      </c>
      <c r="F6754" s="1" t="str">
        <f>IFERROR(__xludf.DUMMYFUNCTION("GOOGLETRANSLATE(A6754, ""zh-CN"", ""ko"")"),"이자율")</f>
        <v>이자율</v>
      </c>
    </row>
    <row r="6755" ht="15.75" customHeight="1">
      <c r="A6755" s="1" t="s">
        <v>19849</v>
      </c>
      <c r="B6755" s="1">
        <v>7.0</v>
      </c>
      <c r="C6755" s="1" t="s">
        <v>19850</v>
      </c>
      <c r="D6755" s="1" t="s">
        <v>14735</v>
      </c>
      <c r="E6755" s="1" t="s">
        <v>19851</v>
      </c>
      <c r="F6755" s="1" t="str">
        <f>IFERROR(__xludf.DUMMYFUNCTION("GOOGLETRANSLATE(A6755, ""zh-CN"", ""ko"")"),"지속")</f>
        <v>지속</v>
      </c>
    </row>
    <row r="6756" ht="15.75" customHeight="1">
      <c r="A6756" s="1" t="s">
        <v>19852</v>
      </c>
      <c r="B6756" s="1">
        <v>7.0</v>
      </c>
      <c r="C6756" s="1" t="s">
        <v>19853</v>
      </c>
      <c r="D6756" s="1" t="s">
        <v>52</v>
      </c>
      <c r="E6756" s="1" t="s">
        <v>19854</v>
      </c>
      <c r="F6756" s="1" t="str">
        <f>IFERROR(__xludf.DUMMYFUNCTION("GOOGLETRANSLATE(A6756, ""zh-CN"", ""ko"")"),"정돈된")</f>
        <v>정돈된</v>
      </c>
    </row>
    <row r="6757" ht="15.75" customHeight="1">
      <c r="A6757" s="1" t="s">
        <v>19855</v>
      </c>
      <c r="B6757" s="1">
        <v>7.0</v>
      </c>
      <c r="C6757" s="1" t="s">
        <v>19856</v>
      </c>
      <c r="D6757" s="1" t="s">
        <v>8</v>
      </c>
      <c r="E6757" s="1" t="s">
        <v>19857</v>
      </c>
      <c r="F6757" s="1" t="str">
        <f>IFERROR(__xludf.DUMMYFUNCTION("GOOGLETRANSLATE(A6757, ""zh-CN"", ""ko"")"),"영감을 주는")</f>
        <v>영감을 주는</v>
      </c>
    </row>
    <row r="6758" ht="15.75" customHeight="1">
      <c r="A6758" s="1" t="s">
        <v>19858</v>
      </c>
      <c r="B6758" s="1">
        <v>7.0</v>
      </c>
      <c r="C6758" s="1" t="s">
        <v>19859</v>
      </c>
      <c r="D6758" s="1" t="s">
        <v>8</v>
      </c>
      <c r="E6758" s="1" t="s">
        <v>1269</v>
      </c>
      <c r="F6758" s="1" t="str">
        <f>IFERROR(__xludf.DUMMYFUNCTION("GOOGLETRANSLATE(A6758, ""zh-CN"", ""ko"")"),"일관성 있는")</f>
        <v>일관성 있는</v>
      </c>
    </row>
    <row r="6759" ht="15.75" customHeight="1">
      <c r="A6759" s="1" t="s">
        <v>19860</v>
      </c>
      <c r="B6759" s="1">
        <v>7.0</v>
      </c>
      <c r="C6759" s="1" t="s">
        <v>19861</v>
      </c>
      <c r="D6759" s="1" t="s">
        <v>52</v>
      </c>
      <c r="E6759" s="1" t="s">
        <v>19862</v>
      </c>
      <c r="F6759" s="1" t="str">
        <f>IFERROR(__xludf.DUMMYFUNCTION("GOOGLETRANSLATE(A6759, ""zh-CN"", ""ko"")"),"값이 싼")</f>
        <v>값이 싼</v>
      </c>
    </row>
    <row r="6760" ht="15.75" customHeight="1">
      <c r="A6760" s="1" t="s">
        <v>19863</v>
      </c>
      <c r="B6760" s="1">
        <v>7.0</v>
      </c>
      <c r="C6760" s="1" t="s">
        <v>19864</v>
      </c>
      <c r="D6760" s="1" t="s">
        <v>33</v>
      </c>
      <c r="E6760" s="1" t="s">
        <v>19865</v>
      </c>
      <c r="F6760" s="1" t="str">
        <f>IFERROR(__xludf.DUMMYFUNCTION("GOOGLETRANSLATE(A6760, ""zh-CN"", ""ko"")"),"연")</f>
        <v>연</v>
      </c>
    </row>
    <row r="6761" ht="15.75" customHeight="1">
      <c r="A6761" s="1" t="s">
        <v>19866</v>
      </c>
      <c r="B6761" s="1">
        <v>7.0</v>
      </c>
      <c r="C6761" s="1" t="s">
        <v>19867</v>
      </c>
      <c r="D6761" s="1" t="s">
        <v>8</v>
      </c>
      <c r="E6761" s="1" t="s">
        <v>19868</v>
      </c>
      <c r="F6761" s="1" t="str">
        <f>IFERROR(__xludf.DUMMYFUNCTION("GOOGLETRANSLATE(A6761, ""zh-CN"", ""ko"")"),"마디 없는")</f>
        <v>마디 없는</v>
      </c>
    </row>
    <row r="6762" ht="15.75" customHeight="1">
      <c r="A6762" s="1" t="s">
        <v>19869</v>
      </c>
      <c r="B6762" s="1">
        <v>7.0</v>
      </c>
      <c r="C6762" s="1" t="s">
        <v>19870</v>
      </c>
      <c r="D6762" s="1" t="s">
        <v>8</v>
      </c>
      <c r="E6762" s="1" t="s">
        <v>19871</v>
      </c>
      <c r="F6762" s="1" t="str">
        <f>IFERROR(__xludf.DUMMYFUNCTION("GOOGLETRANSLATE(A6762, ""zh-CN"", ""ko"")"),"재선")</f>
        <v>재선</v>
      </c>
    </row>
    <row r="6763" ht="15.75" customHeight="1">
      <c r="A6763" s="1" t="s">
        <v>19872</v>
      </c>
      <c r="B6763" s="1">
        <v>7.0</v>
      </c>
      <c r="C6763" s="1" t="s">
        <v>19873</v>
      </c>
      <c r="D6763" s="1" t="s">
        <v>16</v>
      </c>
      <c r="E6763" s="1" t="s">
        <v>19874</v>
      </c>
      <c r="F6763" s="1" t="str">
        <f>IFERROR(__xludf.DUMMYFUNCTION("GOOGLETRANSLATE(A6763, ""zh-CN"", ""ko"")"),"리그")</f>
        <v>리그</v>
      </c>
    </row>
    <row r="6764" ht="15.75" customHeight="1">
      <c r="A6764" s="1" t="s">
        <v>19875</v>
      </c>
      <c r="B6764" s="1">
        <v>7.0</v>
      </c>
      <c r="C6764" s="1" t="s">
        <v>19876</v>
      </c>
      <c r="D6764" s="1" t="s">
        <v>8</v>
      </c>
      <c r="E6764" s="1" t="s">
        <v>19877</v>
      </c>
      <c r="F6764" s="1" t="str">
        <f>IFERROR(__xludf.DUMMYFUNCTION("GOOGLETRANSLATE(A6764, ""zh-CN"", ""ko"")"),"힘을 합치세요")</f>
        <v>힘을 합치세요</v>
      </c>
    </row>
    <row r="6765" ht="15.75" customHeight="1">
      <c r="A6765" s="1" t="s">
        <v>19878</v>
      </c>
      <c r="B6765" s="1">
        <v>7.0</v>
      </c>
      <c r="C6765" s="1" t="s">
        <v>19879</v>
      </c>
      <c r="D6765" s="1" t="s">
        <v>8</v>
      </c>
      <c r="E6765" s="1" t="s">
        <v>19880</v>
      </c>
      <c r="F6765" s="1" t="str">
        <f>IFERROR(__xludf.DUMMYFUNCTION("GOOGLETRANSLATE(A6765, ""zh-CN"", ""ko"")"),"연민")</f>
        <v>연민</v>
      </c>
    </row>
    <row r="6766" ht="15.75" customHeight="1">
      <c r="A6766" s="1" t="s">
        <v>19881</v>
      </c>
      <c r="B6766" s="1">
        <v>7.0</v>
      </c>
      <c r="C6766" s="1" t="s">
        <v>19882</v>
      </c>
      <c r="D6766" s="1" t="s">
        <v>33</v>
      </c>
      <c r="E6766" s="1" t="s">
        <v>19883</v>
      </c>
      <c r="F6766" s="1" t="str">
        <f>IFERROR(__xludf.DUMMYFUNCTION("GOOGLETRANSLATE(A6766, ""zh-CN"", ""ko"")"),"밤새")</f>
        <v>밤새</v>
      </c>
    </row>
    <row r="6767" ht="15.75" customHeight="1">
      <c r="A6767" s="1" t="s">
        <v>19884</v>
      </c>
      <c r="B6767" s="1">
        <v>7.0</v>
      </c>
      <c r="C6767" s="1" t="s">
        <v>19885</v>
      </c>
      <c r="D6767" s="1" t="s">
        <v>52</v>
      </c>
      <c r="E6767" s="1" t="s">
        <v>19886</v>
      </c>
      <c r="F6767" s="1" t="str">
        <f>IFERROR(__xludf.DUMMYFUNCTION("GOOGLETRANSLATE(A6767, ""zh-CN"", ""ko"")"),"진실성")</f>
        <v>진실성</v>
      </c>
    </row>
    <row r="6768" ht="15.75" customHeight="1">
      <c r="A6768" s="1" t="s">
        <v>19887</v>
      </c>
      <c r="B6768" s="1">
        <v>7.0</v>
      </c>
      <c r="C6768" s="1" t="s">
        <v>19888</v>
      </c>
      <c r="D6768" s="1" t="s">
        <v>16</v>
      </c>
      <c r="E6768" s="1" t="s">
        <v>19889</v>
      </c>
      <c r="F6768" s="1" t="str">
        <f>IFERROR(__xludf.DUMMYFUNCTION("GOOGLETRANSLATE(A6768, ""zh-CN"", ""ko"")"),"연꽃씨")</f>
        <v>연꽃씨</v>
      </c>
    </row>
    <row r="6769" ht="15.75" customHeight="1">
      <c r="A6769" s="1" t="s">
        <v>19890</v>
      </c>
      <c r="B6769" s="1">
        <v>7.0</v>
      </c>
      <c r="C6769" s="1" t="s">
        <v>19891</v>
      </c>
      <c r="D6769" s="1" t="s">
        <v>16</v>
      </c>
      <c r="E6769" s="1" t="s">
        <v>19892</v>
      </c>
      <c r="F6769" s="1" t="str">
        <f>IFERROR(__xludf.DUMMYFUNCTION("GOOGLETRANSLATE(A6769, ""zh-CN"", ""ko"")"),"커튼")</f>
        <v>커튼</v>
      </c>
    </row>
    <row r="6770" ht="15.75" customHeight="1">
      <c r="A6770" s="1" t="s">
        <v>19893</v>
      </c>
      <c r="B6770" s="1">
        <v>7.0</v>
      </c>
      <c r="C6770" s="1" t="s">
        <v>19894</v>
      </c>
      <c r="D6770" s="1" t="s">
        <v>16</v>
      </c>
      <c r="E6770" s="1" t="s">
        <v>19895</v>
      </c>
      <c r="F6770" s="1" t="str">
        <f>IFERROR(__xludf.DUMMYFUNCTION("GOOGLETRANSLATE(A6770, ""zh-CN"", ""ko"")"),"볼")</f>
        <v>볼</v>
      </c>
    </row>
    <row r="6771" ht="15.75" customHeight="1">
      <c r="A6771" s="1" t="s">
        <v>19896</v>
      </c>
      <c r="B6771" s="1">
        <v>7.0</v>
      </c>
      <c r="C6771" s="1" t="s">
        <v>19897</v>
      </c>
      <c r="D6771" s="1" t="s">
        <v>8</v>
      </c>
      <c r="E6771" s="1" t="s">
        <v>19898</v>
      </c>
      <c r="F6771" s="1" t="str">
        <f>IFERROR(__xludf.DUMMYFUNCTION("GOOGLETRANSLATE(A6771, ""zh-CN"", ""ko"")"),"정제")</f>
        <v>정제</v>
      </c>
    </row>
    <row r="6772" ht="15.75" customHeight="1">
      <c r="A6772" s="1" t="s">
        <v>19899</v>
      </c>
      <c r="B6772" s="1">
        <v>7.0</v>
      </c>
      <c r="C6772" s="1" t="s">
        <v>19900</v>
      </c>
      <c r="E6772" s="1" t="s">
        <v>19901</v>
      </c>
      <c r="F6772" s="1" t="str">
        <f>IFERROR(__xludf.DUMMYFUNCTION("GOOGLETRANSLATE(A6772, ""zh-CN"", ""ko"")"),"헤어지기 싫어")</f>
        <v>헤어지기 싫어</v>
      </c>
    </row>
    <row r="6773" ht="15.75" customHeight="1">
      <c r="A6773" s="1" t="s">
        <v>19902</v>
      </c>
      <c r="B6773" s="1">
        <v>7.0</v>
      </c>
      <c r="C6773" s="1" t="s">
        <v>19903</v>
      </c>
      <c r="D6773" s="1" t="s">
        <v>52</v>
      </c>
      <c r="E6773" s="1" t="s">
        <v>19904</v>
      </c>
      <c r="F6773" s="1" t="str">
        <f>IFERROR(__xludf.DUMMYFUNCTION("GOOGLETRANSLATE(A6773, ""zh-CN"", ""ko"")"),"좋은")</f>
        <v>좋은</v>
      </c>
    </row>
    <row r="6774" ht="15.75" customHeight="1">
      <c r="A6774" s="1" t="s">
        <v>19905</v>
      </c>
      <c r="B6774" s="1">
        <v>7.0</v>
      </c>
      <c r="C6774" s="1" t="s">
        <v>19906</v>
      </c>
      <c r="D6774" s="1" t="s">
        <v>52</v>
      </c>
      <c r="E6774" s="1" t="s">
        <v>19907</v>
      </c>
      <c r="F6774" s="1" t="str">
        <f>IFERROR(__xludf.DUMMYFUNCTION("GOOGLETRANSLATE(A6774, ""zh-CN"", ""ko"")"),"시원한")</f>
        <v>시원한</v>
      </c>
    </row>
    <row r="6775" ht="15.75" customHeight="1">
      <c r="A6775" s="1" t="s">
        <v>19908</v>
      </c>
      <c r="B6775" s="1">
        <v>7.0</v>
      </c>
      <c r="C6775" s="1" t="s">
        <v>19909</v>
      </c>
      <c r="D6775" s="1" t="s">
        <v>52</v>
      </c>
      <c r="E6775" s="1" t="s">
        <v>19910</v>
      </c>
      <c r="F6775" s="1" t="str">
        <f>IFERROR(__xludf.DUMMYFUNCTION("GOOGLETRANSLATE(A6775, ""zh-CN"", ""ko"")"),"온화한")</f>
        <v>온화한</v>
      </c>
    </row>
    <row r="6776" ht="15.75" customHeight="1">
      <c r="A6776" s="1" t="s">
        <v>19911</v>
      </c>
      <c r="B6776" s="1">
        <v>7.0</v>
      </c>
      <c r="C6776" s="1" t="s">
        <v>19912</v>
      </c>
      <c r="D6776" s="1" t="s">
        <v>16</v>
      </c>
      <c r="E6776" s="1" t="s">
        <v>19913</v>
      </c>
      <c r="F6776" s="1" t="str">
        <f>IFERROR(__xludf.DUMMYFUNCTION("GOOGLETRANSLATE(A6776, ""zh-CN"", ""ko"")"),"커플")</f>
        <v>커플</v>
      </c>
    </row>
    <row r="6777" ht="15.75" customHeight="1">
      <c r="A6777" s="1" t="s">
        <v>19914</v>
      </c>
      <c r="B6777" s="1">
        <v>7.0</v>
      </c>
      <c r="C6777" s="1" t="s">
        <v>19915</v>
      </c>
      <c r="D6777" s="1" t="s">
        <v>8</v>
      </c>
      <c r="E6777" s="1" t="s">
        <v>19916</v>
      </c>
      <c r="F6777" s="1" t="str">
        <f>IFERROR(__xludf.DUMMYFUNCTION("GOOGLETRANSLATE(A6777, ""zh-CN"", ""ko"")"),"수륙양용")</f>
        <v>수륙양용</v>
      </c>
    </row>
    <row r="6778" ht="15.75" customHeight="1">
      <c r="A6778" s="1" t="s">
        <v>19917</v>
      </c>
      <c r="B6778" s="1">
        <v>7.0</v>
      </c>
      <c r="C6778" s="1" t="s">
        <v>19918</v>
      </c>
      <c r="D6778" s="1" t="s">
        <v>16</v>
      </c>
      <c r="E6778" s="1" t="s">
        <v>19919</v>
      </c>
      <c r="F6778" s="1" t="str">
        <f>IFERROR(__xludf.DUMMYFUNCTION("GOOGLETRANSLATE(A6778, ""zh-CN"", ""ko"")"),"양손")</f>
        <v>양손</v>
      </c>
    </row>
    <row r="6779" ht="15.75" customHeight="1">
      <c r="A6779" s="1" t="s">
        <v>19920</v>
      </c>
      <c r="B6779" s="1">
        <v>7.0</v>
      </c>
      <c r="C6779" s="1" t="s">
        <v>19921</v>
      </c>
      <c r="D6779" s="1" t="s">
        <v>19922</v>
      </c>
      <c r="E6779" s="1" t="s">
        <v>19923</v>
      </c>
      <c r="F6779" s="1" t="str">
        <f>IFERROR(__xludf.DUMMYFUNCTION("GOOGLETRANSLATE(A6779, ""zh-CN"", ""ko"")"),"두 동작")</f>
        <v>두 동작</v>
      </c>
    </row>
    <row r="6780" ht="15.75" customHeight="1">
      <c r="A6780" s="1" t="s">
        <v>19924</v>
      </c>
      <c r="B6780" s="1">
        <v>7.0</v>
      </c>
      <c r="C6780" s="1" t="s">
        <v>19925</v>
      </c>
      <c r="D6780" s="1" t="s">
        <v>16</v>
      </c>
      <c r="E6780" s="1" t="s">
        <v>19926</v>
      </c>
      <c r="F6780" s="1" t="str">
        <f>IFERROR(__xludf.DUMMYFUNCTION("GOOGLETRANSLATE(A6780, ""zh-CN"", ""ko"")"),"날개")</f>
        <v>날개</v>
      </c>
    </row>
    <row r="6781" ht="15.75" customHeight="1">
      <c r="A6781" s="1" t="s">
        <v>19927</v>
      </c>
      <c r="B6781" s="1">
        <v>7.0</v>
      </c>
      <c r="C6781" s="1" t="s">
        <v>19928</v>
      </c>
      <c r="D6781" s="1" t="s">
        <v>16</v>
      </c>
      <c r="E6781" s="1" t="s">
        <v>19929</v>
      </c>
      <c r="F6781" s="1" t="str">
        <f>IFERROR(__xludf.DUMMYFUNCTION("GOOGLETRANSLATE(A6781, ""zh-CN"", ""ko"")"),"하이라이트")</f>
        <v>하이라이트</v>
      </c>
    </row>
    <row r="6782" ht="15.75" customHeight="1">
      <c r="A6782" s="1" t="s">
        <v>19930</v>
      </c>
      <c r="B6782" s="1">
        <v>7.0</v>
      </c>
      <c r="C6782" s="1" t="s">
        <v>19931</v>
      </c>
      <c r="D6782" s="1" t="s">
        <v>8</v>
      </c>
      <c r="E6782" s="1" t="s">
        <v>19932</v>
      </c>
      <c r="F6782" s="1" t="str">
        <f>IFERROR(__xludf.DUMMYFUNCTION("GOOGLETRANSLATE(A6782, ""zh-CN"", ""ko"")"),"부량")</f>
        <v>부량</v>
      </c>
    </row>
    <row r="6783" ht="15.75" customHeight="1">
      <c r="A6783" s="1" t="s">
        <v>19933</v>
      </c>
      <c r="B6783" s="1">
        <v>7.0</v>
      </c>
      <c r="C6783" s="1" t="s">
        <v>19934</v>
      </c>
      <c r="D6783" s="1" t="s">
        <v>52</v>
      </c>
      <c r="E6783" s="1" t="s">
        <v>19935</v>
      </c>
      <c r="F6783" s="1" t="str">
        <f>IFERROR(__xludf.DUMMYFUNCTION("GOOGLETRANSLATE(A6783, ""zh-CN"", ""ko"")"),"밝은")</f>
        <v>밝은</v>
      </c>
    </row>
    <row r="6784" ht="15.75" customHeight="1">
      <c r="A6784" s="1" t="s">
        <v>19936</v>
      </c>
      <c r="B6784" s="1">
        <v>7.0</v>
      </c>
      <c r="C6784" s="1" t="s">
        <v>19937</v>
      </c>
      <c r="D6784" s="1" t="s">
        <v>8</v>
      </c>
      <c r="E6784" s="1" t="s">
        <v>19938</v>
      </c>
      <c r="F6784" s="1" t="str">
        <f>IFERROR(__xludf.DUMMYFUNCTION("GOOGLETRANSLATE(A6784, ""zh-CN"", ""ko"")"),"모습")</f>
        <v>모습</v>
      </c>
    </row>
    <row r="6785" ht="15.75" customHeight="1">
      <c r="A6785" s="1" t="s">
        <v>19939</v>
      </c>
      <c r="B6785" s="1">
        <v>7.0</v>
      </c>
      <c r="C6785" s="1" t="s">
        <v>19940</v>
      </c>
      <c r="D6785" s="1" t="s">
        <v>52</v>
      </c>
      <c r="E6785" s="1" t="s">
        <v>19941</v>
      </c>
      <c r="F6785" s="1" t="str">
        <f>IFERROR(__xludf.DUMMYFUNCTION("GOOGLETRANSLATE(A6785, ""zh-CN"", ""ko"")"),"묽고 싱거운")</f>
        <v>묽고 싱거운</v>
      </c>
    </row>
    <row r="6786" ht="15.75" customHeight="1">
      <c r="A6786" s="1" t="s">
        <v>19942</v>
      </c>
      <c r="B6786" s="1">
        <v>7.0</v>
      </c>
      <c r="C6786" s="1" t="s">
        <v>19943</v>
      </c>
      <c r="D6786" s="1" t="s">
        <v>16</v>
      </c>
      <c r="E6786" s="1" t="s">
        <v>19944</v>
      </c>
      <c r="F6786" s="1" t="str">
        <f>IFERROR(__xludf.DUMMYFUNCTION("GOOGLETRANSLATE(A6786, ""zh-CN"", ""ko"")"),"요법")</f>
        <v>요법</v>
      </c>
    </row>
    <row r="6787" ht="15.75" customHeight="1">
      <c r="A6787" s="1" t="s">
        <v>19945</v>
      </c>
      <c r="B6787" s="1">
        <v>7.0</v>
      </c>
      <c r="C6787" s="1" t="s">
        <v>19946</v>
      </c>
      <c r="E6787" s="1" t="s">
        <v>19947</v>
      </c>
      <c r="F6787" s="1" t="str">
        <f>IFERROR(__xludf.DUMMYFUNCTION("GOOGLETRANSLATE(A6787, ""zh-CN"", ""ko"")"),"극히 소수")</f>
        <v>극히 소수</v>
      </c>
    </row>
    <row r="6788" ht="15.75" customHeight="1">
      <c r="A6788" s="1" t="s">
        <v>19948</v>
      </c>
      <c r="B6788" s="1">
        <v>7.0</v>
      </c>
      <c r="C6788" s="1" t="s">
        <v>19949</v>
      </c>
      <c r="D6788" s="1" t="s">
        <v>16</v>
      </c>
      <c r="E6788" s="1" t="s">
        <v>19950</v>
      </c>
      <c r="F6788" s="1" t="str">
        <f>IFERROR(__xludf.DUMMYFUNCTION("GOOGLETRANSLATE(A6788, ""zh-CN"", ""ko"")"),"치료 효과")</f>
        <v>치료 효과</v>
      </c>
    </row>
    <row r="6789" ht="15.75" customHeight="1">
      <c r="A6789" s="1" t="s">
        <v>19951</v>
      </c>
      <c r="B6789" s="1">
        <v>7.0</v>
      </c>
      <c r="C6789" s="1" t="s">
        <v>19952</v>
      </c>
      <c r="D6789" s="1" t="s">
        <v>8</v>
      </c>
      <c r="E6789" s="1" t="s">
        <v>19953</v>
      </c>
      <c r="F6789" s="1" t="str">
        <f>IFERROR(__xludf.DUMMYFUNCTION("GOOGLETRANSLATE(A6789, ""zh-CN"", ""ko"")"),"회복")</f>
        <v>회복</v>
      </c>
    </row>
    <row r="6790" ht="15.75" customHeight="1">
      <c r="A6790" s="1" t="s">
        <v>19954</v>
      </c>
      <c r="B6790" s="1">
        <v>7.0</v>
      </c>
      <c r="C6790" s="1" t="s">
        <v>19955</v>
      </c>
      <c r="D6790" s="1" t="s">
        <v>8</v>
      </c>
      <c r="E6790" s="1" t="s">
        <v>16528</v>
      </c>
      <c r="F6790" s="1" t="str">
        <f>IFERROR(__xludf.DUMMYFUNCTION("GOOGLETRANSLATE(A6790, ""zh-CN"", ""ko"")"),"결론")</f>
        <v>결론</v>
      </c>
    </row>
    <row r="6791" ht="15.75" customHeight="1">
      <c r="A6791" s="1" t="s">
        <v>19956</v>
      </c>
      <c r="B6791" s="1">
        <v>7.0</v>
      </c>
      <c r="C6791" s="1" t="s">
        <v>19957</v>
      </c>
      <c r="D6791" s="1" t="s">
        <v>14870</v>
      </c>
      <c r="E6791" s="1" t="s">
        <v>19958</v>
      </c>
      <c r="F6791" s="1" t="str">
        <f>IFERROR(__xludf.DUMMYFUNCTION("GOOGLETRANSLATE(A6791, ""zh-CN"", ""ko"")"),"요리")</f>
        <v>요리</v>
      </c>
    </row>
    <row r="6792" ht="15.75" customHeight="1">
      <c r="A6792" s="1" t="s">
        <v>19959</v>
      </c>
      <c r="B6792" s="1">
        <v>7.0</v>
      </c>
      <c r="C6792" s="1" t="s">
        <v>19960</v>
      </c>
      <c r="D6792" s="1" t="s">
        <v>14992</v>
      </c>
      <c r="E6792" s="1" t="s">
        <v>19961</v>
      </c>
      <c r="F6792" s="1" t="str">
        <f>IFERROR(__xludf.DUMMYFUNCTION("GOOGLETRANSLATE(A6792, ""zh-CN"", ""ko"")"),"이를 드러내고 웃다")</f>
        <v>이를 드러내고 웃다</v>
      </c>
    </row>
    <row r="6793" ht="15.75" customHeight="1">
      <c r="A6793" s="1" t="s">
        <v>19962</v>
      </c>
      <c r="B6793" s="1">
        <v>7.0</v>
      </c>
      <c r="C6793" s="1" t="s">
        <v>19963</v>
      </c>
      <c r="D6793" s="1" t="s">
        <v>8</v>
      </c>
      <c r="E6793" s="1" t="s">
        <v>19964</v>
      </c>
      <c r="F6793" s="1" t="str">
        <f>IFERROR(__xludf.DUMMYFUNCTION("GOOGLETRANSLATE(A6793, ""zh-CN"", ""ko"")"),"금이 가다")</f>
        <v>금이 가다</v>
      </c>
    </row>
    <row r="6794" ht="15.75" customHeight="1">
      <c r="A6794" s="1" t="s">
        <v>19965</v>
      </c>
      <c r="B6794" s="1">
        <v>7.0</v>
      </c>
      <c r="C6794" s="1" t="s">
        <v>19966</v>
      </c>
      <c r="D6794" s="1" t="s">
        <v>16</v>
      </c>
      <c r="E6794" s="1" t="s">
        <v>19967</v>
      </c>
      <c r="F6794" s="1" t="str">
        <f>IFERROR(__xludf.DUMMYFUNCTION("GOOGLETRANSLATE(A6794, ""zh-CN"", ""ko"")"),"금이 가다")</f>
        <v>금이 가다</v>
      </c>
    </row>
    <row r="6795" ht="15.75" customHeight="1">
      <c r="A6795" s="1" t="s">
        <v>19968</v>
      </c>
      <c r="B6795" s="1">
        <v>7.0</v>
      </c>
      <c r="C6795" s="1" t="s">
        <v>19969</v>
      </c>
      <c r="D6795" s="1" t="s">
        <v>16</v>
      </c>
      <c r="E6795" s="1" t="s">
        <v>19970</v>
      </c>
      <c r="F6795" s="1" t="str">
        <f>IFERROR(__xludf.DUMMYFUNCTION("GOOGLETRANSLATE(A6795, ""zh-CN"", ""ko"")"),"금이 가다")</f>
        <v>금이 가다</v>
      </c>
    </row>
    <row r="6796" ht="15.75" customHeight="1">
      <c r="A6796" s="1" t="s">
        <v>19971</v>
      </c>
      <c r="B6796" s="1">
        <v>7.0</v>
      </c>
      <c r="C6796" s="1" t="s">
        <v>19972</v>
      </c>
      <c r="D6796" s="1" t="s">
        <v>16</v>
      </c>
      <c r="E6796" s="1" t="s">
        <v>19973</v>
      </c>
      <c r="F6796" s="1" t="str">
        <f>IFERROR(__xludf.DUMMYFUNCTION("GOOGLETRANSLATE(A6796, ""zh-CN"", ""ko"")"),"사냥꾼")</f>
        <v>사냥꾼</v>
      </c>
    </row>
    <row r="6797" ht="15.75" customHeight="1">
      <c r="A6797" s="1" t="s">
        <v>19974</v>
      </c>
      <c r="B6797" s="1">
        <v>7.0</v>
      </c>
      <c r="C6797" s="1" t="s">
        <v>19975</v>
      </c>
      <c r="D6797" s="1" t="s">
        <v>16</v>
      </c>
      <c r="E6797" s="1" t="s">
        <v>19976</v>
      </c>
      <c r="F6797" s="1" t="str">
        <f>IFERROR(__xludf.DUMMYFUNCTION("GOOGLETRANSLATE(A6797, ""zh-CN"", ""ko"")"),"작열하는 태양")</f>
        <v>작열하는 태양</v>
      </c>
    </row>
    <row r="6798" ht="15.75" customHeight="1">
      <c r="A6798" s="1" t="s">
        <v>19977</v>
      </c>
      <c r="B6798" s="1">
        <v>7.0</v>
      </c>
      <c r="C6798" s="1" t="s">
        <v>19978</v>
      </c>
      <c r="D6798" s="1" t="s">
        <v>16</v>
      </c>
      <c r="E6798" s="1" t="s">
        <v>19979</v>
      </c>
      <c r="F6798" s="1" t="str">
        <f>IFERROR(__xludf.DUMMYFUNCTION("GOOGLETRANSLATE(A6798, ""zh-CN"", ""ko"")"),"단점")</f>
        <v>단점</v>
      </c>
    </row>
    <row r="6799" ht="15.75" customHeight="1">
      <c r="A6799" s="1" t="s">
        <v>19980</v>
      </c>
      <c r="B6799" s="1">
        <v>7.0</v>
      </c>
      <c r="C6799" s="1" t="s">
        <v>19978</v>
      </c>
      <c r="D6799" s="1" t="s">
        <v>16</v>
      </c>
      <c r="E6799" s="1" t="s">
        <v>19981</v>
      </c>
      <c r="F6799" s="1" t="str">
        <f>IFERROR(__xludf.DUMMYFUNCTION("GOOGLETRANSLATE(A6799, ""zh-CN"", ""ko"")"),"순교자")</f>
        <v>순교자</v>
      </c>
    </row>
    <row r="6800" ht="15.75" customHeight="1">
      <c r="A6800" s="1" t="s">
        <v>19982</v>
      </c>
      <c r="B6800" s="1">
        <v>7.0</v>
      </c>
      <c r="C6800" s="1" t="s">
        <v>19983</v>
      </c>
      <c r="D6800" s="1" t="s">
        <v>16</v>
      </c>
      <c r="E6800" s="1" t="s">
        <v>19984</v>
      </c>
      <c r="F6800" s="1" t="str">
        <f>IFERROR(__xludf.DUMMYFUNCTION("GOOGLETRANSLATE(A6800, ""zh-CN"", ""ko"")"),"먹이")</f>
        <v>먹이</v>
      </c>
    </row>
    <row r="6801" ht="15.75" customHeight="1">
      <c r="A6801" s="1" t="s">
        <v>19985</v>
      </c>
      <c r="B6801" s="1">
        <v>7.0</v>
      </c>
      <c r="C6801" s="1" t="s">
        <v>19986</v>
      </c>
      <c r="D6801" s="1" t="s">
        <v>52</v>
      </c>
      <c r="E6801" s="1" t="s">
        <v>19987</v>
      </c>
      <c r="F6801" s="1" t="str">
        <f>IFERROR(__xludf.DUMMYFUNCTION("GOOGLETRANSLATE(A6801, ""zh-CN"", ""ko"")"),"밑에 붙이는")</f>
        <v>밑에 붙이는</v>
      </c>
    </row>
    <row r="6802" ht="15.75" customHeight="1">
      <c r="A6802" s="1" t="s">
        <v>19988</v>
      </c>
      <c r="B6802" s="1">
        <v>7.0</v>
      </c>
      <c r="C6802" s="1" t="s">
        <v>19989</v>
      </c>
      <c r="D6802" s="1" t="s">
        <v>8</v>
      </c>
      <c r="E6802" s="1" t="s">
        <v>19990</v>
      </c>
      <c r="F6802" s="1" t="str">
        <f>IFERROR(__xludf.DUMMYFUNCTION("GOOGLETRANSLATE(A6802, ""zh-CN"", ""ko"")"),"나르다")</f>
        <v>나르다</v>
      </c>
    </row>
    <row r="6803" ht="15.75" customHeight="1">
      <c r="A6803" s="1" t="s">
        <v>19991</v>
      </c>
      <c r="B6803" s="1">
        <v>7.0</v>
      </c>
      <c r="C6803" s="1" t="s">
        <v>10804</v>
      </c>
      <c r="D6803" s="1" t="s">
        <v>15865</v>
      </c>
      <c r="E6803" s="1" t="s">
        <v>19992</v>
      </c>
      <c r="F6803" s="1" t="str">
        <f>IFERROR(__xludf.DUMMYFUNCTION("GOOGLETRANSLATE(A6803, ""zh-CN"", ""ko"")"),"접근 중")</f>
        <v>접근 중</v>
      </c>
    </row>
    <row r="6804" ht="15.75" customHeight="1">
      <c r="A6804" s="1" t="s">
        <v>19993</v>
      </c>
      <c r="B6804" s="1">
        <v>7.0</v>
      </c>
      <c r="C6804" s="1" t="s">
        <v>19994</v>
      </c>
      <c r="D6804" s="1" t="s">
        <v>8</v>
      </c>
      <c r="E6804" s="1" t="s">
        <v>19995</v>
      </c>
      <c r="F6804" s="1" t="str">
        <f>IFERROR(__xludf.DUMMYFUNCTION("GOOGLETRANSLATE(A6804, ""zh-CN"", ""ko"")"),"거리")</f>
        <v>거리</v>
      </c>
    </row>
    <row r="6805" ht="15.75" customHeight="1">
      <c r="A6805" s="1" t="s">
        <v>19996</v>
      </c>
      <c r="B6805" s="1">
        <v>7.0</v>
      </c>
      <c r="C6805" s="1" t="s">
        <v>19997</v>
      </c>
      <c r="D6805" s="1" t="s">
        <v>8</v>
      </c>
      <c r="E6805" s="1" t="s">
        <v>19998</v>
      </c>
      <c r="F6805" s="1" t="str">
        <f>IFERROR(__xludf.DUMMYFUNCTION("GOOGLETRANSLATE(A6805, ""zh-CN"", ""ko"")"),"접근 중")</f>
        <v>접근 중</v>
      </c>
    </row>
    <row r="6806" ht="15.75" customHeight="1">
      <c r="A6806" s="1" t="s">
        <v>19999</v>
      </c>
      <c r="B6806" s="1">
        <v>7.0</v>
      </c>
      <c r="C6806" s="1" t="s">
        <v>655</v>
      </c>
      <c r="D6806" s="1" t="s">
        <v>52</v>
      </c>
      <c r="E6806" s="1" t="s">
        <v>20000</v>
      </c>
      <c r="F6806" s="1" t="str">
        <f>IFERROR(__xludf.DUMMYFUNCTION("GOOGLETRANSLATE(A6806, ""zh-CN"", ""ko"")"),"영혼")</f>
        <v>영혼</v>
      </c>
    </row>
    <row r="6807" ht="15.75" customHeight="1">
      <c r="A6807" s="1" t="s">
        <v>20001</v>
      </c>
      <c r="B6807" s="1">
        <v>7.0</v>
      </c>
      <c r="C6807" s="1" t="s">
        <v>20002</v>
      </c>
      <c r="E6807" s="1" t="s">
        <v>20003</v>
      </c>
      <c r="F6807" s="1" t="str">
        <f>IFERROR(__xludf.DUMMYFUNCTION("GOOGLETRANSLATE(A6807, ""zh-CN"", ""ko"")"),"갑작스러운 영감")</f>
        <v>갑작스러운 영감</v>
      </c>
    </row>
    <row r="6808" ht="15.75" customHeight="1">
      <c r="A6808" s="1" t="s">
        <v>20004</v>
      </c>
      <c r="B6808" s="1">
        <v>7.0</v>
      </c>
      <c r="C6808" s="1" t="s">
        <v>20005</v>
      </c>
      <c r="D6808" s="1" t="s">
        <v>16</v>
      </c>
      <c r="E6808" s="1" t="s">
        <v>20006</v>
      </c>
      <c r="F6808" s="1" t="str">
        <f>IFERROR(__xludf.DUMMYFUNCTION("GOOGLETRANSLATE(A6808, ""zh-CN"", ""ko"")"),"재치")</f>
        <v>재치</v>
      </c>
    </row>
    <row r="6809" ht="15.75" customHeight="1">
      <c r="A6809" s="1" t="s">
        <v>20007</v>
      </c>
      <c r="B6809" s="1">
        <v>7.0</v>
      </c>
      <c r="C6809" s="1" t="s">
        <v>20008</v>
      </c>
      <c r="D6809" s="1" t="s">
        <v>8</v>
      </c>
      <c r="E6809" s="1" t="s">
        <v>20009</v>
      </c>
      <c r="F6809" s="1" t="str">
        <f>IFERROR(__xludf.DUMMYFUNCTION("GOOGLETRANSLATE(A6809, ""zh-CN"", ""ko"")"),"소매")</f>
        <v>소매</v>
      </c>
    </row>
    <row r="6810" ht="15.75" customHeight="1">
      <c r="A6810" s="1" t="s">
        <v>20010</v>
      </c>
      <c r="B6810" s="1">
        <v>7.0</v>
      </c>
      <c r="C6810" s="1" t="s">
        <v>20011</v>
      </c>
      <c r="D6810" s="1" t="s">
        <v>15352</v>
      </c>
      <c r="E6810" s="1" t="s">
        <v>20012</v>
      </c>
      <c r="F6810" s="1" t="str">
        <f>IFERROR(__xludf.DUMMYFUNCTION("GOOGLETRANSLATE(A6810, ""zh-CN"", ""ko"")"),"잡동사니")</f>
        <v>잡동사니</v>
      </c>
    </row>
    <row r="6811" ht="15.75" customHeight="1">
      <c r="A6811" s="1" t="s">
        <v>20013</v>
      </c>
      <c r="B6811" s="1">
        <v>7.0</v>
      </c>
      <c r="C6811" s="1" t="s">
        <v>20014</v>
      </c>
      <c r="D6811" s="1" t="s">
        <v>8</v>
      </c>
      <c r="E6811" s="1" t="s">
        <v>20015</v>
      </c>
      <c r="F6811" s="1" t="str">
        <f>IFERROR(__xludf.DUMMYFUNCTION("GOOGLETRANSLATE(A6811, ""zh-CN"", ""ko"")"),"듣다")</f>
        <v>듣다</v>
      </c>
    </row>
    <row r="6812" ht="15.75" customHeight="1">
      <c r="A6812" s="1" t="s">
        <v>20016</v>
      </c>
      <c r="B6812" s="1">
        <v>7.0</v>
      </c>
      <c r="C6812" s="1" t="s">
        <v>20017</v>
      </c>
      <c r="D6812" s="1" t="s">
        <v>52</v>
      </c>
      <c r="E6812" s="1" t="s">
        <v>20018</v>
      </c>
      <c r="F6812" s="1" t="str">
        <f>IFERROR(__xludf.DUMMYFUNCTION("GOOGLETRANSLATE(A6812, ""zh-CN"", ""ko"")"),"링통")</f>
        <v>링통</v>
      </c>
    </row>
    <row r="6813" ht="15.75" customHeight="1">
      <c r="A6813" s="1" t="s">
        <v>20019</v>
      </c>
      <c r="B6813" s="1">
        <v>7.0</v>
      </c>
      <c r="C6813" s="1" t="s">
        <v>20020</v>
      </c>
      <c r="D6813" s="1" t="s">
        <v>14870</v>
      </c>
      <c r="E6813" s="1" t="s">
        <v>20021</v>
      </c>
      <c r="F6813" s="1" t="str">
        <f>IFERROR(__xludf.DUMMYFUNCTION("GOOGLETRANSLATE(A6813, ""zh-CN"", ""ko"")"),"팀 리더")</f>
        <v>팀 리더</v>
      </c>
    </row>
    <row r="6814" ht="15.75" customHeight="1">
      <c r="A6814" s="1" t="s">
        <v>20022</v>
      </c>
      <c r="B6814" s="1">
        <v>7.0</v>
      </c>
      <c r="C6814" s="1" t="s">
        <v>20023</v>
      </c>
      <c r="D6814" s="1" t="s">
        <v>8</v>
      </c>
      <c r="E6814" s="1" t="s">
        <v>20024</v>
      </c>
      <c r="F6814" s="1" t="str">
        <f>IFERROR(__xludf.DUMMYFUNCTION("GOOGLETRANSLATE(A6814, ""zh-CN"", ""ko"")"),"지도자")</f>
        <v>지도자</v>
      </c>
    </row>
    <row r="6815" ht="15.75" customHeight="1">
      <c r="A6815" s="1" t="s">
        <v>20025</v>
      </c>
      <c r="B6815" s="1">
        <v>7.0</v>
      </c>
      <c r="C6815" s="1" t="s">
        <v>20026</v>
      </c>
      <c r="D6815" s="1" t="s">
        <v>8</v>
      </c>
      <c r="E6815" s="1" t="s">
        <v>20027</v>
      </c>
      <c r="F6815" s="1" t="str">
        <f>IFERROR(__xludf.DUMMYFUNCTION("GOOGLETRANSLATE(A6815, ""zh-CN"", ""ko"")"),"경험")</f>
        <v>경험</v>
      </c>
    </row>
    <row r="6816" ht="15.75" customHeight="1">
      <c r="A6816" s="1" t="s">
        <v>20028</v>
      </c>
      <c r="B6816" s="1">
        <v>7.0</v>
      </c>
      <c r="C6816" s="1" t="s">
        <v>20029</v>
      </c>
      <c r="D6816" s="1" t="s">
        <v>16</v>
      </c>
      <c r="E6816" s="1" t="s">
        <v>20030</v>
      </c>
      <c r="F6816" s="1" t="str">
        <f>IFERROR(__xludf.DUMMYFUNCTION("GOOGLETRANSLATE(A6816, ""zh-CN"", ""ko"")"),"영사")</f>
        <v>영사</v>
      </c>
    </row>
    <row r="6817" ht="15.75" customHeight="1">
      <c r="A6817" s="1" t="s">
        <v>20031</v>
      </c>
      <c r="B6817" s="1">
        <v>7.0</v>
      </c>
      <c r="C6817" s="1" t="s">
        <v>20032</v>
      </c>
      <c r="D6817" s="1" t="s">
        <v>8</v>
      </c>
      <c r="E6817" s="1" t="s">
        <v>20033</v>
      </c>
      <c r="F6817" s="1" t="str">
        <f>IFERROR(__xludf.DUMMYFUNCTION("GOOGLETRANSLATE(A6817, ""zh-CN"", ""ko"")"),"양자")</f>
        <v>양자</v>
      </c>
    </row>
    <row r="6818" ht="15.75" customHeight="1">
      <c r="A6818" s="1" t="s">
        <v>20034</v>
      </c>
      <c r="B6818" s="1">
        <v>7.0</v>
      </c>
      <c r="C6818" s="1" t="s">
        <v>20035</v>
      </c>
      <c r="D6818" s="1" t="s">
        <v>8</v>
      </c>
      <c r="E6818" s="1" t="s">
        <v>20036</v>
      </c>
      <c r="F6818" s="1" t="str">
        <f>IFERROR(__xludf.DUMMYFUNCTION("GOOGLETRANSLATE(A6818, ""zh-CN"", ""ko"")"),"떠돌아 다니다")</f>
        <v>떠돌아 다니다</v>
      </c>
    </row>
    <row r="6819" ht="15.75" customHeight="1">
      <c r="A6819" s="1" t="s">
        <v>20037</v>
      </c>
      <c r="B6819" s="1">
        <v>7.0</v>
      </c>
      <c r="C6819" s="1" t="s">
        <v>20038</v>
      </c>
      <c r="D6819" s="1" t="s">
        <v>52</v>
      </c>
      <c r="E6819" s="1" t="s">
        <v>20039</v>
      </c>
      <c r="F6819" s="1" t="str">
        <f>IFERROR(__xludf.DUMMYFUNCTION("GOOGLETRANSLATE(A6819, ""zh-CN"", ""ko"")"),"매끄러운")</f>
        <v>매끄러운</v>
      </c>
    </row>
    <row r="6820" ht="15.75" customHeight="1">
      <c r="A6820" s="1" t="s">
        <v>20040</v>
      </c>
      <c r="B6820" s="1">
        <v>7.0</v>
      </c>
      <c r="C6820" s="1" t="s">
        <v>20041</v>
      </c>
      <c r="D6820" s="1" t="s">
        <v>16</v>
      </c>
      <c r="E6820" s="1" t="s">
        <v>20042</v>
      </c>
      <c r="F6820" s="1" t="str">
        <f>IFERROR(__xludf.DUMMYFUNCTION("GOOGLETRANSLATE(A6820, ""zh-CN"", ""ko"")"),"학교")</f>
        <v>학교</v>
      </c>
    </row>
    <row r="6821" ht="15.75" customHeight="1">
      <c r="A6821" s="1" t="s">
        <v>20043</v>
      </c>
      <c r="B6821" s="1">
        <v>7.0</v>
      </c>
      <c r="C6821" s="1" t="s">
        <v>20044</v>
      </c>
      <c r="D6821" s="1" t="s">
        <v>8</v>
      </c>
      <c r="E6821" s="1" t="s">
        <v>20045</v>
      </c>
      <c r="F6821" s="1" t="str">
        <f>IFERROR(__xludf.DUMMYFUNCTION("GOOGLETRANSLATE(A6821, ""zh-CN"", ""ko"")"),"손실")</f>
        <v>손실</v>
      </c>
    </row>
    <row r="6822" ht="15.75" customHeight="1">
      <c r="A6822" s="1" t="s">
        <v>20046</v>
      </c>
      <c r="B6822" s="1">
        <v>7.0</v>
      </c>
      <c r="C6822" s="1" t="s">
        <v>20047</v>
      </c>
      <c r="D6822" s="1" t="s">
        <v>8</v>
      </c>
      <c r="E6822" s="1" t="s">
        <v>20048</v>
      </c>
      <c r="F6822" s="1" t="str">
        <f>IFERROR(__xludf.DUMMYFUNCTION("GOOGLETRANSLATE(A6822, ""zh-CN"", ""ko"")"),"세상을 떠나다")</f>
        <v>세상을 떠나다</v>
      </c>
    </row>
    <row r="6823" ht="15.75" customHeight="1">
      <c r="A6823" s="1" t="s">
        <v>20049</v>
      </c>
      <c r="B6823" s="1">
        <v>7.0</v>
      </c>
      <c r="C6823" s="1" t="s">
        <v>20050</v>
      </c>
      <c r="D6823" s="1" t="s">
        <v>16</v>
      </c>
      <c r="E6823" s="1" t="s">
        <v>20051</v>
      </c>
      <c r="F6823" s="1" t="str">
        <f>IFERROR(__xludf.DUMMYFUNCTION("GOOGLETRANSLATE(A6823, ""zh-CN"", ""ko"")"),"흐르는 물")</f>
        <v>흐르는 물</v>
      </c>
    </row>
    <row r="6824" ht="15.75" customHeight="1">
      <c r="A6824" s="1" t="s">
        <v>20052</v>
      </c>
      <c r="B6824" s="1">
        <v>7.0</v>
      </c>
      <c r="C6824" s="1" t="s">
        <v>20053</v>
      </c>
      <c r="D6824" s="1" t="s">
        <v>8</v>
      </c>
      <c r="E6824" s="1" t="s">
        <v>20054</v>
      </c>
      <c r="F6824" s="1" t="str">
        <f>IFERROR(__xludf.DUMMYFUNCTION("GOOGLETRANSLATE(A6824, ""zh-CN"", ""ko"")"),"흐르는")</f>
        <v>흐르는</v>
      </c>
    </row>
    <row r="6825" ht="15.75" customHeight="1">
      <c r="A6825" s="1" t="s">
        <v>20055</v>
      </c>
      <c r="B6825" s="1">
        <v>7.0</v>
      </c>
      <c r="C6825" s="1" t="s">
        <v>20056</v>
      </c>
      <c r="D6825" s="1" t="s">
        <v>16</v>
      </c>
      <c r="E6825" s="1" t="s">
        <v>20057</v>
      </c>
      <c r="F6825" s="1" t="str">
        <f>IFERROR(__xludf.DUMMYFUNCTION("GOOGLETRANSLATE(A6825, ""zh-CN"", ""ko"")"),"흐름 방향")</f>
        <v>흐름 방향</v>
      </c>
    </row>
    <row r="6826" ht="15.75" customHeight="1">
      <c r="A6826" s="1" t="s">
        <v>20058</v>
      </c>
      <c r="B6826" s="1">
        <v>7.0</v>
      </c>
      <c r="C6826" s="1" t="s">
        <v>20059</v>
      </c>
      <c r="D6826" s="1" t="s">
        <v>8</v>
      </c>
      <c r="E6826" s="1" t="s">
        <v>20060</v>
      </c>
      <c r="F6826" s="1" t="str">
        <f>IFERROR(__xludf.DUMMYFUNCTION("GOOGLETRANSLATE(A6826, ""zh-CN"", ""ko"")"),"주의 깊게 보세요")</f>
        <v>주의 깊게 보세요</v>
      </c>
    </row>
    <row r="6827" ht="15.75" customHeight="1">
      <c r="A6827" s="1" t="s">
        <v>20061</v>
      </c>
      <c r="B6827" s="1">
        <v>7.0</v>
      </c>
      <c r="C6827" s="1" t="s">
        <v>20062</v>
      </c>
      <c r="D6827" s="1" t="s">
        <v>8</v>
      </c>
      <c r="E6827" s="1" t="s">
        <v>20063</v>
      </c>
      <c r="F6827" s="1" t="str">
        <f>IFERROR(__xludf.DUMMYFUNCTION("GOOGLETRANSLATE(A6827, ""zh-CN"", ""ko"")"),"출혈하다")</f>
        <v>출혈하다</v>
      </c>
    </row>
    <row r="6828" ht="15.75" customHeight="1">
      <c r="A6828" s="1" t="s">
        <v>20064</v>
      </c>
      <c r="B6828" s="1">
        <v>7.0</v>
      </c>
      <c r="C6828" s="1" t="s">
        <v>20065</v>
      </c>
      <c r="D6828" s="1" t="s">
        <v>8</v>
      </c>
      <c r="E6828" s="1" t="s">
        <v>20066</v>
      </c>
      <c r="F6828" s="1" t="str">
        <f>IFERROR(__xludf.DUMMYFUNCTION("GOOGLETRANSLATE(A6828, ""zh-CN"", ""ko"")"),"주의하세요")</f>
        <v>주의하세요</v>
      </c>
    </row>
    <row r="6829" ht="15.75" customHeight="1">
      <c r="A6829" s="1" t="s">
        <v>20067</v>
      </c>
      <c r="B6829" s="1">
        <v>7.0</v>
      </c>
      <c r="C6829" s="1" t="s">
        <v>20068</v>
      </c>
      <c r="D6829" s="1" t="s">
        <v>16</v>
      </c>
      <c r="E6829" s="1" t="s">
        <v>20069</v>
      </c>
      <c r="F6829" s="1" t="str">
        <f>IFERROR(__xludf.DUMMYFUNCTION("GOOGLETRANSLATE(A6829, ""zh-CN"", ""ko"")"),"강 유역")</f>
        <v>강 유역</v>
      </c>
    </row>
    <row r="6830" ht="15.75" customHeight="1">
      <c r="A6830" s="1" t="s">
        <v>20070</v>
      </c>
      <c r="B6830" s="1">
        <v>7.0</v>
      </c>
      <c r="C6830" s="1" t="s">
        <v>20071</v>
      </c>
      <c r="D6830" s="1" t="s">
        <v>8</v>
      </c>
      <c r="E6830" s="1" t="s">
        <v>20072</v>
      </c>
      <c r="F6830" s="1" t="str">
        <f>IFERROR(__xludf.DUMMYFUNCTION("GOOGLETRANSLATE(A6830, ""zh-CN"", ""ko"")"),"순환")</f>
        <v>순환</v>
      </c>
    </row>
    <row r="6831" ht="15.75" customHeight="1">
      <c r="A6831" s="1" t="s">
        <v>20073</v>
      </c>
      <c r="B6831" s="1">
        <v>7.0</v>
      </c>
      <c r="C6831" s="1" t="s">
        <v>20074</v>
      </c>
      <c r="D6831" s="1" t="s">
        <v>16</v>
      </c>
      <c r="E6831" s="1" t="s">
        <v>20075</v>
      </c>
      <c r="F6831" s="1" t="str">
        <f>IFERROR(__xludf.DUMMYFUNCTION("GOOGLETRANSLATE(A6831, ""zh-CN"", ""ko"")"),"솜틀")</f>
        <v>솜틀</v>
      </c>
    </row>
    <row r="6832" ht="15.75" customHeight="1">
      <c r="A6832" s="1" t="s">
        <v>20076</v>
      </c>
      <c r="B6832" s="1">
        <v>7.0</v>
      </c>
      <c r="C6832" s="1" t="s">
        <v>190</v>
      </c>
      <c r="D6832" s="1" t="s">
        <v>8</v>
      </c>
      <c r="E6832" s="1" t="s">
        <v>20077</v>
      </c>
      <c r="F6832" s="1" t="str">
        <f>IFERROR(__xludf.DUMMYFUNCTION("GOOGLETRANSLATE(A6832, ""zh-CN"", ""ko"")"),"떠돌아 다니다")</f>
        <v>떠돌아 다니다</v>
      </c>
    </row>
    <row r="6833" ht="15.75" customHeight="1">
      <c r="A6833" s="1" t="s">
        <v>20078</v>
      </c>
      <c r="B6833" s="1">
        <v>7.0</v>
      </c>
      <c r="C6833" s="1" t="s">
        <v>20079</v>
      </c>
      <c r="D6833" s="1" t="s">
        <v>8</v>
      </c>
      <c r="E6833" s="1" t="s">
        <v>20080</v>
      </c>
      <c r="F6833" s="1" t="str">
        <f>IFERROR(__xludf.DUMMYFUNCTION("GOOGLETRANSLATE(A6833, ""zh-CN"", ""ko"")"),"모습")</f>
        <v>모습</v>
      </c>
    </row>
    <row r="6834" ht="15.75" customHeight="1">
      <c r="A6834" s="1" t="s">
        <v>20081</v>
      </c>
      <c r="B6834" s="1">
        <v>7.0</v>
      </c>
      <c r="C6834" s="1" t="s">
        <v>5350</v>
      </c>
      <c r="D6834" s="1" t="s">
        <v>52</v>
      </c>
      <c r="E6834" s="1" t="s">
        <v>20082</v>
      </c>
      <c r="F6834" s="1" t="str">
        <f>IFERROR(__xludf.DUMMYFUNCTION("GOOGLETRANSLATE(A6834, ""zh-CN"", ""ko"")"),"청각 장애인")</f>
        <v>청각 장애인</v>
      </c>
    </row>
    <row r="6835" ht="15.75" customHeight="1">
      <c r="A6835" s="1" t="s">
        <v>20083</v>
      </c>
      <c r="B6835" s="1">
        <v>7.0</v>
      </c>
      <c r="C6835" s="1" t="s">
        <v>20084</v>
      </c>
      <c r="D6835" s="1" t="s">
        <v>16</v>
      </c>
      <c r="E6835" s="1" t="s">
        <v>20085</v>
      </c>
      <c r="F6835" s="1" t="str">
        <f>IFERROR(__xludf.DUMMYFUNCTION("GOOGLETRANSLATE(A6835, ""zh-CN"", ""ko"")"),"용머리")</f>
        <v>용머리</v>
      </c>
    </row>
    <row r="6836" ht="15.75" customHeight="1">
      <c r="A6836" s="1" t="s">
        <v>20086</v>
      </c>
      <c r="B6836" s="1">
        <v>7.0</v>
      </c>
      <c r="C6836" s="1" t="s">
        <v>20087</v>
      </c>
      <c r="D6836" s="1" t="s">
        <v>16</v>
      </c>
      <c r="E6836" s="1" t="s">
        <v>20088</v>
      </c>
      <c r="F6836" s="1" t="str">
        <f>IFERROR(__xludf.DUMMYFUNCTION("GOOGLETRANSLATE(A6836, ""zh-CN"", ""ko"")"),"새장")</f>
        <v>새장</v>
      </c>
    </row>
    <row r="6837" ht="15.75" customHeight="1">
      <c r="A6837" s="1" t="s">
        <v>20089</v>
      </c>
      <c r="B6837" s="1">
        <v>7.0</v>
      </c>
      <c r="C6837" s="1" t="s">
        <v>20090</v>
      </c>
      <c r="D6837" s="1" t="s">
        <v>52</v>
      </c>
      <c r="E6837" s="1" t="s">
        <v>20091</v>
      </c>
      <c r="F6837" s="1" t="str">
        <f>IFERROR(__xludf.DUMMYFUNCTION("GOOGLETRANSLATE(A6837, ""zh-CN"", ""ko"")"),"일반적인")</f>
        <v>일반적인</v>
      </c>
    </row>
    <row r="6838" ht="15.75" customHeight="1">
      <c r="A6838" s="1" t="s">
        <v>20092</v>
      </c>
      <c r="B6838" s="1">
        <v>7.0</v>
      </c>
      <c r="C6838" s="1" t="s">
        <v>20093</v>
      </c>
      <c r="D6838" s="1" t="s">
        <v>16</v>
      </c>
      <c r="E6838" s="1" t="s">
        <v>20094</v>
      </c>
      <c r="F6838" s="1" t="str">
        <f>IFERROR(__xludf.DUMMYFUNCTION("GOOGLETRANSLATE(A6838, ""zh-CN"", ""ko"")"),"난로")</f>
        <v>난로</v>
      </c>
    </row>
    <row r="6839" ht="15.75" customHeight="1">
      <c r="A6839" s="1" t="s">
        <v>20095</v>
      </c>
      <c r="B6839" s="1">
        <v>7.0</v>
      </c>
      <c r="C6839" s="1" t="s">
        <v>20096</v>
      </c>
      <c r="D6839" s="1" t="s">
        <v>52</v>
      </c>
      <c r="E6839" s="1" t="s">
        <v>20097</v>
      </c>
      <c r="F6839" s="1" t="str">
        <f>IFERROR(__xludf.DUMMYFUNCTION("GOOGLETRANSLATE(A6839, ""zh-CN"", ""ko"")"),"분별 없는")</f>
        <v>분별 없는</v>
      </c>
    </row>
    <row r="6840" ht="15.75" customHeight="1">
      <c r="A6840" s="1" t="s">
        <v>20098</v>
      </c>
      <c r="B6840" s="1">
        <v>7.0</v>
      </c>
      <c r="C6840" s="1" t="s">
        <v>20099</v>
      </c>
      <c r="D6840" s="1" t="s">
        <v>16</v>
      </c>
      <c r="E6840" s="1" t="s">
        <v>20100</v>
      </c>
      <c r="F6840" s="1" t="str">
        <f>IFERROR(__xludf.DUMMYFUNCTION("GOOGLETRANSLATE(A6840, ""zh-CN"", ""ko"")"),"찜 요리")</f>
        <v>찜 요리</v>
      </c>
    </row>
    <row r="6841" ht="15.75" customHeight="1">
      <c r="A6841" s="1" t="s">
        <v>20101</v>
      </c>
      <c r="B6841" s="1">
        <v>7.0</v>
      </c>
      <c r="C6841" s="1" t="s">
        <v>658</v>
      </c>
      <c r="D6841" s="1" t="s">
        <v>16</v>
      </c>
      <c r="E6841" s="1" t="s">
        <v>20102</v>
      </c>
      <c r="F6841" s="1" t="str">
        <f>IFERROR(__xludf.DUMMYFUNCTION("GOOGLETRANSLATE(A6841, ""zh-CN"", ""ko"")"),"사슴")</f>
        <v>사슴</v>
      </c>
    </row>
    <row r="6842" ht="15.75" customHeight="1">
      <c r="A6842" s="1" t="s">
        <v>20103</v>
      </c>
      <c r="B6842" s="1">
        <v>7.0</v>
      </c>
      <c r="C6842" s="1" t="s">
        <v>658</v>
      </c>
      <c r="D6842" s="1" t="s">
        <v>16</v>
      </c>
      <c r="E6842" s="1" t="s">
        <v>20104</v>
      </c>
      <c r="F6842" s="1" t="str">
        <f>IFERROR(__xludf.DUMMYFUNCTION("GOOGLETRANSLATE(A6842, ""zh-CN"", ""ko"")"),"이슬")</f>
        <v>이슬</v>
      </c>
    </row>
    <row r="6843" ht="15.75" customHeight="1">
      <c r="A6843" s="1" t="s">
        <v>20105</v>
      </c>
      <c r="B6843" s="1">
        <v>7.0</v>
      </c>
      <c r="C6843" s="1" t="s">
        <v>20106</v>
      </c>
      <c r="D6843" s="1" t="s">
        <v>16</v>
      </c>
      <c r="E6843" s="1" t="s">
        <v>20107</v>
      </c>
      <c r="F6843" s="1" t="str">
        <f>IFERROR(__xludf.DUMMYFUNCTION("GOOGLETRANSLATE(A6843, ""zh-CN"", ""ko"")"),"부분")</f>
        <v>부분</v>
      </c>
    </row>
    <row r="6844" ht="15.75" customHeight="1">
      <c r="A6844" s="1" t="s">
        <v>20108</v>
      </c>
      <c r="B6844" s="1">
        <v>7.0</v>
      </c>
      <c r="C6844" s="1" t="s">
        <v>20109</v>
      </c>
      <c r="D6844" s="1" t="s">
        <v>16</v>
      </c>
      <c r="E6844" s="1" t="s">
        <v>20110</v>
      </c>
      <c r="F6844" s="1" t="str">
        <f>IFERROR(__xludf.DUMMYFUNCTION("GOOGLETRANSLATE(A6844, ""zh-CN"", ""ko"")"),"길")</f>
        <v>길</v>
      </c>
    </row>
    <row r="6845" ht="15.75" customHeight="1">
      <c r="A6845" s="1" t="s">
        <v>20111</v>
      </c>
      <c r="B6845" s="1">
        <v>7.0</v>
      </c>
      <c r="C6845" s="1" t="s">
        <v>20112</v>
      </c>
      <c r="D6845" s="1" t="s">
        <v>16</v>
      </c>
      <c r="E6845" s="1" t="s">
        <v>20113</v>
      </c>
      <c r="F6845" s="1" t="str">
        <f>IFERROR(__xludf.DUMMYFUNCTION("GOOGLETRANSLATE(A6845, ""zh-CN"", ""ko"")"),"군대")</f>
        <v>군대</v>
      </c>
    </row>
    <row r="6846" ht="15.75" customHeight="1">
      <c r="A6846" s="1" t="s">
        <v>20114</v>
      </c>
      <c r="B6846" s="1">
        <v>7.0</v>
      </c>
      <c r="C6846" s="1" t="s">
        <v>20115</v>
      </c>
      <c r="D6846" s="1" t="s">
        <v>15011</v>
      </c>
      <c r="E6846" s="1" t="s">
        <v>20116</v>
      </c>
      <c r="F6846" s="1" t="str">
        <f>IFERROR(__xludf.DUMMYFUNCTION("GOOGLETRANSLATE(A6846, ""zh-CN"", ""ko"")"),"야외")</f>
        <v>야외</v>
      </c>
    </row>
    <row r="6847" ht="15.75" customHeight="1">
      <c r="A6847" s="1" t="s">
        <v>20117</v>
      </c>
      <c r="B6847" s="1">
        <v>7.0</v>
      </c>
      <c r="C6847" s="1" t="s">
        <v>20118</v>
      </c>
      <c r="D6847" s="1" t="s">
        <v>16</v>
      </c>
      <c r="E6847" s="1" t="s">
        <v>20119</v>
      </c>
      <c r="F6847" s="1" t="str">
        <f>IFERROR(__xludf.DUMMYFUNCTION("GOOGLETRANSLATE(A6847, ""zh-CN"", ""ko"")"),"여행")</f>
        <v>여행</v>
      </c>
    </row>
    <row r="6848" ht="15.75" customHeight="1">
      <c r="A6848" s="1" t="s">
        <v>20120</v>
      </c>
      <c r="B6848" s="1">
        <v>7.0</v>
      </c>
      <c r="C6848" s="1" t="s">
        <v>20121</v>
      </c>
      <c r="D6848" s="1" t="s">
        <v>8</v>
      </c>
      <c r="E6848" s="1" t="s">
        <v>20122</v>
      </c>
      <c r="F6848" s="1" t="str">
        <f>IFERROR(__xludf.DUMMYFUNCTION("GOOGLETRANSLATE(A6848, ""zh-CN"", ""ko"")"),"캠핑")</f>
        <v>캠핑</v>
      </c>
    </row>
    <row r="6849" ht="15.75" customHeight="1">
      <c r="A6849" s="1" t="s">
        <v>20123</v>
      </c>
      <c r="B6849" s="1">
        <v>7.0</v>
      </c>
      <c r="C6849" s="1" t="s">
        <v>20124</v>
      </c>
      <c r="D6849" s="1" t="s">
        <v>16</v>
      </c>
      <c r="E6849" s="1" t="s">
        <v>20125</v>
      </c>
      <c r="F6849" s="1" t="str">
        <f>IFERROR(__xludf.DUMMYFUNCTION("GOOGLETRANSLATE(A6849, ""zh-CN"", ""ko"")"),"길")</f>
        <v>길</v>
      </c>
    </row>
    <row r="6850" ht="15.75" customHeight="1">
      <c r="A6850" s="1" t="s">
        <v>20126</v>
      </c>
      <c r="B6850" s="1">
        <v>7.0</v>
      </c>
      <c r="C6850" s="1" t="s">
        <v>20127</v>
      </c>
      <c r="D6850" s="1" t="s">
        <v>52</v>
      </c>
      <c r="E6850" s="1" t="s">
        <v>20128</v>
      </c>
      <c r="F6850" s="1" t="str">
        <f>IFERROR(__xludf.DUMMYFUNCTION("GOOGLETRANSLATE(A6850, ""zh-CN"", ""ko"")"),"쌍둥이")</f>
        <v>쌍둥이</v>
      </c>
    </row>
    <row r="6851" ht="15.75" customHeight="1">
      <c r="A6851" s="1" t="s">
        <v>20129</v>
      </c>
      <c r="B6851" s="1">
        <v>7.0</v>
      </c>
      <c r="C6851" s="1" t="s">
        <v>20130</v>
      </c>
      <c r="D6851" s="1" t="s">
        <v>16</v>
      </c>
      <c r="E6851" s="1" t="s">
        <v>20131</v>
      </c>
      <c r="F6851" s="1" t="str">
        <f>IFERROR(__xludf.DUMMYFUNCTION("GOOGLETRANSLATE(A6851, ""zh-CN"", ""ko"")"),"계란")</f>
        <v>계란</v>
      </c>
    </row>
    <row r="6852" ht="15.75" customHeight="1">
      <c r="A6852" s="1" t="s">
        <v>20132</v>
      </c>
      <c r="B6852" s="1">
        <v>7.0</v>
      </c>
      <c r="C6852" s="1" t="s">
        <v>20133</v>
      </c>
      <c r="D6852" s="1" t="s">
        <v>52</v>
      </c>
      <c r="E6852" s="1" t="s">
        <v>20134</v>
      </c>
      <c r="F6852" s="1" t="str">
        <f>IFERROR(__xludf.DUMMYFUNCTION("GOOGLETRANSLATE(A6852, ""zh-CN"", ""ko"")"),"지저분한")</f>
        <v>지저분한</v>
      </c>
    </row>
    <row r="6853" ht="15.75" customHeight="1">
      <c r="A6853" s="1" t="s">
        <v>20135</v>
      </c>
      <c r="B6853" s="1">
        <v>7.0</v>
      </c>
      <c r="C6853" s="1" t="s">
        <v>20136</v>
      </c>
      <c r="D6853" s="1" t="s">
        <v>8</v>
      </c>
      <c r="E6853" s="1" t="s">
        <v>20137</v>
      </c>
      <c r="F6853" s="1" t="str">
        <f>IFERROR(__xludf.DUMMYFUNCTION("GOOGLETRANSLATE(A6853, ""zh-CN"", ""ko"")"),"그네")</f>
        <v>그네</v>
      </c>
    </row>
    <row r="6854" ht="15.75" customHeight="1">
      <c r="A6854" s="1" t="s">
        <v>20138</v>
      </c>
      <c r="B6854" s="1">
        <v>7.0</v>
      </c>
      <c r="C6854" s="1" t="s">
        <v>20139</v>
      </c>
      <c r="D6854" s="1" t="s">
        <v>8</v>
      </c>
      <c r="E6854" s="1" t="s">
        <v>20140</v>
      </c>
      <c r="F6854" s="1" t="str">
        <f>IFERROR(__xludf.DUMMYFUNCTION("GOOGLETRANSLATE(A6854, ""zh-CN"", ""ko"")"),"회전")</f>
        <v>회전</v>
      </c>
    </row>
    <row r="6855" ht="15.75" customHeight="1">
      <c r="A6855" s="1" t="s">
        <v>20141</v>
      </c>
      <c r="B6855" s="1">
        <v>7.0</v>
      </c>
      <c r="C6855" s="1" t="s">
        <v>20142</v>
      </c>
      <c r="D6855" s="1" t="s">
        <v>16</v>
      </c>
      <c r="E6855" s="1" t="s">
        <v>20143</v>
      </c>
      <c r="F6855" s="1" t="str">
        <f>IFERROR(__xludf.DUMMYFUNCTION("GOOGLETRANSLATE(A6855, ""zh-CN"", ""ko"")"),"윤리학")</f>
        <v>윤리학</v>
      </c>
    </row>
    <row r="6856" ht="15.75" customHeight="1">
      <c r="A6856" s="1" t="s">
        <v>20144</v>
      </c>
      <c r="B6856" s="1">
        <v>7.0</v>
      </c>
      <c r="C6856" s="1" t="s">
        <v>20145</v>
      </c>
      <c r="D6856" s="1" t="s">
        <v>8</v>
      </c>
      <c r="E6856" s="1" t="s">
        <v>20146</v>
      </c>
      <c r="F6856" s="1" t="str">
        <f>IFERROR(__xludf.DUMMYFUNCTION("GOOGLETRANSLATE(A6856, ""zh-CN"", ""ko"")"),"논의")</f>
        <v>논의</v>
      </c>
    </row>
    <row r="6857" ht="15.75" customHeight="1">
      <c r="A6857" s="1" t="s">
        <v>20147</v>
      </c>
      <c r="B6857" s="1">
        <v>7.0</v>
      </c>
      <c r="C6857" s="1" t="s">
        <v>20148</v>
      </c>
      <c r="D6857" s="1" t="s">
        <v>16</v>
      </c>
      <c r="E6857" s="1" t="s">
        <v>20149</v>
      </c>
      <c r="F6857" s="1" t="str">
        <f>IFERROR(__xludf.DUMMYFUNCTION("GOOGLETRANSLATE(A6857, ""zh-CN"", ""ko"")"),"무")</f>
        <v>무</v>
      </c>
    </row>
    <row r="6858" ht="15.75" customHeight="1">
      <c r="A6858" s="1" t="s">
        <v>20150</v>
      </c>
      <c r="B6858" s="1">
        <v>7.0</v>
      </c>
      <c r="C6858" s="1" t="s">
        <v>20151</v>
      </c>
      <c r="D6858" s="1" t="s">
        <v>16</v>
      </c>
      <c r="E6858" s="1" t="s">
        <v>20152</v>
      </c>
      <c r="F6858" s="1" t="str">
        <f>IFERROR(__xludf.DUMMYFUNCTION("GOOGLETRANSLATE(A6858, ""zh-CN"", ""ko"")"),"나사")</f>
        <v>나사</v>
      </c>
    </row>
    <row r="6859" ht="15.75" customHeight="1">
      <c r="A6859" s="1" t="s">
        <v>20153</v>
      </c>
      <c r="B6859" s="1">
        <v>7.0</v>
      </c>
      <c r="C6859" s="1" t="s">
        <v>20154</v>
      </c>
      <c r="D6859" s="1" t="s">
        <v>8</v>
      </c>
      <c r="E6859" s="1" t="s">
        <v>20155</v>
      </c>
      <c r="F6859" s="1" t="str">
        <f>IFERROR(__xludf.DUMMYFUNCTION("GOOGLETRANSLATE(A6859, ""zh-CN"", ""ko"")"),"없는")</f>
        <v>없는</v>
      </c>
    </row>
    <row r="6860" ht="15.75" customHeight="1">
      <c r="A6860" s="1" t="s">
        <v>20156</v>
      </c>
      <c r="B6860" s="1">
        <v>7.0</v>
      </c>
      <c r="C6860" s="1" t="s">
        <v>20157</v>
      </c>
      <c r="D6860" s="1" t="s">
        <v>8</v>
      </c>
      <c r="E6860" s="1" t="s">
        <v>20158</v>
      </c>
      <c r="F6860" s="1" t="str">
        <f>IFERROR(__xludf.DUMMYFUNCTION("GOOGLETRANSLATE(A6860, ""zh-CN"", ""ko"")"),"노출된")</f>
        <v>노출된</v>
      </c>
    </row>
    <row r="6861" ht="15.75" customHeight="1">
      <c r="A6861" s="1" t="s">
        <v>20159</v>
      </c>
      <c r="B6861" s="1">
        <v>7.0</v>
      </c>
      <c r="C6861" s="1" t="s">
        <v>20160</v>
      </c>
      <c r="D6861" s="1" t="s">
        <v>14870</v>
      </c>
      <c r="E6861" s="1" t="s">
        <v>20161</v>
      </c>
      <c r="F6861" s="1" t="str">
        <f>IFERROR(__xludf.DUMMYFUNCTION("GOOGLETRANSLATE(A6861, ""zh-CN"", ""ko"")"),"나체상")</f>
        <v>나체상</v>
      </c>
    </row>
    <row r="6862" ht="15.75" customHeight="1">
      <c r="A6862" s="1" t="s">
        <v>20162</v>
      </c>
      <c r="B6862" s="1">
        <v>7.0</v>
      </c>
      <c r="C6862" s="1" t="s">
        <v>20163</v>
      </c>
      <c r="D6862" s="1" t="s">
        <v>16</v>
      </c>
      <c r="E6862" s="1" t="s">
        <v>20164</v>
      </c>
      <c r="F6862" s="1" t="str">
        <f>IFERROR(__xludf.DUMMYFUNCTION("GOOGLETRANSLATE(A6862, ""zh-CN"", ""ko"")"),"떨어지다")</f>
        <v>떨어지다</v>
      </c>
    </row>
    <row r="6863" ht="15.75" customHeight="1">
      <c r="A6863" s="1" t="s">
        <v>20165</v>
      </c>
      <c r="B6863" s="1">
        <v>7.0</v>
      </c>
      <c r="C6863" s="1" t="s">
        <v>20166</v>
      </c>
      <c r="D6863" s="1" t="s">
        <v>8</v>
      </c>
      <c r="E6863" s="1" t="s">
        <v>20167</v>
      </c>
      <c r="F6863" s="1" t="str">
        <f>IFERROR(__xludf.DUMMYFUNCTION("GOOGLETRANSLATE(A6863, ""zh-CN"", ""ko"")"),"정착하기")</f>
        <v>정착하기</v>
      </c>
    </row>
    <row r="6864" ht="15.75" customHeight="1">
      <c r="A6864" s="1" t="s">
        <v>20168</v>
      </c>
      <c r="B6864" s="1">
        <v>7.0</v>
      </c>
      <c r="C6864" s="1" t="s">
        <v>20169</v>
      </c>
      <c r="D6864" s="1" t="s">
        <v>33</v>
      </c>
      <c r="E6864" s="1" t="s">
        <v>20170</v>
      </c>
      <c r="F6864" s="1" t="str">
        <f>IFERROR(__xludf.DUMMYFUNCTION("GOOGLETRANSLATE(A6864, ""zh-CN"", ""ko"")"),"자꾸")</f>
        <v>자꾸</v>
      </c>
    </row>
    <row r="6865" ht="15.75" customHeight="1">
      <c r="A6865" s="1" t="s">
        <v>20171</v>
      </c>
      <c r="B6865" s="1">
        <v>7.0</v>
      </c>
      <c r="C6865" s="1" t="s">
        <v>20169</v>
      </c>
      <c r="D6865" s="1" t="s">
        <v>26</v>
      </c>
      <c r="E6865" s="1" t="s">
        <v>20172</v>
      </c>
      <c r="F6865" s="1" t="str">
        <f>IFERROR(__xludf.DUMMYFUNCTION("GOOGLETRANSLATE(A6865, ""zh-CN"", ""ko"")"),"실")</f>
        <v>실</v>
      </c>
    </row>
    <row r="6866" ht="15.75" customHeight="1">
      <c r="A6866" s="1" t="s">
        <v>20173</v>
      </c>
      <c r="B6866" s="1">
        <v>7.0</v>
      </c>
      <c r="C6866" s="1" t="s">
        <v>20174</v>
      </c>
      <c r="D6866" s="1" t="s">
        <v>33</v>
      </c>
      <c r="E6866" s="1" t="s">
        <v>19865</v>
      </c>
      <c r="F6866" s="1" t="str">
        <f>IFERROR(__xludf.DUMMYFUNCTION("GOOGLETRANSLATE(A6866, ""zh-CN"", ""ko"")"),"자꾸")</f>
        <v>자꾸</v>
      </c>
    </row>
    <row r="6867" ht="15.75" customHeight="1">
      <c r="A6867" s="1" t="s">
        <v>20175</v>
      </c>
      <c r="B6867" s="1">
        <v>7.0</v>
      </c>
      <c r="C6867" s="1" t="s">
        <v>1376</v>
      </c>
      <c r="D6867" s="1" t="s">
        <v>20176</v>
      </c>
      <c r="E6867" s="1" t="s">
        <v>20177</v>
      </c>
      <c r="F6867" s="1" t="str">
        <f>IFERROR(__xludf.DUMMYFUNCTION("GOOGLETRANSLATE(A6867, ""zh-CN"", ""ko"")"),"비율")</f>
        <v>비율</v>
      </c>
    </row>
    <row r="6868" ht="15.75" customHeight="1">
      <c r="A6868" s="1" t="s">
        <v>20178</v>
      </c>
      <c r="B6868" s="1">
        <v>7.0</v>
      </c>
      <c r="C6868" s="1" t="s">
        <v>20179</v>
      </c>
      <c r="D6868" s="1" t="s">
        <v>16</v>
      </c>
      <c r="E6868" s="1" t="s">
        <v>20180</v>
      </c>
      <c r="F6868" s="1" t="str">
        <f>IFERROR(__xludf.DUMMYFUNCTION("GOOGLETRANSLATE(A6868, ""zh-CN"", ""ko"")"),"녹지 공간")</f>
        <v>녹지 공간</v>
      </c>
    </row>
    <row r="6869" ht="15.75" customHeight="1">
      <c r="A6869" s="1" t="s">
        <v>20181</v>
      </c>
      <c r="B6869" s="1">
        <v>7.0</v>
      </c>
      <c r="C6869" s="1" t="s">
        <v>20182</v>
      </c>
      <c r="D6869" s="1" t="s">
        <v>16</v>
      </c>
      <c r="E6869" s="1" t="s">
        <v>20183</v>
      </c>
      <c r="F6869" s="1" t="str">
        <f>IFERROR(__xludf.DUMMYFUNCTION("GOOGLETRANSLATE(A6869, ""zh-CN"", ""ko"")"),"오아시스")</f>
        <v>오아시스</v>
      </c>
    </row>
    <row r="6870" ht="15.75" customHeight="1">
      <c r="A6870" s="1" t="s">
        <v>20184</v>
      </c>
      <c r="B6870" s="1">
        <v>7.0</v>
      </c>
      <c r="C6870" s="1" t="s">
        <v>20185</v>
      </c>
      <c r="D6870" s="1" t="s">
        <v>14735</v>
      </c>
      <c r="E6870" s="1" t="s">
        <v>20186</v>
      </c>
      <c r="F6870" s="1" t="str">
        <f>IFERROR(__xludf.DUMMYFUNCTION("GOOGLETRANSLATE(A6870, ""zh-CN"", ""ko"")"),"약간")</f>
        <v>약간</v>
      </c>
    </row>
    <row r="6871" ht="15.75" customHeight="1">
      <c r="A6871" s="1" t="s">
        <v>20187</v>
      </c>
      <c r="B6871" s="1">
        <v>7.0</v>
      </c>
      <c r="C6871" s="1" t="s">
        <v>20188</v>
      </c>
      <c r="D6871" s="1" t="s">
        <v>33</v>
      </c>
      <c r="E6871" s="1" t="s">
        <v>20189</v>
      </c>
      <c r="F6871" s="1" t="str">
        <f>IFERROR(__xludf.DUMMYFUNCTION("GOOGLETRANSLATE(A6871, ""zh-CN"", ""ko"")"),"약간")</f>
        <v>약간</v>
      </c>
    </row>
    <row r="6872" ht="15.75" customHeight="1">
      <c r="A6872" s="1" t="s">
        <v>20190</v>
      </c>
      <c r="B6872" s="1">
        <v>7.0</v>
      </c>
      <c r="C6872" s="1" t="s">
        <v>20191</v>
      </c>
      <c r="D6872" s="1" t="s">
        <v>16</v>
      </c>
      <c r="E6872" s="1" t="s">
        <v>20192</v>
      </c>
      <c r="F6872" s="1" t="str">
        <f>IFERROR(__xludf.DUMMYFUNCTION("GOOGLETRANSLATE(A6872, ""zh-CN"", ""ko"")"),"무감각")</f>
        <v>무감각</v>
      </c>
    </row>
    <row r="6873" ht="15.75" customHeight="1">
      <c r="A6873" s="1" t="s">
        <v>20193</v>
      </c>
      <c r="B6873" s="1">
        <v>7.0</v>
      </c>
      <c r="C6873" s="1" t="s">
        <v>20194</v>
      </c>
      <c r="D6873" s="1" t="s">
        <v>16</v>
      </c>
      <c r="E6873" s="1" t="s">
        <v>20195</v>
      </c>
      <c r="F6873" s="1" t="str">
        <f>IFERROR(__xludf.DUMMYFUNCTION("GOOGLETRANSLATE(A6873, ""zh-CN"", ""ko"")"),"마작")</f>
        <v>마작</v>
      </c>
    </row>
    <row r="6874" ht="15.75" customHeight="1">
      <c r="A6874" s="1" t="s">
        <v>20196</v>
      </c>
      <c r="B6874" s="1">
        <v>7.0</v>
      </c>
      <c r="C6874" s="1" t="s">
        <v>20197</v>
      </c>
      <c r="D6874" s="1" t="s">
        <v>52</v>
      </c>
      <c r="E6874" s="1" t="s">
        <v>20198</v>
      </c>
      <c r="F6874" s="1" t="str">
        <f>IFERROR(__xludf.DUMMYFUNCTION("GOOGLETRANSLATE(A6874, ""zh-CN"", ""ko"")"),"매운")</f>
        <v>매운</v>
      </c>
    </row>
    <row r="6875" ht="15.75" customHeight="1">
      <c r="A6875" s="1" t="s">
        <v>20199</v>
      </c>
      <c r="B6875" s="1">
        <v>7.0</v>
      </c>
      <c r="C6875" s="1" t="s">
        <v>1379</v>
      </c>
      <c r="D6875" s="1" t="s">
        <v>8</v>
      </c>
      <c r="E6875" s="1" t="s">
        <v>20200</v>
      </c>
      <c r="F6875" s="1" t="str">
        <f>IFERROR(__xludf.DUMMYFUNCTION("GOOGLETRANSLATE(A6875, ""zh-CN"", ""ko"")"),"암호")</f>
        <v>암호</v>
      </c>
    </row>
    <row r="6876" ht="15.75" customHeight="1">
      <c r="A6876" s="1" t="s">
        <v>20201</v>
      </c>
      <c r="B6876" s="1">
        <v>7.0</v>
      </c>
      <c r="C6876" s="1" t="s">
        <v>20202</v>
      </c>
      <c r="D6876" s="1" t="s">
        <v>16</v>
      </c>
      <c r="E6876" s="1" t="s">
        <v>20203</v>
      </c>
      <c r="F6876" s="1" t="str">
        <f>IFERROR(__xludf.DUMMYFUNCTION("GOOGLETRANSLATE(A6876, ""zh-CN"", ""ko"")"),"가늠자")</f>
        <v>가늠자</v>
      </c>
    </row>
    <row r="6877" ht="15.75" customHeight="1">
      <c r="A6877" s="1" t="s">
        <v>20204</v>
      </c>
      <c r="B6877" s="1">
        <v>7.0</v>
      </c>
      <c r="C6877" s="1" t="s">
        <v>20205</v>
      </c>
      <c r="D6877" s="1" t="s">
        <v>26</v>
      </c>
      <c r="E6877" s="1" t="s">
        <v>20206</v>
      </c>
      <c r="F6877" s="1" t="str">
        <f>IFERROR(__xludf.DUMMYFUNCTION("GOOGLETRANSLATE(A6877, ""zh-CN"", ""ko"")"),"마력")</f>
        <v>마력</v>
      </c>
    </row>
    <row r="6878" ht="15.75" customHeight="1">
      <c r="A6878" s="1" t="s">
        <v>20207</v>
      </c>
      <c r="B6878" s="1">
        <v>7.0</v>
      </c>
      <c r="C6878" s="1" t="s">
        <v>20208</v>
      </c>
      <c r="D6878" s="1" t="s">
        <v>16</v>
      </c>
      <c r="E6878" s="1" t="s">
        <v>20209</v>
      </c>
      <c r="F6878" s="1" t="str">
        <f>IFERROR(__xludf.DUMMYFUNCTION("GOOGLETRANSLATE(A6878, ""zh-CN"", ""ko"")"),"화장실")</f>
        <v>화장실</v>
      </c>
    </row>
    <row r="6879" ht="15.75" customHeight="1">
      <c r="A6879" s="1" t="s">
        <v>20210</v>
      </c>
      <c r="B6879" s="1">
        <v>7.0</v>
      </c>
      <c r="C6879" s="1" t="s">
        <v>20211</v>
      </c>
      <c r="D6879" s="1" t="s">
        <v>8</v>
      </c>
      <c r="E6879" s="1" t="s">
        <v>20212</v>
      </c>
      <c r="F6879" s="1" t="str">
        <f>IFERROR(__xludf.DUMMYFUNCTION("GOOGLETRANSLATE(A6879, ""zh-CN"", ""ko"")"),"묻힌")</f>
        <v>묻힌</v>
      </c>
    </row>
    <row r="6880" ht="15.75" customHeight="1">
      <c r="A6880" s="1" t="s">
        <v>20213</v>
      </c>
      <c r="B6880" s="1">
        <v>7.0</v>
      </c>
      <c r="C6880" s="1" t="s">
        <v>20214</v>
      </c>
      <c r="E6880" s="1" t="s">
        <v>20215</v>
      </c>
      <c r="F6880" s="1" t="str">
        <f>IFERROR(__xludf.DUMMYFUNCTION("GOOGLETRANSLATE(A6880, ""zh-CN"", ""ko"")"),"열심히")</f>
        <v>열심히</v>
      </c>
    </row>
    <row r="6881" ht="15.75" customHeight="1">
      <c r="A6881" s="1" t="s">
        <v>20216</v>
      </c>
      <c r="B6881" s="1">
        <v>7.0</v>
      </c>
      <c r="C6881" s="1" t="s">
        <v>20217</v>
      </c>
      <c r="D6881" s="1" t="s">
        <v>16</v>
      </c>
      <c r="E6881" s="1" t="s">
        <v>20218</v>
      </c>
      <c r="F6881" s="1" t="str">
        <f>IFERROR(__xludf.DUMMYFUNCTION("GOOGLETRANSLATE(A6881, ""zh-CN"", ""ko"")"),"정맥")</f>
        <v>정맥</v>
      </c>
    </row>
    <row r="6882" ht="15.75" customHeight="1">
      <c r="A6882" s="1" t="s">
        <v>20219</v>
      </c>
      <c r="B6882" s="1">
        <v>7.0</v>
      </c>
      <c r="C6882" s="1" t="s">
        <v>20220</v>
      </c>
      <c r="D6882" s="1" t="s">
        <v>8</v>
      </c>
      <c r="E6882" s="1" t="s">
        <v>20221</v>
      </c>
      <c r="F6882" s="1" t="str">
        <f>IFERROR(__xludf.DUMMYFUNCTION("GOOGLETRANSLATE(A6882, ""zh-CN"", ""ko"")"),"숨기다")</f>
        <v>숨기다</v>
      </c>
    </row>
    <row r="6883" ht="15.75" customHeight="1">
      <c r="A6883" s="1" t="s">
        <v>20222</v>
      </c>
      <c r="B6883" s="1">
        <v>7.0</v>
      </c>
      <c r="C6883" s="1" t="s">
        <v>20223</v>
      </c>
      <c r="D6883" s="1" t="s">
        <v>8</v>
      </c>
      <c r="E6883" s="1" t="s">
        <v>20224</v>
      </c>
      <c r="F6883" s="1" t="str">
        <f>IFERROR(__xludf.DUMMYFUNCTION("GOOGLETRANSLATE(A6883, ""zh-CN"", ""ko"")"),"가득")</f>
        <v>가득</v>
      </c>
    </row>
    <row r="6884" ht="15.75" customHeight="1">
      <c r="A6884" s="1" t="s">
        <v>20225</v>
      </c>
      <c r="B6884" s="1">
        <v>7.0</v>
      </c>
      <c r="C6884" s="1" t="s">
        <v>667</v>
      </c>
      <c r="D6884" s="1" t="s">
        <v>8</v>
      </c>
      <c r="E6884" s="1" t="s">
        <v>20226</v>
      </c>
      <c r="F6884" s="1" t="str">
        <f>IFERROR(__xludf.DUMMYFUNCTION("GOOGLETRANSLATE(A6884, ""zh-CN"", ""ko"")"),"만화")</f>
        <v>만화</v>
      </c>
    </row>
    <row r="6885" ht="15.75" customHeight="1">
      <c r="A6885" s="1" t="s">
        <v>20227</v>
      </c>
      <c r="B6885" s="1">
        <v>7.0</v>
      </c>
      <c r="C6885" s="1" t="s">
        <v>20228</v>
      </c>
      <c r="D6885" s="1" t="s">
        <v>8</v>
      </c>
      <c r="E6885" s="1" t="s">
        <v>20229</v>
      </c>
      <c r="F6885" s="1" t="str">
        <f>IFERROR(__xludf.DUMMYFUNCTION("GOOGLETRANSLATE(A6885, ""zh-CN"", ""ko"")"),"로밍")</f>
        <v>로밍</v>
      </c>
    </row>
    <row r="6886" ht="15.75" customHeight="1">
      <c r="A6886" s="1" t="s">
        <v>20230</v>
      </c>
      <c r="B6886" s="1">
        <v>7.0</v>
      </c>
      <c r="C6886" s="1" t="s">
        <v>20231</v>
      </c>
      <c r="D6886" s="1" t="s">
        <v>8</v>
      </c>
      <c r="E6886" s="1" t="s">
        <v>20232</v>
      </c>
      <c r="F6886" s="1" t="str">
        <f>IFERROR(__xludf.DUMMYFUNCTION("GOOGLETRANSLATE(A6886, ""zh-CN"", ""ko"")"),"바쁘다")</f>
        <v>바쁘다</v>
      </c>
    </row>
    <row r="6887" ht="15.75" customHeight="1">
      <c r="A6887" s="1" t="s">
        <v>20233</v>
      </c>
      <c r="B6887" s="1">
        <v>7.0</v>
      </c>
      <c r="C6887" s="1" t="s">
        <v>20234</v>
      </c>
      <c r="D6887" s="1" t="s">
        <v>52</v>
      </c>
      <c r="E6887" s="1" t="s">
        <v>20235</v>
      </c>
      <c r="F6887" s="1" t="str">
        <f>IFERROR(__xludf.DUMMYFUNCTION("GOOGLETRANSLATE(A6887, ""zh-CN"", ""ko"")"),"바쁘다")</f>
        <v>바쁘다</v>
      </c>
    </row>
    <row r="6888" ht="15.75" customHeight="1">
      <c r="A6888" s="1" t="s">
        <v>20236</v>
      </c>
      <c r="B6888" s="1">
        <v>7.0</v>
      </c>
      <c r="C6888" s="1" t="s">
        <v>20237</v>
      </c>
      <c r="D6888" s="1" t="s">
        <v>16</v>
      </c>
      <c r="E6888" s="1" t="s">
        <v>20238</v>
      </c>
      <c r="F6888" s="1" t="str">
        <f>IFERROR(__xludf.DUMMYFUNCTION("GOOGLETRANSLATE(A6888, ""zh-CN"", ""ko"")"),"창끝")</f>
        <v>창끝</v>
      </c>
    </row>
    <row r="6889" ht="15.75" customHeight="1">
      <c r="A6889" s="1" t="s">
        <v>20239</v>
      </c>
      <c r="B6889" s="1">
        <v>7.0</v>
      </c>
      <c r="C6889" s="1" t="s">
        <v>20240</v>
      </c>
      <c r="D6889" s="1" t="s">
        <v>52</v>
      </c>
      <c r="E6889" s="1" t="s">
        <v>20241</v>
      </c>
      <c r="F6889" s="1" t="str">
        <f>IFERROR(__xludf.DUMMYFUNCTION("GOOGLETRANSLATE(A6889, ""zh-CN"", ""ko"")"),"제가 주제넘게 굴고 있네요.")</f>
        <v>제가 주제넘게 굴고 있네요.</v>
      </c>
    </row>
    <row r="6890" ht="15.75" customHeight="1">
      <c r="A6890" s="1" t="s">
        <v>20242</v>
      </c>
      <c r="B6890" s="1">
        <v>7.0</v>
      </c>
      <c r="C6890" s="1" t="s">
        <v>20243</v>
      </c>
      <c r="D6890" s="1" t="s">
        <v>52</v>
      </c>
      <c r="E6890" s="1" t="s">
        <v>20244</v>
      </c>
      <c r="F6890" s="1" t="str">
        <f>IFERROR(__xludf.DUMMYFUNCTION("GOOGLETRANSLATE(A6890, ""zh-CN"", ""ko"")"),"풍부한")</f>
        <v>풍부한</v>
      </c>
    </row>
    <row r="6891" ht="15.75" customHeight="1">
      <c r="A6891" s="1" t="s">
        <v>20245</v>
      </c>
      <c r="B6891" s="1">
        <v>7.0</v>
      </c>
      <c r="C6891" s="1" t="s">
        <v>20246</v>
      </c>
      <c r="D6891" s="1" t="s">
        <v>52</v>
      </c>
      <c r="E6891" s="1" t="s">
        <v>20247</v>
      </c>
      <c r="F6891" s="1" t="str">
        <f>IFERROR(__xludf.DUMMYFUNCTION("GOOGLETRANSLATE(A6891, ""zh-CN"", ""ko"")"),"지루한")</f>
        <v>지루한</v>
      </c>
    </row>
    <row r="6892" ht="15.75" customHeight="1">
      <c r="A6892" s="1" t="s">
        <v>20248</v>
      </c>
      <c r="B6892" s="1">
        <v>7.0</v>
      </c>
      <c r="C6892" s="1" t="s">
        <v>20249</v>
      </c>
      <c r="E6892" s="1" t="s">
        <v>20250</v>
      </c>
      <c r="F6892" s="1" t="str">
        <f>IFERROR(__xludf.DUMMYFUNCTION("GOOGLETRANSLATE(A6892, ""zh-CN"", ""ko"")"),"빛나는")</f>
        <v>빛나는</v>
      </c>
    </row>
    <row r="6893" ht="15.75" customHeight="1">
      <c r="A6893" s="1" t="s">
        <v>20251</v>
      </c>
      <c r="B6893" s="1">
        <v>7.0</v>
      </c>
      <c r="C6893" s="1" t="s">
        <v>20252</v>
      </c>
      <c r="D6893" s="1" t="s">
        <v>16</v>
      </c>
      <c r="E6893" s="1" t="s">
        <v>20253</v>
      </c>
      <c r="F6893" s="1" t="str">
        <f>IFERROR(__xludf.DUMMYFUNCTION("GOOGLETRANSLATE(A6893, ""zh-CN"", ""ko"")"),"가스")</f>
        <v>가스</v>
      </c>
    </row>
    <row r="6894" ht="15.75" customHeight="1">
      <c r="A6894" s="1" t="s">
        <v>20254</v>
      </c>
      <c r="B6894" s="1">
        <v>7.0</v>
      </c>
      <c r="C6894" s="1" t="s">
        <v>20255</v>
      </c>
      <c r="E6894" s="1" t="s">
        <v>20256</v>
      </c>
      <c r="F6894" s="1" t="str">
        <f>IFERROR(__xludf.DUMMYFUNCTION("GOOGLETRANSLATE(A6894, ""zh-CN"", ""ko"")"),"끝이 없네요")</f>
        <v>끝이 없네요</v>
      </c>
    </row>
    <row r="6895" ht="15.75" customHeight="1">
      <c r="A6895" s="1" t="s">
        <v>20257</v>
      </c>
      <c r="B6895" s="1">
        <v>7.0</v>
      </c>
      <c r="C6895" s="1" t="s">
        <v>20258</v>
      </c>
      <c r="E6895" s="1" t="s">
        <v>20259</v>
      </c>
      <c r="F6895" s="1" t="str">
        <f>IFERROR(__xludf.DUMMYFUNCTION("GOOGLETRANSLATE(A6895, ""zh-CN"", ""ko"")"),"안 돼요")</f>
        <v>안 돼요</v>
      </c>
    </row>
    <row r="6896" ht="15.75" customHeight="1">
      <c r="A6896" s="1" t="s">
        <v>20260</v>
      </c>
      <c r="B6896" s="1">
        <v>7.0</v>
      </c>
      <c r="C6896" s="1" t="s">
        <v>20261</v>
      </c>
      <c r="E6896" s="1" t="s">
        <v>20262</v>
      </c>
      <c r="F6896" s="1" t="str">
        <f>IFERROR(__xludf.DUMMYFUNCTION("GOOGLETRANSLATE(A6896, ""zh-CN"", ""ko"")"),"아마도")</f>
        <v>아마도</v>
      </c>
    </row>
    <row r="6897" ht="15.75" customHeight="1">
      <c r="A6897" s="1" t="s">
        <v>20263</v>
      </c>
      <c r="B6897" s="1">
        <v>7.0</v>
      </c>
      <c r="C6897" s="1" t="s">
        <v>20264</v>
      </c>
      <c r="D6897" s="1" t="s">
        <v>16</v>
      </c>
      <c r="E6897" s="1" t="s">
        <v>20265</v>
      </c>
      <c r="F6897" s="1" t="str">
        <f>IFERROR(__xludf.DUMMYFUNCTION("GOOGLETRANSLATE(A6897, ""zh-CN"", ""ko"")"),"덕")</f>
        <v>덕</v>
      </c>
    </row>
    <row r="6898" ht="15.75" customHeight="1">
      <c r="A6898" s="1" t="s">
        <v>20266</v>
      </c>
      <c r="B6898" s="1">
        <v>7.0</v>
      </c>
      <c r="C6898" s="1" t="s">
        <v>20267</v>
      </c>
      <c r="D6898" s="1" t="s">
        <v>8</v>
      </c>
      <c r="E6898" s="1" t="s">
        <v>20268</v>
      </c>
      <c r="F6898" s="1" t="str">
        <f>IFERROR(__xludf.DUMMYFUNCTION("GOOGLETRANSLATE(A6898, ""zh-CN"", ""ko"")"),"멋있게 하다")</f>
        <v>멋있게 하다</v>
      </c>
    </row>
    <row r="6899" ht="15.75" customHeight="1">
      <c r="A6899" s="1" t="s">
        <v>20269</v>
      </c>
      <c r="B6899" s="1">
        <v>7.0</v>
      </c>
      <c r="C6899" s="1" t="s">
        <v>20270</v>
      </c>
      <c r="D6899" s="1" t="s">
        <v>8</v>
      </c>
      <c r="E6899" s="1" t="s">
        <v>20271</v>
      </c>
      <c r="F6899" s="1" t="str">
        <f>IFERROR(__xludf.DUMMYFUNCTION("GOOGLETRANSLATE(A6899, ""zh-CN"", ""ko"")"),"화장품")</f>
        <v>화장품</v>
      </c>
    </row>
    <row r="6900" ht="15.75" customHeight="1">
      <c r="A6900" s="1" t="s">
        <v>20272</v>
      </c>
      <c r="B6900" s="1">
        <v>7.0</v>
      </c>
      <c r="C6900" s="1" t="s">
        <v>20273</v>
      </c>
      <c r="D6900" s="1" t="s">
        <v>16</v>
      </c>
      <c r="E6900" s="1" t="s">
        <v>20274</v>
      </c>
      <c r="F6900" s="1" t="str">
        <f>IFERROR(__xludf.DUMMYFUNCTION("GOOGLETRANSLATE(A6900, ""zh-CN"", ""ko"")"),"미학")</f>
        <v>미학</v>
      </c>
    </row>
    <row r="6901" ht="15.75" customHeight="1">
      <c r="A6901" s="1" t="s">
        <v>20275</v>
      </c>
      <c r="B6901" s="1">
        <v>7.0</v>
      </c>
      <c r="C6901" s="1" t="s">
        <v>20276</v>
      </c>
      <c r="D6901" s="1" t="s">
        <v>16</v>
      </c>
      <c r="E6901" s="1" t="s">
        <v>20277</v>
      </c>
      <c r="F6901" s="1" t="str">
        <f>IFERROR(__xludf.DUMMYFUNCTION("GOOGLETRANSLATE(A6901, ""zh-CN"", ""ko"")"),"평판")</f>
        <v>평판</v>
      </c>
    </row>
    <row r="6902" ht="15.75" customHeight="1">
      <c r="A6902" s="1" t="s">
        <v>20278</v>
      </c>
      <c r="B6902" s="1">
        <v>7.0</v>
      </c>
      <c r="C6902" s="1" t="s">
        <v>20279</v>
      </c>
      <c r="E6902" s="1" t="s">
        <v>20280</v>
      </c>
      <c r="F6902" s="1" t="str">
        <f>IFERROR(__xludf.DUMMYFUNCTION("GOOGLETRANSLATE(A6902, ""zh-CN"", ""ko"")"),"흠집")</f>
        <v>흠집</v>
      </c>
    </row>
    <row r="6903" ht="15.75" customHeight="1">
      <c r="A6903" s="1" t="s">
        <v>20281</v>
      </c>
      <c r="B6903" s="1">
        <v>7.0</v>
      </c>
      <c r="C6903" s="1" t="s">
        <v>20282</v>
      </c>
      <c r="D6903" s="1" t="s">
        <v>52</v>
      </c>
      <c r="E6903" s="1" t="s">
        <v>20283</v>
      </c>
      <c r="F6903" s="1" t="str">
        <f>IFERROR(__xludf.DUMMYFUNCTION("GOOGLETRANSLATE(A6903, ""zh-CN"", ""ko"")"),"기분이 너무 좋아요")</f>
        <v>기분이 너무 좋아요</v>
      </c>
    </row>
    <row r="6904" ht="15.75" customHeight="1">
      <c r="A6904" s="1" t="s">
        <v>20284</v>
      </c>
      <c r="B6904" s="1">
        <v>7.0</v>
      </c>
      <c r="C6904" s="1" t="s">
        <v>20285</v>
      </c>
      <c r="D6904" s="1" t="s">
        <v>14742</v>
      </c>
      <c r="E6904" s="1" t="s">
        <v>20286</v>
      </c>
      <c r="F6904" s="1" t="str">
        <f>IFERROR(__xludf.DUMMYFUNCTION("GOOGLETRANSLATE(A6904, ""zh-CN"", ""ko"")"),"답답한")</f>
        <v>답답한</v>
      </c>
    </row>
    <row r="6905" ht="15.75" customHeight="1">
      <c r="A6905" s="1" t="s">
        <v>20287</v>
      </c>
      <c r="B6905" s="1">
        <v>7.0</v>
      </c>
      <c r="C6905" s="1" t="s">
        <v>20288</v>
      </c>
      <c r="D6905" s="1" t="s">
        <v>52</v>
      </c>
      <c r="E6905" s="1" t="s">
        <v>20289</v>
      </c>
      <c r="F6905" s="1" t="str">
        <f>IFERROR(__xludf.DUMMYFUNCTION("GOOGLETRANSLATE(A6905, ""zh-CN"", ""ko"")"),"찌는 듯이 더운")</f>
        <v>찌는 듯이 더운</v>
      </c>
    </row>
    <row r="6906" ht="15.75" customHeight="1">
      <c r="A6906" s="1" t="s">
        <v>20290</v>
      </c>
      <c r="B6906" s="1">
        <v>7.0</v>
      </c>
      <c r="C6906" s="1" t="s">
        <v>20291</v>
      </c>
      <c r="D6906" s="1" t="s">
        <v>16</v>
      </c>
      <c r="E6906" s="1" t="s">
        <v>20292</v>
      </c>
      <c r="F6906" s="1" t="str">
        <f>IFERROR(__xludf.DUMMYFUNCTION("GOOGLETRANSLATE(A6906, ""zh-CN"", ""ko"")"),"한계점")</f>
        <v>한계점</v>
      </c>
    </row>
    <row r="6907" ht="15.75" customHeight="1">
      <c r="A6907" s="1" t="s">
        <v>20293</v>
      </c>
      <c r="B6907" s="1">
        <v>7.0</v>
      </c>
      <c r="C6907" s="1" t="s">
        <v>20294</v>
      </c>
      <c r="D6907" s="1" t="s">
        <v>16</v>
      </c>
      <c r="E6907" s="1" t="s">
        <v>20295</v>
      </c>
      <c r="F6907" s="1" t="str">
        <f>IFERROR(__xludf.DUMMYFUNCTION("GOOGLETRANSLATE(A6907, ""zh-CN"", ""ko"")"),"사이")</f>
        <v>사이</v>
      </c>
    </row>
    <row r="6908" ht="15.75" customHeight="1">
      <c r="A6908" s="1" t="s">
        <v>20296</v>
      </c>
      <c r="B6908" s="1">
        <v>7.0</v>
      </c>
      <c r="C6908" s="1" t="s">
        <v>20297</v>
      </c>
      <c r="D6908" s="1" t="s">
        <v>8</v>
      </c>
      <c r="E6908" s="1" t="s">
        <v>20298</v>
      </c>
      <c r="F6908" s="1" t="str">
        <f>IFERROR(__xludf.DUMMYFUNCTION("GOOGLETRANSLATE(A6908, ""zh-CN"", ""ko"")"),"몽고 어")</f>
        <v>몽고 어</v>
      </c>
    </row>
    <row r="6909" ht="15.75" customHeight="1">
      <c r="A6909" s="1" t="s">
        <v>20299</v>
      </c>
      <c r="B6909" s="1">
        <v>7.0</v>
      </c>
      <c r="C6909" s="1" t="s">
        <v>20300</v>
      </c>
      <c r="D6909" s="1" t="s">
        <v>8</v>
      </c>
      <c r="E6909" s="1" t="s">
        <v>16775</v>
      </c>
      <c r="F6909" s="1" t="str">
        <f>IFERROR(__xludf.DUMMYFUNCTION("GOOGLETRANSLATE(A6909, ""zh-CN"", ""ko"")"),"발아")</f>
        <v>발아</v>
      </c>
    </row>
    <row r="6910" ht="15.75" customHeight="1">
      <c r="A6910" s="1" t="s">
        <v>20301</v>
      </c>
      <c r="B6910" s="1">
        <v>7.0</v>
      </c>
      <c r="C6910" s="1" t="s">
        <v>20302</v>
      </c>
      <c r="D6910" s="1" t="s">
        <v>52</v>
      </c>
      <c r="E6910" s="1" t="s">
        <v>20303</v>
      </c>
      <c r="F6910" s="1" t="str">
        <f>IFERROR(__xludf.DUMMYFUNCTION("GOOGLETRANSLATE(A6910, ""zh-CN"", ""ko"")"),"흐릿한")</f>
        <v>흐릿한</v>
      </c>
    </row>
    <row r="6911" ht="15.75" customHeight="1">
      <c r="A6911" s="1" t="s">
        <v>20304</v>
      </c>
      <c r="B6911" s="1">
        <v>7.0</v>
      </c>
      <c r="C6911" s="1" t="s">
        <v>20305</v>
      </c>
      <c r="D6911" s="1" t="s">
        <v>16</v>
      </c>
      <c r="E6911" s="1" t="s">
        <v>20306</v>
      </c>
      <c r="F6911" s="1" t="str">
        <f>IFERROR(__xludf.DUMMYFUNCTION("GOOGLETRANSLATE(A6911, ""zh-CN"", ""ko"")"),"동맹국")</f>
        <v>동맹국</v>
      </c>
    </row>
    <row r="6912" ht="15.75" customHeight="1">
      <c r="A6912" s="1" t="s">
        <v>20307</v>
      </c>
      <c r="B6912" s="1">
        <v>7.0</v>
      </c>
      <c r="C6912" s="1" t="s">
        <v>20308</v>
      </c>
      <c r="D6912" s="1" t="s">
        <v>52</v>
      </c>
      <c r="E6912" s="1" t="s">
        <v>20309</v>
      </c>
      <c r="F6912" s="1" t="str">
        <f>IFERROR(__xludf.DUMMYFUNCTION("GOOGLETRANSLATE(A6912, ""zh-CN"", ""ko"")"),"사나운")</f>
        <v>사나운</v>
      </c>
    </row>
    <row r="6913" ht="15.75" customHeight="1">
      <c r="A6913" s="1" t="s">
        <v>20310</v>
      </c>
      <c r="B6913" s="1">
        <v>7.0</v>
      </c>
      <c r="C6913" s="1" t="s">
        <v>20311</v>
      </c>
      <c r="D6913" s="1" t="s">
        <v>33</v>
      </c>
      <c r="E6913" s="1" t="s">
        <v>20312</v>
      </c>
      <c r="F6913" s="1" t="str">
        <f>IFERROR(__xludf.DUMMYFUNCTION("GOOGLETRANSLATE(A6913, ""zh-CN"", ""ko"")"),"갑자기")</f>
        <v>갑자기</v>
      </c>
    </row>
    <row r="6914" ht="15.75" customHeight="1">
      <c r="A6914" s="1" t="s">
        <v>20313</v>
      </c>
      <c r="B6914" s="1">
        <v>7.0</v>
      </c>
      <c r="C6914" s="1" t="s">
        <v>20314</v>
      </c>
      <c r="D6914" s="1" t="s">
        <v>16</v>
      </c>
      <c r="E6914" s="1" t="s">
        <v>20315</v>
      </c>
      <c r="F6914" s="1" t="str">
        <f>IFERROR(__xludf.DUMMYFUNCTION("GOOGLETRANSLATE(A6914, ""zh-CN"", ""ko"")"),"꿈")</f>
        <v>꿈</v>
      </c>
    </row>
    <row r="6915" ht="15.75" customHeight="1">
      <c r="A6915" s="1" t="s">
        <v>20316</v>
      </c>
      <c r="B6915" s="1">
        <v>7.0</v>
      </c>
      <c r="C6915" s="1" t="s">
        <v>20317</v>
      </c>
      <c r="E6915" s="1" t="s">
        <v>20318</v>
      </c>
      <c r="F6915" s="1" t="str">
        <f>IFERROR(__xludf.DUMMYFUNCTION("GOOGLETRANSLATE(A6915, ""zh-CN"", ""ko"")"),"오랫동안 기다려온")</f>
        <v>오랫동안 기다려온</v>
      </c>
    </row>
    <row r="6916" ht="15.75" customHeight="1">
      <c r="A6916" s="1" t="s">
        <v>20319</v>
      </c>
      <c r="B6916" s="1">
        <v>7.0</v>
      </c>
      <c r="C6916" s="1" t="s">
        <v>20320</v>
      </c>
      <c r="D6916" s="1" t="s">
        <v>16</v>
      </c>
      <c r="E6916" s="1" t="s">
        <v>20321</v>
      </c>
      <c r="F6916" s="1" t="str">
        <f>IFERROR(__xludf.DUMMYFUNCTION("GOOGLETRANSLATE(A6916, ""zh-CN"", ""ko"")"),"퍼즐")</f>
        <v>퍼즐</v>
      </c>
    </row>
    <row r="6917" ht="15.75" customHeight="1">
      <c r="A6917" s="1" t="s">
        <v>20322</v>
      </c>
      <c r="B6917" s="1">
        <v>7.0</v>
      </c>
      <c r="C6917" s="1" t="s">
        <v>20323</v>
      </c>
      <c r="D6917" s="1" t="s">
        <v>16</v>
      </c>
      <c r="E6917" s="1" t="s">
        <v>20324</v>
      </c>
      <c r="F6917" s="1" t="str">
        <f>IFERROR(__xludf.DUMMYFUNCTION("GOOGLETRANSLATE(A6917, ""zh-CN"", ""ko"")"),"답변")</f>
        <v>답변</v>
      </c>
    </row>
    <row r="6918" ht="15.75" customHeight="1">
      <c r="A6918" s="1" t="s">
        <v>20325</v>
      </c>
      <c r="B6918" s="1">
        <v>7.0</v>
      </c>
      <c r="C6918" s="1" t="s">
        <v>20326</v>
      </c>
      <c r="D6918" s="1" t="s">
        <v>8</v>
      </c>
      <c r="E6918" s="1" t="s">
        <v>20327</v>
      </c>
      <c r="F6918" s="1" t="str">
        <f>IFERROR(__xludf.DUMMYFUNCTION("GOOGLETRANSLATE(A6918, ""zh-CN"", ""ko"")"),"집착")</f>
        <v>집착</v>
      </c>
    </row>
    <row r="6919" ht="15.75" customHeight="1">
      <c r="A6919" s="1" t="s">
        <v>20328</v>
      </c>
      <c r="B6919" s="1">
        <v>7.0</v>
      </c>
      <c r="C6919" s="1" t="s">
        <v>20329</v>
      </c>
      <c r="D6919" s="1" t="s">
        <v>8</v>
      </c>
      <c r="E6919" s="1" t="s">
        <v>20330</v>
      </c>
      <c r="F6919" s="1" t="str">
        <f>IFERROR(__xludf.DUMMYFUNCTION("GOOGLETRANSLATE(A6919, ""zh-CN"", ""ko"")"),"잃어버린")</f>
        <v>잃어버린</v>
      </c>
    </row>
    <row r="6920" ht="15.75" customHeight="1">
      <c r="A6920" s="1" t="s">
        <v>20331</v>
      </c>
      <c r="B6920" s="1">
        <v>7.0</v>
      </c>
      <c r="C6920" s="1" t="s">
        <v>20332</v>
      </c>
      <c r="D6920" s="1" t="s">
        <v>16</v>
      </c>
      <c r="E6920" s="1" t="s">
        <v>20333</v>
      </c>
      <c r="F6920" s="1" t="str">
        <f>IFERROR(__xludf.DUMMYFUNCTION("GOOGLETRANSLATE(A6920, ""zh-CN"", ""ko"")"),"신비")</f>
        <v>신비</v>
      </c>
    </row>
    <row r="6921" ht="15.75" customHeight="1">
      <c r="A6921" s="1" t="s">
        <v>20334</v>
      </c>
      <c r="B6921" s="1">
        <v>7.0</v>
      </c>
      <c r="C6921" s="1" t="s">
        <v>20335</v>
      </c>
      <c r="D6921" s="1" t="s">
        <v>8</v>
      </c>
      <c r="E6921" s="1" t="s">
        <v>20298</v>
      </c>
      <c r="F6921" s="1" t="str">
        <f>IFERROR(__xludf.DUMMYFUNCTION("GOOGLETRANSLATE(A6921, ""zh-CN"", ""ko"")"),"빽빽하게 들어찬")</f>
        <v>빽빽하게 들어찬</v>
      </c>
    </row>
    <row r="6922" ht="15.75" customHeight="1">
      <c r="A6922" s="1" t="s">
        <v>20336</v>
      </c>
      <c r="B6922" s="1">
        <v>7.0</v>
      </c>
      <c r="C6922" s="1" t="s">
        <v>20337</v>
      </c>
      <c r="D6922" s="1" t="s">
        <v>16</v>
      </c>
      <c r="E6922" s="1" t="s">
        <v>20338</v>
      </c>
      <c r="F6922" s="1" t="str">
        <f>IFERROR(__xludf.DUMMYFUNCTION("GOOGLETRANSLATE(A6922, ""zh-CN"", ""ko"")"),"비방")</f>
        <v>비방</v>
      </c>
    </row>
    <row r="6923" ht="15.75" customHeight="1">
      <c r="A6923" s="1" t="s">
        <v>20339</v>
      </c>
      <c r="B6923" s="1">
        <v>7.0</v>
      </c>
      <c r="C6923" s="1" t="s">
        <v>20340</v>
      </c>
      <c r="D6923" s="1" t="s">
        <v>16</v>
      </c>
      <c r="E6923" s="1" t="s">
        <v>20341</v>
      </c>
      <c r="F6923" s="1" t="str">
        <f>IFERROR(__xludf.DUMMYFUNCTION("GOOGLETRANSLATE(A6923, ""zh-CN"", ""ko"")"),"비밀")</f>
        <v>비밀</v>
      </c>
    </row>
    <row r="6924" ht="15.75" customHeight="1">
      <c r="A6924" s="1" t="s">
        <v>20342</v>
      </c>
      <c r="B6924" s="1">
        <v>7.0</v>
      </c>
      <c r="C6924" s="1" t="s">
        <v>20343</v>
      </c>
      <c r="D6924" s="1" t="s">
        <v>16</v>
      </c>
      <c r="E6924" s="1" t="s">
        <v>20344</v>
      </c>
      <c r="F6924" s="1" t="str">
        <f>IFERROR(__xludf.DUMMYFUNCTION("GOOGLETRANSLATE(A6924, ""zh-CN"", ""ko"")"),"신흔 여행")</f>
        <v>신흔 여행</v>
      </c>
    </row>
    <row r="6925" ht="15.75" customHeight="1">
      <c r="A6925" s="1" t="s">
        <v>20345</v>
      </c>
      <c r="B6925" s="1">
        <v>7.0</v>
      </c>
      <c r="C6925" s="1" t="s">
        <v>20346</v>
      </c>
      <c r="D6925" s="1" t="s">
        <v>8</v>
      </c>
      <c r="E6925" s="1" t="s">
        <v>20347</v>
      </c>
      <c r="F6925" s="1" t="str">
        <f>IFERROR(__xludf.DUMMYFUNCTION("GOOGLETRANSLATE(A6925, ""zh-CN"", ""ko"")"),"불가피한")</f>
        <v>불가피한</v>
      </c>
    </row>
    <row r="6926" ht="15.75" customHeight="1">
      <c r="A6926" s="1" t="s">
        <v>20348</v>
      </c>
      <c r="B6926" s="1">
        <v>7.0</v>
      </c>
      <c r="C6926" s="1" t="s">
        <v>20349</v>
      </c>
      <c r="D6926" s="1" t="s">
        <v>8</v>
      </c>
      <c r="E6926" s="1" t="s">
        <v>20350</v>
      </c>
      <c r="F6926" s="1" t="str">
        <f>IFERROR(__xludf.DUMMYFUNCTION("GOOGLETRANSLATE(A6926, ""zh-CN"", ""ko"")"),"면제")</f>
        <v>면제</v>
      </c>
    </row>
    <row r="6927" ht="15.75" customHeight="1">
      <c r="A6927" s="1" t="s">
        <v>20351</v>
      </c>
      <c r="B6927" s="1">
        <v>7.0</v>
      </c>
      <c r="C6927" s="1" t="s">
        <v>20352</v>
      </c>
      <c r="D6927" s="1" t="s">
        <v>8</v>
      </c>
      <c r="E6927" s="1" t="s">
        <v>20353</v>
      </c>
      <c r="F6927" s="1" t="str">
        <f>IFERROR(__xludf.DUMMYFUNCTION("GOOGLETRANSLATE(A6927, ""zh-CN"", ""ko"")"),"추모하며")</f>
        <v>추모하며</v>
      </c>
    </row>
    <row r="6928" ht="15.75" customHeight="1">
      <c r="A6928" s="1" t="s">
        <v>20354</v>
      </c>
      <c r="B6928" s="1">
        <v>7.0</v>
      </c>
      <c r="C6928" s="1" t="s">
        <v>20355</v>
      </c>
      <c r="D6928" s="1" t="s">
        <v>52</v>
      </c>
      <c r="E6928" s="1" t="s">
        <v>2260</v>
      </c>
      <c r="F6928" s="1" t="str">
        <f>IFERROR(__xludf.DUMMYFUNCTION("GOOGLETRANSLATE(A6928, ""zh-CN"", ""ko"")"),"수줍은")</f>
        <v>수줍은</v>
      </c>
    </row>
    <row r="6929" ht="15.75" customHeight="1">
      <c r="A6929" s="1" t="s">
        <v>20356</v>
      </c>
      <c r="B6929" s="1">
        <v>7.0</v>
      </c>
      <c r="C6929" s="1" t="s">
        <v>20357</v>
      </c>
      <c r="D6929" s="1" t="s">
        <v>8</v>
      </c>
      <c r="E6929" s="1" t="s">
        <v>20358</v>
      </c>
      <c r="F6929" s="1" t="str">
        <f>IFERROR(__xludf.DUMMYFUNCTION("GOOGLETRANSLATE(A6929, ""zh-CN"", ""ko"")"),"해임")</f>
        <v>해임</v>
      </c>
    </row>
    <row r="6930" ht="15.75" customHeight="1">
      <c r="A6930" s="1" t="s">
        <v>20359</v>
      </c>
      <c r="B6930" s="1">
        <v>7.0</v>
      </c>
      <c r="C6930" s="1" t="s">
        <v>20360</v>
      </c>
      <c r="E6930" s="1" t="s">
        <v>20361</v>
      </c>
      <c r="F6930" s="1" t="str">
        <f>IFERROR(__xludf.DUMMYFUNCTION("GOOGLETRANSLATE(A6930, ""zh-CN"", ""ko"")"),"볼이 붉어지다")</f>
        <v>볼이 붉어지다</v>
      </c>
    </row>
    <row r="6931" ht="15.75" customHeight="1">
      <c r="A6931" s="1" t="s">
        <v>20362</v>
      </c>
      <c r="B6931" s="1">
        <v>7.0</v>
      </c>
      <c r="C6931" s="1" t="s">
        <v>20363</v>
      </c>
      <c r="D6931" s="1" t="s">
        <v>16</v>
      </c>
      <c r="E6931" s="1" t="s">
        <v>1353</v>
      </c>
      <c r="F6931" s="1" t="str">
        <f>IFERROR(__xludf.DUMMYFUNCTION("GOOGLETRANSLATE(A6931, ""zh-CN"", ""ko"")"),"얼굴")</f>
        <v>얼굴</v>
      </c>
    </row>
    <row r="6932" ht="15.75" customHeight="1">
      <c r="A6932" s="1" t="s">
        <v>20364</v>
      </c>
      <c r="B6932" s="1">
        <v>7.0</v>
      </c>
      <c r="C6932" s="1" t="s">
        <v>20365</v>
      </c>
      <c r="E6932" s="1" t="s">
        <v>20366</v>
      </c>
      <c r="F6932" s="1" t="str">
        <f>IFERROR(__xludf.DUMMYFUNCTION("GOOGLETRANSLATE(A6932, ""zh-CN"", ""ko"")"),"포괄적인")</f>
        <v>포괄적인</v>
      </c>
    </row>
    <row r="6933" ht="15.75" customHeight="1">
      <c r="A6933" s="1" t="s">
        <v>20367</v>
      </c>
      <c r="B6933" s="1">
        <v>7.0</v>
      </c>
      <c r="C6933" s="1" t="s">
        <v>20368</v>
      </c>
      <c r="E6933" s="1" t="s">
        <v>20369</v>
      </c>
      <c r="F6933" s="1" t="str">
        <f>IFERROR(__xludf.DUMMYFUNCTION("GOOGLETRANSLATE(A6933, ""zh-CN"", ""ko"")"),"완전히 알아볼 수 없게 되었다")</f>
        <v>완전히 알아볼 수 없게 되었다</v>
      </c>
    </row>
    <row r="6934" ht="15.75" customHeight="1">
      <c r="A6934" s="1" t="s">
        <v>20370</v>
      </c>
      <c r="B6934" s="1">
        <v>7.0</v>
      </c>
      <c r="C6934" s="1" t="s">
        <v>20371</v>
      </c>
      <c r="D6934" s="1" t="s">
        <v>16</v>
      </c>
      <c r="E6934" s="1" t="s">
        <v>20372</v>
      </c>
      <c r="F6934" s="1" t="str">
        <f>IFERROR(__xludf.DUMMYFUNCTION("GOOGLETRANSLATE(A6934, ""zh-CN"", ""ko"")"),"모")</f>
        <v>모</v>
      </c>
    </row>
    <row r="6935" ht="15.75" customHeight="1">
      <c r="A6935" s="1" t="s">
        <v>20373</v>
      </c>
      <c r="B6935" s="1">
        <v>7.0</v>
      </c>
      <c r="C6935" s="1" t="s">
        <v>20374</v>
      </c>
      <c r="D6935" s="1" t="s">
        <v>16</v>
      </c>
      <c r="E6935" s="1" t="s">
        <v>20375</v>
      </c>
      <c r="F6935" s="1" t="str">
        <f>IFERROR(__xludf.DUMMYFUNCTION("GOOGLETRANSLATE(A6935, ""zh-CN"", ""ko"")"),"손짓")</f>
        <v>손짓</v>
      </c>
    </row>
    <row r="6936" ht="15.75" customHeight="1">
      <c r="A6936" s="1" t="s">
        <v>20376</v>
      </c>
      <c r="B6936" s="1">
        <v>7.0</v>
      </c>
      <c r="C6936" s="1" t="s">
        <v>20377</v>
      </c>
      <c r="D6936" s="1" t="s">
        <v>16</v>
      </c>
      <c r="E6936" s="1" t="s">
        <v>20378</v>
      </c>
      <c r="F6936" s="1" t="str">
        <f>IFERROR(__xludf.DUMMYFUNCTION("GOOGLETRANSLATE(A6936, ""zh-CN"", ""ko"")"),"절")</f>
        <v>절</v>
      </c>
    </row>
    <row r="6937" ht="15.75" customHeight="1">
      <c r="A6937" s="1" t="s">
        <v>20379</v>
      </c>
      <c r="B6937" s="1">
        <v>7.0</v>
      </c>
      <c r="C6937" s="1" t="s">
        <v>20380</v>
      </c>
      <c r="D6937" s="1" t="s">
        <v>16</v>
      </c>
      <c r="E6937" s="1" t="s">
        <v>20381</v>
      </c>
      <c r="F6937" s="1" t="str">
        <f>IFERROR(__xludf.DUMMYFUNCTION("GOOGLETRANSLATE(A6937, ""zh-CN"", ""ko"")"),"사원 축제")</f>
        <v>사원 축제</v>
      </c>
    </row>
    <row r="6938" ht="15.75" customHeight="1">
      <c r="A6938" s="1" t="s">
        <v>20382</v>
      </c>
      <c r="B6938" s="1">
        <v>7.0</v>
      </c>
      <c r="C6938" s="1" t="s">
        <v>20383</v>
      </c>
      <c r="D6938" s="1" t="s">
        <v>8</v>
      </c>
      <c r="E6938" s="1" t="s">
        <v>20384</v>
      </c>
      <c r="F6938" s="1" t="str">
        <f>IFERROR(__xludf.DUMMYFUNCTION("GOOGLETRANSLATE(A6938, ""zh-CN"", ""ko"")"),"소멸")</f>
        <v>소멸</v>
      </c>
    </row>
    <row r="6939" ht="15.75" customHeight="1">
      <c r="A6939" s="1" t="s">
        <v>20385</v>
      </c>
      <c r="B6939" s="1">
        <v>7.0</v>
      </c>
      <c r="C6939" s="1" t="s">
        <v>20386</v>
      </c>
      <c r="D6939" s="1" t="s">
        <v>52</v>
      </c>
      <c r="E6939" s="1" t="s">
        <v>20387</v>
      </c>
      <c r="F6939" s="1" t="str">
        <f>IFERROR(__xludf.DUMMYFUNCTION("GOOGLETRANSLATE(A6939, ""zh-CN"", ""ko"")"),"사적인")</f>
        <v>사적인</v>
      </c>
    </row>
    <row r="6940" ht="15.75" customHeight="1">
      <c r="A6940" s="1" t="s">
        <v>20388</v>
      </c>
      <c r="B6940" s="1">
        <v>7.0</v>
      </c>
      <c r="C6940" s="1" t="s">
        <v>20389</v>
      </c>
      <c r="D6940" s="1" t="s">
        <v>16</v>
      </c>
      <c r="E6940" s="1" t="s">
        <v>14499</v>
      </c>
      <c r="F6940" s="1" t="str">
        <f>IFERROR(__xludf.DUMMYFUNCTION("GOOGLETRANSLATE(A6940, ""zh-CN"", ""ko"")"),"주택")</f>
        <v>주택</v>
      </c>
    </row>
    <row r="6941" ht="15.75" customHeight="1">
      <c r="A6941" s="1" t="s">
        <v>20390</v>
      </c>
      <c r="B6941" s="1">
        <v>7.0</v>
      </c>
      <c r="C6941" s="1" t="s">
        <v>20391</v>
      </c>
      <c r="D6941" s="1" t="s">
        <v>16</v>
      </c>
      <c r="E6941" s="1" t="s">
        <v>20392</v>
      </c>
      <c r="F6941" s="1" t="str">
        <f>IFERROR(__xludf.DUMMYFUNCTION("GOOGLETRANSLATE(A6941, ""zh-CN"", ""ko"")"),"사람들의 생계")</f>
        <v>사람들의 생계</v>
      </c>
    </row>
    <row r="6942" ht="15.75" customHeight="1">
      <c r="A6942" s="1" t="s">
        <v>20393</v>
      </c>
      <c r="B6942" s="1">
        <v>7.0</v>
      </c>
      <c r="C6942" s="1" t="s">
        <v>20394</v>
      </c>
      <c r="D6942" s="1" t="s">
        <v>52</v>
      </c>
      <c r="E6942" s="1" t="s">
        <v>20395</v>
      </c>
      <c r="F6942" s="1" t="str">
        <f>IFERROR(__xludf.DUMMYFUNCTION("GOOGLETRANSLATE(A6942, ""zh-CN"", ""ko"")"),"예의 바른")</f>
        <v>예의 바른</v>
      </c>
    </row>
    <row r="6943" ht="15.75" customHeight="1">
      <c r="A6943" s="1" t="s">
        <v>20396</v>
      </c>
      <c r="B6943" s="1">
        <v>7.0</v>
      </c>
      <c r="C6943" s="1" t="s">
        <v>20397</v>
      </c>
      <c r="D6943" s="1" t="s">
        <v>16</v>
      </c>
      <c r="E6943" s="1" t="s">
        <v>13852</v>
      </c>
      <c r="F6943" s="1" t="str">
        <f>IFERROR(__xludf.DUMMYFUNCTION("GOOGLETRANSLATE(A6943, ""zh-CN"", ""ko"")"),"여론")</f>
        <v>여론</v>
      </c>
    </row>
    <row r="6944" ht="15.75" customHeight="1">
      <c r="A6944" s="1" t="s">
        <v>20398</v>
      </c>
      <c r="B6944" s="1">
        <v>7.0</v>
      </c>
      <c r="C6944" s="1" t="s">
        <v>20399</v>
      </c>
      <c r="D6944" s="1" t="s">
        <v>52</v>
      </c>
      <c r="E6944" s="1" t="s">
        <v>20400</v>
      </c>
      <c r="F6944" s="1" t="str">
        <f>IFERROR(__xludf.DUMMYFUNCTION("GOOGLETRANSLATE(A6944, ""zh-CN"", ""ko"")"),"사적인")</f>
        <v>사적인</v>
      </c>
    </row>
    <row r="6945" ht="15.75" customHeight="1">
      <c r="A6945" s="1" t="s">
        <v>20401</v>
      </c>
      <c r="B6945" s="1">
        <v>7.0</v>
      </c>
      <c r="C6945" s="1" t="s">
        <v>20402</v>
      </c>
      <c r="D6945" s="1" t="s">
        <v>52</v>
      </c>
      <c r="E6945" s="1" t="s">
        <v>20403</v>
      </c>
      <c r="F6945" s="1" t="str">
        <f>IFERROR(__xludf.DUMMYFUNCTION("GOOGLETRANSLATE(A6945, ""zh-CN"", ""ko"")"),"일반 민간인")</f>
        <v>일반 민간인</v>
      </c>
    </row>
    <row r="6946" ht="15.75" customHeight="1">
      <c r="A6946" s="1" t="s">
        <v>20404</v>
      </c>
      <c r="B6946" s="1">
        <v>7.0</v>
      </c>
      <c r="C6946" s="1" t="s">
        <v>20405</v>
      </c>
      <c r="D6946" s="1" t="s">
        <v>8</v>
      </c>
      <c r="E6946" s="1" t="s">
        <v>20406</v>
      </c>
      <c r="F6946" s="1" t="str">
        <f>IFERROR(__xludf.DUMMYFUNCTION("GOOGLETRANSLATE(A6946, ""zh-CN"", ""ko"")"),"명")</f>
        <v>명</v>
      </c>
    </row>
    <row r="6947" ht="15.75" customHeight="1">
      <c r="A6947" s="1" t="s">
        <v>20407</v>
      </c>
      <c r="B6947" s="1">
        <v>7.0</v>
      </c>
      <c r="C6947" s="1" t="s">
        <v>20408</v>
      </c>
      <c r="D6947" s="1" t="s">
        <v>52</v>
      </c>
      <c r="E6947" s="1" t="s">
        <v>19438</v>
      </c>
      <c r="F6947" s="1" t="str">
        <f>IFERROR(__xludf.DUMMYFUNCTION("GOOGLETRANSLATE(A6947, ""zh-CN"", ""ko"")"),"귀중한")</f>
        <v>귀중한</v>
      </c>
    </row>
    <row r="6948" ht="15.75" customHeight="1">
      <c r="A6948" s="1" t="s">
        <v>20409</v>
      </c>
      <c r="B6948" s="1">
        <v>7.0</v>
      </c>
      <c r="C6948" s="1" t="s">
        <v>20410</v>
      </c>
      <c r="D6948" s="1" t="s">
        <v>8</v>
      </c>
      <c r="E6948" s="1" t="s">
        <v>20411</v>
      </c>
      <c r="F6948" s="1" t="str">
        <f>IFERROR(__xludf.DUMMYFUNCTION("GOOGLETRANSLATE(A6948, ""zh-CN"", ""ko"")"),"기억하다")</f>
        <v>기억하다</v>
      </c>
    </row>
    <row r="6949" ht="15.75" customHeight="1">
      <c r="A6949" s="1" t="s">
        <v>20412</v>
      </c>
      <c r="B6949" s="1">
        <v>7.0</v>
      </c>
      <c r="C6949" s="1" t="s">
        <v>20413</v>
      </c>
      <c r="D6949" s="1" t="s">
        <v>52</v>
      </c>
      <c r="E6949" s="1" t="s">
        <v>20414</v>
      </c>
      <c r="F6949" s="1" t="str">
        <f>IFERROR(__xludf.DUMMYFUNCTION("GOOGLETRANSLATE(A6949, ""zh-CN"", ""ko"")"),"분명한")</f>
        <v>분명한</v>
      </c>
    </row>
    <row r="6950" ht="15.75" customHeight="1">
      <c r="A6950" s="1" t="s">
        <v>20415</v>
      </c>
      <c r="B6950" s="1">
        <v>7.0</v>
      </c>
      <c r="C6950" s="1" t="s">
        <v>20416</v>
      </c>
      <c r="D6950" s="1" t="s">
        <v>16</v>
      </c>
      <c r="E6950" s="1" t="s">
        <v>20417</v>
      </c>
      <c r="F6950" s="1" t="str">
        <f>IFERROR(__xludf.DUMMYFUNCTION("GOOGLETRANSLATE(A6950, ""zh-CN"", ""ko"")"),"명성과 부")</f>
        <v>명성과 부</v>
      </c>
    </row>
    <row r="6951" ht="15.75" customHeight="1">
      <c r="A6951" s="1" t="s">
        <v>20418</v>
      </c>
      <c r="B6951" s="1">
        <v>7.0</v>
      </c>
      <c r="C6951" s="1" t="s">
        <v>20419</v>
      </c>
      <c r="D6951" s="1" t="s">
        <v>52</v>
      </c>
      <c r="E6951" s="1" t="s">
        <v>20420</v>
      </c>
      <c r="F6951" s="1" t="str">
        <f>IFERROR(__xludf.DUMMYFUNCTION("GOOGLETRANSLATE(A6951, ""zh-CN"", ""ko"")"),"밝은")</f>
        <v>밝은</v>
      </c>
    </row>
    <row r="6952" ht="15.75" customHeight="1">
      <c r="A6952" s="1" t="s">
        <v>20421</v>
      </c>
      <c r="B6952" s="1">
        <v>7.0</v>
      </c>
      <c r="C6952" s="1" t="s">
        <v>20422</v>
      </c>
      <c r="D6952" s="1" t="s">
        <v>16</v>
      </c>
      <c r="E6952" s="1" t="s">
        <v>20423</v>
      </c>
      <c r="F6952" s="1" t="str">
        <f>IFERROR(__xludf.DUMMYFUNCTION("GOOGLETRANSLATE(A6952, ""zh-CN"", ""ko"")"),"평판")</f>
        <v>평판</v>
      </c>
    </row>
    <row r="6953" ht="15.75" customHeight="1">
      <c r="A6953" s="1" t="s">
        <v>20424</v>
      </c>
      <c r="B6953" s="1">
        <v>7.0</v>
      </c>
      <c r="C6953" s="1" t="s">
        <v>20425</v>
      </c>
      <c r="D6953" s="1" t="s">
        <v>16</v>
      </c>
      <c r="E6953" s="1" t="s">
        <v>20426</v>
      </c>
      <c r="F6953" s="1" t="str">
        <f>IFERROR(__xludf.DUMMYFUNCTION("GOOGLETRANSLATE(A6953, ""zh-CN"", ""ko"")"),"속담")</f>
        <v>속담</v>
      </c>
    </row>
    <row r="6954" ht="15.75" customHeight="1">
      <c r="A6954" s="1" t="s">
        <v>20427</v>
      </c>
      <c r="B6954" s="1">
        <v>7.0</v>
      </c>
      <c r="C6954" s="1" t="s">
        <v>20428</v>
      </c>
      <c r="D6954" s="1" t="s">
        <v>16</v>
      </c>
      <c r="E6954" s="1" t="s">
        <v>20429</v>
      </c>
      <c r="F6954" s="1" t="str">
        <f>IFERROR(__xludf.DUMMYFUNCTION("GOOGLETRANSLATE(A6954, ""zh-CN"", ""ko"")"),"이름")</f>
        <v>이름</v>
      </c>
    </row>
    <row r="6955" ht="15.75" customHeight="1">
      <c r="A6955" s="1" t="s">
        <v>20430</v>
      </c>
      <c r="B6955" s="1">
        <v>7.0</v>
      </c>
      <c r="C6955" s="1" t="s">
        <v>20431</v>
      </c>
      <c r="D6955" s="1" t="s">
        <v>16</v>
      </c>
      <c r="E6955" s="1" t="s">
        <v>20432</v>
      </c>
      <c r="F6955" s="1" t="str">
        <f>IFERROR(__xludf.DUMMYFUNCTION("GOOGLETRANSLATE(A6955, ""zh-CN"", ""ko"")"),"걸작")</f>
        <v>걸작</v>
      </c>
    </row>
    <row r="6956" ht="15.75" customHeight="1">
      <c r="A6956" s="1" t="s">
        <v>20433</v>
      </c>
      <c r="B6956" s="1">
        <v>7.0</v>
      </c>
      <c r="C6956" s="1" t="s">
        <v>20434</v>
      </c>
      <c r="D6956" s="1" t="s">
        <v>8</v>
      </c>
      <c r="E6956" s="1" t="s">
        <v>20435</v>
      </c>
      <c r="F6956" s="1" t="str">
        <f>IFERROR(__xludf.DUMMYFUNCTION("GOOGLETRANSLATE(A6956, ""zh-CN"", ""ko"")"),"삶")</f>
        <v>삶</v>
      </c>
    </row>
    <row r="6957" ht="15.75" customHeight="1">
      <c r="A6957" s="1" t="s">
        <v>20436</v>
      </c>
      <c r="B6957" s="1">
        <v>7.0</v>
      </c>
      <c r="C6957" s="1" t="s">
        <v>11114</v>
      </c>
      <c r="D6957" s="1" t="s">
        <v>8</v>
      </c>
      <c r="E6957" s="1" t="s">
        <v>20437</v>
      </c>
      <c r="F6957" s="1" t="str">
        <f>IFERROR(__xludf.DUMMYFUNCTION("GOOGLETRANSLATE(A6957, ""zh-CN"", ""ko"")"),"갈기")</f>
        <v>갈기</v>
      </c>
    </row>
    <row r="6958" ht="15.75" customHeight="1">
      <c r="A6958" s="1" t="s">
        <v>20438</v>
      </c>
      <c r="B6958" s="1">
        <v>7.0</v>
      </c>
      <c r="C6958" s="1" t="s">
        <v>20439</v>
      </c>
      <c r="D6958" s="1" t="s">
        <v>16</v>
      </c>
      <c r="E6958" s="1" t="s">
        <v>11133</v>
      </c>
      <c r="F6958" s="1" t="str">
        <f>IFERROR(__xludf.DUMMYFUNCTION("GOOGLETRANSLATE(A6958, ""zh-CN"", ""ko"")"),"마법")</f>
        <v>마법</v>
      </c>
    </row>
    <row r="6959" ht="15.75" customHeight="1">
      <c r="A6959" s="1" t="s">
        <v>20440</v>
      </c>
      <c r="B6959" s="1">
        <v>7.0</v>
      </c>
      <c r="C6959" s="1" t="s">
        <v>20441</v>
      </c>
      <c r="D6959" s="1" t="s">
        <v>16</v>
      </c>
      <c r="E6959" s="1" t="s">
        <v>20442</v>
      </c>
      <c r="F6959" s="1" t="str">
        <f>IFERROR(__xludf.DUMMYFUNCTION("GOOGLETRANSLATE(A6959, ""zh-CN"", ""ko"")"),"버섯")</f>
        <v>버섯</v>
      </c>
    </row>
    <row r="6960" ht="15.75" customHeight="1">
      <c r="A6960" s="1" t="s">
        <v>20443</v>
      </c>
      <c r="B6960" s="1">
        <v>7.0</v>
      </c>
      <c r="C6960" s="1" t="s">
        <v>20444</v>
      </c>
      <c r="D6960" s="1" t="s">
        <v>16</v>
      </c>
      <c r="E6960" s="1" t="s">
        <v>20445</v>
      </c>
      <c r="F6960" s="1" t="str">
        <f>IFERROR(__xludf.DUMMYFUNCTION("GOOGLETRANSLATE(A6960, ""zh-CN"", ""ko"")"),"마법")</f>
        <v>마법</v>
      </c>
    </row>
    <row r="6961" ht="15.75" customHeight="1">
      <c r="A6961" s="1" t="s">
        <v>20446</v>
      </c>
      <c r="B6961" s="1">
        <v>7.0</v>
      </c>
      <c r="C6961" s="1" t="s">
        <v>20447</v>
      </c>
      <c r="D6961" s="1" t="s">
        <v>8</v>
      </c>
      <c r="E6961" s="1" t="s">
        <v>20448</v>
      </c>
      <c r="F6961" s="1" t="str">
        <f>IFERROR(__xludf.DUMMYFUNCTION("GOOGLETRANSLATE(A6961, ""zh-CN"", ""ko"")"),"담금질")</f>
        <v>담금질</v>
      </c>
    </row>
    <row r="6962" ht="15.75" customHeight="1">
      <c r="A6962" s="1" t="s">
        <v>20449</v>
      </c>
      <c r="B6962" s="1">
        <v>7.0</v>
      </c>
      <c r="C6962" s="1" t="s">
        <v>20450</v>
      </c>
      <c r="D6962" s="1" t="s">
        <v>16</v>
      </c>
      <c r="E6962" s="1" t="s">
        <v>20451</v>
      </c>
      <c r="F6962" s="1" t="str">
        <f>IFERROR(__xludf.DUMMYFUNCTION("GOOGLETRANSLATE(A6962, ""zh-CN"", ""ko"")"),"고난")</f>
        <v>고난</v>
      </c>
    </row>
    <row r="6963" ht="15.75" customHeight="1">
      <c r="A6963" s="1" t="s">
        <v>20452</v>
      </c>
      <c r="B6963" s="1">
        <v>7.0</v>
      </c>
      <c r="C6963" s="1" t="s">
        <v>20453</v>
      </c>
      <c r="D6963" s="1" t="s">
        <v>8</v>
      </c>
      <c r="E6963" s="1" t="s">
        <v>20454</v>
      </c>
      <c r="F6963" s="1" t="str">
        <f>IFERROR(__xludf.DUMMYFUNCTION("GOOGLETRANSLATE(A6963, ""zh-CN"", ""ko"")"),"입다")</f>
        <v>입다</v>
      </c>
    </row>
    <row r="6964" ht="15.75" customHeight="1">
      <c r="A6964" s="1" t="s">
        <v>20455</v>
      </c>
      <c r="B6964" s="1">
        <v>7.0</v>
      </c>
      <c r="C6964" s="1" t="s">
        <v>20456</v>
      </c>
      <c r="D6964" s="1" t="s">
        <v>8</v>
      </c>
      <c r="E6964" s="1" t="s">
        <v>20457</v>
      </c>
      <c r="F6964" s="1" t="str">
        <f>IFERROR(__xludf.DUMMYFUNCTION("GOOGLETRANSLATE(A6964, ""zh-CN"", ""ko"")"),"닦음")</f>
        <v>닦음</v>
      </c>
    </row>
    <row r="6965" ht="15.75" customHeight="1">
      <c r="A6965" s="1" t="s">
        <v>20458</v>
      </c>
      <c r="B6965" s="1">
        <v>7.0</v>
      </c>
      <c r="C6965" s="1" t="s">
        <v>20459</v>
      </c>
      <c r="D6965" s="1" t="s">
        <v>16</v>
      </c>
      <c r="E6965" s="1" t="s">
        <v>20460</v>
      </c>
      <c r="F6965" s="1" t="str">
        <f>IFERROR(__xludf.DUMMYFUNCTION("GOOGLETRANSLATE(A6965, ""zh-CN"", ""ko"")"),"잉크")</f>
        <v>잉크</v>
      </c>
    </row>
    <row r="6966" ht="15.75" customHeight="1">
      <c r="A6966" s="1" t="s">
        <v>20461</v>
      </c>
      <c r="B6966" s="1">
        <v>7.0</v>
      </c>
      <c r="C6966" s="1" t="s">
        <v>20462</v>
      </c>
      <c r="D6966" s="1" t="s">
        <v>52</v>
      </c>
      <c r="E6966" s="1" t="s">
        <v>20463</v>
      </c>
      <c r="F6966" s="1" t="str">
        <f>IFERROR(__xludf.DUMMYFUNCTION("GOOGLETRANSLATE(A6966, ""zh-CN"", ""ko"")"),"모다")</f>
        <v>모다</v>
      </c>
    </row>
    <row r="6967" ht="15.75" customHeight="1">
      <c r="A6967" s="1" t="s">
        <v>20464</v>
      </c>
      <c r="B6967" s="1">
        <v>7.0</v>
      </c>
      <c r="C6967" s="1" t="s">
        <v>20465</v>
      </c>
      <c r="D6967" s="1" t="s">
        <v>33</v>
      </c>
      <c r="E6967" s="1" t="s">
        <v>20466</v>
      </c>
      <c r="F6967" s="1" t="str">
        <f>IFERROR(__xludf.DUMMYFUNCTION("GOOGLETRANSLATE(A6967, ""zh-CN"", ""ko"")"),"그럴 수도 있을까요?")</f>
        <v>그럴 수도 있을까요?</v>
      </c>
    </row>
    <row r="6968" ht="15.75" customHeight="1">
      <c r="A6968" s="1" t="s">
        <v>20467</v>
      </c>
      <c r="B6968" s="1">
        <v>7.0</v>
      </c>
      <c r="C6968" s="1" t="s">
        <v>20468</v>
      </c>
      <c r="D6968" s="1" t="s">
        <v>16</v>
      </c>
      <c r="E6968" s="1" t="s">
        <v>20469</v>
      </c>
      <c r="F6968" s="1" t="str">
        <f>IFERROR(__xludf.DUMMYFUNCTION("GOOGLETRANSLATE(A6968, ""zh-CN"", ""ko"")"),"여자 이름")</f>
        <v>여자 이름</v>
      </c>
    </row>
    <row r="6969" ht="15.75" customHeight="1">
      <c r="A6969" s="1" t="s">
        <v>20470</v>
      </c>
      <c r="B6969" s="1">
        <v>7.0</v>
      </c>
      <c r="C6969" s="1" t="s">
        <v>20471</v>
      </c>
      <c r="D6969" s="1" t="s">
        <v>8</v>
      </c>
      <c r="E6969" s="1" t="s">
        <v>20472</v>
      </c>
      <c r="F6969" s="1" t="str">
        <f>IFERROR(__xludf.DUMMYFUNCTION("GOOGLETRANSLATE(A6969, ""zh-CN"", ""ko"")"),"감소")</f>
        <v>감소</v>
      </c>
    </row>
    <row r="6970" ht="15.75" customHeight="1">
      <c r="A6970" s="1" t="s">
        <v>20473</v>
      </c>
      <c r="B6970" s="1">
        <v>7.0</v>
      </c>
      <c r="C6970" s="1" t="s">
        <v>20474</v>
      </c>
      <c r="E6970" s="1" t="s">
        <v>20475</v>
      </c>
      <c r="F6970" s="1" t="str">
        <f>IFERROR(__xludf.DUMMYFUNCTION("GOOGLETRANSLATE(A6970, ""zh-CN"", ""ko"")"),"알려지지 않은")</f>
        <v>알려지지 않은</v>
      </c>
    </row>
    <row r="6971" ht="15.75" customHeight="1">
      <c r="A6971" s="1" t="s">
        <v>20476</v>
      </c>
      <c r="B6971" s="1">
        <v>7.0</v>
      </c>
      <c r="C6971" s="1" t="s">
        <v>20477</v>
      </c>
      <c r="D6971" s="1" t="s">
        <v>15352</v>
      </c>
      <c r="E6971" s="1" t="s">
        <v>20478</v>
      </c>
      <c r="F6971" s="1" t="str">
        <f>IFERROR(__xludf.DUMMYFUNCTION("GOOGLETRANSLATE(A6971, ""zh-CN"", ""ko"")"),"묵시적 동의")</f>
        <v>묵시적 동의</v>
      </c>
    </row>
    <row r="6972" ht="15.75" customHeight="1">
      <c r="A6972" s="1" t="s">
        <v>20479</v>
      </c>
      <c r="B6972" s="1">
        <v>7.0</v>
      </c>
      <c r="C6972" s="1" t="s">
        <v>20480</v>
      </c>
      <c r="D6972" s="1" t="s">
        <v>52</v>
      </c>
      <c r="E6972" s="1" t="s">
        <v>20481</v>
      </c>
      <c r="F6972" s="1" t="str">
        <f>IFERROR(__xludf.DUMMYFUNCTION("GOOGLETRANSLATE(A6972, ""zh-CN"", ""ko"")"),"무관심한")</f>
        <v>무관심한</v>
      </c>
    </row>
    <row r="6973" ht="15.75" customHeight="1">
      <c r="A6973" s="1" t="s">
        <v>20482</v>
      </c>
      <c r="B6973" s="1">
        <v>7.0</v>
      </c>
      <c r="C6973" s="1" t="s">
        <v>20483</v>
      </c>
      <c r="D6973" s="1" t="s">
        <v>16</v>
      </c>
      <c r="E6973" s="1" t="s">
        <v>20484</v>
      </c>
      <c r="F6973" s="1" t="str">
        <f>IFERROR(__xludf.DUMMYFUNCTION("GOOGLETRANSLATE(A6973, ""zh-CN"", ""ko"")"),"끝")</f>
        <v>끝</v>
      </c>
    </row>
    <row r="6974" ht="15.75" customHeight="1">
      <c r="A6974" s="1" t="s">
        <v>20485</v>
      </c>
      <c r="B6974" s="1">
        <v>7.0</v>
      </c>
      <c r="C6974" s="1" t="s">
        <v>20486</v>
      </c>
      <c r="D6974" s="1" t="s">
        <v>8</v>
      </c>
      <c r="E6974" s="1" t="s">
        <v>20487</v>
      </c>
      <c r="F6974" s="1" t="str">
        <f>IFERROR(__xludf.DUMMYFUNCTION("GOOGLETRANSLATE(A6974, ""zh-CN"", ""ko"")"),"압수된")</f>
        <v>압수된</v>
      </c>
    </row>
    <row r="6975" ht="15.75" customHeight="1">
      <c r="A6975" s="1" t="s">
        <v>20488</v>
      </c>
      <c r="B6975" s="1">
        <v>7.0</v>
      </c>
      <c r="C6975" s="1" t="s">
        <v>20489</v>
      </c>
      <c r="D6975" s="1" t="s">
        <v>16</v>
      </c>
      <c r="E6975" s="1" t="s">
        <v>11148</v>
      </c>
      <c r="F6975" s="1" t="str">
        <f>IFERROR(__xludf.DUMMYFUNCTION("GOOGLETRANSLATE(A6975, ""zh-CN"", ""ko"")"),"잉크")</f>
        <v>잉크</v>
      </c>
    </row>
    <row r="6976" ht="15.75" customHeight="1">
      <c r="A6976" s="1" t="s">
        <v>20490</v>
      </c>
      <c r="B6976" s="1">
        <v>7.0</v>
      </c>
      <c r="C6976" s="1" t="s">
        <v>20491</v>
      </c>
      <c r="D6976" s="1" t="s">
        <v>8</v>
      </c>
      <c r="E6976" s="1" t="s">
        <v>20492</v>
      </c>
      <c r="F6976" s="1" t="str">
        <f>IFERROR(__xludf.DUMMYFUNCTION("GOOGLETRANSLATE(A6976, ""zh-CN"", ""ko"")"),"살인")</f>
        <v>살인</v>
      </c>
    </row>
    <row r="6977" ht="15.75" customHeight="1">
      <c r="A6977" s="1" t="s">
        <v>20493</v>
      </c>
      <c r="B6977" s="1">
        <v>7.0</v>
      </c>
      <c r="C6977" s="1" t="s">
        <v>20494</v>
      </c>
      <c r="D6977" s="1" t="s">
        <v>8</v>
      </c>
      <c r="E6977" s="1" t="s">
        <v>2344</v>
      </c>
      <c r="F6977" s="1" t="str">
        <f>IFERROR(__xludf.DUMMYFUNCTION("GOOGLETRANSLATE(A6977, ""zh-CN"", ""ko"")"),"계획")</f>
        <v>계획</v>
      </c>
    </row>
    <row r="6978" ht="15.75" customHeight="1">
      <c r="A6978" s="1" t="s">
        <v>20495</v>
      </c>
      <c r="B6978" s="1">
        <v>7.0</v>
      </c>
      <c r="C6978" s="1" t="s">
        <v>20496</v>
      </c>
      <c r="D6978" s="1" t="s">
        <v>8</v>
      </c>
      <c r="E6978" s="1" t="s">
        <v>20497</v>
      </c>
      <c r="F6978" s="1" t="str">
        <f>IFERROR(__xludf.DUMMYFUNCTION("GOOGLETRANSLATE(A6978, ""zh-CN"", ""ko"")"),"구하다")</f>
        <v>구하다</v>
      </c>
    </row>
    <row r="6979" ht="15.75" customHeight="1">
      <c r="A6979" s="1" t="s">
        <v>20498</v>
      </c>
      <c r="B6979" s="1">
        <v>7.0</v>
      </c>
      <c r="C6979" s="1" t="s">
        <v>20499</v>
      </c>
      <c r="D6979" s="1" t="s">
        <v>8</v>
      </c>
      <c r="E6979" s="1" t="s">
        <v>20500</v>
      </c>
      <c r="F6979" s="1" t="str">
        <f>IFERROR(__xludf.DUMMYFUNCTION("GOOGLETRANSLATE(A6979, ""zh-CN"", ""ko"")"),"생계 유지")</f>
        <v>생계 유지</v>
      </c>
    </row>
    <row r="6980" ht="15.75" customHeight="1">
      <c r="A6980" s="1" t="s">
        <v>20501</v>
      </c>
      <c r="B6980" s="1">
        <v>7.0</v>
      </c>
      <c r="C6980" s="1" t="s">
        <v>20502</v>
      </c>
      <c r="D6980" s="1" t="s">
        <v>26</v>
      </c>
      <c r="E6980" s="1" t="s">
        <v>20503</v>
      </c>
      <c r="F6980" s="1" t="str">
        <f>IFERROR(__xludf.DUMMYFUNCTION("GOOGLETRANSLATE(A6980, ""zh-CN"", ""ko"")"),"무")</f>
        <v>무</v>
      </c>
    </row>
    <row r="6981" ht="15.75" customHeight="1">
      <c r="A6981" s="1" t="s">
        <v>20504</v>
      </c>
      <c r="B6981" s="1">
        <v>7.0</v>
      </c>
      <c r="C6981" s="1" t="s">
        <v>20505</v>
      </c>
      <c r="D6981" s="1" t="s">
        <v>16</v>
      </c>
      <c r="E6981" s="1" t="s">
        <v>20506</v>
      </c>
      <c r="F6981" s="1" t="str">
        <f>IFERROR(__xludf.DUMMYFUNCTION("GOOGLETRANSLATE(A6981, ""zh-CN"", ""ko"")"),"모란")</f>
        <v>모란</v>
      </c>
    </row>
    <row r="6982" ht="15.75" customHeight="1">
      <c r="A6982" s="1" t="s">
        <v>20507</v>
      </c>
      <c r="B6982" s="1">
        <v>7.0</v>
      </c>
      <c r="C6982" s="1" t="s">
        <v>20508</v>
      </c>
      <c r="D6982" s="1" t="s">
        <v>16</v>
      </c>
      <c r="E6982" s="1" t="s">
        <v>20509</v>
      </c>
      <c r="F6982" s="1" t="str">
        <f>IFERROR(__xludf.DUMMYFUNCTION("GOOGLETRANSLATE(A6982, ""zh-CN"", ""ko"")"),"무지")</f>
        <v>무지</v>
      </c>
    </row>
    <row r="6983" ht="15.75" customHeight="1">
      <c r="A6983" s="1" t="s">
        <v>20510</v>
      </c>
      <c r="B6983" s="1">
        <v>7.0</v>
      </c>
      <c r="C6983" s="1" t="s">
        <v>20511</v>
      </c>
      <c r="D6983" s="1" t="s">
        <v>16</v>
      </c>
      <c r="E6983" s="1" t="s">
        <v>20512</v>
      </c>
      <c r="F6983" s="1" t="str">
        <f>IFERROR(__xludf.DUMMYFUNCTION("GOOGLETRANSLATE(A6983, ""zh-CN"", ""ko"")"),"화면")</f>
        <v>화면</v>
      </c>
    </row>
    <row r="6984" ht="15.75" customHeight="1">
      <c r="A6984" s="1" t="s">
        <v>20513</v>
      </c>
      <c r="B6984" s="1">
        <v>7.0</v>
      </c>
      <c r="C6984" s="1" t="s">
        <v>20511</v>
      </c>
      <c r="D6984" s="1" t="s">
        <v>16</v>
      </c>
      <c r="E6984" s="1" t="s">
        <v>20514</v>
      </c>
      <c r="F6984" s="1" t="str">
        <f>IFERROR(__xludf.DUMMYFUNCTION("GOOGLETRANSLATE(A6984, ""zh-CN"", ""ko"")"),"무덤")</f>
        <v>무덤</v>
      </c>
    </row>
    <row r="6985" ht="15.75" customHeight="1">
      <c r="A6985" s="1" t="s">
        <v>20515</v>
      </c>
      <c r="B6985" s="1">
        <v>7.0</v>
      </c>
      <c r="C6985" s="1" t="s">
        <v>20516</v>
      </c>
      <c r="D6985" s="1" t="s">
        <v>16</v>
      </c>
      <c r="E6985" s="1" t="s">
        <v>20517</v>
      </c>
      <c r="F6985" s="1" t="str">
        <f>IFERROR(__xludf.DUMMYFUNCTION("GOOGLETRANSLATE(A6985, ""zh-CN"", ""ko"")"),"묘비")</f>
        <v>묘비</v>
      </c>
    </row>
    <row r="6986" ht="15.75" customHeight="1">
      <c r="A6986" s="1" t="s">
        <v>20518</v>
      </c>
      <c r="B6986" s="1">
        <v>7.0</v>
      </c>
      <c r="C6986" s="1" t="s">
        <v>20519</v>
      </c>
      <c r="E6986" s="1" t="s">
        <v>20520</v>
      </c>
      <c r="F6986" s="1" t="str">
        <f>IFERROR(__xludf.DUMMYFUNCTION("GOOGLETRANSLATE(A6986, ""zh-CN"", ""ko"")"),"시선이 고정되었다")</f>
        <v>시선이 고정되었다</v>
      </c>
    </row>
    <row r="6987" ht="15.75" customHeight="1">
      <c r="A6987" s="1" t="s">
        <v>20521</v>
      </c>
      <c r="B6987" s="1">
        <v>7.0</v>
      </c>
      <c r="C6987" s="1" t="s">
        <v>20522</v>
      </c>
      <c r="D6987" s="1" t="s">
        <v>16</v>
      </c>
      <c r="E6987" s="1" t="s">
        <v>20523</v>
      </c>
      <c r="F6987" s="1" t="str">
        <f>IFERROR(__xludf.DUMMYFUNCTION("GOOGLETRANSLATE(A6987, ""zh-CN"", ""ko"")"),"목장")</f>
        <v>목장</v>
      </c>
    </row>
    <row r="6988" ht="15.75" customHeight="1">
      <c r="A6988" s="1" t="s">
        <v>20524</v>
      </c>
      <c r="B6988" s="1">
        <v>7.0</v>
      </c>
      <c r="C6988" s="1" t="s">
        <v>20525</v>
      </c>
      <c r="E6988" s="1" t="s">
        <v>20526</v>
      </c>
      <c r="F6988" s="1" t="str">
        <f>IFERROR(__xludf.DUMMYFUNCTION("GOOGLETRANSLATE(A6988, ""zh-CN"", ""ko"")"),"깜짝 놀랐다")</f>
        <v>깜짝 놀랐다</v>
      </c>
    </row>
    <row r="6989" ht="15.75" customHeight="1">
      <c r="A6989" s="1" t="s">
        <v>20527</v>
      </c>
      <c r="B6989" s="1">
        <v>7.0</v>
      </c>
      <c r="C6989" s="1" t="s">
        <v>2686</v>
      </c>
      <c r="D6989" s="1" t="s">
        <v>16</v>
      </c>
      <c r="E6989" s="1" t="s">
        <v>20528</v>
      </c>
      <c r="F6989" s="1" t="str">
        <f>IFERROR(__xludf.DUMMYFUNCTION("GOOGLETRANSLATE(A6989, ""zh-CN"", ""ko"")"),"묘지")</f>
        <v>묘지</v>
      </c>
    </row>
    <row r="6990" ht="15.75" customHeight="1">
      <c r="A6990" s="1" t="s">
        <v>20529</v>
      </c>
      <c r="B6990" s="1">
        <v>7.0</v>
      </c>
      <c r="C6990" s="1" t="s">
        <v>20530</v>
      </c>
      <c r="D6990" s="1" t="s">
        <v>16</v>
      </c>
      <c r="E6990" s="1" t="s">
        <v>20531</v>
      </c>
      <c r="F6990" s="1" t="str">
        <f>IFERROR(__xludf.DUMMYFUNCTION("GOOGLETRANSLATE(A6990, ""zh-CN"", ""ko"")"),"비하인드 스토리")</f>
        <v>비하인드 스토리</v>
      </c>
    </row>
    <row r="6991" ht="15.75" customHeight="1">
      <c r="A6991" s="1" t="s">
        <v>20532</v>
      </c>
      <c r="B6991" s="1">
        <v>7.0</v>
      </c>
      <c r="C6991" s="1" t="s">
        <v>20533</v>
      </c>
      <c r="D6991" s="1" t="s">
        <v>16</v>
      </c>
      <c r="E6991" s="1" t="s">
        <v>20534</v>
      </c>
      <c r="F6991" s="1" t="str">
        <f>IFERROR(__xludf.DUMMYFUNCTION("GOOGLETRANSLATE(A6991, ""zh-CN"", ""ko"")"),"목수")</f>
        <v>목수</v>
      </c>
    </row>
    <row r="6992" ht="15.75" customHeight="1">
      <c r="A6992" s="1" t="s">
        <v>20535</v>
      </c>
      <c r="B6992" s="1">
        <v>7.0</v>
      </c>
      <c r="C6992" s="1" t="s">
        <v>20536</v>
      </c>
      <c r="D6992" s="1" t="s">
        <v>8</v>
      </c>
      <c r="E6992" s="1" t="s">
        <v>20537</v>
      </c>
      <c r="F6992" s="1" t="str">
        <f>IFERROR(__xludf.DUMMYFUNCTION("GOOGLETRANSLATE(A6992, ""zh-CN"", ""ko"")"),"모금 활동")</f>
        <v>모금 활동</v>
      </c>
    </row>
    <row r="6993" ht="15.75" customHeight="1">
      <c r="A6993" s="1" t="s">
        <v>20538</v>
      </c>
      <c r="B6993" s="1">
        <v>7.0</v>
      </c>
      <c r="C6993" s="1" t="s">
        <v>20539</v>
      </c>
      <c r="D6993" s="1" t="s">
        <v>16</v>
      </c>
      <c r="E6993" s="1" t="s">
        <v>20540</v>
      </c>
      <c r="F6993" s="1" t="str">
        <f>IFERROR(__xludf.DUMMYFUNCTION("GOOGLETRANSLATE(A6993, ""zh-CN"", ""ko"")"),"목동들")</f>
        <v>목동들</v>
      </c>
    </row>
    <row r="6994" ht="15.75" customHeight="1">
      <c r="A6994" s="1" t="s">
        <v>20541</v>
      </c>
      <c r="B6994" s="1">
        <v>7.0</v>
      </c>
      <c r="C6994" s="1" t="s">
        <v>20542</v>
      </c>
      <c r="D6994" s="1" t="s">
        <v>16</v>
      </c>
      <c r="E6994" s="1" t="s">
        <v>20543</v>
      </c>
      <c r="F6994" s="1" t="str">
        <f>IFERROR(__xludf.DUMMYFUNCTION("GOOGLETRANSLATE(A6994, ""zh-CN"", ""ko"")"),"인형")</f>
        <v>인형</v>
      </c>
    </row>
    <row r="6995" ht="15.75" customHeight="1">
      <c r="A6995" s="1" t="s">
        <v>20544</v>
      </c>
      <c r="B6995" s="1">
        <v>7.0</v>
      </c>
      <c r="C6995" s="1" t="s">
        <v>20545</v>
      </c>
      <c r="E6995" s="1" t="s">
        <v>20546</v>
      </c>
      <c r="F6995" s="1" t="str">
        <f>IFERROR(__xludf.DUMMYFUNCTION("GOOGLETRANSLATE(A6995, ""zh-CN"", ""ko"")"),"오만한")</f>
        <v>오만한</v>
      </c>
    </row>
    <row r="6996" ht="15.75" customHeight="1">
      <c r="A6996" s="1" t="s">
        <v>20547</v>
      </c>
      <c r="B6996" s="1">
        <v>7.0</v>
      </c>
      <c r="C6996" s="1" t="s">
        <v>20548</v>
      </c>
      <c r="D6996" s="1" t="s">
        <v>8</v>
      </c>
      <c r="E6996" s="1" t="s">
        <v>20549</v>
      </c>
      <c r="F6996" s="1" t="str">
        <f>IFERROR(__xludf.DUMMYFUNCTION("GOOGLETRANSLATE(A6996, ""zh-CN"", ""ko"")"),"외침")</f>
        <v>외침</v>
      </c>
    </row>
    <row r="6997" ht="15.75" customHeight="1">
      <c r="A6997" s="1" t="s">
        <v>20550</v>
      </c>
      <c r="B6997" s="1">
        <v>7.0</v>
      </c>
      <c r="C6997" s="1" t="s">
        <v>20551</v>
      </c>
      <c r="D6997" s="1" t="s">
        <v>8</v>
      </c>
      <c r="E6997" s="1" t="s">
        <v>20552</v>
      </c>
      <c r="F6997" s="1" t="str">
        <f>IFERROR(__xludf.DUMMYFUNCTION("GOOGLETRANSLATE(A6997, ""zh-CN"", ""ko"")"),"포함됨")</f>
        <v>포함됨</v>
      </c>
    </row>
    <row r="6998" ht="15.75" customHeight="1">
      <c r="A6998" s="1" t="s">
        <v>20553</v>
      </c>
      <c r="B6998" s="1">
        <v>7.0</v>
      </c>
      <c r="C6998" s="1" t="s">
        <v>20554</v>
      </c>
      <c r="D6998" s="1" t="s">
        <v>8</v>
      </c>
      <c r="E6998" s="1" t="s">
        <v>20555</v>
      </c>
      <c r="F6998" s="1" t="str">
        <f>IFERROR(__xludf.DUMMYFUNCTION("GOOGLETRANSLATE(A6998, ""zh-CN"", ""ko"")"),"세")</f>
        <v>세</v>
      </c>
    </row>
    <row r="6999" ht="15.75" customHeight="1">
      <c r="A6999" s="1" t="s">
        <v>20556</v>
      </c>
      <c r="B6999" s="1">
        <v>7.0</v>
      </c>
      <c r="C6999" s="1" t="s">
        <v>20557</v>
      </c>
      <c r="D6999" s="1" t="s">
        <v>16</v>
      </c>
      <c r="E6999" s="1" t="s">
        <v>20558</v>
      </c>
      <c r="F6999" s="1" t="str">
        <f>IFERROR(__xludf.DUMMYFUNCTION("GOOGLETRANSLATE(A6999, ""zh-CN"", ""ko"")"),"납세자")</f>
        <v>납세자</v>
      </c>
    </row>
    <row r="7000" ht="15.75" customHeight="1">
      <c r="A7000" s="1" t="s">
        <v>20559</v>
      </c>
      <c r="B7000" s="1">
        <v>7.0</v>
      </c>
      <c r="C7000" s="1" t="s">
        <v>20560</v>
      </c>
      <c r="D7000" s="1" t="s">
        <v>33</v>
      </c>
      <c r="E7000" s="1" t="s">
        <v>20561</v>
      </c>
      <c r="F7000" s="1" t="str">
        <f>IFERROR(__xludf.DUMMYFUNCTION("GOOGLETRANSLATE(A7000, ""zh-CN"", ""ko"")"),"그래서")</f>
        <v>그래서</v>
      </c>
    </row>
    <row r="7001" ht="15.75" customHeight="1">
      <c r="A7001" s="1" t="s">
        <v>20562</v>
      </c>
      <c r="B7001" s="1">
        <v>7.0</v>
      </c>
      <c r="C7001" s="1" t="s">
        <v>20563</v>
      </c>
      <c r="D7001" s="1" t="s">
        <v>16</v>
      </c>
      <c r="E7001" s="1" t="s">
        <v>20564</v>
      </c>
      <c r="F7001" s="1" t="str">
        <f>IFERROR(__xludf.DUMMYFUNCTION("GOOGLETRANSLATE(A7001, ""zh-CN"", ""ko"")"),"치즈")</f>
        <v>치즈</v>
      </c>
    </row>
    <row r="7002" ht="15.75" customHeight="1">
      <c r="A7002" s="1" t="s">
        <v>20565</v>
      </c>
      <c r="B7002" s="1">
        <v>7.0</v>
      </c>
      <c r="C7002" s="1" t="s">
        <v>20566</v>
      </c>
      <c r="D7002" s="1" t="s">
        <v>1473</v>
      </c>
      <c r="E7002" s="1" t="s">
        <v>20567</v>
      </c>
      <c r="F7002" s="1" t="str">
        <f>IFERROR(__xludf.DUMMYFUNCTION("GOOGLETRANSLATE(A7002, ""zh-CN"", ""ko"")"),"그리고 심지어")</f>
        <v>그리고 심지어</v>
      </c>
    </row>
    <row r="7003" ht="15.75" customHeight="1">
      <c r="A7003" s="1" t="s">
        <v>20568</v>
      </c>
      <c r="B7003" s="1">
        <v>7.0</v>
      </c>
      <c r="C7003" s="1" t="s">
        <v>20569</v>
      </c>
      <c r="D7003" s="1" t="s">
        <v>8</v>
      </c>
      <c r="E7003" s="1" t="s">
        <v>20570</v>
      </c>
      <c r="F7003" s="1" t="str">
        <f>IFERROR(__xludf.DUMMYFUNCTION("GOOGLETRANSLATE(A7003, ""zh-CN"", ""ko"")"),"튼튼한")</f>
        <v>튼튼한</v>
      </c>
    </row>
    <row r="7004" ht="15.75" customHeight="1">
      <c r="A7004" s="1" t="s">
        <v>20571</v>
      </c>
      <c r="B7004" s="1">
        <v>7.0</v>
      </c>
      <c r="C7004" s="1" t="s">
        <v>20572</v>
      </c>
      <c r="E7004" s="1" t="s">
        <v>20573</v>
      </c>
      <c r="F7004" s="1" t="str">
        <f>IFERROR(__xludf.DUMMYFUNCTION("GOOGLETRANSLATE(A7004, ""zh-CN"", ""ko"")"),"흥미롭네요")</f>
        <v>흥미롭네요</v>
      </c>
    </row>
    <row r="7005" ht="15.75" customHeight="1">
      <c r="A7005" s="1" t="s">
        <v>20574</v>
      </c>
      <c r="B7005" s="1">
        <v>7.0</v>
      </c>
      <c r="C7005" s="1" t="s">
        <v>20575</v>
      </c>
      <c r="D7005" s="1" t="s">
        <v>16</v>
      </c>
      <c r="E7005" s="1" t="s">
        <v>20576</v>
      </c>
      <c r="F7005" s="1" t="str">
        <f>IFERROR(__xludf.DUMMYFUNCTION("GOOGLETRANSLATE(A7005, ""zh-CN"", ""ko"")"),"어려움")</f>
        <v>어려움</v>
      </c>
    </row>
    <row r="7006" ht="15.75" customHeight="1">
      <c r="A7006" s="1" t="s">
        <v>20577</v>
      </c>
      <c r="B7006" s="1">
        <v>7.0</v>
      </c>
      <c r="C7006" s="1" t="s">
        <v>20578</v>
      </c>
      <c r="E7006" s="1" t="s">
        <v>20579</v>
      </c>
      <c r="F7006" s="1" t="str">
        <f>IFERROR(__xludf.DUMMYFUNCTION("GOOGLETRANSLATE(A7006, ""zh-CN"", ""ko"")"),"보기 드문 광경")</f>
        <v>보기 드문 광경</v>
      </c>
    </row>
    <row r="7007" ht="15.75" customHeight="1">
      <c r="A7007" s="1" t="s">
        <v>20580</v>
      </c>
      <c r="B7007" s="1">
        <v>7.0</v>
      </c>
      <c r="C7007" s="1" t="s">
        <v>20581</v>
      </c>
      <c r="D7007" s="1" t="s">
        <v>16</v>
      </c>
      <c r="E7007" s="1" t="s">
        <v>20582</v>
      </c>
      <c r="F7007" s="1" t="str">
        <f>IFERROR(__xludf.DUMMYFUNCTION("GOOGLETRANSLATE(A7007, ""zh-CN"", ""ko"")"),"남성")</f>
        <v>남성</v>
      </c>
    </row>
    <row r="7008" ht="15.75" customHeight="1">
      <c r="A7008" s="1" t="s">
        <v>20583</v>
      </c>
      <c r="B7008" s="1">
        <v>7.0</v>
      </c>
      <c r="C7008" s="1" t="s">
        <v>20584</v>
      </c>
      <c r="D7008" s="1" t="s">
        <v>16</v>
      </c>
      <c r="E7008" s="1" t="s">
        <v>20585</v>
      </c>
      <c r="F7008" s="1" t="str">
        <f>IFERROR(__xludf.DUMMYFUNCTION("GOOGLETRANSLATE(A7008, ""zh-CN"", ""ko"")"),"호박")</f>
        <v>호박</v>
      </c>
    </row>
    <row r="7009" ht="15.75" customHeight="1">
      <c r="A7009" s="1" t="s">
        <v>20586</v>
      </c>
      <c r="B7009" s="1">
        <v>7.0</v>
      </c>
      <c r="C7009" s="1" t="s">
        <v>20587</v>
      </c>
      <c r="D7009" s="1" t="s">
        <v>16</v>
      </c>
      <c r="E7009" s="1" t="s">
        <v>20588</v>
      </c>
      <c r="F7009" s="1" t="str">
        <f>IFERROR(__xludf.DUMMYFUNCTION("GOOGLETRANSLATE(A7009, ""zh-CN"", ""ko"")"),"어려움")</f>
        <v>어려움</v>
      </c>
    </row>
    <row r="7010" ht="15.75" customHeight="1">
      <c r="A7010" s="1" t="s">
        <v>20589</v>
      </c>
      <c r="B7010" s="1">
        <v>7.0</v>
      </c>
      <c r="C7010" s="1" t="s">
        <v>20590</v>
      </c>
      <c r="D7010" s="1" t="s">
        <v>52</v>
      </c>
      <c r="E7010" s="1" t="s">
        <v>20591</v>
      </c>
      <c r="F7010" s="1" t="str">
        <f>IFERROR(__xludf.DUMMYFUNCTION("GOOGLETRANSLATE(A7010, ""zh-CN"", ""ko"")"),"당혹스러운")</f>
        <v>당혹스러운</v>
      </c>
    </row>
    <row r="7011" ht="15.75" customHeight="1">
      <c r="A7011" s="1" t="s">
        <v>20592</v>
      </c>
      <c r="B7011" s="1">
        <v>7.0</v>
      </c>
      <c r="C7011" s="1" t="s">
        <v>20593</v>
      </c>
      <c r="E7011" s="1" t="s">
        <v>20594</v>
      </c>
      <c r="F7011" s="1" t="str">
        <f>IFERROR(__xludf.DUMMYFUNCTION("GOOGLETRANSLATE(A7011, ""zh-CN"", ""ko"")"),"믿을 수 없는")</f>
        <v>믿을 수 없는</v>
      </c>
    </row>
    <row r="7012" ht="15.75" customHeight="1">
      <c r="A7012" s="1" t="s">
        <v>20595</v>
      </c>
      <c r="B7012" s="1">
        <v>7.0</v>
      </c>
      <c r="C7012" s="1" t="s">
        <v>20596</v>
      </c>
      <c r="D7012" s="1" t="s">
        <v>8</v>
      </c>
      <c r="E7012" s="1" t="s">
        <v>20597</v>
      </c>
      <c r="F7012" s="1" t="str">
        <f>IFERROR(__xludf.DUMMYFUNCTION("GOOGLETRANSLATE(A7012, ""zh-CN"", ""ko"")"),"할퀴다")</f>
        <v>할퀴다</v>
      </c>
    </row>
    <row r="7013" ht="15.75" customHeight="1">
      <c r="A7013" s="1" t="s">
        <v>20598</v>
      </c>
      <c r="B7013" s="1">
        <v>7.0</v>
      </c>
      <c r="C7013" s="1" t="s">
        <v>20599</v>
      </c>
      <c r="D7013" s="1" t="s">
        <v>16</v>
      </c>
      <c r="E7013" s="1" t="s">
        <v>18973</v>
      </c>
      <c r="F7013" s="1" t="str">
        <f>IFERROR(__xludf.DUMMYFUNCTION("GOOGLETRANSLATE(A7013, ""zh-CN"", ""ko"")"),"정신")</f>
        <v>정신</v>
      </c>
    </row>
    <row r="7014" ht="15.75" customHeight="1">
      <c r="A7014" s="1" t="s">
        <v>20600</v>
      </c>
      <c r="B7014" s="1">
        <v>7.0</v>
      </c>
      <c r="C7014" s="1" t="s">
        <v>20601</v>
      </c>
      <c r="E7014" s="1" t="s">
        <v>20602</v>
      </c>
      <c r="F7014" s="1" t="str">
        <f>IFERROR(__xludf.DUMMYFUNCTION("GOOGLETRANSLATE(A7014, ""zh-CN"", ""ko"")"),"성나게 하는")</f>
        <v>성나게 하는</v>
      </c>
    </row>
    <row r="7015" ht="15.75" customHeight="1">
      <c r="A7015" s="1" t="s">
        <v>20603</v>
      </c>
      <c r="B7015" s="1">
        <v>7.0</v>
      </c>
      <c r="C7015" s="1" t="s">
        <v>20604</v>
      </c>
      <c r="D7015" s="1" t="s">
        <v>8</v>
      </c>
      <c r="E7015" s="1" t="s">
        <v>20605</v>
      </c>
      <c r="F7015" s="1" t="str">
        <f>IFERROR(__xludf.DUMMYFUNCTION("GOOGLETRANSLATE(A7015, ""zh-CN"", ""ko"")"),"문제를 일으키다")</f>
        <v>문제를 일으키다</v>
      </c>
    </row>
    <row r="7016" ht="15.75" customHeight="1">
      <c r="A7016" s="1" t="s">
        <v>20606</v>
      </c>
      <c r="B7016" s="1">
        <v>7.0</v>
      </c>
      <c r="C7016" s="1" t="s">
        <v>20607</v>
      </c>
      <c r="D7016" s="1" t="s">
        <v>16</v>
      </c>
      <c r="E7016" s="1" t="s">
        <v>20608</v>
      </c>
      <c r="F7016" s="1" t="str">
        <f>IFERROR(__xludf.DUMMYFUNCTION("GOOGLETRANSLATE(A7016, ""zh-CN"", ""ko"")"),"메모리")</f>
        <v>메모리</v>
      </c>
    </row>
    <row r="7017" ht="15.75" customHeight="1">
      <c r="A7017" s="1" t="s">
        <v>20609</v>
      </c>
      <c r="B7017" s="1">
        <v>7.0</v>
      </c>
      <c r="C7017" s="1" t="s">
        <v>20610</v>
      </c>
      <c r="D7017" s="1" t="s">
        <v>16</v>
      </c>
      <c r="E7017" s="1" t="s">
        <v>20611</v>
      </c>
      <c r="F7017" s="1" t="str">
        <f>IFERROR(__xludf.DUMMYFUNCTION("GOOGLETRANSLATE(A7017, ""zh-CN"", ""ko"")"),"중국 본토")</f>
        <v>중국 본토</v>
      </c>
    </row>
    <row r="7018" ht="15.75" customHeight="1">
      <c r="A7018" s="1" t="s">
        <v>20612</v>
      </c>
      <c r="B7018" s="1">
        <v>7.0</v>
      </c>
      <c r="C7018" s="1" t="s">
        <v>20613</v>
      </c>
      <c r="D7018" s="1" t="s">
        <v>52</v>
      </c>
      <c r="E7018" s="1" t="s">
        <v>20614</v>
      </c>
      <c r="F7018" s="1" t="str">
        <f>IFERROR(__xludf.DUMMYFUNCTION("GOOGLETRANSLATE(A7018, ""zh-CN"", ""ko"")"),"전문가")</f>
        <v>전문가</v>
      </c>
    </row>
    <row r="7019" ht="15.75" customHeight="1">
      <c r="A7019" s="1" t="s">
        <v>20615</v>
      </c>
      <c r="B7019" s="1">
        <v>7.0</v>
      </c>
      <c r="C7019" s="1" t="s">
        <v>20616</v>
      </c>
      <c r="D7019" s="1" t="s">
        <v>52</v>
      </c>
      <c r="E7019" s="1" t="s">
        <v>20617</v>
      </c>
      <c r="F7019" s="1" t="str">
        <f>IFERROR(__xludf.DUMMYFUNCTION("GOOGLETRANSLATE(A7019, ""zh-CN"", ""ko"")"),"내향적인 사람")</f>
        <v>내향적인 사람</v>
      </c>
    </row>
    <row r="7020" ht="15.75" customHeight="1">
      <c r="A7020" s="1" t="s">
        <v>20618</v>
      </c>
      <c r="B7020" s="1">
        <v>7.0</v>
      </c>
      <c r="C7020" s="1" t="s">
        <v>20619</v>
      </c>
      <c r="D7020" s="1" t="s">
        <v>16</v>
      </c>
      <c r="E7020" s="1" t="s">
        <v>20620</v>
      </c>
      <c r="F7020" s="1" t="str">
        <f>IFERROR(__xludf.DUMMYFUNCTION("GOOGLETRANSLATE(A7020, ""zh-CN"", ""ko"")"),"국내 수요")</f>
        <v>국내 수요</v>
      </c>
    </row>
    <row r="7021" ht="15.75" customHeight="1">
      <c r="A7021" s="1" t="s">
        <v>20621</v>
      </c>
      <c r="B7021" s="1">
        <v>7.0</v>
      </c>
      <c r="C7021" s="1" t="s">
        <v>20622</v>
      </c>
      <c r="D7021" s="1" t="s">
        <v>16</v>
      </c>
      <c r="E7021" s="1" t="s">
        <v>20623</v>
      </c>
      <c r="F7021" s="1" t="str">
        <f>IFERROR(__xludf.DUMMYFUNCTION("GOOGLETRANSLATE(A7021, ""zh-CN"", ""ko"")"),"내부 장기")</f>
        <v>내부 장기</v>
      </c>
    </row>
    <row r="7022" ht="15.75" customHeight="1">
      <c r="A7022" s="1" t="s">
        <v>20624</v>
      </c>
      <c r="B7022" s="1">
        <v>7.0</v>
      </c>
      <c r="C7022" s="1" t="s">
        <v>20625</v>
      </c>
      <c r="D7022" s="1" t="s">
        <v>16</v>
      </c>
      <c r="E7022" s="1" t="s">
        <v>20626</v>
      </c>
      <c r="F7022" s="1" t="str">
        <f>IFERROR(__xludf.DUMMYFUNCTION("GOOGLETRANSLATE(A7022, ""zh-CN"", ""ko"")"),"에너지 소비량")</f>
        <v>에너지 소비량</v>
      </c>
    </row>
    <row r="7023" ht="15.75" customHeight="1">
      <c r="A7023" s="1" t="s">
        <v>20627</v>
      </c>
      <c r="B7023" s="1">
        <v>7.0</v>
      </c>
      <c r="C7023" s="1" t="s">
        <v>20628</v>
      </c>
      <c r="D7023" s="1" t="s">
        <v>15011</v>
      </c>
      <c r="E7023" s="1" t="s">
        <v>20629</v>
      </c>
      <c r="F7023" s="1" t="str">
        <f>IFERROR(__xludf.DUMMYFUNCTION("GOOGLETRANSLATE(A7023, ""zh-CN"", ""ko"")"),"능력")</f>
        <v>능력</v>
      </c>
    </row>
    <row r="7024" ht="15.75" customHeight="1">
      <c r="A7024" s="1" t="s">
        <v>20630</v>
      </c>
      <c r="B7024" s="1">
        <v>7.0</v>
      </c>
      <c r="C7024" s="1" t="s">
        <v>20631</v>
      </c>
      <c r="D7024" s="1" t="s">
        <v>16</v>
      </c>
      <c r="E7024" s="1" t="s">
        <v>20632</v>
      </c>
      <c r="F7024" s="1" t="str">
        <f>IFERROR(__xludf.DUMMYFUNCTION("GOOGLETRANSLATE(A7024, ""zh-CN"", ""ko"")"),"재능 있는 사람들")</f>
        <v>재능 있는 사람들</v>
      </c>
    </row>
    <row r="7025" ht="15.75" customHeight="1">
      <c r="A7025" s="1" t="s">
        <v>20633</v>
      </c>
      <c r="B7025" s="1">
        <v>7.0</v>
      </c>
      <c r="C7025" s="1" t="s">
        <v>20634</v>
      </c>
      <c r="D7025" s="1" t="s">
        <v>52</v>
      </c>
      <c r="E7025" s="1" t="s">
        <v>20635</v>
      </c>
      <c r="F7025" s="1" t="str">
        <f>IFERROR(__xludf.DUMMYFUNCTION("GOOGLETRANSLATE(A7025, ""zh-CN"", ""ko"")"),"흐린")</f>
        <v>흐린</v>
      </c>
    </row>
    <row r="7026" ht="15.75" customHeight="1">
      <c r="A7026" s="1" t="s">
        <v>20636</v>
      </c>
      <c r="B7026" s="1">
        <v>7.0</v>
      </c>
      <c r="C7026" s="1" t="s">
        <v>20637</v>
      </c>
      <c r="D7026" s="1" t="s">
        <v>16</v>
      </c>
      <c r="E7026" s="1" t="s">
        <v>20638</v>
      </c>
      <c r="F7026" s="1" t="str">
        <f>IFERROR(__xludf.DUMMYFUNCTION("GOOGLETRANSLATE(A7026, ""zh-CN"", ""ko"")"),"진흙 구덩이")</f>
        <v>진흙 구덩이</v>
      </c>
    </row>
    <row r="7027" ht="15.75" customHeight="1">
      <c r="A7027" s="1" t="s">
        <v>20639</v>
      </c>
      <c r="B7027" s="1">
        <v>7.0</v>
      </c>
      <c r="C7027" s="1" t="s">
        <v>20640</v>
      </c>
      <c r="D7027" s="1" t="s">
        <v>16</v>
      </c>
      <c r="E7027" s="1" t="s">
        <v>20641</v>
      </c>
      <c r="F7027" s="1" t="str">
        <f>IFERROR(__xludf.DUMMYFUNCTION("GOOGLETRANSLATE(A7027, ""zh-CN"", ""ko"")"),"토양")</f>
        <v>토양</v>
      </c>
    </row>
    <row r="7028" ht="15.75" customHeight="1">
      <c r="A7028" s="1" t="s">
        <v>20642</v>
      </c>
      <c r="B7028" s="1">
        <v>7.0</v>
      </c>
      <c r="C7028" s="1" t="s">
        <v>236</v>
      </c>
      <c r="D7028" s="1" t="s">
        <v>8</v>
      </c>
      <c r="E7028" s="1" t="s">
        <v>20643</v>
      </c>
      <c r="F7028" s="1" t="str">
        <f>IFERROR(__xludf.DUMMYFUNCTION("GOOGLETRANSLATE(A7028, ""zh-CN"", ""ko"")"),"제안됨")</f>
        <v>제안됨</v>
      </c>
    </row>
    <row r="7029" ht="15.75" customHeight="1">
      <c r="A7029" s="1" t="s">
        <v>20644</v>
      </c>
      <c r="B7029" s="1">
        <v>7.0</v>
      </c>
      <c r="C7029" s="1" t="s">
        <v>20645</v>
      </c>
      <c r="D7029" s="1" t="s">
        <v>8</v>
      </c>
      <c r="E7029" s="1" t="s">
        <v>20646</v>
      </c>
      <c r="F7029" s="1" t="str">
        <f>IFERROR(__xludf.DUMMYFUNCTION("GOOGLETRANSLATE(A7029, ""zh-CN"", ""ko"")"),"역")</f>
        <v>역</v>
      </c>
    </row>
    <row r="7030" ht="15.75" customHeight="1">
      <c r="A7030" s="1" t="s">
        <v>20647</v>
      </c>
      <c r="B7030" s="1">
        <v>7.0</v>
      </c>
      <c r="C7030" s="1" t="s">
        <v>20648</v>
      </c>
      <c r="D7030" s="1" t="s">
        <v>16</v>
      </c>
      <c r="E7030" s="1" t="s">
        <v>20649</v>
      </c>
      <c r="F7030" s="1" t="str">
        <f>IFERROR(__xludf.DUMMYFUNCTION("GOOGLETRANSLATE(A7030, ""zh-CN"", ""ko"")"),"역경")</f>
        <v>역경</v>
      </c>
    </row>
    <row r="7031" ht="15.75" customHeight="1">
      <c r="A7031" s="1" t="s">
        <v>20650</v>
      </c>
      <c r="B7031" s="1">
        <v>7.0</v>
      </c>
      <c r="C7031" s="1" t="s">
        <v>20651</v>
      </c>
      <c r="D7031" s="1" t="s">
        <v>8</v>
      </c>
      <c r="E7031" s="1" t="s">
        <v>20652</v>
      </c>
      <c r="F7031" s="1" t="str">
        <f>IFERROR(__xludf.DUMMYFUNCTION("GOOGLETRANSLATE(A7031, ""zh-CN"", ""ko"")"),"익명의")</f>
        <v>익명의</v>
      </c>
    </row>
    <row r="7032" ht="15.75" customHeight="1">
      <c r="A7032" s="1" t="s">
        <v>20653</v>
      </c>
      <c r="B7032" s="1">
        <v>7.0</v>
      </c>
      <c r="C7032" s="1" t="s">
        <v>20654</v>
      </c>
      <c r="D7032" s="1" t="s">
        <v>8</v>
      </c>
      <c r="E7032" s="1" t="s">
        <v>20655</v>
      </c>
      <c r="F7032" s="1" t="str">
        <f>IFERROR(__xludf.DUMMYFUNCTION("GOOGLETRANSLATE(A7032, ""zh-CN"", ""ko"")"),"익사")</f>
        <v>익사</v>
      </c>
    </row>
    <row r="7033" ht="15.75" customHeight="1">
      <c r="A7033" s="1" t="s">
        <v>20656</v>
      </c>
      <c r="B7033" s="1">
        <v>7.0</v>
      </c>
      <c r="C7033" s="1" t="s">
        <v>239</v>
      </c>
      <c r="D7033" s="1" t="s">
        <v>52</v>
      </c>
      <c r="E7033" s="1" t="s">
        <v>20657</v>
      </c>
      <c r="F7033" s="1" t="str">
        <f>IFERROR(__xludf.DUMMYFUNCTION("GOOGLETRANSLATE(A7033, ""zh-CN"", ""ko"")"),"어려운")</f>
        <v>어려운</v>
      </c>
    </row>
    <row r="7034" ht="15.75" customHeight="1">
      <c r="A7034" s="1" t="s">
        <v>20658</v>
      </c>
      <c r="B7034" s="1">
        <v>7.0</v>
      </c>
      <c r="C7034" s="1" t="s">
        <v>20659</v>
      </c>
      <c r="D7034" s="1" t="s">
        <v>16</v>
      </c>
      <c r="E7034" s="1" t="s">
        <v>20660</v>
      </c>
      <c r="F7034" s="1" t="str">
        <f>IFERROR(__xludf.DUMMYFUNCTION("GOOGLETRANSLATE(A7034, ""zh-CN"", ""ko"")"),"연보")</f>
        <v>연보</v>
      </c>
    </row>
    <row r="7035" ht="15.75" customHeight="1">
      <c r="A7035" s="1" t="s">
        <v>20661</v>
      </c>
      <c r="B7035" s="1">
        <v>7.0</v>
      </c>
      <c r="C7035" s="1" t="s">
        <v>20662</v>
      </c>
      <c r="D7035" s="1" t="s">
        <v>16</v>
      </c>
      <c r="E7035" s="1" t="s">
        <v>20663</v>
      </c>
      <c r="F7035" s="1" t="str">
        <f>IFERROR(__xludf.DUMMYFUNCTION("GOOGLETRANSLATE(A7035, ""zh-CN"", ""ko"")"),"새해 사진")</f>
        <v>새해 사진</v>
      </c>
    </row>
    <row r="7036" ht="15.75" customHeight="1">
      <c r="A7036" s="1" t="s">
        <v>20664</v>
      </c>
      <c r="B7036" s="1">
        <v>7.0</v>
      </c>
      <c r="C7036" s="1" t="s">
        <v>20665</v>
      </c>
      <c r="D7036" s="1" t="s">
        <v>8</v>
      </c>
      <c r="E7036" s="1" t="s">
        <v>20666</v>
      </c>
      <c r="F7036" s="1" t="str">
        <f>IFERROR(__xludf.DUMMYFUNCTION("GOOGLETRANSLATE(A7036, ""zh-CN"", ""ko"")"),"연평균")</f>
        <v>연평균</v>
      </c>
    </row>
    <row r="7037" ht="15.75" customHeight="1">
      <c r="A7037" s="1" t="s">
        <v>20667</v>
      </c>
      <c r="B7037" s="1">
        <v>7.0</v>
      </c>
      <c r="C7037" s="1" t="s">
        <v>20668</v>
      </c>
      <c r="D7037" s="1" t="s">
        <v>16</v>
      </c>
      <c r="E7037" s="1" t="s">
        <v>20669</v>
      </c>
      <c r="F7037" s="1" t="str">
        <f>IFERROR(__xludf.DUMMYFUNCTION("GOOGLETRANSLATE(A7037, ""zh-CN"", ""ko"")"),"연륜")</f>
        <v>연륜</v>
      </c>
    </row>
    <row r="7038" ht="15.75" customHeight="1">
      <c r="A7038" s="1" t="s">
        <v>20670</v>
      </c>
      <c r="B7038" s="1">
        <v>7.0</v>
      </c>
      <c r="C7038" s="1" t="s">
        <v>20671</v>
      </c>
      <c r="D7038" s="1" t="s">
        <v>52</v>
      </c>
      <c r="E7038" s="1" t="s">
        <v>20672</v>
      </c>
      <c r="F7038" s="1" t="str">
        <f>IFERROR(__xludf.DUMMYFUNCTION("GOOGLETRANSLATE(A7038, ""zh-CN"", ""ko"")"),"오래된")</f>
        <v>오래된</v>
      </c>
    </row>
    <row r="7039" ht="15.75" customHeight="1">
      <c r="A7039" s="1" t="s">
        <v>20673</v>
      </c>
      <c r="B7039" s="1">
        <v>7.0</v>
      </c>
      <c r="C7039" s="1" t="s">
        <v>20674</v>
      </c>
      <c r="D7039" s="1" t="s">
        <v>16</v>
      </c>
      <c r="E7039" s="1" t="s">
        <v>20675</v>
      </c>
      <c r="F7039" s="1" t="str">
        <f>IFERROR(__xludf.DUMMYFUNCTION("GOOGLETRANSLATE(A7039, ""zh-CN"", ""ko"")"),"연령")</f>
        <v>연령</v>
      </c>
    </row>
    <row r="7040" ht="15.75" customHeight="1">
      <c r="A7040" s="1" t="s">
        <v>20676</v>
      </c>
      <c r="B7040" s="1">
        <v>7.0</v>
      </c>
      <c r="C7040" s="1" t="s">
        <v>20677</v>
      </c>
      <c r="D7040" s="1" t="s">
        <v>16</v>
      </c>
      <c r="E7040" s="1" t="s">
        <v>20678</v>
      </c>
      <c r="F7040" s="1" t="str">
        <f>IFERROR(__xludf.DUMMYFUNCTION("GOOGLETRANSLATE(A7040, ""zh-CN"", ""ko"")"),"연봉")</f>
        <v>연봉</v>
      </c>
    </row>
    <row r="7041" ht="15.75" customHeight="1">
      <c r="A7041" s="1" t="s">
        <v>20679</v>
      </c>
      <c r="B7041" s="1">
        <v>7.0</v>
      </c>
      <c r="C7041" s="1" t="s">
        <v>20680</v>
      </c>
      <c r="D7041" s="1" t="s">
        <v>8</v>
      </c>
      <c r="E7041" s="1" t="s">
        <v>20681</v>
      </c>
      <c r="F7041" s="1" t="str">
        <f>IFERROR(__xludf.DUMMYFUNCTION("GOOGLETRANSLATE(A7041, ""zh-CN"", ""ko"")"),"뒤쫓다다")</f>
        <v>뒤쫓다다</v>
      </c>
    </row>
    <row r="7042" ht="15.75" customHeight="1">
      <c r="A7042" s="1" t="s">
        <v>20682</v>
      </c>
      <c r="B7042" s="1">
        <v>7.0</v>
      </c>
      <c r="C7042" s="1" t="s">
        <v>20683</v>
      </c>
      <c r="E7042" s="1" t="s">
        <v>20684</v>
      </c>
      <c r="F7042" s="1" t="str">
        <f>IFERROR(__xludf.DUMMYFUNCTION("GOOGLETRANSLATE(A7042, ""zh-CN"", ""ko"")"),"잊을 수 없는")</f>
        <v>잊을 수 없는</v>
      </c>
    </row>
    <row r="7043" ht="15.75" customHeight="1">
      <c r="A7043" s="1" t="s">
        <v>20685</v>
      </c>
      <c r="B7043" s="1">
        <v>7.0</v>
      </c>
      <c r="C7043" s="1" t="s">
        <v>20686</v>
      </c>
      <c r="D7043" s="1" t="s">
        <v>16</v>
      </c>
      <c r="E7043" s="1" t="s">
        <v>20687</v>
      </c>
      <c r="F7043" s="1" t="str">
        <f>IFERROR(__xludf.DUMMYFUNCTION("GOOGLETRANSLATE(A7043, ""zh-CN"", ""ko"")"),"아이디어")</f>
        <v>아이디어</v>
      </c>
    </row>
    <row r="7044" ht="15.75" customHeight="1">
      <c r="A7044" s="1" t="s">
        <v>20688</v>
      </c>
      <c r="B7044" s="1">
        <v>7.0</v>
      </c>
      <c r="C7044" s="1" t="s">
        <v>20689</v>
      </c>
      <c r="D7044" s="1" t="s">
        <v>16</v>
      </c>
      <c r="E7044" s="1" t="s">
        <v>20690</v>
      </c>
      <c r="F7044" s="1" t="str">
        <f>IFERROR(__xludf.DUMMYFUNCTION("GOOGLETRANSLATE(A7044, ""zh-CN"", ""ko"")"),"어머니")</f>
        <v>어머니</v>
      </c>
    </row>
    <row r="7045" ht="15.75" customHeight="1">
      <c r="A7045" s="1" t="s">
        <v>20691</v>
      </c>
      <c r="B7045" s="1">
        <v>7.0</v>
      </c>
      <c r="C7045" s="1" t="s">
        <v>20692</v>
      </c>
      <c r="D7045" s="1" t="s">
        <v>8</v>
      </c>
      <c r="E7045" s="1" t="s">
        <v>20693</v>
      </c>
      <c r="F7045" s="1" t="str">
        <f>IFERROR(__xludf.DUMMYFUNCTION("GOOGLETRANSLATE(A7045, ""zh-CN"", ""ko"")"),"양조")</f>
        <v>양조</v>
      </c>
    </row>
    <row r="7046" ht="15.75" customHeight="1">
      <c r="A7046" s="1" t="s">
        <v>20694</v>
      </c>
      <c r="B7046" s="1">
        <v>7.0</v>
      </c>
      <c r="C7046" s="1" t="s">
        <v>20695</v>
      </c>
      <c r="D7046" s="1" t="s">
        <v>16</v>
      </c>
      <c r="E7046" s="1" t="s">
        <v>20696</v>
      </c>
      <c r="F7046" s="1" t="str">
        <f>IFERROR(__xludf.DUMMYFUNCTION("GOOGLETRANSLATE(A7046, ""zh-CN"", ""ko"")"),"제비집")</f>
        <v>제비집</v>
      </c>
    </row>
    <row r="7047" ht="15.75" customHeight="1">
      <c r="A7047" s="1" t="s">
        <v>20697</v>
      </c>
      <c r="B7047" s="1">
        <v>7.0</v>
      </c>
      <c r="C7047" s="1" t="s">
        <v>20698</v>
      </c>
      <c r="D7047" s="1" t="s">
        <v>14870</v>
      </c>
      <c r="E7047" s="1" t="s">
        <v>20699</v>
      </c>
      <c r="F7047" s="1" t="str">
        <f>IFERROR(__xludf.DUMMYFUNCTION("GOOGLETRANSLATE(A7047, ""zh-CN"", ""ko"")"),"오줌")</f>
        <v>오줌</v>
      </c>
    </row>
    <row r="7048" ht="15.75" customHeight="1">
      <c r="A7048" s="1" t="s">
        <v>20700</v>
      </c>
      <c r="B7048" s="1">
        <v>7.0</v>
      </c>
      <c r="C7048" s="1" t="s">
        <v>20701</v>
      </c>
      <c r="D7048" s="1" t="s">
        <v>8</v>
      </c>
      <c r="E7048" s="1" t="s">
        <v>20702</v>
      </c>
      <c r="F7048" s="1" t="str">
        <f>IFERROR(__xludf.DUMMYFUNCTION("GOOGLETRANSLATE(A7048, ""zh-CN"", ""ko"")"),"응축")</f>
        <v>응축</v>
      </c>
    </row>
    <row r="7049" ht="15.75" customHeight="1">
      <c r="A7049" s="1" t="s">
        <v>20703</v>
      </c>
      <c r="B7049" s="1">
        <v>7.0</v>
      </c>
      <c r="C7049" s="1" t="s">
        <v>20704</v>
      </c>
      <c r="D7049" s="1" t="s">
        <v>52</v>
      </c>
      <c r="E7049" s="1" t="s">
        <v>20705</v>
      </c>
      <c r="F7049" s="1" t="str">
        <f>IFERROR(__xludf.DUMMYFUNCTION("GOOGLETRANSLATE(A7049, ""zh-CN"", ""ko"")"),"평화로운")</f>
        <v>평화로운</v>
      </c>
    </row>
    <row r="7050" ht="15.75" customHeight="1">
      <c r="A7050" s="1" t="s">
        <v>20706</v>
      </c>
      <c r="B7050" s="1">
        <v>7.0</v>
      </c>
      <c r="C7050" s="1" t="s">
        <v>20707</v>
      </c>
      <c r="D7050" s="1" t="s">
        <v>16</v>
      </c>
      <c r="E7050" s="1" t="s">
        <v>20708</v>
      </c>
      <c r="F7050" s="1" t="str">
        <f>IFERROR(__xludf.DUMMYFUNCTION("GOOGLETRANSLATE(A7050, ""zh-CN"", ""ko"")"),"링크")</f>
        <v>링크</v>
      </c>
    </row>
    <row r="7051" ht="15.75" customHeight="1">
      <c r="A7051" s="1" t="s">
        <v>20709</v>
      </c>
      <c r="B7051" s="1">
        <v>7.0</v>
      </c>
      <c r="C7051" s="1" t="s">
        <v>20710</v>
      </c>
      <c r="D7051" s="1" t="s">
        <v>16</v>
      </c>
      <c r="E7051" s="1" t="s">
        <v>20711</v>
      </c>
      <c r="F7051" s="1" t="str">
        <f>IFERROR(__xludf.DUMMYFUNCTION("GOOGLETRANSLATE(A7051, ""zh-CN"", ""ko"")"),"버튼")</f>
        <v>버튼</v>
      </c>
    </row>
    <row r="7052" ht="15.75" customHeight="1">
      <c r="A7052" s="1" t="s">
        <v>20712</v>
      </c>
      <c r="B7052" s="1">
        <v>7.0</v>
      </c>
      <c r="C7052" s="1" t="s">
        <v>20713</v>
      </c>
      <c r="D7052" s="1" t="s">
        <v>8</v>
      </c>
      <c r="E7052" s="1" t="s">
        <v>20714</v>
      </c>
      <c r="F7052" s="1" t="str">
        <f>IFERROR(__xludf.DUMMYFUNCTION("GOOGLETRANSLATE(A7052, ""zh-CN"", ""ko"")"),"왜곡")</f>
        <v>왜곡</v>
      </c>
    </row>
    <row r="7053" ht="15.75" customHeight="1">
      <c r="A7053" s="1" t="s">
        <v>20715</v>
      </c>
      <c r="B7053" s="1">
        <v>7.0</v>
      </c>
      <c r="C7053" s="1" t="s">
        <v>20716</v>
      </c>
      <c r="D7053" s="1" t="s">
        <v>8</v>
      </c>
      <c r="E7053" s="1" t="s">
        <v>20717</v>
      </c>
      <c r="F7053" s="1" t="str">
        <f>IFERROR(__xludf.DUMMYFUNCTION("GOOGLETRANSLATE(A7053, ""zh-CN"", ""ko"")"),"고개를 돌리다")</f>
        <v>고개를 돌리다</v>
      </c>
    </row>
    <row r="7054" ht="15.75" customHeight="1">
      <c r="A7054" s="1" t="s">
        <v>20718</v>
      </c>
      <c r="B7054" s="1">
        <v>7.0</v>
      </c>
      <c r="C7054" s="1" t="s">
        <v>20719</v>
      </c>
      <c r="D7054" s="1" t="s">
        <v>16</v>
      </c>
      <c r="E7054" s="1" t="s">
        <v>20720</v>
      </c>
      <c r="F7054" s="1" t="str">
        <f>IFERROR(__xludf.DUMMYFUNCTION("GOOGLETRANSLATE(A7054, ""zh-CN"", ""ko"")"),"농장")</f>
        <v>농장</v>
      </c>
    </row>
    <row r="7055" ht="15.75" customHeight="1">
      <c r="A7055" s="1" t="s">
        <v>20721</v>
      </c>
      <c r="B7055" s="1">
        <v>7.0</v>
      </c>
      <c r="C7055" s="1" t="s">
        <v>20722</v>
      </c>
      <c r="D7055" s="1" t="s">
        <v>16</v>
      </c>
      <c r="E7055" s="1" t="s">
        <v>20723</v>
      </c>
      <c r="F7055" s="1" t="str">
        <f>IFERROR(__xludf.DUMMYFUNCTION("GOOGLETRANSLATE(A7055, ""zh-CN"", ""ko"")"),"이주 노동자들")</f>
        <v>이주 노동자들</v>
      </c>
    </row>
    <row r="7056" ht="15.75" customHeight="1">
      <c r="A7056" s="1" t="s">
        <v>20724</v>
      </c>
      <c r="B7056" s="1">
        <v>7.0</v>
      </c>
      <c r="C7056" s="1" t="s">
        <v>20725</v>
      </c>
      <c r="D7056" s="1" t="s">
        <v>8</v>
      </c>
      <c r="E7056" s="1" t="s">
        <v>20726</v>
      </c>
      <c r="F7056" s="1" t="str">
        <f>IFERROR(__xludf.DUMMYFUNCTION("GOOGLETRANSLATE(A7056, ""zh-CN"", ""ko"")"),"집중하다")</f>
        <v>집중하다</v>
      </c>
    </row>
    <row r="7057" ht="15.75" customHeight="1">
      <c r="A7057" s="1" t="s">
        <v>20727</v>
      </c>
      <c r="B7057" s="1">
        <v>7.0</v>
      </c>
      <c r="C7057" s="1" t="s">
        <v>20728</v>
      </c>
      <c r="D7057" s="1" t="s">
        <v>52</v>
      </c>
      <c r="E7057" s="1" t="s">
        <v>20729</v>
      </c>
      <c r="F7057" s="1" t="str">
        <f>IFERROR(__xludf.DUMMYFUNCTION("GOOGLETRANSLATE(A7057, ""zh-CN"", ""ko"")"),"부자")</f>
        <v>부자</v>
      </c>
    </row>
    <row r="7058" ht="15.75" customHeight="1">
      <c r="A7058" s="1" t="s">
        <v>20730</v>
      </c>
      <c r="B7058" s="1">
        <v>7.0</v>
      </c>
      <c r="C7058" s="1" t="s">
        <v>20731</v>
      </c>
      <c r="D7058" s="1" t="s">
        <v>52</v>
      </c>
      <c r="E7058" s="1" t="s">
        <v>20732</v>
      </c>
      <c r="F7058" s="1" t="str">
        <f>IFERROR(__xludf.DUMMYFUNCTION("GOOGLETRANSLATE(A7058, ""zh-CN"", ""ko"")"),"강한")</f>
        <v>강한</v>
      </c>
    </row>
    <row r="7059" ht="15.75" customHeight="1">
      <c r="A7059" s="1" t="s">
        <v>20733</v>
      </c>
      <c r="B7059" s="1">
        <v>7.0</v>
      </c>
      <c r="C7059" s="1" t="s">
        <v>20734</v>
      </c>
      <c r="E7059" s="1" t="s">
        <v>20735</v>
      </c>
      <c r="F7059" s="1" t="str">
        <f>IFERROR(__xludf.DUMMYFUNCTION("GOOGLETRANSLATE(A7059, ""zh-CN"", ""ko"")"),"사기")</f>
        <v>사기</v>
      </c>
    </row>
    <row r="7060" ht="15.75" customHeight="1">
      <c r="A7060" s="1" t="s">
        <v>20736</v>
      </c>
      <c r="B7060" s="1">
        <v>7.0</v>
      </c>
      <c r="C7060" s="1" t="s">
        <v>20737</v>
      </c>
      <c r="D7060" s="1" t="s">
        <v>52</v>
      </c>
      <c r="E7060" s="1" t="s">
        <v>20738</v>
      </c>
      <c r="F7060" s="1" t="str">
        <f>IFERROR(__xludf.DUMMYFUNCTION("GOOGLETRANSLATE(A7060, ""zh-CN"", ""ko"")"),"좋고 따뜻해요")</f>
        <v>좋고 따뜻해요</v>
      </c>
    </row>
    <row r="7061" ht="15.75" customHeight="1">
      <c r="A7061" s="1" t="s">
        <v>20739</v>
      </c>
      <c r="B7061" s="1">
        <v>7.0</v>
      </c>
      <c r="C7061" s="1" t="s">
        <v>20740</v>
      </c>
      <c r="D7061" s="1" t="s">
        <v>16</v>
      </c>
      <c r="E7061" s="1" t="s">
        <v>20741</v>
      </c>
      <c r="F7061" s="1" t="str">
        <f>IFERROR(__xludf.DUMMYFUNCTION("GOOGLETRANSLATE(A7061, ""zh-CN"", ""ko"")"),"약속하다")</f>
        <v>약속하다</v>
      </c>
    </row>
    <row r="7062" ht="15.75" customHeight="1">
      <c r="A7062" s="1" t="s">
        <v>20742</v>
      </c>
      <c r="B7062" s="1">
        <v>7.0</v>
      </c>
      <c r="C7062" s="1" t="s">
        <v>20743</v>
      </c>
      <c r="D7062" s="1" t="s">
        <v>16</v>
      </c>
      <c r="E7062" s="1" t="s">
        <v>20744</v>
      </c>
      <c r="F7062" s="1" t="str">
        <f>IFERROR(__xludf.DUMMYFUNCTION("GOOGLETRANSLATE(A7062, ""zh-CN"", ""ko"")"),"여성")</f>
        <v>여성</v>
      </c>
    </row>
    <row r="7063" ht="15.75" customHeight="1">
      <c r="A7063" s="1" t="s">
        <v>20745</v>
      </c>
      <c r="B7063" s="1">
        <v>7.0</v>
      </c>
      <c r="C7063" s="1" t="s">
        <v>20746</v>
      </c>
      <c r="D7063" s="1" t="s">
        <v>16</v>
      </c>
      <c r="E7063" s="1" t="s">
        <v>20747</v>
      </c>
      <c r="F7063" s="1" t="str">
        <f>IFERROR(__xludf.DUMMYFUNCTION("GOOGLETRANSLATE(A7063, ""zh-CN"", ""ko"")"),"사위")</f>
        <v>사위</v>
      </c>
    </row>
    <row r="7064" ht="15.75" customHeight="1">
      <c r="A7064" s="1" t="s">
        <v>20748</v>
      </c>
      <c r="B7064" s="1">
        <v>7.0</v>
      </c>
      <c r="C7064" s="1" t="s">
        <v>20749</v>
      </c>
      <c r="E7064" s="1" t="s">
        <v>20750</v>
      </c>
      <c r="F7064" s="1" t="str">
        <f>IFERROR(__xludf.DUMMYFUNCTION("GOOGLETRANSLATE(A7064, ""zh-CN"", ""ko"")"),"결정을 내리세요")</f>
        <v>결정을 내리세요</v>
      </c>
    </row>
    <row r="7065" ht="15.75" customHeight="1">
      <c r="A7065" s="1" t="s">
        <v>20751</v>
      </c>
      <c r="B7065" s="1">
        <v>7.0</v>
      </c>
      <c r="C7065" s="1" t="s">
        <v>20752</v>
      </c>
      <c r="D7065" s="1" t="s">
        <v>8</v>
      </c>
      <c r="E7065" s="1" t="s">
        <v>20753</v>
      </c>
      <c r="F7065" s="1" t="str">
        <f>IFERROR(__xludf.DUMMYFUNCTION("GOOGLETRANSLATE(A7065, ""zh-CN"", ""ko"")"),"경매")</f>
        <v>경매</v>
      </c>
    </row>
    <row r="7066" ht="15.75" customHeight="1">
      <c r="A7066" s="1" t="s">
        <v>20754</v>
      </c>
      <c r="B7066" s="1">
        <v>7.0</v>
      </c>
      <c r="C7066" s="1" t="s">
        <v>20755</v>
      </c>
      <c r="D7066" s="1" t="s">
        <v>8</v>
      </c>
      <c r="E7066" s="1" t="s">
        <v>20756</v>
      </c>
      <c r="F7066" s="1" t="str">
        <f>IFERROR(__xludf.DUMMYFUNCTION("GOOGLETRANSLATE(A7066, ""zh-CN"", ""ko"")"),"조사")</f>
        <v>조사</v>
      </c>
    </row>
    <row r="7067" ht="15.75" customHeight="1">
      <c r="A7067" s="1" t="s">
        <v>20757</v>
      </c>
      <c r="B7067" s="1">
        <v>7.0</v>
      </c>
      <c r="C7067" s="1" t="s">
        <v>20758</v>
      </c>
      <c r="D7067" s="1" t="s">
        <v>16</v>
      </c>
      <c r="E7067" s="1" t="s">
        <v>20759</v>
      </c>
      <c r="F7067" s="1" t="str">
        <f>IFERROR(__xludf.DUMMYFUNCTION("GOOGLETRANSLATE(A7067, ""zh-CN"", ""ko"")"),"순위")</f>
        <v>순위</v>
      </c>
    </row>
    <row r="7068" ht="15.75" customHeight="1">
      <c r="A7068" s="1" t="s">
        <v>20760</v>
      </c>
      <c r="B7068" s="1">
        <v>7.0</v>
      </c>
      <c r="C7068" s="1" t="s">
        <v>20761</v>
      </c>
      <c r="D7068" s="1" t="s">
        <v>16</v>
      </c>
      <c r="E7068" s="1" t="s">
        <v>20762</v>
      </c>
      <c r="F7068" s="1" t="str">
        <f>IFERROR(__xludf.DUMMYFUNCTION("GOOGLETRANSLATE(A7068, ""zh-CN"", ""ko"")"),"특허")</f>
        <v>특허</v>
      </c>
    </row>
    <row r="7069" ht="15.75" customHeight="1">
      <c r="A7069" s="1" t="s">
        <v>20763</v>
      </c>
      <c r="B7069" s="1">
        <v>7.0</v>
      </c>
      <c r="C7069" s="1" t="s">
        <v>20764</v>
      </c>
      <c r="D7069" s="1" t="s">
        <v>8</v>
      </c>
      <c r="E7069" s="1" t="s">
        <v>20765</v>
      </c>
      <c r="F7069" s="1" t="str">
        <f>IFERROR(__xludf.DUMMYFUNCTION("GOOGLETRANSLATE(A7069, ""zh-CN"", ""ko"")"),"오르다")</f>
        <v>오르다</v>
      </c>
    </row>
    <row r="7070" ht="15.75" customHeight="1">
      <c r="A7070" s="1" t="s">
        <v>20766</v>
      </c>
      <c r="B7070" s="1">
        <v>7.0</v>
      </c>
      <c r="C7070" s="1" t="s">
        <v>20767</v>
      </c>
      <c r="D7070" s="1" t="s">
        <v>8</v>
      </c>
      <c r="E7070" s="1" t="s">
        <v>20768</v>
      </c>
      <c r="F7070" s="1" t="str">
        <f>IFERROR(__xludf.DUMMYFUNCTION("GOOGLETRANSLATE(A7070, ""zh-CN"", ""ko"")"),"상승")</f>
        <v>상승</v>
      </c>
    </row>
    <row r="7071" ht="15.75" customHeight="1">
      <c r="A7071" s="1" t="s">
        <v>20769</v>
      </c>
      <c r="B7071" s="1">
        <v>7.0</v>
      </c>
      <c r="C7071" s="1" t="s">
        <v>20770</v>
      </c>
      <c r="D7071" s="1" t="s">
        <v>8</v>
      </c>
      <c r="E7071" s="1" t="s">
        <v>20771</v>
      </c>
      <c r="F7071" s="1" t="str">
        <f>IFERROR(__xludf.DUMMYFUNCTION("GOOGLETRANSLATE(A7071, ""zh-CN"", ""ko"")"),"계획")</f>
        <v>계획</v>
      </c>
    </row>
    <row r="7072" ht="15.75" customHeight="1">
      <c r="A7072" s="1" t="s">
        <v>20772</v>
      </c>
      <c r="B7072" s="1">
        <v>7.0</v>
      </c>
      <c r="C7072" s="1" t="s">
        <v>11292</v>
      </c>
      <c r="D7072" s="1" t="s">
        <v>8</v>
      </c>
      <c r="E7072" s="1" t="s">
        <v>20773</v>
      </c>
      <c r="F7072" s="1" t="str">
        <f>IFERROR(__xludf.DUMMYFUNCTION("GOOGLETRANSLATE(A7072, ""zh-CN"", ""ko"")"),"심판")</f>
        <v>심판</v>
      </c>
    </row>
    <row r="7073" ht="15.75" customHeight="1">
      <c r="A7073" s="1" t="s">
        <v>20774</v>
      </c>
      <c r="B7073" s="1">
        <v>7.0</v>
      </c>
      <c r="C7073" s="1" t="s">
        <v>11292</v>
      </c>
      <c r="D7073" s="1" t="s">
        <v>8</v>
      </c>
      <c r="E7073" s="1" t="s">
        <v>20775</v>
      </c>
      <c r="F7073" s="1" t="str">
        <f>IFERROR(__xludf.DUMMYFUNCTION("GOOGLETRANSLATE(A7073, ""zh-CN"", ""ko"")"),"희망")</f>
        <v>희망</v>
      </c>
    </row>
    <row r="7074" ht="15.75" customHeight="1">
      <c r="A7074" s="1" t="s">
        <v>20776</v>
      </c>
      <c r="B7074" s="1">
        <v>7.0</v>
      </c>
      <c r="C7074" s="1" t="s">
        <v>20777</v>
      </c>
      <c r="D7074" s="1" t="s">
        <v>8</v>
      </c>
      <c r="E7074" s="1" t="s">
        <v>20778</v>
      </c>
      <c r="F7074" s="1" t="str">
        <f>IFERROR(__xludf.DUMMYFUNCTION("GOOGLETRANSLATE(A7074, ""zh-CN"", ""ko"")"),"문장")</f>
        <v>문장</v>
      </c>
    </row>
    <row r="7075" ht="15.75" customHeight="1">
      <c r="A7075" s="1" t="s">
        <v>20779</v>
      </c>
      <c r="B7075" s="1">
        <v>7.0</v>
      </c>
      <c r="C7075" s="1" t="s">
        <v>20780</v>
      </c>
      <c r="D7075" s="1" t="s">
        <v>8</v>
      </c>
      <c r="E7075" s="1" t="s">
        <v>20781</v>
      </c>
      <c r="F7075" s="1" t="str">
        <f>IFERROR(__xludf.DUMMYFUNCTION("GOOGLETRANSLATE(A7075, ""zh-CN"", ""ko"")"),"결정")</f>
        <v>결정</v>
      </c>
    </row>
    <row r="7076" ht="15.75" customHeight="1">
      <c r="A7076" s="1" t="s">
        <v>20782</v>
      </c>
      <c r="B7076" s="1">
        <v>7.0</v>
      </c>
      <c r="C7076" s="1" t="s">
        <v>20783</v>
      </c>
      <c r="D7076" s="1" t="s">
        <v>14870</v>
      </c>
      <c r="E7076" s="1" t="s">
        <v>20784</v>
      </c>
      <c r="F7076" s="1" t="str">
        <f>IFERROR(__xludf.DUMMYFUNCTION("GOOGLETRANSLATE(A7076, ""zh-CN"", ""ko"")"),"반항")</f>
        <v>반항</v>
      </c>
    </row>
    <row r="7077" ht="15.75" customHeight="1">
      <c r="A7077" s="1" t="s">
        <v>20785</v>
      </c>
      <c r="B7077" s="1">
        <v>7.0</v>
      </c>
      <c r="C7077" s="1" t="s">
        <v>20786</v>
      </c>
      <c r="D7077" s="1" t="s">
        <v>88</v>
      </c>
      <c r="E7077" s="1" t="s">
        <v>20787</v>
      </c>
      <c r="F7077" s="1" t="str">
        <f>IFERROR(__xludf.DUMMYFUNCTION("GOOGLETRANSLATE(A7077, ""zh-CN"", ""ko"")"),"구경꾼들")</f>
        <v>구경꾼들</v>
      </c>
    </row>
    <row r="7078" ht="15.75" customHeight="1">
      <c r="A7078" s="1" t="s">
        <v>20788</v>
      </c>
      <c r="B7078" s="1">
        <v>7.0</v>
      </c>
      <c r="C7078" s="1" t="s">
        <v>20789</v>
      </c>
      <c r="D7078" s="1" t="s">
        <v>16</v>
      </c>
      <c r="E7078" s="1" t="s">
        <v>20790</v>
      </c>
      <c r="F7078" s="1" t="str">
        <f>IFERROR(__xludf.DUMMYFUNCTION("GOOGLETRANSLATE(A7078, ""zh-CN"", ""ko"")"),"게")</f>
        <v>게</v>
      </c>
    </row>
    <row r="7079" ht="15.75" customHeight="1">
      <c r="A7079" s="1" t="s">
        <v>20791</v>
      </c>
      <c r="B7079" s="1">
        <v>7.0</v>
      </c>
      <c r="C7079" s="1" t="s">
        <v>20792</v>
      </c>
      <c r="D7079" s="1" t="s">
        <v>52</v>
      </c>
      <c r="E7079" s="1" t="s">
        <v>20793</v>
      </c>
      <c r="F7079" s="1" t="str">
        <f>IFERROR(__xludf.DUMMYFUNCTION("GOOGLETRANSLATE(A7079, ""zh-CN"", ""ko"")"),"통통한")</f>
        <v>통통한</v>
      </c>
    </row>
    <row r="7080" ht="15.75" customHeight="1">
      <c r="A7080" s="1" t="s">
        <v>20794</v>
      </c>
      <c r="B7080" s="1">
        <v>7.0</v>
      </c>
      <c r="C7080" s="1" t="s">
        <v>20795</v>
      </c>
      <c r="D7080" s="1" t="s">
        <v>8</v>
      </c>
      <c r="E7080" s="1" t="s">
        <v>20796</v>
      </c>
      <c r="F7080" s="1" t="str">
        <f>IFERROR(__xludf.DUMMYFUNCTION("GOOGLETRANSLATE(A7080, ""zh-CN"", ""ko"")"),"비행기")</f>
        <v>비행기</v>
      </c>
    </row>
    <row r="7081" ht="15.75" customHeight="1">
      <c r="A7081" s="1" t="s">
        <v>20797</v>
      </c>
      <c r="B7081" s="1">
        <v>7.0</v>
      </c>
      <c r="C7081" s="1" t="s">
        <v>20798</v>
      </c>
      <c r="E7081" s="1" t="s">
        <v>20799</v>
      </c>
      <c r="F7081" s="1" t="str">
        <f>IFERROR(__xludf.DUMMYFUNCTION("GOOGLETRANSLATE(A7081, ""zh-CN"", ""ko"")"),"작은 역할을 하다")</f>
        <v>작은 역할을 하다</v>
      </c>
    </row>
    <row r="7082" ht="15.75" customHeight="1">
      <c r="A7082" s="1" t="s">
        <v>20800</v>
      </c>
      <c r="B7082" s="1">
        <v>7.0</v>
      </c>
      <c r="C7082" s="1" t="s">
        <v>20801</v>
      </c>
      <c r="D7082" s="1" t="s">
        <v>16</v>
      </c>
      <c r="E7082" s="1" t="s">
        <v>20802</v>
      </c>
      <c r="F7082" s="1" t="str">
        <f>IFERROR(__xludf.DUMMYFUNCTION("GOOGLETRANSLATE(A7082, ""zh-CN"", ""ko"")"),"총")</f>
        <v>총</v>
      </c>
    </row>
    <row r="7083" ht="15.75" customHeight="1">
      <c r="A7083" s="1" t="s">
        <v>20803</v>
      </c>
      <c r="B7083" s="1">
        <v>7.0</v>
      </c>
      <c r="C7083" s="1" t="s">
        <v>20804</v>
      </c>
      <c r="D7083" s="1" t="s">
        <v>16</v>
      </c>
      <c r="E7083" s="1" t="s">
        <v>20805</v>
      </c>
      <c r="F7083" s="1" t="str">
        <f>IFERROR(__xludf.DUMMYFUNCTION("GOOGLETRANSLATE(A7083, ""zh-CN"", ""ko"")"),"태아")</f>
        <v>태아</v>
      </c>
    </row>
    <row r="7084" ht="15.75" customHeight="1">
      <c r="A7084" s="1" t="s">
        <v>20806</v>
      </c>
      <c r="B7084" s="1">
        <v>7.0</v>
      </c>
      <c r="C7084" s="1" t="s">
        <v>20807</v>
      </c>
      <c r="D7084" s="1" t="s">
        <v>8</v>
      </c>
      <c r="E7084" s="1" t="s">
        <v>20808</v>
      </c>
      <c r="F7084" s="1" t="str">
        <f>IFERROR(__xludf.DUMMYFUNCTION("GOOGLETRANSLATE(A7084, ""zh-CN"", ""ko"")"),"착용")</f>
        <v>착용</v>
      </c>
    </row>
    <row r="7085" ht="15.75" customHeight="1">
      <c r="A7085" s="1" t="s">
        <v>20809</v>
      </c>
      <c r="B7085" s="1">
        <v>7.0</v>
      </c>
      <c r="C7085" s="1" t="s">
        <v>20810</v>
      </c>
      <c r="D7085" s="1" t="s">
        <v>14870</v>
      </c>
      <c r="E7085" s="1" t="s">
        <v>20811</v>
      </c>
      <c r="F7085" s="1" t="str">
        <f>IFERROR(__xludf.DUMMYFUNCTION("GOOGLETRANSLATE(A7085, ""zh-CN"", ""ko"")"),"공식")</f>
        <v>공식</v>
      </c>
    </row>
    <row r="7086" ht="15.75" customHeight="1">
      <c r="A7086" s="1" t="s">
        <v>20812</v>
      </c>
      <c r="B7086" s="1">
        <v>7.0</v>
      </c>
      <c r="C7086" s="1" t="s">
        <v>20813</v>
      </c>
      <c r="D7086" s="1" t="s">
        <v>16</v>
      </c>
      <c r="E7086" s="1" t="s">
        <v>20814</v>
      </c>
      <c r="F7086" s="1" t="str">
        <f>IFERROR(__xludf.DUMMYFUNCTION("GOOGLETRANSLATE(A7086, ""zh-CN"", ""ko"")"),"부속품")</f>
        <v>부속품</v>
      </c>
    </row>
    <row r="7087" ht="15.75" customHeight="1">
      <c r="A7087" s="1" t="s">
        <v>20815</v>
      </c>
      <c r="B7087" s="1">
        <v>7.0</v>
      </c>
      <c r="C7087" s="1" t="s">
        <v>20816</v>
      </c>
      <c r="D7087" s="1" t="s">
        <v>16</v>
      </c>
      <c r="E7087" s="1" t="s">
        <v>20817</v>
      </c>
      <c r="F7087" s="1" t="str">
        <f>IFERROR(__xludf.DUMMYFUNCTION("GOOGLETRANSLATE(A7087, ""zh-CN"", ""ko"")"),"지원 역할")</f>
        <v>지원 역할</v>
      </c>
    </row>
    <row r="7088" ht="15.75" customHeight="1">
      <c r="A7088" s="1" t="s">
        <v>20818</v>
      </c>
      <c r="B7088" s="1">
        <v>7.0</v>
      </c>
      <c r="C7088" s="1" t="s">
        <v>20819</v>
      </c>
      <c r="D7088" s="1" t="s">
        <v>14917</v>
      </c>
      <c r="E7088" s="1" t="s">
        <v>20820</v>
      </c>
      <c r="F7088" s="1" t="str">
        <f>IFERROR(__xludf.DUMMYFUNCTION("GOOGLETRANSLATE(A7088, ""zh-CN"", ""ko"")"),"더빙")</f>
        <v>더빙</v>
      </c>
    </row>
    <row r="7089" ht="15.75" customHeight="1">
      <c r="A7089" s="1" t="s">
        <v>20821</v>
      </c>
      <c r="B7089" s="1">
        <v>7.0</v>
      </c>
      <c r="C7089" s="1" t="s">
        <v>20822</v>
      </c>
      <c r="D7089" s="1" t="s">
        <v>8</v>
      </c>
      <c r="E7089" s="1" t="s">
        <v>20823</v>
      </c>
      <c r="F7089" s="1" t="str">
        <f>IFERROR(__xludf.DUMMYFUNCTION("GOOGLETRANSLATE(A7089, ""zh-CN"", ""ko"")"),"구성")</f>
        <v>구성</v>
      </c>
    </row>
    <row r="7090" ht="15.75" customHeight="1">
      <c r="A7090" s="1" t="s">
        <v>20824</v>
      </c>
      <c r="B7090" s="1">
        <v>7.0</v>
      </c>
      <c r="C7090" s="1" t="s">
        <v>20825</v>
      </c>
      <c r="D7090" s="1" t="s">
        <v>16</v>
      </c>
      <c r="E7090" s="1" t="s">
        <v>20826</v>
      </c>
      <c r="F7090" s="1" t="str">
        <f>IFERROR(__xludf.DUMMYFUNCTION("GOOGLETRANSLATE(A7090, ""zh-CN"", ""ko"")"),"분수")</f>
        <v>분수</v>
      </c>
    </row>
    <row r="7091" ht="15.75" customHeight="1">
      <c r="A7091" s="1" t="s">
        <v>20827</v>
      </c>
      <c r="B7091" s="1">
        <v>7.0</v>
      </c>
      <c r="C7091" s="1" t="s">
        <v>20828</v>
      </c>
      <c r="D7091" s="1" t="s">
        <v>8</v>
      </c>
      <c r="E7091" s="1" t="s">
        <v>20829</v>
      </c>
      <c r="F7091" s="1" t="str">
        <f>IFERROR(__xludf.DUMMYFUNCTION("GOOGLETRANSLATE(A7091, ""zh-CN"", ""ko"")"),"공격")</f>
        <v>공격</v>
      </c>
    </row>
    <row r="7092" ht="15.75" customHeight="1">
      <c r="A7092" s="1" t="s">
        <v>20830</v>
      </c>
      <c r="B7092" s="1">
        <v>7.0</v>
      </c>
      <c r="C7092" s="1" t="s">
        <v>20831</v>
      </c>
      <c r="D7092" s="1" t="s">
        <v>8</v>
      </c>
      <c r="E7092" s="1" t="s">
        <v>20832</v>
      </c>
      <c r="F7092" s="1" t="str">
        <f>IFERROR(__xludf.DUMMYFUNCTION("GOOGLETRANSLATE(A7092, ""zh-CN"", ""ko"")"),"요리")</f>
        <v>요리</v>
      </c>
    </row>
    <row r="7093" ht="15.75" customHeight="1">
      <c r="A7093" s="1" t="s">
        <v>20833</v>
      </c>
      <c r="B7093" s="1">
        <v>7.0</v>
      </c>
      <c r="C7093" s="1" t="s">
        <v>20834</v>
      </c>
      <c r="D7093" s="1" t="s">
        <v>16</v>
      </c>
      <c r="E7093" s="1" t="s">
        <v>20835</v>
      </c>
      <c r="F7093" s="1" t="str">
        <f>IFERROR(__xludf.DUMMYFUNCTION("GOOGLETRANSLATE(A7093, ""zh-CN"", ""ko"")"),"창고")</f>
        <v>창고</v>
      </c>
    </row>
    <row r="7094" ht="15.75" customHeight="1">
      <c r="A7094" s="1" t="s">
        <v>20836</v>
      </c>
      <c r="B7094" s="1">
        <v>7.0</v>
      </c>
      <c r="C7094" s="1" t="s">
        <v>20837</v>
      </c>
      <c r="D7094" s="1" t="s">
        <v>52</v>
      </c>
      <c r="E7094" s="1" t="s">
        <v>20838</v>
      </c>
      <c r="F7094" s="1" t="str">
        <f>IFERROR(__xludf.DUMMYFUNCTION("GOOGLETRANSLATE(A7094, ""zh-CN"", ""ko"")"),"원기 왕성한")</f>
        <v>원기 왕성한</v>
      </c>
    </row>
    <row r="7095" ht="15.75" customHeight="1">
      <c r="A7095" s="1" t="s">
        <v>20839</v>
      </c>
      <c r="B7095" s="1">
        <v>7.0</v>
      </c>
      <c r="C7095" s="1" t="s">
        <v>20840</v>
      </c>
      <c r="E7095" s="1" t="s">
        <v>20841</v>
      </c>
      <c r="F7095" s="1" t="str">
        <f>IFERROR(__xludf.DUMMYFUNCTION("GOOGLETRANSLATE(A7095, ""zh-CN"", ""ko"")"),"밝은 미래가 기다리고 있습니다!")</f>
        <v>밝은 미래가 기다리고 있습니다!</v>
      </c>
    </row>
    <row r="7096" ht="15.75" customHeight="1">
      <c r="A7096" s="1" t="s">
        <v>20842</v>
      </c>
      <c r="B7096" s="1">
        <v>7.0</v>
      </c>
      <c r="C7096" s="1" t="s">
        <v>20843</v>
      </c>
      <c r="D7096" s="1" t="s">
        <v>52</v>
      </c>
      <c r="E7096" s="1" t="s">
        <v>20844</v>
      </c>
      <c r="F7096" s="1" t="str">
        <f>IFERROR(__xludf.DUMMYFUNCTION("GOOGLETRANSLATE(A7096, ""zh-CN"", ""ko"")"),"급증하는")</f>
        <v>급증하는</v>
      </c>
    </row>
    <row r="7097" ht="15.75" customHeight="1">
      <c r="A7097" s="1" t="s">
        <v>20845</v>
      </c>
      <c r="B7097" s="1">
        <v>7.0</v>
      </c>
      <c r="C7097" s="1" t="s">
        <v>20846</v>
      </c>
      <c r="D7097" s="1" t="s">
        <v>8</v>
      </c>
      <c r="E7097" s="1" t="s">
        <v>20847</v>
      </c>
      <c r="F7097" s="1" t="str">
        <f>IFERROR(__xludf.DUMMYFUNCTION("GOOGLETRANSLATE(A7097, ""zh-CN"", ""ko"")"),"확장")</f>
        <v>확장</v>
      </c>
    </row>
    <row r="7098" ht="15.75" customHeight="1">
      <c r="A7098" s="1" t="s">
        <v>20848</v>
      </c>
      <c r="B7098" s="1">
        <v>7.0</v>
      </c>
      <c r="C7098" s="1" t="s">
        <v>20849</v>
      </c>
      <c r="D7098" s="1" t="s">
        <v>8</v>
      </c>
      <c r="E7098" s="1" t="s">
        <v>20850</v>
      </c>
      <c r="F7098" s="1" t="str">
        <f>IFERROR(__xludf.DUMMYFUNCTION("GOOGLETRANSLATE(A7098, ""zh-CN"", ""ko"")"),"지원하다")</f>
        <v>지원하다</v>
      </c>
    </row>
    <row r="7099" ht="15.75" customHeight="1">
      <c r="A7099" s="1" t="s">
        <v>20851</v>
      </c>
      <c r="B7099" s="1">
        <v>7.0</v>
      </c>
      <c r="C7099" s="1" t="s">
        <v>20852</v>
      </c>
      <c r="E7099" s="1" t="s">
        <v>20853</v>
      </c>
      <c r="F7099" s="1" t="str">
        <f>IFERROR(__xludf.DUMMYFUNCTION("GOOGLETRANSLATE(A7099, ""zh-CN"", ""ko"")"),"난관에 부딪히다")</f>
        <v>난관에 부딪히다</v>
      </c>
    </row>
    <row r="7100" ht="15.75" customHeight="1">
      <c r="A7100" s="1" t="s">
        <v>20854</v>
      </c>
      <c r="B7100" s="1">
        <v>7.0</v>
      </c>
      <c r="C7100" s="1" t="s">
        <v>20855</v>
      </c>
      <c r="D7100" s="1" t="s">
        <v>33</v>
      </c>
      <c r="E7100" s="1" t="s">
        <v>20856</v>
      </c>
      <c r="F7100" s="1" t="str">
        <f>IFERROR(__xludf.DUMMYFUNCTION("GOOGLETRANSLATE(A7100, ""zh-CN"", ""ko"")"),"일어나다")</f>
        <v>일어나다</v>
      </c>
    </row>
    <row r="7101" ht="15.75" customHeight="1">
      <c r="A7101" s="1" t="s">
        <v>20857</v>
      </c>
      <c r="B7101" s="1">
        <v>7.0</v>
      </c>
      <c r="C7101" s="1" t="s">
        <v>20858</v>
      </c>
      <c r="D7101" s="1" t="s">
        <v>8</v>
      </c>
      <c r="E7101" s="1" t="s">
        <v>20859</v>
      </c>
      <c r="F7101" s="1" t="str">
        <f>IFERROR(__xludf.DUMMYFUNCTION("GOOGLETRANSLATE(A7101, ""zh-CN"", ""ko"")"),"폭로")</f>
        <v>폭로</v>
      </c>
    </row>
    <row r="7102" ht="15.75" customHeight="1">
      <c r="A7102" s="1" t="s">
        <v>20860</v>
      </c>
      <c r="B7102" s="1">
        <v>7.0</v>
      </c>
      <c r="C7102" s="1" t="s">
        <v>20861</v>
      </c>
      <c r="D7102" s="1" t="s">
        <v>16</v>
      </c>
      <c r="E7102" s="1" t="s">
        <v>20862</v>
      </c>
      <c r="F7102" s="1" t="str">
        <f>IFERROR(__xludf.DUMMYFUNCTION("GOOGLETRANSLATE(A7102, ""zh-CN"", ""ko"")"),"비장")</f>
        <v>비장</v>
      </c>
    </row>
    <row r="7103" ht="15.75" customHeight="1">
      <c r="A7103" s="1" t="s">
        <v>20863</v>
      </c>
      <c r="B7103" s="1">
        <v>7.0</v>
      </c>
      <c r="C7103" s="1" t="s">
        <v>20864</v>
      </c>
      <c r="D7103" s="1" t="s">
        <v>8</v>
      </c>
      <c r="E7103" s="1" t="s">
        <v>20865</v>
      </c>
      <c r="F7103" s="1" t="str">
        <f>IFERROR(__xludf.DUMMYFUNCTION("GOOGLETRANSLATE(A7103, ""zh-CN"", ""ko"")"),"성냥")</f>
        <v>성냥</v>
      </c>
    </row>
    <row r="7104" ht="15.75" customHeight="1">
      <c r="A7104" s="1" t="s">
        <v>20866</v>
      </c>
      <c r="B7104" s="1">
        <v>7.0</v>
      </c>
      <c r="C7104" s="1" t="s">
        <v>20867</v>
      </c>
      <c r="D7104" s="1" t="s">
        <v>52</v>
      </c>
      <c r="E7104" s="1" t="s">
        <v>20868</v>
      </c>
      <c r="F7104" s="1" t="str">
        <f>IFERROR(__xludf.DUMMYFUNCTION("GOOGLETRANSLATE(A7104, ""zh-CN"", ""ko"")"),"외딴")</f>
        <v>외딴</v>
      </c>
    </row>
    <row r="7105" ht="15.75" customHeight="1">
      <c r="A7105" s="1" t="s">
        <v>20869</v>
      </c>
      <c r="B7105" s="1">
        <v>7.0</v>
      </c>
      <c r="C7105" s="1" t="s">
        <v>20870</v>
      </c>
      <c r="D7105" s="1" t="s">
        <v>8</v>
      </c>
      <c r="E7105" s="1" t="s">
        <v>20871</v>
      </c>
      <c r="F7105" s="1" t="str">
        <f>IFERROR(__xludf.DUMMYFUNCTION("GOOGLETRANSLATE(A7105, ""zh-CN"", ""ko"")"),"유사한")</f>
        <v>유사한</v>
      </c>
    </row>
    <row r="7106" ht="15.75" customHeight="1">
      <c r="A7106" s="1" t="s">
        <v>20872</v>
      </c>
      <c r="B7106" s="1">
        <v>7.0</v>
      </c>
      <c r="C7106" s="1" t="s">
        <v>2740</v>
      </c>
      <c r="D7106" s="1" t="s">
        <v>19316</v>
      </c>
      <c r="E7106" s="1" t="s">
        <v>20873</v>
      </c>
      <c r="F7106" s="1" t="str">
        <f>IFERROR(__xludf.DUMMYFUNCTION("GOOGLETRANSLATE(A7106, ""zh-CN"", ""ko"")"),"치우친")</f>
        <v>치우친</v>
      </c>
    </row>
    <row r="7107" ht="15.75" customHeight="1">
      <c r="A7107" s="1" t="s">
        <v>20874</v>
      </c>
      <c r="B7107" s="1">
        <v>7.0</v>
      </c>
      <c r="C7107" s="1" t="s">
        <v>20875</v>
      </c>
      <c r="D7107" s="1" t="s">
        <v>8</v>
      </c>
      <c r="E7107" s="1" t="s">
        <v>20876</v>
      </c>
      <c r="F7107" s="1" t="str">
        <f>IFERROR(__xludf.DUMMYFUNCTION("GOOGLETRANSLATE(A7107, ""zh-CN"", ""ko"")"),"선호")</f>
        <v>선호</v>
      </c>
    </row>
    <row r="7108" ht="15.75" customHeight="1">
      <c r="A7108" s="1" t="s">
        <v>20877</v>
      </c>
      <c r="B7108" s="1">
        <v>7.0</v>
      </c>
      <c r="C7108" s="1" t="s">
        <v>20878</v>
      </c>
      <c r="D7108" s="1" t="s">
        <v>16</v>
      </c>
      <c r="E7108" s="1" t="s">
        <v>20879</v>
      </c>
      <c r="F7108" s="1" t="str">
        <f>IFERROR(__xludf.DUMMYFUNCTION("GOOGLETRANSLATE(A7108, ""zh-CN"", ""ko"")"),"공간")</f>
        <v>공간</v>
      </c>
    </row>
    <row r="7109" ht="15.75" customHeight="1">
      <c r="A7109" s="1" t="s">
        <v>20880</v>
      </c>
      <c r="B7109" s="1">
        <v>7.0</v>
      </c>
      <c r="C7109" s="1" t="s">
        <v>20881</v>
      </c>
      <c r="D7109" s="1" t="s">
        <v>8</v>
      </c>
      <c r="E7109" s="1" t="s">
        <v>20882</v>
      </c>
      <c r="F7109" s="1" t="str">
        <f>IFERROR(__xludf.DUMMYFUNCTION("GOOGLETRANSLATE(A7109, ""zh-CN"", ""ko"")"),"편차")</f>
        <v>편차</v>
      </c>
    </row>
    <row r="7110" ht="15.75" customHeight="1">
      <c r="A7110" s="1" t="s">
        <v>20883</v>
      </c>
      <c r="B7110" s="1">
        <v>7.0</v>
      </c>
      <c r="C7110" s="1" t="s">
        <v>20884</v>
      </c>
      <c r="D7110" s="1" t="s">
        <v>16</v>
      </c>
      <c r="E7110" s="1" t="s">
        <v>20885</v>
      </c>
      <c r="F7110" s="1" t="str">
        <f>IFERROR(__xludf.DUMMYFUNCTION("GOOGLETRANSLATE(A7110, ""zh-CN"", ""ko"")"),"근본적인")</f>
        <v>근본적인</v>
      </c>
    </row>
    <row r="7111" ht="15.75" customHeight="1">
      <c r="A7111" s="1" t="s">
        <v>20886</v>
      </c>
      <c r="B7111" s="1">
        <v>7.0</v>
      </c>
      <c r="C7111" s="1" t="s">
        <v>20887</v>
      </c>
      <c r="D7111" s="1" t="s">
        <v>14870</v>
      </c>
      <c r="E7111" s="1" t="s">
        <v>20888</v>
      </c>
      <c r="F7111" s="1" t="str">
        <f>IFERROR(__xludf.DUMMYFUNCTION("GOOGLETRANSLATE(A7111, ""zh-CN"", ""ko"")"),"편견")</f>
        <v>편견</v>
      </c>
    </row>
    <row r="7112" ht="15.75" customHeight="1">
      <c r="A7112" s="1" t="s">
        <v>20889</v>
      </c>
      <c r="B7112" s="1">
        <v>7.0</v>
      </c>
      <c r="C7112" s="1" t="s">
        <v>20890</v>
      </c>
      <c r="D7112" s="1" t="s">
        <v>52</v>
      </c>
      <c r="E7112" s="1" t="s">
        <v>15098</v>
      </c>
      <c r="F7112" s="1" t="str">
        <f>IFERROR(__xludf.DUMMYFUNCTION("GOOGLETRANSLATE(A7112, ""zh-CN"", ""ko"")"),"원격")</f>
        <v>원격</v>
      </c>
    </row>
    <row r="7113" ht="15.75" customHeight="1">
      <c r="A7113" s="1" t="s">
        <v>20891</v>
      </c>
      <c r="B7113" s="1">
        <v>7.0</v>
      </c>
      <c r="C7113" s="1" t="s">
        <v>20892</v>
      </c>
      <c r="D7113" s="1" t="s">
        <v>16</v>
      </c>
      <c r="E7113" s="1" t="s">
        <v>20893</v>
      </c>
      <c r="F7113" s="1" t="str">
        <f>IFERROR(__xludf.DUMMYFUNCTION("GOOGLETRANSLATE(A7113, ""zh-CN"", ""ko"")"),"영화")</f>
        <v>영화</v>
      </c>
    </row>
    <row r="7114" ht="15.75" customHeight="1">
      <c r="A7114" s="1" t="s">
        <v>20894</v>
      </c>
      <c r="B7114" s="1">
        <v>7.0</v>
      </c>
      <c r="C7114" s="1" t="s">
        <v>11362</v>
      </c>
      <c r="D7114" s="1" t="s">
        <v>16</v>
      </c>
      <c r="E7114" s="1" t="s">
        <v>20895</v>
      </c>
      <c r="F7114" s="1" t="str">
        <f>IFERROR(__xludf.DUMMYFUNCTION("GOOGLETRANSLATE(A7114, ""zh-CN"", ""ko"")"),"발췌")</f>
        <v>발췌</v>
      </c>
    </row>
    <row r="7115" ht="15.75" customHeight="1">
      <c r="A7115" s="1" t="s">
        <v>20896</v>
      </c>
      <c r="B7115" s="1">
        <v>7.0</v>
      </c>
      <c r="C7115" s="1" t="s">
        <v>20897</v>
      </c>
      <c r="D7115" s="1" t="s">
        <v>8</v>
      </c>
      <c r="E7115" s="1" t="s">
        <v>20898</v>
      </c>
      <c r="F7115" s="1" t="str">
        <f>IFERROR(__xludf.DUMMYFUNCTION("GOOGLETRANSLATE(A7115, ""zh-CN"", ""ko"")"),"경향")</f>
        <v>경향</v>
      </c>
    </row>
    <row r="7116" ht="15.75" customHeight="1">
      <c r="A7116" s="1" t="s">
        <v>20899</v>
      </c>
      <c r="B7116" s="1">
        <v>7.0</v>
      </c>
      <c r="C7116" s="1" t="s">
        <v>11368</v>
      </c>
      <c r="D7116" s="1" t="s">
        <v>8</v>
      </c>
      <c r="E7116" s="1" t="s">
        <v>20900</v>
      </c>
      <c r="F7116" s="1" t="str">
        <f>IFERROR(__xludf.DUMMYFUNCTION("GOOGLETRANSLATE(A7116, ""zh-CN"", ""ko"")"),"떠 있는")</f>
        <v>떠 있는</v>
      </c>
    </row>
    <row r="7117" ht="15.75" customHeight="1">
      <c r="A7117" s="1" t="s">
        <v>20901</v>
      </c>
      <c r="B7117" s="1">
        <v>7.0</v>
      </c>
      <c r="C7117" s="1" t="s">
        <v>20902</v>
      </c>
      <c r="D7117" s="1" t="s">
        <v>8</v>
      </c>
      <c r="E7117" s="1" t="s">
        <v>20903</v>
      </c>
      <c r="F7117" s="1" t="str">
        <f>IFERROR(__xludf.DUMMYFUNCTION("GOOGLETRANSLATE(A7117, ""zh-CN"", ""ko"")"),"표류")</f>
        <v>표류</v>
      </c>
    </row>
    <row r="7118" ht="15.75" customHeight="1">
      <c r="A7118" s="1" t="s">
        <v>20904</v>
      </c>
      <c r="B7118" s="1">
        <v>7.0</v>
      </c>
      <c r="C7118" s="1" t="s">
        <v>20905</v>
      </c>
      <c r="D7118" s="1" t="s">
        <v>16</v>
      </c>
      <c r="E7118" s="1" t="s">
        <v>20906</v>
      </c>
      <c r="F7118" s="1" t="str">
        <f>IFERROR(__xludf.DUMMYFUNCTION("GOOGLETRANSLATE(A7118, ""zh-CN"", ""ko"")"),"매표소")</f>
        <v>매표소</v>
      </c>
    </row>
    <row r="7119" ht="15.75" customHeight="1">
      <c r="A7119" s="1" t="s">
        <v>20907</v>
      </c>
      <c r="B7119" s="1">
        <v>7.0</v>
      </c>
      <c r="C7119" s="1" t="s">
        <v>20908</v>
      </c>
      <c r="D7119" s="1" t="s">
        <v>8</v>
      </c>
      <c r="E7119" s="1" t="s">
        <v>20909</v>
      </c>
      <c r="F7119" s="1" t="str">
        <f>IFERROR(__xludf.DUMMYFUNCTION("GOOGLETRANSLATE(A7119, ""zh-CN"", ""ko"")"),"접합")</f>
        <v>접합</v>
      </c>
    </row>
    <row r="7120" ht="15.75" customHeight="1">
      <c r="A7120" s="1" t="s">
        <v>20910</v>
      </c>
      <c r="B7120" s="1">
        <v>7.0</v>
      </c>
      <c r="C7120" s="1" t="s">
        <v>20911</v>
      </c>
      <c r="D7120" s="1" t="s">
        <v>33</v>
      </c>
      <c r="E7120" s="1" t="s">
        <v>20912</v>
      </c>
      <c r="F7120" s="1" t="str">
        <f>IFERROR(__xludf.DUMMYFUNCTION("GOOGLETRANSLATE(A7120, ""zh-CN"", ""ko"")"),"자주")</f>
        <v>자주</v>
      </c>
    </row>
    <row r="7121" ht="15.75" customHeight="1">
      <c r="A7121" s="1" t="s">
        <v>20913</v>
      </c>
      <c r="B7121" s="1">
        <v>7.0</v>
      </c>
      <c r="C7121" s="1" t="s">
        <v>20914</v>
      </c>
      <c r="D7121" s="1" t="s">
        <v>52</v>
      </c>
      <c r="E7121" s="1" t="s">
        <v>20915</v>
      </c>
      <c r="F7121" s="1" t="str">
        <f>IFERROR(__xludf.DUMMYFUNCTION("GOOGLETRANSLATE(A7121, ""zh-CN"", ""ko"")"),"빈곤")</f>
        <v>빈곤</v>
      </c>
    </row>
    <row r="7122" ht="15.75" customHeight="1">
      <c r="A7122" s="1" t="s">
        <v>20916</v>
      </c>
      <c r="B7122" s="1">
        <v>7.0</v>
      </c>
      <c r="C7122" s="1" t="s">
        <v>20917</v>
      </c>
      <c r="D7122" s="1" t="s">
        <v>16</v>
      </c>
      <c r="E7122" s="1" t="s">
        <v>20918</v>
      </c>
      <c r="F7122" s="1" t="str">
        <f>IFERROR(__xludf.DUMMYFUNCTION("GOOGLETRANSLATE(A7122, ""zh-CN"", ""ko"")"),"등급")</f>
        <v>등급</v>
      </c>
    </row>
    <row r="7123" ht="15.75" customHeight="1">
      <c r="A7123" s="1" t="s">
        <v>20919</v>
      </c>
      <c r="B7123" s="1">
        <v>7.0</v>
      </c>
      <c r="C7123" s="1" t="s">
        <v>20917</v>
      </c>
      <c r="D7123" s="1" t="s">
        <v>14870</v>
      </c>
      <c r="E7123" s="1" t="s">
        <v>1007</v>
      </c>
      <c r="F7123" s="1" t="str">
        <f>IFERROR(__xludf.DUMMYFUNCTION("GOOGLETRANSLATE(A7123, ""zh-CN"", ""ko"")"),"맛")</f>
        <v>맛</v>
      </c>
    </row>
    <row r="7124" ht="15.75" customHeight="1">
      <c r="A7124" s="1" t="s">
        <v>20920</v>
      </c>
      <c r="B7124" s="1">
        <v>7.0</v>
      </c>
      <c r="C7124" s="1" t="s">
        <v>20921</v>
      </c>
      <c r="D7124" s="1" t="s">
        <v>16</v>
      </c>
      <c r="E7124" s="1" t="s">
        <v>20922</v>
      </c>
      <c r="F7124" s="1" t="str">
        <f>IFERROR(__xludf.DUMMYFUNCTION("GOOGLETRANSLATE(A7124, ""zh-CN"", ""ko"")"),"지휘하다")</f>
        <v>지휘하다</v>
      </c>
    </row>
    <row r="7125" ht="15.75" customHeight="1">
      <c r="A7125" s="1" t="s">
        <v>20923</v>
      </c>
      <c r="B7125" s="1">
        <v>7.0</v>
      </c>
      <c r="C7125" s="1" t="s">
        <v>20924</v>
      </c>
      <c r="D7125" s="1" t="s">
        <v>8</v>
      </c>
      <c r="E7125" s="1" t="s">
        <v>20925</v>
      </c>
      <c r="F7125" s="1" t="str">
        <f>IFERROR(__xludf.DUMMYFUNCTION("GOOGLETRANSLATE(A7125, ""zh-CN"", ""ko"")"),"채용 중")</f>
        <v>채용 중</v>
      </c>
    </row>
    <row r="7126" ht="15.75" customHeight="1">
      <c r="A7126" s="1" t="s">
        <v>20926</v>
      </c>
      <c r="B7126" s="1">
        <v>7.0</v>
      </c>
      <c r="C7126" s="1" t="s">
        <v>20927</v>
      </c>
      <c r="D7126" s="1" t="s">
        <v>8</v>
      </c>
      <c r="E7126" s="1" t="s">
        <v>20928</v>
      </c>
      <c r="F7126" s="1" t="str">
        <f>IFERROR(__xludf.DUMMYFUNCTION("GOOGLETRANSLATE(A7126, ""zh-CN"", ""ko"")"),"약속")</f>
        <v>약속</v>
      </c>
    </row>
    <row r="7127" ht="15.75" customHeight="1">
      <c r="A7127" s="1" t="s">
        <v>20929</v>
      </c>
      <c r="B7127" s="1">
        <v>7.0</v>
      </c>
      <c r="C7127" s="1" t="s">
        <v>20930</v>
      </c>
      <c r="D7127" s="1" t="s">
        <v>8</v>
      </c>
      <c r="E7127" s="1" t="s">
        <v>20931</v>
      </c>
      <c r="F7127" s="1" t="str">
        <f>IFERROR(__xludf.DUMMYFUNCTION("GOOGLETRANSLATE(A7127, ""zh-CN"", ""ko"")"),"채용 중")</f>
        <v>채용 중</v>
      </c>
    </row>
    <row r="7128" ht="15.75" customHeight="1">
      <c r="A7128" s="1" t="s">
        <v>20932</v>
      </c>
      <c r="B7128" s="1">
        <v>7.0</v>
      </c>
      <c r="C7128" s="1" t="s">
        <v>20933</v>
      </c>
      <c r="D7128" s="1" t="s">
        <v>8</v>
      </c>
      <c r="E7128" s="1" t="s">
        <v>20934</v>
      </c>
      <c r="F7128" s="1" t="str">
        <f>IFERROR(__xludf.DUMMYFUNCTION("GOOGLETRANSLATE(A7128, ""zh-CN"", ""ko"")"),"방패")</f>
        <v>방패</v>
      </c>
    </row>
    <row r="7129" ht="15.75" customHeight="1">
      <c r="A7129" s="1" t="s">
        <v>20935</v>
      </c>
      <c r="B7129" s="1">
        <v>7.0</v>
      </c>
      <c r="C7129" s="1" t="s">
        <v>20936</v>
      </c>
      <c r="D7129" s="1" t="s">
        <v>52</v>
      </c>
      <c r="E7129" s="1" t="s">
        <v>20937</v>
      </c>
      <c r="F7129" s="1" t="str">
        <f>IFERROR(__xludf.DUMMYFUNCTION("GOOGLETRANSLATE(A7129, ""zh-CN"", ""ko"")"),"따분한")</f>
        <v>따분한</v>
      </c>
    </row>
    <row r="7130" ht="15.75" customHeight="1">
      <c r="A7130" s="1" t="s">
        <v>20938</v>
      </c>
      <c r="B7130" s="1">
        <v>7.0</v>
      </c>
      <c r="C7130" s="1" t="s">
        <v>20939</v>
      </c>
      <c r="D7130" s="1" t="s">
        <v>8</v>
      </c>
      <c r="E7130" s="1" t="s">
        <v>20940</v>
      </c>
      <c r="F7130" s="1" t="str">
        <f>IFERROR(__xludf.DUMMYFUNCTION("GOOGLETRANSLATE(A7130, ""zh-CN"", ""ko"")"),"평가")</f>
        <v>평가</v>
      </c>
    </row>
    <row r="7131" ht="15.75" customHeight="1">
      <c r="A7131" s="1" t="s">
        <v>20941</v>
      </c>
      <c r="B7131" s="1">
        <v>7.0</v>
      </c>
      <c r="C7131" s="1" t="s">
        <v>20942</v>
      </c>
      <c r="D7131" s="1" t="s">
        <v>16</v>
      </c>
      <c r="E7131" s="1" t="s">
        <v>20943</v>
      </c>
      <c r="F7131" s="1" t="str">
        <f>IFERROR(__xludf.DUMMYFUNCTION("GOOGLETRANSLATE(A7131, ""zh-CN"", ""ko"")"),"방갈로")</f>
        <v>방갈로</v>
      </c>
    </row>
    <row r="7132" ht="15.75" customHeight="1">
      <c r="A7132" s="1" t="s">
        <v>20944</v>
      </c>
      <c r="B7132" s="1">
        <v>7.0</v>
      </c>
      <c r="C7132" s="1" t="s">
        <v>20945</v>
      </c>
      <c r="D7132" s="1" t="s">
        <v>14742</v>
      </c>
      <c r="E7132" s="1" t="s">
        <v>20946</v>
      </c>
      <c r="F7132" s="1" t="str">
        <f>IFERROR(__xludf.DUMMYFUNCTION("GOOGLETRANSLATE(A7132, ""zh-CN"", ""ko"")"),"평화로운")</f>
        <v>평화로운</v>
      </c>
    </row>
    <row r="7133" ht="15.75" customHeight="1">
      <c r="A7133" s="1" t="s">
        <v>20947</v>
      </c>
      <c r="B7133" s="1">
        <v>7.0</v>
      </c>
      <c r="C7133" s="1" t="s">
        <v>5650</v>
      </c>
      <c r="D7133" s="1" t="s">
        <v>14870</v>
      </c>
      <c r="E7133" s="1" t="s">
        <v>20948</v>
      </c>
      <c r="F7133" s="1" t="str">
        <f>IFERROR(__xludf.DUMMYFUNCTION("GOOGLETRANSLATE(A7133, ""zh-CN"", ""ko"")"),"둥가")</f>
        <v>둥가</v>
      </c>
    </row>
    <row r="7134" ht="15.75" customHeight="1">
      <c r="A7134" s="1" t="s">
        <v>20949</v>
      </c>
      <c r="B7134" s="1">
        <v>7.0</v>
      </c>
      <c r="C7134" s="1" t="s">
        <v>20950</v>
      </c>
      <c r="D7134" s="1" t="s">
        <v>16</v>
      </c>
      <c r="E7134" s="1" t="s">
        <v>20951</v>
      </c>
      <c r="F7134" s="1" t="str">
        <f>IFERROR(__xludf.DUMMYFUNCTION("GOOGLETRANSLATE(A7134, ""zh-CN"", ""ko"")"),"병목")</f>
        <v>병목</v>
      </c>
    </row>
    <row r="7135" ht="15.75" customHeight="1">
      <c r="A7135" s="1" t="s">
        <v>20952</v>
      </c>
      <c r="B7135" s="1">
        <v>7.0</v>
      </c>
      <c r="C7135" s="1" t="s">
        <v>20953</v>
      </c>
      <c r="D7135" s="1" t="s">
        <v>8</v>
      </c>
      <c r="E7135" s="1" t="s">
        <v>20954</v>
      </c>
      <c r="F7135" s="1" t="str">
        <f>IFERROR(__xludf.DUMMYFUNCTION("GOOGLETRANSLATE(A7135, ""zh-CN"", ""ko"")"),"판사")</f>
        <v>판사</v>
      </c>
    </row>
    <row r="7136" ht="15.75" customHeight="1">
      <c r="A7136" s="1" t="s">
        <v>20955</v>
      </c>
      <c r="B7136" s="1">
        <v>7.0</v>
      </c>
      <c r="C7136" s="1" t="s">
        <v>20956</v>
      </c>
      <c r="D7136" s="1" t="s">
        <v>16</v>
      </c>
      <c r="E7136" s="1" t="s">
        <v>20957</v>
      </c>
      <c r="F7136" s="1" t="str">
        <f>IFERROR(__xludf.DUMMYFUNCTION("GOOGLETRANSLATE(A7136, ""zh-CN"", ""ko"")"),"평일")</f>
        <v>평일</v>
      </c>
    </row>
    <row r="7137" ht="15.75" customHeight="1">
      <c r="A7137" s="1" t="s">
        <v>20958</v>
      </c>
      <c r="B7137" s="1">
        <v>7.0</v>
      </c>
      <c r="C7137" s="1" t="s">
        <v>20959</v>
      </c>
      <c r="D7137" s="1" t="s">
        <v>8</v>
      </c>
      <c r="E7137" s="1" t="s">
        <v>20960</v>
      </c>
      <c r="F7137" s="1" t="str">
        <f>IFERROR(__xludf.DUMMYFUNCTION("GOOGLETRANSLATE(A7137, ""zh-CN"", ""ko"")"),"검토")</f>
        <v>검토</v>
      </c>
    </row>
    <row r="7138" ht="15.75" customHeight="1">
      <c r="A7138" s="1" t="s">
        <v>20961</v>
      </c>
      <c r="B7138" s="1">
        <v>7.0</v>
      </c>
      <c r="C7138" s="1" t="s">
        <v>20962</v>
      </c>
      <c r="E7138" s="1" t="s">
        <v>20963</v>
      </c>
      <c r="F7138" s="1" t="str">
        <f>IFERROR(__xludf.DUMMYFUNCTION("GOOGLETRANSLATE(A7138, ""zh-CN"", ""ko"")"),"우연히 만나다")</f>
        <v>우연히 만나다</v>
      </c>
    </row>
    <row r="7139" ht="15.75" customHeight="1">
      <c r="A7139" s="1" t="s">
        <v>20964</v>
      </c>
      <c r="B7139" s="1">
        <v>7.0</v>
      </c>
      <c r="C7139" s="1" t="s">
        <v>20965</v>
      </c>
      <c r="D7139" s="1" t="s">
        <v>16</v>
      </c>
      <c r="E7139" s="1" t="s">
        <v>20954</v>
      </c>
      <c r="F7139" s="1" t="str">
        <f>IFERROR(__xludf.DUMMYFUNCTION("GOOGLETRANSLATE(A7139, ""zh-CN"", ""ko"")"),"판사들")</f>
        <v>판사들</v>
      </c>
    </row>
    <row r="7140" ht="15.75" customHeight="1">
      <c r="A7140" s="1" t="s">
        <v>20966</v>
      </c>
      <c r="B7140" s="1">
        <v>7.0</v>
      </c>
      <c r="C7140" s="1" t="s">
        <v>20967</v>
      </c>
      <c r="D7140" s="1" t="s">
        <v>52</v>
      </c>
      <c r="E7140" s="1" t="s">
        <v>20968</v>
      </c>
      <c r="F7140" s="1" t="str">
        <f>IFERROR(__xludf.DUMMYFUNCTION("GOOGLETRANSLATE(A7140, ""zh-CN"", ""ko"")"),"매끄러운")</f>
        <v>매끄러운</v>
      </c>
    </row>
    <row r="7141" ht="15.75" customHeight="1">
      <c r="A7141" s="1" t="s">
        <v>20969</v>
      </c>
      <c r="B7141" s="1">
        <v>7.0</v>
      </c>
      <c r="C7141" s="1" t="s">
        <v>20970</v>
      </c>
      <c r="D7141" s="1" t="s">
        <v>8</v>
      </c>
      <c r="E7141" s="1" t="s">
        <v>20971</v>
      </c>
      <c r="F7141" s="1" t="str">
        <f>IFERROR(__xludf.DUMMYFUNCTION("GOOGLETRANSLATE(A7141, ""zh-CN"", ""ko"")"),"침착한")</f>
        <v>침착한</v>
      </c>
    </row>
    <row r="7142" ht="15.75" customHeight="1">
      <c r="A7142" s="1" t="s">
        <v>20972</v>
      </c>
      <c r="B7142" s="1">
        <v>7.0</v>
      </c>
      <c r="C7142" s="1" t="s">
        <v>20973</v>
      </c>
      <c r="D7142" s="1" t="s">
        <v>16</v>
      </c>
      <c r="E7142" s="1" t="s">
        <v>20974</v>
      </c>
      <c r="F7142" s="1" t="str">
        <f>IFERROR(__xludf.DUMMYFUNCTION("GOOGLETRANSLATE(A7142, ""zh-CN"", ""ko"")"),"자격증")</f>
        <v>자격증</v>
      </c>
    </row>
    <row r="7143" ht="15.75" customHeight="1">
      <c r="A7143" s="1" t="s">
        <v>20975</v>
      </c>
      <c r="B7143" s="1">
        <v>7.0</v>
      </c>
      <c r="C7143" s="1" t="s">
        <v>20976</v>
      </c>
      <c r="E7143" s="1" t="s">
        <v>20977</v>
      </c>
      <c r="F7143" s="1" t="str">
        <f>IFERROR(__xludf.DUMMYFUNCTION("GOOGLETRANSLATE(A7143, ""zh-CN"", ""ko"")"),"찬물을 부으세요")</f>
        <v>찬물을 부으세요</v>
      </c>
    </row>
    <row r="7144" ht="15.75" customHeight="1">
      <c r="A7144" s="1" t="s">
        <v>20978</v>
      </c>
      <c r="B7144" s="1">
        <v>7.0</v>
      </c>
      <c r="C7144" s="1" t="s">
        <v>20979</v>
      </c>
      <c r="D7144" s="1" t="s">
        <v>8</v>
      </c>
      <c r="E7144" s="1" t="s">
        <v>20980</v>
      </c>
      <c r="F7144" s="1" t="str">
        <f>IFERROR(__xludf.DUMMYFUNCTION("GOOGLETRANSLATE(A7144, ""zh-CN"", ""ko"")"),"사건 해결")</f>
        <v>사건 해결</v>
      </c>
    </row>
    <row r="7145" ht="15.75" customHeight="1">
      <c r="A7145" s="1" t="s">
        <v>20981</v>
      </c>
      <c r="B7145" s="1">
        <v>7.0</v>
      </c>
      <c r="C7145" s="1" t="s">
        <v>20982</v>
      </c>
      <c r="D7145" s="1" t="s">
        <v>8</v>
      </c>
      <c r="E7145" s="1" t="s">
        <v>20983</v>
      </c>
      <c r="F7145" s="1" t="str">
        <f>IFERROR(__xludf.DUMMYFUNCTION("GOOGLETRANSLATE(A7145, ""zh-CN"", ""ko"")"),"없애다")</f>
        <v>없애다</v>
      </c>
    </row>
    <row r="7146" ht="15.75" customHeight="1">
      <c r="A7146" s="1" t="s">
        <v>20984</v>
      </c>
      <c r="B7146" s="1">
        <v>7.0</v>
      </c>
      <c r="C7146" s="1" t="s">
        <v>20985</v>
      </c>
      <c r="D7146" s="1" t="s">
        <v>8</v>
      </c>
      <c r="E7146" s="1" t="s">
        <v>20986</v>
      </c>
      <c r="F7146" s="1" t="str">
        <f>IFERROR(__xludf.DUMMYFUNCTION("GOOGLETRANSLATE(A7146, ""zh-CN"", ""ko"")"),"열분해")</f>
        <v>열분해</v>
      </c>
    </row>
    <row r="7147" ht="15.75" customHeight="1">
      <c r="A7147" s="1" t="s">
        <v>20987</v>
      </c>
      <c r="B7147" s="1">
        <v>7.0</v>
      </c>
      <c r="C7147" s="1" t="s">
        <v>20988</v>
      </c>
      <c r="D7147" s="1" t="s">
        <v>52</v>
      </c>
      <c r="E7147" s="1" t="s">
        <v>20989</v>
      </c>
      <c r="F7147" s="1" t="str">
        <f>IFERROR(__xludf.DUMMYFUNCTION("GOOGLETRANSLATE(A7147, ""zh-CN"", ""ko"")"),"오래된")</f>
        <v>오래된</v>
      </c>
    </row>
    <row r="7148" ht="15.75" customHeight="1">
      <c r="A7148" s="1" t="s">
        <v>20990</v>
      </c>
      <c r="B7148" s="1">
        <v>7.0</v>
      </c>
      <c r="C7148" s="1" t="s">
        <v>20991</v>
      </c>
      <c r="D7148" s="1" t="s">
        <v>8</v>
      </c>
      <c r="E7148" s="1" t="s">
        <v>20992</v>
      </c>
      <c r="F7148" s="1" t="str">
        <f>IFERROR(__xludf.DUMMYFUNCTION("GOOGLETRANSLATE(A7148, ""zh-CN"", ""ko"")"),"파열")</f>
        <v>파열</v>
      </c>
    </row>
    <row r="7149" ht="15.75" customHeight="1">
      <c r="A7149" s="1" t="s">
        <v>20993</v>
      </c>
      <c r="B7149" s="1">
        <v>7.0</v>
      </c>
      <c r="C7149" s="1" t="s">
        <v>20994</v>
      </c>
      <c r="D7149" s="1" t="s">
        <v>8</v>
      </c>
      <c r="E7149" s="1" t="s">
        <v>20995</v>
      </c>
      <c r="F7149" s="1" t="str">
        <f>IFERROR(__xludf.DUMMYFUNCTION("GOOGLETRANSLATE(A7149, ""zh-CN"", ""ko"")"),"파괴")</f>
        <v>파괴</v>
      </c>
    </row>
    <row r="7150" ht="15.75" customHeight="1">
      <c r="A7150" s="1" t="s">
        <v>20996</v>
      </c>
      <c r="B7150" s="1">
        <v>7.0</v>
      </c>
      <c r="C7150" s="1" t="s">
        <v>20997</v>
      </c>
      <c r="D7150" s="1" t="s">
        <v>8</v>
      </c>
      <c r="E7150" s="1" t="s">
        <v>20998</v>
      </c>
      <c r="F7150" s="1" t="str">
        <f>IFERROR(__xludf.DUMMYFUNCTION("GOOGLETRANSLATE(A7150, ""zh-CN"", ""ko"")"),"힘")</f>
        <v>힘</v>
      </c>
    </row>
    <row r="7151" ht="15.75" customHeight="1">
      <c r="A7151" s="1" t="s">
        <v>20999</v>
      </c>
      <c r="B7151" s="1">
        <v>7.0</v>
      </c>
      <c r="C7151" s="1" t="s">
        <v>21000</v>
      </c>
      <c r="D7151" s="1" t="s">
        <v>8</v>
      </c>
      <c r="E7151" s="1" t="s">
        <v>21001</v>
      </c>
      <c r="F7151" s="1" t="str">
        <f>IFERROR(__xludf.DUMMYFUNCTION("GOOGLETRANSLATE(A7151, ""zh-CN"", ""ko"")"),"고장난")</f>
        <v>고장난</v>
      </c>
    </row>
    <row r="7152" ht="15.75" customHeight="1">
      <c r="A7152" s="1" t="s">
        <v>21002</v>
      </c>
      <c r="B7152" s="1">
        <v>7.0</v>
      </c>
      <c r="C7152" s="1" t="s">
        <v>21003</v>
      </c>
      <c r="D7152" s="1" t="s">
        <v>16</v>
      </c>
      <c r="E7152" s="1" t="s">
        <v>21004</v>
      </c>
      <c r="F7152" s="1" t="str">
        <f>IFERROR(__xludf.DUMMYFUNCTION("GOOGLETRANSLATE(A7152, ""zh-CN"", ""ko"")"),"포커")</f>
        <v>포커</v>
      </c>
    </row>
    <row r="7153" ht="15.75" customHeight="1">
      <c r="A7153" s="1" t="s">
        <v>21005</v>
      </c>
      <c r="B7153" s="1">
        <v>7.0</v>
      </c>
      <c r="C7153" s="1" t="s">
        <v>21006</v>
      </c>
      <c r="D7153" s="1" t="s">
        <v>8</v>
      </c>
      <c r="E7153" s="1" t="s">
        <v>21007</v>
      </c>
      <c r="F7153" s="1" t="str">
        <f>IFERROR(__xludf.DUMMYFUNCTION("GOOGLETRANSLATE(A7153, ""zh-CN"", ""ko"")"),"포장")</f>
        <v>포장</v>
      </c>
    </row>
    <row r="7154" ht="15.75" customHeight="1">
      <c r="A7154" s="1" t="s">
        <v>21008</v>
      </c>
      <c r="B7154" s="1">
        <v>7.0</v>
      </c>
      <c r="C7154" s="1" t="s">
        <v>21009</v>
      </c>
      <c r="E7154" s="1" t="s">
        <v>21010</v>
      </c>
      <c r="F7154" s="1" t="str">
        <f>IFERROR(__xludf.DUMMYFUNCTION("GOOGLETRANSLATE(A7154, ""zh-CN"", ""ko"")"),"바람이 확 불어온다")</f>
        <v>바람이 확 불어온다</v>
      </c>
    </row>
    <row r="7155" ht="15.75" customHeight="1">
      <c r="A7155" s="1" t="s">
        <v>21011</v>
      </c>
      <c r="B7155" s="1">
        <v>7.0</v>
      </c>
      <c r="C7155" s="1" t="s">
        <v>21012</v>
      </c>
      <c r="D7155" s="1" t="s">
        <v>16</v>
      </c>
      <c r="E7155" s="1" t="s">
        <v>21013</v>
      </c>
      <c r="F7155" s="1" t="str">
        <f>IFERROR(__xludf.DUMMYFUNCTION("GOOGLETRANSLATE(A7155, ""zh-CN"", ""ko"")"),"불")</f>
        <v>불</v>
      </c>
    </row>
    <row r="7156" ht="15.75" customHeight="1">
      <c r="A7156" s="1" t="s">
        <v>21014</v>
      </c>
      <c r="B7156" s="1">
        <v>7.0</v>
      </c>
      <c r="C7156" s="1" t="s">
        <v>21015</v>
      </c>
      <c r="D7156" s="1" t="s">
        <v>14870</v>
      </c>
      <c r="E7156" s="1" t="s">
        <v>21016</v>
      </c>
      <c r="F7156" s="1" t="str">
        <f>IFERROR(__xludf.DUMMYFUNCTION("GOOGLETRANSLATE(A7156, ""zh-CN"", ""ko"")"),"스펙트럼")</f>
        <v>스펙트럼</v>
      </c>
    </row>
    <row r="7157" ht="15.75" customHeight="1">
      <c r="A7157" s="1" t="s">
        <v>21017</v>
      </c>
      <c r="B7157" s="1">
        <v>7.0</v>
      </c>
      <c r="C7157" s="1" t="s">
        <v>255</v>
      </c>
      <c r="D7157" s="1" t="s">
        <v>8</v>
      </c>
      <c r="E7157" s="1" t="s">
        <v>21018</v>
      </c>
      <c r="F7157" s="1" t="str">
        <f>IFERROR(__xludf.DUMMYFUNCTION("GOOGLETRANSLATE(A7157, ""zh-CN"", ""ko"")"),"험한")</f>
        <v>험한</v>
      </c>
    </row>
    <row r="7158" ht="15.75" customHeight="1">
      <c r="A7158" s="1" t="s">
        <v>21019</v>
      </c>
      <c r="B7158" s="1">
        <v>7.0</v>
      </c>
      <c r="C7158" s="1" t="s">
        <v>255</v>
      </c>
      <c r="D7158" s="1" t="s">
        <v>14917</v>
      </c>
      <c r="E7158" s="1" t="s">
        <v>21020</v>
      </c>
      <c r="F7158" s="1" t="str">
        <f>IFERROR(__xludf.DUMMYFUNCTION("GOOGLETRANSLATE(A7158, ""zh-CN"", ""ko"")"),"페인트")</f>
        <v>페인트</v>
      </c>
    </row>
    <row r="7159" ht="15.75" customHeight="1">
      <c r="A7159" s="1" t="s">
        <v>21021</v>
      </c>
      <c r="B7159" s="1">
        <v>7.0</v>
      </c>
      <c r="C7159" s="1" t="s">
        <v>21022</v>
      </c>
      <c r="D7159" s="1" t="s">
        <v>52</v>
      </c>
      <c r="E7159" s="1" t="s">
        <v>21023</v>
      </c>
      <c r="F7159" s="1" t="str">
        <f>IFERROR(__xludf.DUMMYFUNCTION("GOOGLETRANSLATE(A7159, ""zh-CN"", ""ko"")"),"칠흑 같은 어둠")</f>
        <v>칠흑 같은 어둠</v>
      </c>
    </row>
    <row r="7160" ht="15.75" customHeight="1">
      <c r="A7160" s="1" t="s">
        <v>21024</v>
      </c>
      <c r="B7160" s="1">
        <v>7.0</v>
      </c>
      <c r="C7160" s="1" t="s">
        <v>21025</v>
      </c>
      <c r="D7160" s="1" t="s">
        <v>8</v>
      </c>
      <c r="E7160" s="1" t="s">
        <v>21026</v>
      </c>
      <c r="F7160" s="1" t="str">
        <f>IFERROR(__xludf.DUMMYFUNCTION("GOOGLETRANSLATE(A7160, ""zh-CN"", ""ko"")"),"기대하고 있습니다")</f>
        <v>기대하고 있습니다</v>
      </c>
    </row>
    <row r="7161" ht="15.75" customHeight="1">
      <c r="A7161" s="1" t="s">
        <v>21027</v>
      </c>
      <c r="B7161" s="1">
        <v>7.0</v>
      </c>
      <c r="C7161" s="1" t="s">
        <v>21028</v>
      </c>
      <c r="D7161" s="1" t="s">
        <v>52</v>
      </c>
      <c r="E7161" s="1" t="s">
        <v>1446</v>
      </c>
      <c r="F7161" s="1" t="str">
        <f>IFERROR(__xludf.DUMMYFUNCTION("GOOGLETRANSLATE(A7161, ""zh-CN"", ""ko"")"),"이상한")</f>
        <v>이상한</v>
      </c>
    </row>
    <row r="7162" ht="15.75" customHeight="1">
      <c r="A7162" s="1" t="s">
        <v>21029</v>
      </c>
      <c r="B7162" s="1">
        <v>7.0</v>
      </c>
      <c r="C7162" s="1" t="s">
        <v>21030</v>
      </c>
      <c r="D7162" s="1" t="s">
        <v>8</v>
      </c>
      <c r="E7162" s="1" t="s">
        <v>21031</v>
      </c>
      <c r="F7162" s="1" t="str">
        <f>IFERROR(__xludf.DUMMYFUNCTION("GOOGLETRANSLATE(A7162, ""zh-CN"", ""ko"")"),"사기")</f>
        <v>사기</v>
      </c>
    </row>
    <row r="7163" ht="15.75" customHeight="1">
      <c r="A7163" s="1" t="s">
        <v>21032</v>
      </c>
      <c r="B7163" s="1">
        <v>7.0</v>
      </c>
      <c r="C7163" s="1" t="s">
        <v>21033</v>
      </c>
      <c r="E7163" s="1" t="s">
        <v>21034</v>
      </c>
      <c r="F7163" s="1" t="str">
        <f>IFERROR(__xludf.DUMMYFUNCTION("GOOGLETRANSLATE(A7163, ""zh-CN"", ""ko"")"),"다양한 목소리의 불협화음")</f>
        <v>다양한 목소리의 불협화음</v>
      </c>
    </row>
    <row r="7164" ht="15.75" customHeight="1">
      <c r="A7164" s="1" t="s">
        <v>21035</v>
      </c>
      <c r="B7164" s="1">
        <v>7.0</v>
      </c>
      <c r="C7164" s="1" t="s">
        <v>21036</v>
      </c>
      <c r="D7164" s="1" t="s">
        <v>8</v>
      </c>
      <c r="E7164" s="1" t="s">
        <v>21037</v>
      </c>
      <c r="F7164" s="1" t="str">
        <f>IFERROR(__xludf.DUMMYFUNCTION("GOOGLETRANSLATE(A7164, ""zh-CN"", ""ko"")"),"기도하다")</f>
        <v>기도하다</v>
      </c>
    </row>
    <row r="7165" ht="15.75" customHeight="1">
      <c r="A7165" s="1" t="s">
        <v>21038</v>
      </c>
      <c r="B7165" s="1">
        <v>7.0</v>
      </c>
      <c r="C7165" s="1" t="s">
        <v>21039</v>
      </c>
      <c r="D7165" s="1" t="s">
        <v>16</v>
      </c>
      <c r="E7165" s="1" t="s">
        <v>21040</v>
      </c>
      <c r="F7165" s="1" t="str">
        <f>IFERROR(__xludf.DUMMYFUNCTION("GOOGLETRANSLATE(A7165, ""zh-CN"", ""ko"")"),"안경")</f>
        <v>안경</v>
      </c>
    </row>
    <row r="7166" ht="15.75" customHeight="1">
      <c r="A7166" s="1" t="s">
        <v>21041</v>
      </c>
      <c r="B7166" s="1">
        <v>7.0</v>
      </c>
      <c r="C7166" s="1" t="s">
        <v>21042</v>
      </c>
      <c r="D7166" s="1" t="s">
        <v>52</v>
      </c>
      <c r="E7166" s="1" t="s">
        <v>19394</v>
      </c>
      <c r="F7166" s="1" t="str">
        <f>IFERROR(__xludf.DUMMYFUNCTION("GOOGLETRANSLATE(A7166, ""zh-CN"", ""ko"")"),"엄격한")</f>
        <v>엄격한</v>
      </c>
    </row>
    <row r="7167" ht="15.75" customHeight="1">
      <c r="A7167" s="1" t="s">
        <v>21043</v>
      </c>
      <c r="B7167" s="1">
        <v>7.0</v>
      </c>
      <c r="C7167" s="1" t="s">
        <v>21044</v>
      </c>
      <c r="D7167" s="1" t="s">
        <v>52</v>
      </c>
      <c r="E7167" s="1" t="s">
        <v>21045</v>
      </c>
      <c r="F7167" s="1" t="str">
        <f>IFERROR(__xludf.DUMMYFUNCTION("GOOGLETRANSLATE(A7167, ""zh-CN"", ""ko"")"),"이상한")</f>
        <v>이상한</v>
      </c>
    </row>
    <row r="7168" ht="15.75" customHeight="1">
      <c r="A7168" s="1" t="s">
        <v>21046</v>
      </c>
      <c r="B7168" s="1">
        <v>7.0</v>
      </c>
      <c r="C7168" s="1" t="s">
        <v>21047</v>
      </c>
      <c r="D7168" s="1" t="s">
        <v>8</v>
      </c>
      <c r="E7168" s="1" t="s">
        <v>21048</v>
      </c>
      <c r="F7168" s="1" t="str">
        <f>IFERROR(__xludf.DUMMYFUNCTION("GOOGLETRANSLATE(A7168, ""zh-CN"", ""ko"")"),"시작")</f>
        <v>시작</v>
      </c>
    </row>
    <row r="7169" ht="15.75" customHeight="1">
      <c r="A7169" s="1" t="s">
        <v>21049</v>
      </c>
      <c r="B7169" s="1">
        <v>7.0</v>
      </c>
      <c r="C7169" s="1" t="s">
        <v>11506</v>
      </c>
      <c r="D7169" s="1" t="s">
        <v>8</v>
      </c>
      <c r="E7169" s="1" t="s">
        <v>21050</v>
      </c>
      <c r="F7169" s="1" t="str">
        <f>IFERROR(__xludf.DUMMYFUNCTION("GOOGLETRANSLATE(A7169, ""zh-CN"", ""ko"")"),"떠나다")</f>
        <v>떠나다</v>
      </c>
    </row>
    <row r="7170" ht="15.75" customHeight="1">
      <c r="A7170" s="1" t="s">
        <v>21051</v>
      </c>
      <c r="B7170" s="1">
        <v>7.0</v>
      </c>
      <c r="C7170" s="1" t="s">
        <v>21052</v>
      </c>
      <c r="D7170" s="1" t="s">
        <v>8</v>
      </c>
      <c r="E7170" s="1" t="s">
        <v>21053</v>
      </c>
      <c r="F7170" s="1" t="str">
        <f>IFERROR(__xludf.DUMMYFUNCTION("GOOGLETRANSLATE(A7170, ""zh-CN"", ""ko"")"),"계발")</f>
        <v>계발</v>
      </c>
    </row>
    <row r="7171" ht="15.75" customHeight="1">
      <c r="A7171" s="1" t="s">
        <v>21054</v>
      </c>
      <c r="B7171" s="1">
        <v>7.0</v>
      </c>
      <c r="C7171" s="1" t="s">
        <v>21055</v>
      </c>
      <c r="D7171" s="1" t="s">
        <v>52</v>
      </c>
      <c r="E7171" s="1" t="s">
        <v>21056</v>
      </c>
      <c r="F7171" s="1" t="str">
        <f>IFERROR(__xludf.DUMMYFUNCTION("GOOGLETRANSLATE(A7171, ""zh-CN"", ""ko"")"),"격렬하게")</f>
        <v>격렬하게</v>
      </c>
    </row>
    <row r="7172" ht="15.75" customHeight="1">
      <c r="A7172" s="1" t="s">
        <v>21057</v>
      </c>
      <c r="B7172" s="1">
        <v>7.0</v>
      </c>
      <c r="C7172" s="1" t="s">
        <v>21058</v>
      </c>
      <c r="D7172" s="1" t="s">
        <v>16</v>
      </c>
      <c r="E7172" s="1" t="s">
        <v>21059</v>
      </c>
      <c r="F7172" s="1" t="str">
        <f>IFERROR(__xludf.DUMMYFUNCTION("GOOGLETRANSLATE(A7172, ""zh-CN"", ""ko"")"),"시작선")</f>
        <v>시작선</v>
      </c>
    </row>
    <row r="7173" ht="15.75" customHeight="1">
      <c r="A7173" s="1" t="s">
        <v>21060</v>
      </c>
      <c r="B7173" s="1">
        <v>7.0</v>
      </c>
      <c r="C7173" s="1" t="s">
        <v>21061</v>
      </c>
      <c r="D7173" s="1" t="s">
        <v>8</v>
      </c>
      <c r="E7173" s="1" t="s">
        <v>21062</v>
      </c>
      <c r="F7173" s="1" t="str">
        <f>IFERROR(__xludf.DUMMYFUNCTION("GOOGLETRANSLATE(A7173, ""zh-CN"", ""ko"")"),"구걸")</f>
        <v>구걸</v>
      </c>
    </row>
    <row r="7174" ht="15.75" customHeight="1">
      <c r="A7174" s="1" t="s">
        <v>21063</v>
      </c>
      <c r="B7174" s="1">
        <v>7.0</v>
      </c>
      <c r="C7174" s="1" t="s">
        <v>21064</v>
      </c>
      <c r="D7174" s="1" t="s">
        <v>8</v>
      </c>
      <c r="E7174" s="1" t="s">
        <v>21065</v>
      </c>
      <c r="F7174" s="1" t="str">
        <f>IFERROR(__xludf.DUMMYFUNCTION("GOOGLETRANSLATE(A7174, ""zh-CN"", ""ko"")"),"소송")</f>
        <v>소송</v>
      </c>
    </row>
    <row r="7175" ht="15.75" customHeight="1">
      <c r="A7175" s="1" t="s">
        <v>21066</v>
      </c>
      <c r="B7175" s="1">
        <v>7.0</v>
      </c>
      <c r="C7175" s="1" t="s">
        <v>21067</v>
      </c>
      <c r="D7175" s="1" t="s">
        <v>8</v>
      </c>
      <c r="E7175" s="1" t="s">
        <v>21062</v>
      </c>
      <c r="F7175" s="1" t="str">
        <f>IFERROR(__xludf.DUMMYFUNCTION("GOOGLETRANSLATE(A7175, ""zh-CN"", ""ko"")"),"구걸")</f>
        <v>구걸</v>
      </c>
    </row>
    <row r="7176" ht="15.75" customHeight="1">
      <c r="A7176" s="1" t="s">
        <v>21068</v>
      </c>
      <c r="B7176" s="1">
        <v>7.0</v>
      </c>
      <c r="C7176" s="1" t="s">
        <v>21069</v>
      </c>
      <c r="D7176" s="1" t="s">
        <v>8</v>
      </c>
      <c r="E7176" s="1" t="s">
        <v>21070</v>
      </c>
      <c r="F7176" s="1" t="str">
        <f>IFERROR(__xludf.DUMMYFUNCTION("GOOGLETRANSLATE(A7176, ""zh-CN"", ""ko"")"),"할 수 있게 하다")</f>
        <v>할 수 있게 하다</v>
      </c>
    </row>
    <row r="7177" ht="15.75" customHeight="1">
      <c r="A7177" s="1" t="s">
        <v>21071</v>
      </c>
      <c r="B7177" s="1">
        <v>7.0</v>
      </c>
      <c r="C7177" s="1" t="s">
        <v>21069</v>
      </c>
      <c r="D7177" s="1" t="s">
        <v>8</v>
      </c>
      <c r="E7177" s="1" t="s">
        <v>21072</v>
      </c>
      <c r="F7177" s="1" t="str">
        <f>IFERROR(__xludf.DUMMYFUNCTION("GOOGLETRANSLATE(A7177, ""zh-CN"", ""ko"")"),"값")</f>
        <v>값</v>
      </c>
    </row>
    <row r="7178" ht="15.75" customHeight="1">
      <c r="A7178" s="1" t="s">
        <v>21073</v>
      </c>
      <c r="B7178" s="1">
        <v>7.0</v>
      </c>
      <c r="C7178" s="1" t="s">
        <v>21074</v>
      </c>
      <c r="D7178" s="1" t="s">
        <v>52</v>
      </c>
      <c r="E7178" s="1" t="s">
        <v>21075</v>
      </c>
      <c r="F7178" s="1" t="str">
        <f>IFERROR(__xludf.DUMMYFUNCTION("GOOGLETRANSLATE(A7178, ""zh-CN"", ""ko"")"),"화난")</f>
        <v>화난</v>
      </c>
    </row>
    <row r="7179" ht="15.75" customHeight="1">
      <c r="A7179" s="1" t="s">
        <v>21076</v>
      </c>
      <c r="B7179" s="1">
        <v>7.0</v>
      </c>
      <c r="C7179" s="1" t="s">
        <v>21077</v>
      </c>
      <c r="D7179" s="1" t="s">
        <v>16</v>
      </c>
      <c r="E7179" s="1" t="s">
        <v>21078</v>
      </c>
      <c r="F7179" s="1" t="str">
        <f>IFERROR(__xludf.DUMMYFUNCTION("GOOGLETRANSLATE(A7179, ""zh-CN"", ""ko"")"),"기관")</f>
        <v>기관</v>
      </c>
    </row>
    <row r="7180" ht="15.75" customHeight="1">
      <c r="A7180" s="1" t="s">
        <v>21079</v>
      </c>
      <c r="B7180" s="1">
        <v>7.0</v>
      </c>
      <c r="C7180" s="1" t="s">
        <v>21080</v>
      </c>
      <c r="D7180" s="1" t="s">
        <v>16</v>
      </c>
      <c r="E7180" s="1" t="s">
        <v>21081</v>
      </c>
      <c r="F7180" s="1" t="str">
        <f>IFERROR(__xludf.DUMMYFUNCTION("GOOGLETRANSLATE(A7180, ""zh-CN"", ""ko"")"),"기회")</f>
        <v>기회</v>
      </c>
    </row>
    <row r="7181" ht="15.75" customHeight="1">
      <c r="A7181" s="1" t="s">
        <v>21082</v>
      </c>
      <c r="B7181" s="1">
        <v>7.0</v>
      </c>
      <c r="C7181" s="1" t="s">
        <v>21083</v>
      </c>
      <c r="D7181" s="1" t="s">
        <v>8</v>
      </c>
      <c r="E7181" s="1" t="s">
        <v>21084</v>
      </c>
      <c r="F7181" s="1" t="str">
        <f>IFERROR(__xludf.DUMMYFUNCTION("GOOGLETRANSLATE(A7181, ""zh-CN"", ""ko"")"),"지금까지")</f>
        <v>지금까지</v>
      </c>
    </row>
    <row r="7182" ht="15.75" customHeight="1">
      <c r="A7182" s="1" t="s">
        <v>21085</v>
      </c>
      <c r="B7182" s="1">
        <v>7.0</v>
      </c>
      <c r="C7182" s="1" t="s">
        <v>21086</v>
      </c>
      <c r="D7182" s="1" t="s">
        <v>16</v>
      </c>
      <c r="E7182" s="1" t="s">
        <v>21087</v>
      </c>
      <c r="F7182" s="1" t="str">
        <f>IFERROR(__xludf.DUMMYFUNCTION("GOOGLETRANSLATE(A7182, ""zh-CN"", ""ko"")"),"기구")</f>
        <v>기구</v>
      </c>
    </row>
    <row r="7183" ht="15.75" customHeight="1">
      <c r="A7183" s="1" t="s">
        <v>21088</v>
      </c>
      <c r="B7183" s="1">
        <v>7.0</v>
      </c>
      <c r="C7183" s="1" t="s">
        <v>21089</v>
      </c>
      <c r="D7183" s="1" t="s">
        <v>16</v>
      </c>
      <c r="E7183" s="1" t="s">
        <v>21090</v>
      </c>
      <c r="F7183" s="1" t="str">
        <f>IFERROR(__xludf.DUMMYFUNCTION("GOOGLETRANSLATE(A7183, ""zh-CN"", ""ko"")"),"공기 흐름")</f>
        <v>공기 흐름</v>
      </c>
    </row>
    <row r="7184" ht="15.75" customHeight="1">
      <c r="A7184" s="1" t="s">
        <v>21091</v>
      </c>
      <c r="B7184" s="1">
        <v>7.0</v>
      </c>
      <c r="C7184" s="1" t="s">
        <v>21092</v>
      </c>
      <c r="D7184" s="1" t="s">
        <v>52</v>
      </c>
      <c r="E7184" s="1" t="s">
        <v>21093</v>
      </c>
      <c r="F7184" s="1" t="str">
        <f>IFERROR(__xludf.DUMMYFUNCTION("GOOGLETRANSLATE(A7184, ""zh-CN"", ""ko"")"),"낙담하다")</f>
        <v>낙담하다</v>
      </c>
    </row>
    <row r="7185" ht="15.75" customHeight="1">
      <c r="A7185" s="1" t="s">
        <v>21094</v>
      </c>
      <c r="B7185" s="1">
        <v>7.0</v>
      </c>
      <c r="C7185" s="1" t="s">
        <v>21095</v>
      </c>
      <c r="D7185" s="1" t="s">
        <v>15011</v>
      </c>
      <c r="E7185" s="1" t="s">
        <v>21096</v>
      </c>
      <c r="F7185" s="1" t="str">
        <f>IFERROR(__xludf.DUMMYFUNCTION("GOOGLETRANSLATE(A7185, ""zh-CN"", ""ko"")"),"스타일")</f>
        <v>스타일</v>
      </c>
    </row>
    <row r="7186" ht="15.75" customHeight="1">
      <c r="A7186" s="1" t="s">
        <v>21097</v>
      </c>
      <c r="B7186" s="1">
        <v>7.0</v>
      </c>
      <c r="C7186" s="1" t="s">
        <v>21098</v>
      </c>
      <c r="D7186" s="1" t="s">
        <v>16</v>
      </c>
      <c r="E7186" s="1" t="s">
        <v>21099</v>
      </c>
      <c r="F7186" s="1" t="str">
        <f>IFERROR(__xludf.DUMMYFUNCTION("GOOGLETRANSLATE(A7186, ""zh-CN"", ""ko"")"),"거품")</f>
        <v>거품</v>
      </c>
    </row>
    <row r="7187" ht="15.75" customHeight="1">
      <c r="A7187" s="1" t="s">
        <v>21100</v>
      </c>
      <c r="B7187" s="1">
        <v>7.0</v>
      </c>
      <c r="C7187" s="1" t="s">
        <v>21101</v>
      </c>
      <c r="D7187" s="1" t="s">
        <v>8</v>
      </c>
      <c r="E7187" s="1" t="s">
        <v>21102</v>
      </c>
      <c r="F7187" s="1" t="str">
        <f>IFERROR(__xludf.DUMMYFUNCTION("GOOGLETRANSLATE(A7187, ""zh-CN"", ""ko"")"),"기권")</f>
        <v>기권</v>
      </c>
    </row>
    <row r="7188" ht="15.75" customHeight="1">
      <c r="A7188" s="1" t="s">
        <v>21103</v>
      </c>
      <c r="B7188" s="1">
        <v>7.0</v>
      </c>
      <c r="C7188" s="1" t="s">
        <v>21104</v>
      </c>
      <c r="D7188" s="1" t="s">
        <v>16</v>
      </c>
      <c r="E7188" s="1" t="s">
        <v>21105</v>
      </c>
      <c r="F7188" s="1" t="str">
        <f>IFERROR(__xludf.DUMMYFUNCTION("GOOGLETRANSLATE(A7188, ""zh-CN"", ""ko"")"),"호흡")</f>
        <v>호흡</v>
      </c>
    </row>
    <row r="7189" ht="15.75" customHeight="1">
      <c r="A7189" s="1" t="s">
        <v>21106</v>
      </c>
      <c r="B7189" s="1">
        <v>7.0</v>
      </c>
      <c r="C7189" s="1" t="s">
        <v>21107</v>
      </c>
      <c r="D7189" s="1" t="s">
        <v>16</v>
      </c>
      <c r="E7189" s="1" t="s">
        <v>21108</v>
      </c>
      <c r="F7189" s="1" t="str">
        <f>IFERROR(__xludf.DUMMYFUNCTION("GOOGLETRANSLATE(A7189, ""zh-CN"", ""ko"")"),"기구")</f>
        <v>기구</v>
      </c>
    </row>
    <row r="7190" ht="15.75" customHeight="1">
      <c r="A7190" s="1" t="s">
        <v>21109</v>
      </c>
      <c r="B7190" s="1">
        <v>7.0</v>
      </c>
      <c r="C7190" s="1" t="s">
        <v>21110</v>
      </c>
      <c r="D7190" s="1" t="s">
        <v>16</v>
      </c>
      <c r="E7190" s="1" t="s">
        <v>21111</v>
      </c>
      <c r="F7190" s="1" t="str">
        <f>IFERROR(__xludf.DUMMYFUNCTION("GOOGLETRANSLATE(A7190, ""zh-CN"", ""ko"")"),"계약")</f>
        <v>계약</v>
      </c>
    </row>
    <row r="7191" ht="15.75" customHeight="1">
      <c r="A7191" s="1" t="s">
        <v>21112</v>
      </c>
      <c r="B7191" s="1">
        <v>7.0</v>
      </c>
      <c r="C7191" s="1" t="s">
        <v>21113</v>
      </c>
      <c r="D7191" s="1" t="s">
        <v>8</v>
      </c>
      <c r="E7191" s="1" t="s">
        <v>21114</v>
      </c>
      <c r="F7191" s="1" t="str">
        <f>IFERROR(__xludf.DUMMYFUNCTION("GOOGLETRANSLATE(A7191, ""zh-CN"", ""ko"")"),"카드")</f>
        <v>카드</v>
      </c>
    </row>
    <row r="7192" ht="15.75" customHeight="1">
      <c r="A7192" s="1" t="s">
        <v>21115</v>
      </c>
      <c r="B7192" s="1">
        <v>7.0</v>
      </c>
      <c r="C7192" s="1" t="s">
        <v>21116</v>
      </c>
      <c r="E7192" s="1" t="s">
        <v>21117</v>
      </c>
      <c r="F7192" s="1" t="str">
        <f>IFERROR(__xludf.DUMMYFUNCTION("GOOGLETRANSLATE(A7192, ""zh-CN"", ""ko"")"),"딱 맞아요")</f>
        <v>딱 맞아요</v>
      </c>
    </row>
    <row r="7193" ht="15.75" customHeight="1">
      <c r="A7193" s="1" t="s">
        <v>21118</v>
      </c>
      <c r="B7193" s="1">
        <v>7.0</v>
      </c>
      <c r="C7193" s="1" t="s">
        <v>716</v>
      </c>
      <c r="D7193" s="1" t="s">
        <v>8</v>
      </c>
      <c r="E7193" s="1" t="s">
        <v>21119</v>
      </c>
      <c r="F7193" s="1" t="str">
        <f>IFERROR(__xludf.DUMMYFUNCTION("GOOGLETRANSLATE(A7193, ""zh-CN"", ""ko"")"),"이동하다")</f>
        <v>이동하다</v>
      </c>
    </row>
    <row r="7194" ht="15.75" customHeight="1">
      <c r="A7194" s="1" t="s">
        <v>21120</v>
      </c>
      <c r="B7194" s="1">
        <v>7.0</v>
      </c>
      <c r="C7194" s="1" t="s">
        <v>21121</v>
      </c>
      <c r="E7194" s="1" t="s">
        <v>21122</v>
      </c>
      <c r="F7194" s="1" t="str">
        <f>IFERROR(__xludf.DUMMYFUNCTION("GOOGLETRANSLATE(A7194, ""zh-CN"", ""ko"")"),"끊임없이 변화하는")</f>
        <v>끊임없이 변화하는</v>
      </c>
    </row>
    <row r="7195" ht="15.75" customHeight="1">
      <c r="A7195" s="1" t="s">
        <v>21123</v>
      </c>
      <c r="B7195" s="1">
        <v>7.0</v>
      </c>
      <c r="C7195" s="1" t="s">
        <v>21124</v>
      </c>
      <c r="D7195" s="1" t="s">
        <v>8</v>
      </c>
      <c r="E7195" s="1" t="s">
        <v>21125</v>
      </c>
      <c r="F7195" s="1" t="str">
        <f>IFERROR(__xludf.DUMMYFUNCTION("GOOGLETRANSLATE(A7195, ""zh-CN"", ""ko"")"),"케어")</f>
        <v>케어</v>
      </c>
    </row>
    <row r="7196" ht="15.75" customHeight="1">
      <c r="A7196" s="1" t="s">
        <v>21126</v>
      </c>
      <c r="B7196" s="1">
        <v>7.0</v>
      </c>
      <c r="C7196" s="1" t="s">
        <v>21127</v>
      </c>
      <c r="E7196" s="1" t="s">
        <v>21128</v>
      </c>
      <c r="F7196" s="1" t="str">
        <f>IFERROR(__xludf.DUMMYFUNCTION("GOOGLETRANSLATE(A7196, ""zh-CN"", ""ko"")"),"수천 명의 병력")</f>
        <v>수천 명의 병력</v>
      </c>
    </row>
    <row r="7197" ht="15.75" customHeight="1">
      <c r="A7197" s="1" t="s">
        <v>21129</v>
      </c>
      <c r="B7197" s="1">
        <v>7.0</v>
      </c>
      <c r="C7197" s="1" t="s">
        <v>21130</v>
      </c>
      <c r="E7197" s="1" t="s">
        <v>21131</v>
      </c>
      <c r="F7197" s="1" t="str">
        <f>IFERROR(__xludf.DUMMYFUNCTION("GOOGLETRANSLATE(A7197, ""zh-CN"", ""ko"")"),"아슬아슬했네요")</f>
        <v>아슬아슬했네요</v>
      </c>
    </row>
    <row r="7198" ht="15.75" customHeight="1">
      <c r="A7198" s="1" t="s">
        <v>21132</v>
      </c>
      <c r="B7198" s="1">
        <v>7.0</v>
      </c>
      <c r="C7198" s="1" t="s">
        <v>21133</v>
      </c>
      <c r="D7198" s="1" t="s">
        <v>8</v>
      </c>
      <c r="E7198" s="1" t="s">
        <v>21134</v>
      </c>
      <c r="F7198" s="1" t="str">
        <f>IFERROR(__xludf.DUMMYFUNCTION("GOOGLETRANSLATE(A7198, ""zh-CN"", ""ko"")"),"관련시키다")</f>
        <v>관련시키다</v>
      </c>
    </row>
    <row r="7199" ht="15.75" customHeight="1">
      <c r="A7199" s="1" t="s">
        <v>21135</v>
      </c>
      <c r="B7199" s="1">
        <v>7.0</v>
      </c>
      <c r="C7199" s="1" t="s">
        <v>21136</v>
      </c>
      <c r="D7199" s="1" t="s">
        <v>8</v>
      </c>
      <c r="E7199" s="1" t="s">
        <v>21137</v>
      </c>
      <c r="F7199" s="1" t="str">
        <f>IFERROR(__xludf.DUMMYFUNCTION("GOOGLETRANSLATE(A7199, ""zh-CN"", ""ko"")"),"선두")</f>
        <v>선두</v>
      </c>
    </row>
    <row r="7200" ht="15.75" customHeight="1">
      <c r="A7200" s="1" t="s">
        <v>21138</v>
      </c>
      <c r="B7200" s="1">
        <v>7.0</v>
      </c>
      <c r="C7200" s="1" t="s">
        <v>21139</v>
      </c>
      <c r="D7200" s="1" t="s">
        <v>8</v>
      </c>
      <c r="E7200" s="1" t="s">
        <v>21140</v>
      </c>
      <c r="F7200" s="1" t="str">
        <f>IFERROR(__xludf.DUMMYFUNCTION("GOOGLETRANSLATE(A7200, ""zh-CN"", ""ko"")"),"이주하다")</f>
        <v>이주하다</v>
      </c>
    </row>
    <row r="7201" ht="15.75" customHeight="1">
      <c r="A7201" s="1" t="s">
        <v>21141</v>
      </c>
      <c r="B7201" s="1">
        <v>7.0</v>
      </c>
      <c r="C7201" s="1" t="s">
        <v>21142</v>
      </c>
      <c r="D7201" s="1" t="s">
        <v>8</v>
      </c>
      <c r="E7201" s="1" t="s">
        <v>21143</v>
      </c>
      <c r="F7201" s="1" t="str">
        <f>IFERROR(__xludf.DUMMYFUNCTION("GOOGLETRANSLATE(A7201, ""zh-CN"", ""ko"")"),"서명")</f>
        <v>서명</v>
      </c>
    </row>
    <row r="7202" ht="15.75" customHeight="1">
      <c r="A7202" s="1" t="s">
        <v>21144</v>
      </c>
      <c r="B7202" s="1">
        <v>7.0</v>
      </c>
      <c r="C7202" s="1" t="s">
        <v>21145</v>
      </c>
      <c r="E7202" s="1" t="s">
        <v>21146</v>
      </c>
      <c r="F7202" s="1" t="str">
        <f>IFERROR(__xludf.DUMMYFUNCTION("GOOGLETRANSLATE(A7202, ""zh-CN"", ""ko"")"),"다양한 모양과 크기")</f>
        <v>다양한 모양과 크기</v>
      </c>
    </row>
    <row r="7203" ht="15.75" customHeight="1">
      <c r="A7203" s="1" t="s">
        <v>21147</v>
      </c>
      <c r="B7203" s="1">
        <v>7.0</v>
      </c>
      <c r="C7203" s="1" t="s">
        <v>21148</v>
      </c>
      <c r="D7203" s="1" t="s">
        <v>16</v>
      </c>
      <c r="E7203" s="1" t="s">
        <v>21149</v>
      </c>
      <c r="F7203" s="1" t="str">
        <f>IFERROR(__xludf.DUMMYFUNCTION("GOOGLETRANSLATE(A7203, ""zh-CN"", ""ko"")"),"상위")</f>
        <v>상위</v>
      </c>
    </row>
    <row r="7204" ht="15.75" customHeight="1">
      <c r="A7204" s="1" t="s">
        <v>21150</v>
      </c>
      <c r="B7204" s="1">
        <v>7.0</v>
      </c>
      <c r="C7204" s="1" t="s">
        <v>21151</v>
      </c>
      <c r="D7204" s="1" t="s">
        <v>16</v>
      </c>
      <c r="E7204" s="1" t="s">
        <v>21152</v>
      </c>
      <c r="F7204" s="1" t="str">
        <f>IFERROR(__xludf.DUMMYFUNCTION("GOOGLETRANSLATE(A7204, ""zh-CN"", ""ko"")"),"돈")</f>
        <v>돈</v>
      </c>
    </row>
    <row r="7205" ht="15.75" customHeight="1">
      <c r="A7205" s="1" t="s">
        <v>21153</v>
      </c>
      <c r="B7205" s="1">
        <v>7.0</v>
      </c>
      <c r="C7205" s="1" t="s">
        <v>21154</v>
      </c>
      <c r="D7205" s="1" t="s">
        <v>52</v>
      </c>
      <c r="E7205" s="1" t="s">
        <v>21155</v>
      </c>
      <c r="F7205" s="1" t="str">
        <f>IFERROR(__xludf.DUMMYFUNCTION("GOOGLETRANSLATE(A7205, ""zh-CN"", ""ko"")"),"경건")</f>
        <v>경건</v>
      </c>
    </row>
    <row r="7206" ht="15.75" customHeight="1">
      <c r="A7206" s="1" t="s">
        <v>21156</v>
      </c>
      <c r="B7206" s="1">
        <v>7.0</v>
      </c>
      <c r="C7206" s="1" t="s">
        <v>21154</v>
      </c>
      <c r="D7206" s="1" t="s">
        <v>16</v>
      </c>
      <c r="E7206" s="1" t="s">
        <v>21157</v>
      </c>
      <c r="F7206" s="1" t="str">
        <f>IFERROR(__xludf.DUMMYFUNCTION("GOOGLETRANSLATE(A7206, ""zh-CN"", ""ko"")"),"미래")</f>
        <v>미래</v>
      </c>
    </row>
    <row r="7207" ht="15.75" customHeight="1">
      <c r="A7207" s="1" t="s">
        <v>21158</v>
      </c>
      <c r="B7207" s="1">
        <v>7.0</v>
      </c>
      <c r="C7207" s="1" t="s">
        <v>21159</v>
      </c>
      <c r="D7207" s="1" t="s">
        <v>8</v>
      </c>
      <c r="E7207" s="1" t="s">
        <v>21160</v>
      </c>
      <c r="F7207" s="1" t="str">
        <f>IFERROR(__xludf.DUMMYFUNCTION("GOOGLETRANSLATE(A7207, ""zh-CN"", ""ko"")"),"침투하다")</f>
        <v>침투하다</v>
      </c>
    </row>
    <row r="7208" ht="15.75" customHeight="1">
      <c r="A7208" s="1" t="s">
        <v>21161</v>
      </c>
      <c r="B7208" s="1">
        <v>7.0</v>
      </c>
      <c r="C7208" s="1" t="s">
        <v>21162</v>
      </c>
      <c r="E7208" s="1" t="s">
        <v>21163</v>
      </c>
      <c r="F7208" s="1" t="str">
        <f>IFERROR(__xludf.DUMMYFUNCTION("GOOGLETRANSLATE(A7208, ""zh-CN"", ""ko"")"),"하나씩 차례로")</f>
        <v>하나씩 차례로</v>
      </c>
    </row>
    <row r="7209" ht="15.75" customHeight="1">
      <c r="A7209" s="1" t="s">
        <v>21164</v>
      </c>
      <c r="B7209" s="1">
        <v>7.0</v>
      </c>
      <c r="C7209" s="1" t="s">
        <v>21165</v>
      </c>
      <c r="D7209" s="1" t="s">
        <v>16</v>
      </c>
      <c r="E7209" s="1" t="s">
        <v>21166</v>
      </c>
      <c r="F7209" s="1" t="str">
        <f>IFERROR(__xludf.DUMMYFUNCTION("GOOGLETRANSLATE(A7209, ""zh-CN"", ""ko"")"),"잠재적인")</f>
        <v>잠재적인</v>
      </c>
    </row>
    <row r="7210" ht="15.75" customHeight="1">
      <c r="A7210" s="1" t="s">
        <v>21167</v>
      </c>
      <c r="B7210" s="1">
        <v>7.0</v>
      </c>
      <c r="C7210" s="1" t="s">
        <v>21168</v>
      </c>
      <c r="D7210" s="1" t="s">
        <v>16</v>
      </c>
      <c r="E7210" s="1" t="s">
        <v>21169</v>
      </c>
      <c r="F7210" s="1" t="str">
        <f>IFERROR(__xludf.DUMMYFUNCTION("GOOGLETRANSLATE(A7210, ""zh-CN"", ""ko"")"),"전임자")</f>
        <v>전임자</v>
      </c>
    </row>
    <row r="7211" ht="15.75" customHeight="1">
      <c r="A7211" s="1" t="s">
        <v>21170</v>
      </c>
      <c r="B7211" s="1">
        <v>7.0</v>
      </c>
      <c r="C7211" s="1" t="s">
        <v>21171</v>
      </c>
      <c r="D7211" s="1" t="s">
        <v>8</v>
      </c>
      <c r="E7211" s="1" t="s">
        <v>21172</v>
      </c>
      <c r="F7211" s="1" t="str">
        <f>IFERROR(__xludf.DUMMYFUNCTION("GOOGLETRANSLATE(A7211, ""zh-CN"", ""ko"")"),"몰래 들어가")</f>
        <v>몰래 들어가</v>
      </c>
    </row>
    <row r="7212" ht="15.75" customHeight="1">
      <c r="A7212" s="1" t="s">
        <v>21173</v>
      </c>
      <c r="B7212" s="1">
        <v>7.0</v>
      </c>
      <c r="C7212" s="1" t="s">
        <v>21174</v>
      </c>
      <c r="E7212" s="1" t="s">
        <v>21175</v>
      </c>
      <c r="F7212" s="1" t="str">
        <f>IFERROR(__xludf.DUMMYFUNCTION("GOOGLETRANSLATE(A7212, ""zh-CN"", ""ko"")"),"전례 없는")</f>
        <v>전례 없는</v>
      </c>
    </row>
    <row r="7213" ht="15.75" customHeight="1">
      <c r="A7213" s="1" t="s">
        <v>21176</v>
      </c>
      <c r="B7213" s="1">
        <v>7.0</v>
      </c>
      <c r="C7213" s="1" t="s">
        <v>21177</v>
      </c>
      <c r="D7213" s="1" t="s">
        <v>16</v>
      </c>
      <c r="E7213" s="1" t="s">
        <v>21178</v>
      </c>
      <c r="F7213" s="1" t="str">
        <f>IFERROR(__xludf.DUMMYFUNCTION("GOOGLETRANSLATE(A7213, ""zh-CN"", ""ko"")"),"프런트 데스크")</f>
        <v>프런트 데스크</v>
      </c>
    </row>
    <row r="7214" ht="15.75" customHeight="1">
      <c r="A7214" s="1" t="s">
        <v>21179</v>
      </c>
      <c r="B7214" s="1">
        <v>7.0</v>
      </c>
      <c r="C7214" s="1" t="s">
        <v>21180</v>
      </c>
      <c r="D7214" s="1" t="s">
        <v>16</v>
      </c>
      <c r="E7214" s="1" t="s">
        <v>21181</v>
      </c>
      <c r="F7214" s="1" t="str">
        <f>IFERROR(__xludf.DUMMYFUNCTION("GOOGLETRANSLATE(A7214, ""zh-CN"", ""ko"")"),"잠수함")</f>
        <v>잠수함</v>
      </c>
    </row>
    <row r="7215" ht="15.75" customHeight="1">
      <c r="A7215" s="1" t="s">
        <v>21182</v>
      </c>
      <c r="B7215" s="1">
        <v>7.0</v>
      </c>
      <c r="C7215" s="1" t="s">
        <v>21183</v>
      </c>
      <c r="E7215" s="1" t="s">
        <v>21184</v>
      </c>
      <c r="F7215" s="1" t="str">
        <f>IFERROR(__xludf.DUMMYFUNCTION("GOOGLETRANSLATE(A7215, ""zh-CN"", ""ko"")"),"전례 없는")</f>
        <v>전례 없는</v>
      </c>
    </row>
    <row r="7216" ht="15.75" customHeight="1">
      <c r="A7216" s="1" t="s">
        <v>21185</v>
      </c>
      <c r="B7216" s="1">
        <v>7.0</v>
      </c>
      <c r="C7216" s="1" t="s">
        <v>21186</v>
      </c>
      <c r="D7216" s="1" t="s">
        <v>16</v>
      </c>
      <c r="E7216" s="1" t="s">
        <v>21187</v>
      </c>
      <c r="F7216" s="1" t="str">
        <f>IFERROR(__xludf.DUMMYFUNCTION("GOOGLETRANSLATE(A7216, ""zh-CN"", ""ko"")"),"이브")</f>
        <v>이브</v>
      </c>
    </row>
    <row r="7217" ht="15.75" customHeight="1">
      <c r="A7217" s="1" t="s">
        <v>21188</v>
      </c>
      <c r="B7217" s="1">
        <v>7.0</v>
      </c>
      <c r="C7217" s="1" t="s">
        <v>21189</v>
      </c>
      <c r="D7217" s="1" t="s">
        <v>16</v>
      </c>
      <c r="E7217" s="1" t="s">
        <v>21190</v>
      </c>
      <c r="F7217" s="1" t="str">
        <f>IFERROR(__xludf.DUMMYFUNCTION("GOOGLETRANSLATE(A7217, ""zh-CN"", ""ko"")"),"앞쪽")</f>
        <v>앞쪽</v>
      </c>
    </row>
    <row r="7218" ht="15.75" customHeight="1">
      <c r="A7218" s="1" t="s">
        <v>21191</v>
      </c>
      <c r="B7218" s="1">
        <v>7.0</v>
      </c>
      <c r="C7218" s="1" t="s">
        <v>21192</v>
      </c>
      <c r="D7218" s="1" t="s">
        <v>8</v>
      </c>
      <c r="E7218" s="1" t="s">
        <v>21193</v>
      </c>
      <c r="F7218" s="1" t="str">
        <f>IFERROR(__xludf.DUMMYFUNCTION("GOOGLETRANSLATE(A7218, ""zh-CN"", ""ko"")"),"전념하다")</f>
        <v>전념하다</v>
      </c>
    </row>
    <row r="7219" ht="15.75" customHeight="1">
      <c r="A7219" s="1" t="s">
        <v>21194</v>
      </c>
      <c r="B7219" s="1">
        <v>7.0</v>
      </c>
      <c r="C7219" s="1" t="s">
        <v>21195</v>
      </c>
      <c r="D7219" s="1" t="s">
        <v>16</v>
      </c>
      <c r="E7219" s="1" t="s">
        <v>21196</v>
      </c>
      <c r="F7219" s="1" t="str">
        <f>IFERROR(__xludf.DUMMYFUNCTION("GOOGLETRANSLATE(A7219, ""zh-CN"", ""ko"")"),"최첨단")</f>
        <v>최첨단</v>
      </c>
    </row>
    <row r="7220" ht="15.75" customHeight="1">
      <c r="A7220" s="1" t="s">
        <v>21197</v>
      </c>
      <c r="B7220" s="1">
        <v>7.0</v>
      </c>
      <c r="C7220" s="1" t="s">
        <v>21198</v>
      </c>
      <c r="D7220" s="1" t="s">
        <v>52</v>
      </c>
      <c r="E7220" s="1" t="s">
        <v>21199</v>
      </c>
      <c r="F7220" s="1" t="str">
        <f>IFERROR(__xludf.DUMMYFUNCTION("GOOGLETRANSLATE(A7220, ""zh-CN"", ""ko"")"),"잠재적인")</f>
        <v>잠재적인</v>
      </c>
    </row>
    <row r="7221" ht="15.75" customHeight="1">
      <c r="A7221" s="1" t="s">
        <v>21200</v>
      </c>
      <c r="B7221" s="1">
        <v>7.0</v>
      </c>
      <c r="C7221" s="1" t="s">
        <v>21201</v>
      </c>
      <c r="D7221" s="1" t="s">
        <v>52</v>
      </c>
      <c r="E7221" s="1" t="s">
        <v>1250</v>
      </c>
      <c r="F7221" s="1" t="str">
        <f>IFERROR(__xludf.DUMMYFUNCTION("GOOGLETRANSLATE(A7221, ""zh-CN"", ""ko"")"),"단순한")</f>
        <v>단순한</v>
      </c>
    </row>
    <row r="7222" ht="15.75" customHeight="1">
      <c r="A7222" s="1" t="s">
        <v>21202</v>
      </c>
      <c r="B7222" s="1">
        <v>7.0</v>
      </c>
      <c r="C7222" s="1" t="s">
        <v>21203</v>
      </c>
      <c r="D7222" s="1" t="s">
        <v>14870</v>
      </c>
      <c r="E7222" s="1" t="s">
        <v>21204</v>
      </c>
      <c r="F7222" s="1" t="str">
        <f>IFERROR(__xludf.DUMMYFUNCTION("GOOGLETRANSLATE(A7222, ""zh-CN"", ""ko"")"),"부족")</f>
        <v>부족</v>
      </c>
    </row>
    <row r="7223" ht="15.75" customHeight="1">
      <c r="A7223" s="1" t="s">
        <v>21205</v>
      </c>
      <c r="B7223" s="1">
        <v>7.0</v>
      </c>
      <c r="C7223" s="1" t="s">
        <v>21206</v>
      </c>
      <c r="D7223" s="1" t="s">
        <v>16</v>
      </c>
      <c r="E7223" s="1" t="s">
        <v>21207</v>
      </c>
      <c r="F7223" s="1" t="str">
        <f>IFERROR(__xludf.DUMMYFUNCTION("GOOGLETRANSLATE(A7223, ""zh-CN"", ""ko"")"),"차용증")</f>
        <v>차용증</v>
      </c>
    </row>
    <row r="7224" ht="15.75" customHeight="1">
      <c r="A7224" s="1" t="s">
        <v>21208</v>
      </c>
      <c r="B7224" s="1">
        <v>7.0</v>
      </c>
      <c r="C7224" s="1" t="s">
        <v>21209</v>
      </c>
      <c r="D7224" s="1" t="s">
        <v>16</v>
      </c>
      <c r="E7224" s="1" t="s">
        <v>21210</v>
      </c>
      <c r="F7224" s="1" t="str">
        <f>IFERROR(__xludf.DUMMYFUNCTION("GOOGLETRANSLATE(A7224, ""zh-CN"", ""ko"")"),"사과")</f>
        <v>사과</v>
      </c>
    </row>
    <row r="7225" ht="15.75" customHeight="1">
      <c r="A7225" s="1" t="s">
        <v>21211</v>
      </c>
      <c r="B7225" s="1">
        <v>7.0</v>
      </c>
      <c r="C7225" s="1" t="s">
        <v>5705</v>
      </c>
      <c r="D7225" s="1" t="s">
        <v>8</v>
      </c>
      <c r="E7225" s="1" t="s">
        <v>21212</v>
      </c>
      <c r="F7225" s="1" t="str">
        <f>IFERROR(__xludf.DUMMYFUNCTION("GOOGLETRANSLATE(A7225, ""zh-CN"", ""ko"")"),"초크")</f>
        <v>초크</v>
      </c>
    </row>
    <row r="7226" ht="15.75" customHeight="1">
      <c r="A7226" s="1" t="s">
        <v>21213</v>
      </c>
      <c r="B7226" s="1">
        <v>7.0</v>
      </c>
      <c r="C7226" s="1" t="s">
        <v>5705</v>
      </c>
      <c r="D7226" s="1" t="s">
        <v>16</v>
      </c>
      <c r="E7226" s="1" t="s">
        <v>21214</v>
      </c>
      <c r="F7226" s="1" t="str">
        <f>IFERROR(__xludf.DUMMYFUNCTION("GOOGLETRANSLATE(A7226, ""zh-CN"", ""ko"")"),"공동")</f>
        <v>공동</v>
      </c>
    </row>
    <row r="7227" ht="15.75" customHeight="1">
      <c r="A7227" s="1" t="s">
        <v>21215</v>
      </c>
      <c r="B7227" s="1">
        <v>7.0</v>
      </c>
      <c r="C7227" s="1" t="s">
        <v>21216</v>
      </c>
      <c r="D7227" s="1" t="s">
        <v>8</v>
      </c>
      <c r="E7227" s="1" t="s">
        <v>21217</v>
      </c>
      <c r="F7227" s="1" t="str">
        <f>IFERROR(__xludf.DUMMYFUNCTION("GOOGLETRANSLATE(A7227, ""zh-CN"", ""ko"")"),"촬영")</f>
        <v>촬영</v>
      </c>
    </row>
    <row r="7228" ht="15.75" customHeight="1">
      <c r="A7228" s="1" t="s">
        <v>21218</v>
      </c>
      <c r="B7228" s="1">
        <v>7.0</v>
      </c>
      <c r="C7228" s="1" t="s">
        <v>21219</v>
      </c>
      <c r="D7228" s="1" t="s">
        <v>16</v>
      </c>
      <c r="E7228" s="1" t="s">
        <v>21220</v>
      </c>
      <c r="F7228" s="1" t="str">
        <f>IFERROR(__xludf.DUMMYFUNCTION("GOOGLETRANSLATE(A7228, ""zh-CN"", ""ko"")"),"강도")</f>
        <v>강도</v>
      </c>
    </row>
    <row r="7229" ht="15.75" customHeight="1">
      <c r="A7229" s="1" t="s">
        <v>21221</v>
      </c>
      <c r="B7229" s="1">
        <v>7.0</v>
      </c>
      <c r="C7229" s="1" t="s">
        <v>21222</v>
      </c>
      <c r="D7229" s="1" t="s">
        <v>8</v>
      </c>
      <c r="E7229" s="1" t="s">
        <v>21223</v>
      </c>
      <c r="F7229" s="1" t="str">
        <f>IFERROR(__xludf.DUMMYFUNCTION("GOOGLETRANSLATE(A7229, ""zh-CN"", ""ko"")"),"부과하다")</f>
        <v>부과하다</v>
      </c>
    </row>
    <row r="7230" ht="15.75" customHeight="1">
      <c r="A7230" s="1" t="s">
        <v>21224</v>
      </c>
      <c r="B7230" s="1">
        <v>7.0</v>
      </c>
      <c r="C7230" s="1" t="s">
        <v>21225</v>
      </c>
      <c r="D7230" s="1" t="s">
        <v>52</v>
      </c>
      <c r="E7230" s="1" t="s">
        <v>21226</v>
      </c>
      <c r="F7230" s="1" t="str">
        <f>IFERROR(__xludf.DUMMYFUNCTION("GOOGLETRANSLATE(A7230, ""zh-CN"", ""ko"")"),"강한")</f>
        <v>강한</v>
      </c>
    </row>
    <row r="7231" ht="15.75" customHeight="1">
      <c r="A7231" s="1" t="s">
        <v>21227</v>
      </c>
      <c r="B7231" s="1">
        <v>7.0</v>
      </c>
      <c r="C7231" s="1" t="s">
        <v>21228</v>
      </c>
      <c r="D7231" s="1" t="s">
        <v>16</v>
      </c>
      <c r="E7231" s="1" t="s">
        <v>21229</v>
      </c>
      <c r="F7231" s="1" t="str">
        <f>IFERROR(__xludf.DUMMYFUNCTION("GOOGLETRANSLATE(A7231, ""zh-CN"", ""ko"")"),"강한")</f>
        <v>강한</v>
      </c>
    </row>
    <row r="7232" ht="15.75" customHeight="1">
      <c r="A7232" s="1" t="s">
        <v>21230</v>
      </c>
      <c r="B7232" s="1">
        <v>7.0</v>
      </c>
      <c r="C7232" s="1" t="s">
        <v>21231</v>
      </c>
      <c r="D7232" s="1" t="s">
        <v>16</v>
      </c>
      <c r="E7232" s="1" t="s">
        <v>21232</v>
      </c>
      <c r="F7232" s="1" t="str">
        <f>IFERROR(__xludf.DUMMYFUNCTION("GOOGLETRANSLATE(A7232, ""zh-CN"", ""ko"")"),"강점")</f>
        <v>강점</v>
      </c>
    </row>
    <row r="7233" ht="15.75" customHeight="1">
      <c r="A7233" s="1" t="s">
        <v>21233</v>
      </c>
      <c r="B7233" s="1">
        <v>7.0</v>
      </c>
      <c r="C7233" s="1" t="s">
        <v>21234</v>
      </c>
      <c r="D7233" s="1" t="s">
        <v>33</v>
      </c>
      <c r="E7233" s="1" t="s">
        <v>21235</v>
      </c>
      <c r="F7233" s="1" t="str">
        <f>IFERROR(__xludf.DUMMYFUNCTION("GOOGLETRANSLATE(A7233, ""zh-CN"", ""ko"")"),"힘")</f>
        <v>힘</v>
      </c>
    </row>
    <row r="7234" ht="15.75" customHeight="1">
      <c r="A7234" s="1" t="s">
        <v>21236</v>
      </c>
      <c r="B7234" s="1">
        <v>7.0</v>
      </c>
      <c r="C7234" s="1" t="s">
        <v>21237</v>
      </c>
      <c r="D7234" s="1" t="s">
        <v>52</v>
      </c>
      <c r="E7234" s="1" t="s">
        <v>21238</v>
      </c>
      <c r="F7234" s="1" t="str">
        <f>IFERROR(__xludf.DUMMYFUNCTION("GOOGLETRANSLATE(A7234, ""zh-CN"", ""ko"")"),"힘든")</f>
        <v>힘든</v>
      </c>
    </row>
    <row r="7235" ht="15.75" customHeight="1">
      <c r="A7235" s="1" t="s">
        <v>21239</v>
      </c>
      <c r="B7235" s="1">
        <v>7.0</v>
      </c>
      <c r="C7235" s="1" t="s">
        <v>21240</v>
      </c>
      <c r="D7235" s="1" t="s">
        <v>8</v>
      </c>
      <c r="E7235" s="1" t="s">
        <v>21241</v>
      </c>
      <c r="F7235" s="1" t="str">
        <f>IFERROR(__xludf.DUMMYFUNCTION("GOOGLETRANSLATE(A7235, ""zh-CN"", ""ko"")"),"강제로 점령된")</f>
        <v>강제로 점령된</v>
      </c>
    </row>
    <row r="7236" ht="15.75" customHeight="1">
      <c r="A7236" s="1" t="s">
        <v>21242</v>
      </c>
      <c r="B7236" s="1">
        <v>7.0</v>
      </c>
      <c r="C7236" s="1" t="s">
        <v>21243</v>
      </c>
      <c r="D7236" s="1" t="s">
        <v>8</v>
      </c>
      <c r="E7236" s="1" t="s">
        <v>21244</v>
      </c>
      <c r="F7236" s="1" t="str">
        <f>IFERROR(__xludf.DUMMYFUNCTION("GOOGLETRANSLATE(A7236, ""zh-CN"", ""ko"")"),"인상")</f>
        <v>인상</v>
      </c>
    </row>
    <row r="7237" ht="15.75" customHeight="1">
      <c r="A7237" s="1" t="s">
        <v>21245</v>
      </c>
      <c r="B7237" s="1">
        <v>7.0</v>
      </c>
      <c r="C7237" s="1" t="s">
        <v>21246</v>
      </c>
      <c r="D7237" s="1" t="s">
        <v>52</v>
      </c>
      <c r="E7237" s="1" t="s">
        <v>21247</v>
      </c>
      <c r="F7237" s="1" t="str">
        <f>IFERROR(__xludf.DUMMYFUNCTION("GOOGLETRANSLATE(A7237, ""zh-CN"", ""ko"")"),"눈길을 사로잡는")</f>
        <v>눈길을 사로잡는</v>
      </c>
    </row>
    <row r="7238" ht="15.75" customHeight="1">
      <c r="A7238" s="1" t="s">
        <v>21248</v>
      </c>
      <c r="B7238" s="1">
        <v>7.0</v>
      </c>
      <c r="C7238" s="1" t="s">
        <v>21249</v>
      </c>
      <c r="D7238" s="1" t="s">
        <v>8</v>
      </c>
      <c r="E7238" s="1" t="s">
        <v>21250</v>
      </c>
      <c r="F7238" s="1" t="str">
        <f>IFERROR(__xludf.DUMMYFUNCTION("GOOGLETRANSLATE(A7238, ""zh-CN"", ""ko"")"),"약탈")</f>
        <v>약탈</v>
      </c>
    </row>
    <row r="7239" ht="15.75" customHeight="1">
      <c r="A7239" s="1" t="s">
        <v>21251</v>
      </c>
      <c r="B7239" s="1">
        <v>7.0</v>
      </c>
      <c r="C7239" s="1" t="s">
        <v>21252</v>
      </c>
      <c r="D7239" s="1" t="s">
        <v>52</v>
      </c>
      <c r="E7239" s="1" t="s">
        <v>21253</v>
      </c>
      <c r="F7239" s="1" t="str">
        <f>IFERROR(__xludf.DUMMYFUNCTION("GOOGLETRANSLATE(A7239, ""zh-CN"", ""ko"")"),"매서운")</f>
        <v>매서운</v>
      </c>
    </row>
    <row r="7240" ht="15.75" customHeight="1">
      <c r="A7240" s="1" t="s">
        <v>21254</v>
      </c>
      <c r="B7240" s="1">
        <v>7.0</v>
      </c>
      <c r="C7240" s="1" t="s">
        <v>21255</v>
      </c>
      <c r="D7240" s="1" t="s">
        <v>52</v>
      </c>
      <c r="E7240" s="1" t="s">
        <v>21256</v>
      </c>
      <c r="F7240" s="1" t="str">
        <f>IFERROR(__xludf.DUMMYFUNCTION("GOOGLETRANSLATE(A7240, ""zh-CN"", ""ko"")"),"일치")</f>
        <v>일치</v>
      </c>
    </row>
    <row r="7241" ht="15.75" customHeight="1">
      <c r="A7241" s="1" t="s">
        <v>21257</v>
      </c>
      <c r="B7241" s="1">
        <v>7.0</v>
      </c>
      <c r="C7241" s="1" t="s">
        <v>11647</v>
      </c>
      <c r="D7241" s="1" t="s">
        <v>8</v>
      </c>
      <c r="E7241" s="1" t="s">
        <v>21258</v>
      </c>
      <c r="F7241" s="1" t="str">
        <f>IFERROR(__xludf.DUMMYFUNCTION("GOOGLETRANSLATE(A7241, ""zh-CN"", ""ko"")"),"캐내다")</f>
        <v>캐내다</v>
      </c>
    </row>
    <row r="7242" ht="15.75" customHeight="1">
      <c r="A7242" s="1" t="s">
        <v>21259</v>
      </c>
      <c r="B7242" s="1">
        <v>7.0</v>
      </c>
      <c r="C7242" s="1" t="s">
        <v>21260</v>
      </c>
      <c r="D7242" s="1" t="s">
        <v>8</v>
      </c>
      <c r="E7242" s="1" t="s">
        <v>21261</v>
      </c>
      <c r="F7242" s="1" t="str">
        <f>IFERROR(__xludf.DUMMYFUNCTION("GOOGLETRANSLATE(A7242, ""zh-CN"", ""ko"")"),"절제술")</f>
        <v>절제술</v>
      </c>
    </row>
    <row r="7243" ht="15.75" customHeight="1">
      <c r="A7243" s="1" t="s">
        <v>21262</v>
      </c>
      <c r="B7243" s="1">
        <v>7.0</v>
      </c>
      <c r="C7243" s="1" t="s">
        <v>21263</v>
      </c>
      <c r="D7243" s="1" t="s">
        <v>8</v>
      </c>
      <c r="E7243" s="1" t="s">
        <v>21264</v>
      </c>
      <c r="F7243" s="1" t="str">
        <f>IFERROR(__xludf.DUMMYFUNCTION("GOOGLETRANSLATE(A7243, ""zh-CN"", ""ko"")"),"교환")</f>
        <v>교환</v>
      </c>
    </row>
    <row r="7244" ht="15.75" customHeight="1">
      <c r="A7244" s="1" t="s">
        <v>21265</v>
      </c>
      <c r="B7244" s="1">
        <v>7.0</v>
      </c>
      <c r="C7244" s="1" t="s">
        <v>21266</v>
      </c>
      <c r="D7244" s="1" t="s">
        <v>8</v>
      </c>
      <c r="E7244" s="1" t="s">
        <v>21267</v>
      </c>
      <c r="F7244" s="1" t="str">
        <f>IFERROR(__xludf.DUMMYFUNCTION("GOOGLETRANSLATE(A7244, ""zh-CN"", ""ko"")"),"절단")</f>
        <v>절단</v>
      </c>
    </row>
    <row r="7245" ht="15.75" customHeight="1">
      <c r="A7245" s="1" t="s">
        <v>21268</v>
      </c>
      <c r="B7245" s="1">
        <v>7.0</v>
      </c>
      <c r="C7245" s="1" t="s">
        <v>21269</v>
      </c>
      <c r="D7245" s="1" t="s">
        <v>8</v>
      </c>
      <c r="E7245" s="1" t="s">
        <v>21270</v>
      </c>
      <c r="F7245" s="1" t="str">
        <f>IFERROR(__xludf.DUMMYFUNCTION("GOOGLETRANSLATE(A7245, ""zh-CN"", ""ko"")"),"스위치")</f>
        <v>스위치</v>
      </c>
    </row>
    <row r="7246" ht="15.75" customHeight="1">
      <c r="A7246" s="1" t="s">
        <v>21271</v>
      </c>
      <c r="B7246" s="1">
        <v>7.0</v>
      </c>
      <c r="C7246" s="1" t="s">
        <v>21272</v>
      </c>
      <c r="D7246" s="1" t="s">
        <v>33</v>
      </c>
      <c r="E7246" s="1" t="s">
        <v>21273</v>
      </c>
      <c r="F7246" s="1" t="str">
        <f>IFERROR(__xludf.DUMMYFUNCTION("GOOGLETRANSLATE(A7246, ""zh-CN"", ""ko"")"),"그리고")</f>
        <v>그리고</v>
      </c>
    </row>
    <row r="7247" ht="15.75" customHeight="1">
      <c r="A7247" s="1" t="s">
        <v>21274</v>
      </c>
      <c r="B7247" s="1">
        <v>7.0</v>
      </c>
      <c r="C7247" s="1" t="s">
        <v>21275</v>
      </c>
      <c r="D7247" s="1" t="s">
        <v>8</v>
      </c>
      <c r="E7247" s="1" t="s">
        <v>21276</v>
      </c>
      <c r="F7247" s="1" t="str">
        <f>IFERROR(__xludf.DUMMYFUNCTION("GOOGLETRANSLATE(A7247, ""zh-CN"", ""ko"")"),"기억하다")</f>
        <v>기억하다</v>
      </c>
    </row>
    <row r="7248" ht="15.75" customHeight="1">
      <c r="A7248" s="1" t="s">
        <v>21277</v>
      </c>
      <c r="B7248" s="1">
        <v>7.0</v>
      </c>
      <c r="C7248" s="1" t="s">
        <v>21275</v>
      </c>
      <c r="D7248" s="1" t="s">
        <v>8</v>
      </c>
      <c r="E7248" s="1" t="s">
        <v>21278</v>
      </c>
      <c r="F7248" s="1" t="str">
        <f>IFERROR(__xludf.DUMMYFUNCTION("GOOGLETRANSLATE(A7248, ""zh-CN"", ""ko"")"),"피하다")</f>
        <v>피하다</v>
      </c>
    </row>
    <row r="7249" ht="15.75" customHeight="1">
      <c r="A7249" s="1" t="s">
        <v>21279</v>
      </c>
      <c r="B7249" s="1">
        <v>7.0</v>
      </c>
      <c r="C7249" s="1" t="s">
        <v>21280</v>
      </c>
      <c r="D7249" s="1" t="s">
        <v>8</v>
      </c>
      <c r="E7249" s="1" t="s">
        <v>21281</v>
      </c>
      <c r="F7249" s="1" t="str">
        <f>IFERROR(__xludf.DUMMYFUNCTION("GOOGLETRANSLATE(A7249, ""zh-CN"", ""ko"")"),"훔치다")</f>
        <v>훔치다</v>
      </c>
    </row>
    <row r="7250" ht="15.75" customHeight="1">
      <c r="A7250" s="1" t="s">
        <v>21282</v>
      </c>
      <c r="B7250" s="1">
        <v>7.0</v>
      </c>
      <c r="C7250" s="1" t="s">
        <v>21283</v>
      </c>
      <c r="D7250" s="1" t="s">
        <v>52</v>
      </c>
      <c r="E7250" s="1" t="s">
        <v>21284</v>
      </c>
      <c r="F7250" s="1" t="str">
        <f>IFERROR(__xludf.DUMMYFUNCTION("GOOGLETRANSLATE(A7250, ""zh-CN"", ""ko"")"),"개인의")</f>
        <v>개인의</v>
      </c>
    </row>
    <row r="7251" ht="15.75" customHeight="1">
      <c r="A7251" s="1" t="s">
        <v>21285</v>
      </c>
      <c r="B7251" s="1">
        <v>7.0</v>
      </c>
      <c r="C7251" s="1" t="s">
        <v>21286</v>
      </c>
      <c r="D7251" s="1" t="s">
        <v>52</v>
      </c>
      <c r="E7251" s="1" t="s">
        <v>1512</v>
      </c>
      <c r="F7251" s="1" t="str">
        <f>IFERROR(__xludf.DUMMYFUNCTION("GOOGLETRANSLATE(A7251, ""zh-CN"", ""ko"")"),"즐거운")</f>
        <v>즐거운</v>
      </c>
    </row>
    <row r="7252" ht="15.75" customHeight="1">
      <c r="A7252" s="1" t="s">
        <v>21287</v>
      </c>
      <c r="B7252" s="1">
        <v>7.0</v>
      </c>
      <c r="C7252" s="1" t="s">
        <v>21288</v>
      </c>
      <c r="D7252" s="1" t="s">
        <v>8</v>
      </c>
      <c r="E7252" s="1" t="s">
        <v>21289</v>
      </c>
      <c r="F7252" s="1" t="str">
        <f>IFERROR(__xludf.DUMMYFUNCTION("GOOGLETRANSLATE(A7252, ""zh-CN"", ""ko"")"),"위반")</f>
        <v>위반</v>
      </c>
    </row>
    <row r="7253" ht="15.75" customHeight="1">
      <c r="A7253" s="1" t="s">
        <v>21290</v>
      </c>
      <c r="B7253" s="1">
        <v>7.0</v>
      </c>
      <c r="C7253" s="1" t="s">
        <v>21291</v>
      </c>
      <c r="D7253" s="1" t="s">
        <v>16</v>
      </c>
      <c r="E7253" s="1" t="s">
        <v>21292</v>
      </c>
      <c r="F7253" s="1" t="str">
        <f>IFERROR(__xludf.DUMMYFUNCTION("GOOGLETRANSLATE(A7253, ""zh-CN"", ""ko"")"),"유연")</f>
        <v>유연</v>
      </c>
    </row>
    <row r="7254" ht="15.75" customHeight="1">
      <c r="A7254" s="1" t="s">
        <v>21293</v>
      </c>
      <c r="B7254" s="1">
        <v>7.0</v>
      </c>
      <c r="C7254" s="1" t="s">
        <v>21294</v>
      </c>
      <c r="D7254" s="1" t="s">
        <v>14742</v>
      </c>
      <c r="E7254" s="1" t="s">
        <v>21295</v>
      </c>
      <c r="F7254" s="1" t="str">
        <f>IFERROR(__xludf.DUMMYFUNCTION("GOOGLETRANSLATE(A7254, ""zh-CN"", ""ko"")"),"닫다")</f>
        <v>닫다</v>
      </c>
    </row>
    <row r="7255" ht="15.75" customHeight="1">
      <c r="A7255" s="1" t="s">
        <v>21296</v>
      </c>
      <c r="B7255" s="1">
        <v>7.0</v>
      </c>
      <c r="C7255" s="1" t="s">
        <v>21297</v>
      </c>
      <c r="D7255" s="1" t="s">
        <v>8</v>
      </c>
      <c r="E7255" s="1" t="s">
        <v>21298</v>
      </c>
      <c r="F7255" s="1" t="str">
        <f>IFERROR(__xludf.DUMMYFUNCTION("GOOGLETRANSLATE(A7255, ""zh-CN"", ""ko"")"),"위반")</f>
        <v>위반</v>
      </c>
    </row>
    <row r="7256" ht="15.75" customHeight="1">
      <c r="A7256" s="1" t="s">
        <v>21299</v>
      </c>
      <c r="B7256" s="1">
        <v>7.0</v>
      </c>
      <c r="C7256" s="1" t="s">
        <v>21300</v>
      </c>
      <c r="D7256" s="1" t="s">
        <v>52</v>
      </c>
      <c r="E7256" s="1" t="s">
        <v>21301</v>
      </c>
      <c r="F7256" s="1" t="str">
        <f>IFERROR(__xludf.DUMMYFUNCTION("GOOGLETRANSLATE(A7256, ""zh-CN"", ""ko"")"),"몸소")</f>
        <v>몸소</v>
      </c>
    </row>
    <row r="7257" ht="15.75" customHeight="1">
      <c r="A7257" s="1" t="s">
        <v>21302</v>
      </c>
      <c r="B7257" s="1">
        <v>7.0</v>
      </c>
      <c r="C7257" s="1" t="s">
        <v>21303</v>
      </c>
      <c r="D7257" s="1" t="s">
        <v>52</v>
      </c>
      <c r="E7257" s="1" t="s">
        <v>21304</v>
      </c>
      <c r="F7257" s="1" t="str">
        <f>IFERROR(__xludf.DUMMYFUNCTION("GOOGLETRANSLATE(A7257, ""zh-CN"", ""ko"")"),"생물학적")</f>
        <v>생물학적</v>
      </c>
    </row>
    <row r="7258" ht="15.75" customHeight="1">
      <c r="A7258" s="1" t="s">
        <v>21305</v>
      </c>
      <c r="B7258" s="1">
        <v>7.0</v>
      </c>
      <c r="C7258" s="1" t="s">
        <v>21306</v>
      </c>
      <c r="D7258" s="1" t="s">
        <v>33</v>
      </c>
      <c r="E7258" s="1" t="s">
        <v>21301</v>
      </c>
      <c r="F7258" s="1" t="str">
        <f>IFERROR(__xludf.DUMMYFUNCTION("GOOGLETRANSLATE(A7258, ""zh-CN"", ""ko"")"),"몸소")</f>
        <v>몸소</v>
      </c>
    </row>
    <row r="7259" ht="15.75" customHeight="1">
      <c r="A7259" s="1" t="s">
        <v>21307</v>
      </c>
      <c r="B7259" s="1">
        <v>7.0</v>
      </c>
      <c r="C7259" s="1" t="s">
        <v>21308</v>
      </c>
      <c r="D7259" s="1" t="s">
        <v>33</v>
      </c>
      <c r="E7259" s="1" t="s">
        <v>21309</v>
      </c>
      <c r="F7259" s="1" t="str">
        <f>IFERROR(__xludf.DUMMYFUNCTION("GOOGLETRANSLATE(A7259, ""zh-CN"", ""ko"")"),"내 눈으로 직접 봤다")</f>
        <v>내 눈으로 직접 봤다</v>
      </c>
    </row>
    <row r="7260" ht="15.75" customHeight="1">
      <c r="A7260" s="1" t="s">
        <v>21310</v>
      </c>
      <c r="B7260" s="1">
        <v>7.0</v>
      </c>
      <c r="C7260" s="1" t="s">
        <v>21311</v>
      </c>
      <c r="D7260" s="1" t="s">
        <v>8</v>
      </c>
      <c r="E7260" s="1" t="s">
        <v>21312</v>
      </c>
      <c r="F7260" s="1" t="str">
        <f>IFERROR(__xludf.DUMMYFUNCTION("GOOGLETRANSLATE(A7260, ""zh-CN"", ""ko"")"),"잠식")</f>
        <v>잠식</v>
      </c>
    </row>
    <row r="7261" ht="15.75" customHeight="1">
      <c r="A7261" s="1" t="s">
        <v>21313</v>
      </c>
      <c r="B7261" s="1">
        <v>7.0</v>
      </c>
      <c r="C7261" s="1" t="s">
        <v>21314</v>
      </c>
      <c r="E7261" s="1" t="s">
        <v>21315</v>
      </c>
      <c r="F7261" s="1" t="str">
        <f>IFERROR(__xludf.DUMMYFUNCTION("GOOGLETRANSLATE(A7261, ""zh-CN"", ""ko"")"),"근로장학 프로그램")</f>
        <v>근로장학 프로그램</v>
      </c>
    </row>
    <row r="7262" ht="15.75" customHeight="1">
      <c r="A7262" s="1" t="s">
        <v>21316</v>
      </c>
      <c r="B7262" s="1">
        <v>7.0</v>
      </c>
      <c r="C7262" s="1" t="s">
        <v>21317</v>
      </c>
      <c r="D7262" s="1" t="s">
        <v>52</v>
      </c>
      <c r="E7262" s="1" t="s">
        <v>21318</v>
      </c>
      <c r="F7262" s="1" t="str">
        <f>IFERROR(__xludf.DUMMYFUNCTION("GOOGLETRANSLATE(A7262, ""zh-CN"", ""ko"")"),"성실한")</f>
        <v>성실한</v>
      </c>
    </row>
    <row r="7263" ht="15.75" customHeight="1">
      <c r="A7263" s="1" t="s">
        <v>21319</v>
      </c>
      <c r="B7263" s="1">
        <v>7.0</v>
      </c>
      <c r="C7263" s="1" t="s">
        <v>21320</v>
      </c>
      <c r="E7263" s="1" t="s">
        <v>21321</v>
      </c>
      <c r="F7263" s="1" t="str">
        <f>IFERROR(__xludf.DUMMYFUNCTION("GOOGLETRANSLATE(A7263, ""zh-CN"", ""ko"")"),"음악, 체스, 서예, 그림")</f>
        <v>음악, 체스, 서예, 그림</v>
      </c>
    </row>
    <row r="7264" ht="15.75" customHeight="1">
      <c r="A7264" s="1" t="s">
        <v>21322</v>
      </c>
      <c r="B7264" s="1">
        <v>7.0</v>
      </c>
      <c r="C7264" s="1" t="s">
        <v>21323</v>
      </c>
      <c r="D7264" s="1" t="s">
        <v>16</v>
      </c>
      <c r="E7264" s="1" t="s">
        <v>21324</v>
      </c>
      <c r="F7264" s="1" t="str">
        <f>IFERROR(__xludf.DUMMYFUNCTION("GOOGLETRANSLATE(A7264, ""zh-CN"", ""ko"")"),"침실")</f>
        <v>침실</v>
      </c>
    </row>
    <row r="7265" ht="15.75" customHeight="1">
      <c r="A7265" s="1" t="s">
        <v>21325</v>
      </c>
      <c r="B7265" s="1">
        <v>7.0</v>
      </c>
      <c r="C7265" s="1" t="s">
        <v>21326</v>
      </c>
      <c r="D7265" s="1" t="s">
        <v>52</v>
      </c>
      <c r="E7265" s="1" t="s">
        <v>21327</v>
      </c>
      <c r="F7265" s="1" t="str">
        <f>IFERROR(__xludf.DUMMYFUNCTION("GOOGLETRANSLATE(A7265, ""zh-CN"", ""ko"")"),"상쾌한")</f>
        <v>상쾌한</v>
      </c>
    </row>
    <row r="7266" ht="15.75" customHeight="1">
      <c r="A7266" s="1" t="s">
        <v>21328</v>
      </c>
      <c r="B7266" s="1">
        <v>7.0</v>
      </c>
      <c r="C7266" s="1" t="s">
        <v>21329</v>
      </c>
      <c r="D7266" s="1" t="s">
        <v>16</v>
      </c>
      <c r="E7266" s="1" t="s">
        <v>21330</v>
      </c>
      <c r="F7266" s="1" t="str">
        <f>IFERROR(__xludf.DUMMYFUNCTION("GOOGLETRANSLATE(A7266, ""zh-CN"", ""ko"")"),"목록")</f>
        <v>목록</v>
      </c>
    </row>
    <row r="7267" ht="15.75" customHeight="1">
      <c r="A7267" s="1" t="s">
        <v>21331</v>
      </c>
      <c r="B7267" s="1">
        <v>7.0</v>
      </c>
      <c r="C7267" s="1" t="s">
        <v>21332</v>
      </c>
      <c r="D7267" s="1" t="s">
        <v>8</v>
      </c>
      <c r="E7267" s="1" t="s">
        <v>21333</v>
      </c>
      <c r="F7267" s="1" t="str">
        <f>IFERROR(__xludf.DUMMYFUNCTION("GOOGLETRANSLATE(A7267, ""zh-CN"", ""ko"")"),"붓다")</f>
        <v>붓다</v>
      </c>
    </row>
    <row r="7268" ht="15.75" customHeight="1">
      <c r="A7268" s="1" t="s">
        <v>21334</v>
      </c>
      <c r="B7268" s="1">
        <v>7.0</v>
      </c>
      <c r="C7268" s="1" t="s">
        <v>21335</v>
      </c>
      <c r="E7268" s="1" t="s">
        <v>21336</v>
      </c>
      <c r="F7268" s="1" t="str">
        <f>IFERROR(__xludf.DUMMYFUNCTION("GOOGLETRANSLATE(A7268, ""zh-CN"", ""ko"")"),"쉬운")</f>
        <v>쉬운</v>
      </c>
    </row>
    <row r="7269" ht="15.75" customHeight="1">
      <c r="A7269" s="1" t="s">
        <v>21337</v>
      </c>
      <c r="B7269" s="1">
        <v>7.0</v>
      </c>
      <c r="C7269" s="1" t="s">
        <v>21338</v>
      </c>
      <c r="E7269" s="1" t="s">
        <v>21339</v>
      </c>
      <c r="F7269" s="1" t="str">
        <f>IFERROR(__xludf.DUMMYFUNCTION("GOOGLETRANSLATE(A7269, ""zh-CN"", ""ko"")"),"파산한")</f>
        <v>파산한</v>
      </c>
    </row>
    <row r="7270" ht="15.75" customHeight="1">
      <c r="A7270" s="1" t="s">
        <v>21340</v>
      </c>
      <c r="B7270" s="1">
        <v>7.0</v>
      </c>
      <c r="C7270" s="1" t="s">
        <v>21341</v>
      </c>
      <c r="D7270" s="1" t="s">
        <v>52</v>
      </c>
      <c r="E7270" s="1" t="s">
        <v>21342</v>
      </c>
      <c r="F7270" s="1" t="str">
        <f>IFERROR(__xludf.DUMMYFUNCTION("GOOGLETRANSLATE(A7270, ""zh-CN"", ""ko"")"),"조용한")</f>
        <v>조용한</v>
      </c>
    </row>
    <row r="7271" ht="15.75" customHeight="1">
      <c r="A7271" s="1" t="s">
        <v>21343</v>
      </c>
      <c r="B7271" s="1">
        <v>7.0</v>
      </c>
      <c r="C7271" s="1" t="s">
        <v>21344</v>
      </c>
      <c r="D7271" s="1" t="s">
        <v>8</v>
      </c>
      <c r="E7271" s="1" t="s">
        <v>21345</v>
      </c>
      <c r="F7271" s="1" t="str">
        <f>IFERROR(__xludf.DUMMYFUNCTION("GOOGLETRANSLATE(A7271, ""zh-CN"", ""ko"")"),"호의")</f>
        <v>호의</v>
      </c>
    </row>
    <row r="7272" ht="15.75" customHeight="1">
      <c r="A7272" s="1" t="s">
        <v>21346</v>
      </c>
      <c r="B7272" s="1">
        <v>7.0</v>
      </c>
      <c r="C7272" s="1" t="s">
        <v>21347</v>
      </c>
      <c r="D7272" s="1" t="s">
        <v>52</v>
      </c>
      <c r="E7272" s="1" t="s">
        <v>21348</v>
      </c>
      <c r="F7272" s="1" t="str">
        <f>IFERROR(__xludf.DUMMYFUNCTION("GOOGLETRANSLATE(A7272, ""zh-CN"", ""ko"")"),"시원한")</f>
        <v>시원한</v>
      </c>
    </row>
    <row r="7273" ht="15.75" customHeight="1">
      <c r="A7273" s="1" t="s">
        <v>21349</v>
      </c>
      <c r="B7273" s="1">
        <v>7.0</v>
      </c>
      <c r="C7273" s="1" t="s">
        <v>21350</v>
      </c>
      <c r="D7273" s="1" t="s">
        <v>8</v>
      </c>
      <c r="E7273" s="1" t="s">
        <v>21351</v>
      </c>
      <c r="F7273" s="1" t="str">
        <f>IFERROR(__xludf.DUMMYFUNCTION("GOOGLETRANSLATE(A7273, ""zh-CN"", ""ko"")"),"경멸")</f>
        <v>경멸</v>
      </c>
    </row>
    <row r="7274" ht="15.75" customHeight="1">
      <c r="A7274" s="1" t="s">
        <v>21352</v>
      </c>
      <c r="B7274" s="1">
        <v>7.0</v>
      </c>
      <c r="C7274" s="1" t="s">
        <v>21353</v>
      </c>
      <c r="D7274" s="1" t="s">
        <v>8</v>
      </c>
      <c r="E7274" s="1" t="s">
        <v>21354</v>
      </c>
      <c r="F7274" s="1" t="str">
        <f>IFERROR(__xludf.DUMMYFUNCTION("GOOGLETRANSLATE(A7274, ""zh-CN"", ""ko"")"),"불다")</f>
        <v>불다</v>
      </c>
    </row>
    <row r="7275" ht="15.75" customHeight="1">
      <c r="A7275" s="1" t="s">
        <v>21355</v>
      </c>
      <c r="B7275" s="1">
        <v>7.0</v>
      </c>
      <c r="C7275" s="1" t="s">
        <v>21356</v>
      </c>
      <c r="D7275" s="1" t="s">
        <v>16</v>
      </c>
      <c r="E7275" s="1" t="s">
        <v>21357</v>
      </c>
      <c r="F7275" s="1" t="str">
        <f>IFERROR(__xludf.DUMMYFUNCTION("GOOGLETRANSLATE(A7275, ""zh-CN"", ""ko"")"),"청동")</f>
        <v>청동</v>
      </c>
    </row>
    <row r="7276" ht="15.75" customHeight="1">
      <c r="A7276" s="1" t="s">
        <v>21358</v>
      </c>
      <c r="B7276" s="1">
        <v>7.0</v>
      </c>
      <c r="C7276" s="1" t="s">
        <v>21359</v>
      </c>
      <c r="D7276" s="1" t="s">
        <v>52</v>
      </c>
      <c r="E7276" s="1" t="s">
        <v>21360</v>
      </c>
      <c r="F7276" s="1" t="str">
        <f>IFERROR(__xludf.DUMMYFUNCTION("GOOGLETRANSLATE(A7276, ""zh-CN"", ""ko"")"),"근소한")</f>
        <v>근소한</v>
      </c>
    </row>
    <row r="7277" ht="15.75" customHeight="1">
      <c r="A7277" s="1" t="s">
        <v>21361</v>
      </c>
      <c r="B7277" s="1">
        <v>7.0</v>
      </c>
      <c r="C7277" s="1" t="s">
        <v>21362</v>
      </c>
      <c r="D7277" s="1" t="s">
        <v>8</v>
      </c>
      <c r="E7277" s="1" t="s">
        <v>21363</v>
      </c>
      <c r="F7277" s="1" t="str">
        <f>IFERROR(__xludf.DUMMYFUNCTION("GOOGLETRANSLATE(A7277, ""zh-CN"", ""ko"")"),"덤핑")</f>
        <v>덤핑</v>
      </c>
    </row>
    <row r="7278" ht="15.75" customHeight="1">
      <c r="A7278" s="1" t="s">
        <v>21364</v>
      </c>
      <c r="B7278" s="1">
        <v>7.0</v>
      </c>
      <c r="C7278" s="1" t="s">
        <v>21365</v>
      </c>
      <c r="D7278" s="1" t="s">
        <v>52</v>
      </c>
      <c r="E7278" s="1" t="s">
        <v>21366</v>
      </c>
      <c r="F7278" s="1" t="str">
        <f>IFERROR(__xludf.DUMMYFUNCTION("GOOGLETRANSLATE(A7278, ""zh-CN"", ""ko"")"),"신선한")</f>
        <v>신선한</v>
      </c>
    </row>
    <row r="7279" ht="15.75" customHeight="1">
      <c r="A7279" s="1" t="s">
        <v>21367</v>
      </c>
      <c r="B7279" s="1">
        <v>7.0</v>
      </c>
      <c r="C7279" s="1" t="s">
        <v>21368</v>
      </c>
      <c r="D7279" s="1" t="s">
        <v>52</v>
      </c>
      <c r="E7279" s="1" t="s">
        <v>21369</v>
      </c>
      <c r="F7279" s="1" t="str">
        <f>IFERROR(__xludf.DUMMYFUNCTION("GOOGLETRANSLATE(A7279, ""zh-CN"", ""ko"")"),"경량")</f>
        <v>경량</v>
      </c>
    </row>
    <row r="7280" ht="15.75" customHeight="1">
      <c r="A7280" s="1" t="s">
        <v>21370</v>
      </c>
      <c r="B7280" s="1">
        <v>7.0</v>
      </c>
      <c r="C7280" s="1" t="s">
        <v>21371</v>
      </c>
      <c r="E7280" s="1" t="s">
        <v>21372</v>
      </c>
      <c r="F7280" s="1" t="str">
        <f>IFERROR(__xludf.DUMMYFUNCTION("GOOGLETRANSLATE(A7280, ""zh-CN"", ""ko"")"),"도움을 드릴 수 없습니다")</f>
        <v>도움을 드릴 수 없습니다</v>
      </c>
    </row>
    <row r="7281" ht="15.75" customHeight="1">
      <c r="A7281" s="1" t="s">
        <v>21373</v>
      </c>
      <c r="B7281" s="1">
        <v>7.0</v>
      </c>
      <c r="C7281" s="1" t="s">
        <v>21374</v>
      </c>
      <c r="D7281" s="1" t="s">
        <v>16</v>
      </c>
      <c r="E7281" s="1" t="s">
        <v>21375</v>
      </c>
      <c r="F7281" s="1" t="str">
        <f>IFERROR(__xludf.DUMMYFUNCTION("GOOGLETRANSLATE(A7281, ""zh-CN"", ""ko"")"),"분위기")</f>
        <v>분위기</v>
      </c>
    </row>
    <row r="7282" ht="15.75" customHeight="1">
      <c r="A7282" s="1" t="s">
        <v>21376</v>
      </c>
      <c r="B7282" s="1">
        <v>7.0</v>
      </c>
      <c r="C7282" s="1" t="s">
        <v>21377</v>
      </c>
      <c r="D7282" s="1" t="s">
        <v>16</v>
      </c>
      <c r="E7282" s="1" t="s">
        <v>21378</v>
      </c>
      <c r="F7282" s="1" t="str">
        <f>IFERROR(__xludf.DUMMYFUNCTION("GOOGLETRANSLATE(A7282, ""zh-CN"", ""ko"")"),"감정")</f>
        <v>감정</v>
      </c>
    </row>
    <row r="7283" ht="15.75" customHeight="1">
      <c r="A7283" s="1" t="s">
        <v>21379</v>
      </c>
      <c r="B7283" s="1">
        <v>7.0</v>
      </c>
      <c r="C7283" s="1" t="s">
        <v>11714</v>
      </c>
      <c r="D7283" s="1" t="s">
        <v>16</v>
      </c>
      <c r="E7283" s="1" t="s">
        <v>21380</v>
      </c>
      <c r="F7283" s="1" t="str">
        <f>IFERROR(__xludf.DUMMYFUNCTION("GOOGLETRANSLATE(A7283, ""zh-CN"", ""ko"")"),"복잡한")</f>
        <v>복잡한</v>
      </c>
    </row>
    <row r="7284" ht="15.75" customHeight="1">
      <c r="A7284" s="1" t="s">
        <v>21381</v>
      </c>
      <c r="B7284" s="1">
        <v>7.0</v>
      </c>
      <c r="C7284" s="1" t="s">
        <v>21382</v>
      </c>
      <c r="D7284" s="1" t="s">
        <v>16</v>
      </c>
      <c r="E7284" s="1" t="s">
        <v>21383</v>
      </c>
      <c r="F7284" s="1" t="str">
        <f>IFERROR(__xludf.DUMMYFUNCTION("GOOGLETRANSLATE(A7284, ""zh-CN"", ""ko"")"),"문맥")</f>
        <v>문맥</v>
      </c>
    </row>
    <row r="7285" ht="15.75" customHeight="1">
      <c r="A7285" s="1" t="s">
        <v>21384</v>
      </c>
      <c r="B7285" s="1">
        <v>7.0</v>
      </c>
      <c r="C7285" s="1" t="s">
        <v>21385</v>
      </c>
      <c r="D7285" s="1" t="s">
        <v>16</v>
      </c>
      <c r="E7285" s="1" t="s">
        <v>21386</v>
      </c>
      <c r="F7285" s="1" t="str">
        <f>IFERROR(__xludf.DUMMYFUNCTION("GOOGLETRANSLATE(A7285, ""zh-CN"", ""ko"")"),"커플")</f>
        <v>커플</v>
      </c>
    </row>
    <row r="7286" ht="15.75" customHeight="1">
      <c r="A7286" s="1" t="s">
        <v>21387</v>
      </c>
      <c r="B7286" s="1">
        <v>7.0</v>
      </c>
      <c r="C7286" s="1" t="s">
        <v>21388</v>
      </c>
      <c r="D7286" s="1" t="s">
        <v>16</v>
      </c>
      <c r="E7286" s="1" t="s">
        <v>21389</v>
      </c>
      <c r="F7286" s="1" t="str">
        <f>IFERROR(__xludf.DUMMYFUNCTION("GOOGLETRANSLATE(A7286, ""zh-CN"", ""ko"")"),"애인")</f>
        <v>애인</v>
      </c>
    </row>
    <row r="7287" ht="15.75" customHeight="1">
      <c r="A7287" s="1" t="s">
        <v>21390</v>
      </c>
      <c r="B7287" s="1">
        <v>7.0</v>
      </c>
      <c r="C7287" s="1" t="s">
        <v>21391</v>
      </c>
      <c r="D7287" s="1" t="s">
        <v>16</v>
      </c>
      <c r="E7287" s="1" t="s">
        <v>21392</v>
      </c>
      <c r="F7287" s="1" t="str">
        <f>IFERROR(__xludf.DUMMYFUNCTION("GOOGLETRANSLATE(A7287, ""zh-CN"", ""ko"")"),"감성 지능")</f>
        <v>감성 지능</v>
      </c>
    </row>
    <row r="7288" ht="15.75" customHeight="1">
      <c r="A7288" s="1" t="s">
        <v>21393</v>
      </c>
      <c r="B7288" s="1">
        <v>7.0</v>
      </c>
      <c r="C7288" s="1" t="s">
        <v>21394</v>
      </c>
      <c r="D7288" s="1" t="s">
        <v>16</v>
      </c>
      <c r="E7288" s="1" t="s">
        <v>21395</v>
      </c>
      <c r="F7288" s="1" t="str">
        <f>IFERROR(__xludf.DUMMYFUNCTION("GOOGLETRANSLATE(A7288, ""zh-CN"", ""ko"")"),"우정")</f>
        <v>우정</v>
      </c>
    </row>
    <row r="7289" ht="15.75" customHeight="1">
      <c r="A7289" s="1" t="s">
        <v>21396</v>
      </c>
      <c r="B7289" s="1">
        <v>7.0</v>
      </c>
      <c r="C7289" s="1" t="s">
        <v>21397</v>
      </c>
      <c r="D7289" s="1" t="s">
        <v>14992</v>
      </c>
      <c r="E7289" s="1" t="s">
        <v>21398</v>
      </c>
      <c r="F7289" s="1" t="str">
        <f>IFERROR(__xludf.DUMMYFUNCTION("GOOGLETRANSLATE(A7289, ""zh-CN"", ""ko"")"),"자발적인")</f>
        <v>자발적인</v>
      </c>
    </row>
    <row r="7290" ht="15.75" customHeight="1">
      <c r="A7290" s="1" t="s">
        <v>21399</v>
      </c>
      <c r="B7290" s="1">
        <v>7.0</v>
      </c>
      <c r="C7290" s="1" t="s">
        <v>21400</v>
      </c>
      <c r="D7290" s="1" t="s">
        <v>16</v>
      </c>
      <c r="E7290" s="1" t="s">
        <v>21401</v>
      </c>
      <c r="F7290" s="1" t="str">
        <f>IFERROR(__xludf.DUMMYFUNCTION("GOOGLETRANSLATE(A7290, ""zh-CN"", ""ko"")"),"축하")</f>
        <v>축하</v>
      </c>
    </row>
    <row r="7291" ht="15.75" customHeight="1">
      <c r="A7291" s="1" t="s">
        <v>21402</v>
      </c>
      <c r="B7291" s="1">
        <v>7.0</v>
      </c>
      <c r="C7291" s="1" t="s">
        <v>21403</v>
      </c>
      <c r="D7291" s="1" t="s">
        <v>8</v>
      </c>
      <c r="E7291" s="1" t="s">
        <v>21404</v>
      </c>
      <c r="F7291" s="1" t="str">
        <f>IFERROR(__xludf.DUMMYFUNCTION("GOOGLETRANSLATE(A7291, ""zh-CN"", ""ko"")"),"축하하다")</f>
        <v>축하하다</v>
      </c>
    </row>
    <row r="7292" ht="15.75" customHeight="1">
      <c r="A7292" s="1" t="s">
        <v>21405</v>
      </c>
      <c r="B7292" s="1">
        <v>7.0</v>
      </c>
      <c r="C7292" s="1" t="s">
        <v>21406</v>
      </c>
      <c r="D7292" s="1" t="s">
        <v>8</v>
      </c>
      <c r="E7292" s="1" t="s">
        <v>21407</v>
      </c>
      <c r="F7292" s="1" t="str">
        <f>IFERROR(__xludf.DUMMYFUNCTION("GOOGLETRANSLATE(A7292, ""zh-CN"", ""ko"")"),"다행스럽게도")</f>
        <v>다행스럽게도</v>
      </c>
    </row>
    <row r="7293" ht="15.75" customHeight="1">
      <c r="A7293" s="1" t="s">
        <v>21408</v>
      </c>
      <c r="B7293" s="1">
        <v>7.0</v>
      </c>
      <c r="C7293" s="1" t="s">
        <v>21409</v>
      </c>
      <c r="D7293" s="1" t="s">
        <v>16</v>
      </c>
      <c r="E7293" s="1" t="s">
        <v>21410</v>
      </c>
      <c r="F7293" s="1" t="str">
        <f>IFERROR(__xludf.DUMMYFUNCTION("GOOGLETRANSLATE(A7293, ""zh-CN"", ""ko"")"),"죄인")</f>
        <v>죄인</v>
      </c>
    </row>
    <row r="7294" ht="15.75" customHeight="1">
      <c r="A7294" s="1" t="s">
        <v>21411</v>
      </c>
      <c r="B7294" s="1">
        <v>7.0</v>
      </c>
      <c r="C7294" s="1" t="s">
        <v>21412</v>
      </c>
      <c r="E7294" s="1" t="s">
        <v>21413</v>
      </c>
      <c r="F7294" s="1" t="str">
        <f>IFERROR(__xludf.DUMMYFUNCTION("GOOGLETRANSLATE(A7294, ""zh-CN"", ""ko"")"),"차이점을 존중하면서 공통점을 찾습니다.")</f>
        <v>차이점을 존중하면서 공통점을 찾습니다.</v>
      </c>
    </row>
    <row r="7295" ht="15.75" customHeight="1">
      <c r="A7295" s="1" t="s">
        <v>21414</v>
      </c>
      <c r="B7295" s="1">
        <v>7.0</v>
      </c>
      <c r="C7295" s="1" t="s">
        <v>21415</v>
      </c>
      <c r="D7295" s="1" t="s">
        <v>8</v>
      </c>
      <c r="E7295" s="1" t="s">
        <v>21416</v>
      </c>
      <c r="F7295" s="1" t="str">
        <f>IFERROR(__xludf.DUMMYFUNCTION("GOOGLETRANSLATE(A7295, ""zh-CN"", ""ko"")"),"교육을 추구합니다")</f>
        <v>교육을 추구합니다</v>
      </c>
    </row>
    <row r="7296" ht="15.75" customHeight="1">
      <c r="A7296" s="1" t="s">
        <v>21417</v>
      </c>
      <c r="B7296" s="1">
        <v>7.0</v>
      </c>
      <c r="C7296" s="1" t="s">
        <v>21418</v>
      </c>
      <c r="D7296" s="1" t="s">
        <v>8</v>
      </c>
      <c r="E7296" s="1" t="s">
        <v>21419</v>
      </c>
      <c r="F7296" s="1" t="str">
        <f>IFERROR(__xludf.DUMMYFUNCTION("GOOGLETRANSLATE(A7296, ""zh-CN"", ""ko"")"),"의료 치료를 받다")</f>
        <v>의료 치료를 받다</v>
      </c>
    </row>
    <row r="7297" ht="15.75" customHeight="1">
      <c r="A7297" s="1" t="s">
        <v>21420</v>
      </c>
      <c r="B7297" s="1">
        <v>7.0</v>
      </c>
      <c r="C7297" s="1" t="s">
        <v>21421</v>
      </c>
      <c r="D7297" s="1" t="s">
        <v>8</v>
      </c>
      <c r="E7297" s="1" t="s">
        <v>21422</v>
      </c>
      <c r="F7297" s="1" t="str">
        <f>IFERROR(__xludf.DUMMYFUNCTION("GOOGLETRANSLATE(A7297, ""zh-CN"", ""ko"")"),"확인")</f>
        <v>확인</v>
      </c>
    </row>
    <row r="7298" ht="15.75" customHeight="1">
      <c r="A7298" s="1" t="s">
        <v>21423</v>
      </c>
      <c r="B7298" s="1">
        <v>7.0</v>
      </c>
      <c r="C7298" s="1" t="s">
        <v>21424</v>
      </c>
      <c r="D7298" s="1" t="s">
        <v>8</v>
      </c>
      <c r="E7298" s="1" t="s">
        <v>21425</v>
      </c>
      <c r="F7298" s="1" t="str">
        <f>IFERROR(__xludf.DUMMYFUNCTION("GOOGLETRANSLATE(A7298, ""zh-CN"", ""ko"")"),"운전하다")</f>
        <v>운전하다</v>
      </c>
    </row>
    <row r="7299" ht="15.75" customHeight="1">
      <c r="A7299" s="1" t="s">
        <v>21426</v>
      </c>
      <c r="B7299" s="1">
        <v>7.0</v>
      </c>
      <c r="C7299" s="1" t="s">
        <v>21427</v>
      </c>
      <c r="D7299" s="1" t="s">
        <v>16</v>
      </c>
      <c r="E7299" s="1" t="s">
        <v>4330</v>
      </c>
      <c r="F7299" s="1" t="str">
        <f>IFERROR(__xludf.DUMMYFUNCTION("GOOGLETRANSLATE(A7299, ""zh-CN"", ""ko"")"),"간격")</f>
        <v>간격</v>
      </c>
    </row>
    <row r="7300" ht="15.75" customHeight="1">
      <c r="A7300" s="1" t="s">
        <v>21428</v>
      </c>
      <c r="B7300" s="1">
        <v>7.0</v>
      </c>
      <c r="C7300" s="1" t="s">
        <v>21429</v>
      </c>
      <c r="D7300" s="1" t="s">
        <v>52</v>
      </c>
      <c r="E7300" s="1" t="s">
        <v>21430</v>
      </c>
      <c r="F7300" s="1" t="str">
        <f>IFERROR(__xludf.DUMMYFUNCTION("GOOGLETRANSLATE(A7300, ""zh-CN"", ""ko"")"),"호수")</f>
        <v>호수</v>
      </c>
    </row>
    <row r="7301" ht="15.75" customHeight="1">
      <c r="A7301" s="1" t="s">
        <v>21431</v>
      </c>
      <c r="B7301" s="1">
        <v>7.0</v>
      </c>
      <c r="C7301" s="1" t="s">
        <v>21432</v>
      </c>
      <c r="D7301" s="1" t="s">
        <v>16</v>
      </c>
      <c r="E7301" s="1" t="s">
        <v>21433</v>
      </c>
      <c r="F7301" s="1" t="str">
        <f>IFERROR(__xludf.DUMMYFUNCTION("GOOGLETRANSLATE(A7301, ""zh-CN"", ""ko"")"),"곡선")</f>
        <v>곡선</v>
      </c>
    </row>
    <row r="7302" ht="15.75" customHeight="1">
      <c r="A7302" s="1" t="s">
        <v>21434</v>
      </c>
      <c r="B7302" s="1">
        <v>7.0</v>
      </c>
      <c r="C7302" s="1" t="s">
        <v>21435</v>
      </c>
      <c r="D7302" s="1" t="s">
        <v>8</v>
      </c>
      <c r="E7302" s="1" t="s">
        <v>21436</v>
      </c>
      <c r="F7302" s="1" t="str">
        <f>IFERROR(__xludf.DUMMYFUNCTION("GOOGLETRANSLATE(A7302, ""zh-CN"", ""ko"")"),"~하는 경향이 있다")</f>
        <v>~하는 경향이 있다</v>
      </c>
    </row>
    <row r="7303" ht="15.75" customHeight="1">
      <c r="A7303" s="1" t="s">
        <v>21437</v>
      </c>
      <c r="B7303" s="1">
        <v>7.0</v>
      </c>
      <c r="C7303" s="1" t="s">
        <v>21438</v>
      </c>
      <c r="D7303" s="1" t="s">
        <v>8</v>
      </c>
      <c r="E7303" s="1" t="s">
        <v>21439</v>
      </c>
      <c r="F7303" s="1" t="str">
        <f>IFERROR(__xludf.DUMMYFUNCTION("GOOGLETRANSLATE(A7303, ""zh-CN"", ""ko"")"),"드로잉 재료")</f>
        <v>드로잉 재료</v>
      </c>
    </row>
    <row r="7304" ht="15.75" customHeight="1">
      <c r="A7304" s="1" t="s">
        <v>21440</v>
      </c>
      <c r="B7304" s="1">
        <v>7.0</v>
      </c>
      <c r="C7304" s="1" t="s">
        <v>21441</v>
      </c>
      <c r="E7304" s="1" t="s">
        <v>21442</v>
      </c>
      <c r="F7304" s="1" t="str">
        <f>IFERROR(__xludf.DUMMYFUNCTION("GOOGLETRANSLATE(A7304, ""zh-CN"", ""ko"")"),"바꾸다")</f>
        <v>바꾸다</v>
      </c>
    </row>
    <row r="7305" ht="15.75" customHeight="1">
      <c r="A7305" s="1" t="s">
        <v>21443</v>
      </c>
      <c r="B7305" s="1">
        <v>7.0</v>
      </c>
      <c r="C7305" s="1" t="s">
        <v>21444</v>
      </c>
      <c r="D7305" s="1" t="s">
        <v>8</v>
      </c>
      <c r="E7305" s="1" t="s">
        <v>21445</v>
      </c>
      <c r="F7305" s="1" t="str">
        <f>IFERROR(__xludf.DUMMYFUNCTION("GOOGLETRANSLATE(A7305, ""zh-CN"", ""ko"")"),"서유기")</f>
        <v>서유기</v>
      </c>
    </row>
    <row r="7306" ht="15.75" customHeight="1">
      <c r="A7306" s="1" t="s">
        <v>21446</v>
      </c>
      <c r="B7306" s="1">
        <v>7.0</v>
      </c>
      <c r="C7306" s="1" t="s">
        <v>21447</v>
      </c>
      <c r="D7306" s="1" t="s">
        <v>8</v>
      </c>
      <c r="E7306" s="1" t="s">
        <v>21448</v>
      </c>
      <c r="F7306" s="1" t="str">
        <f>IFERROR(__xludf.DUMMYFUNCTION("GOOGLETRANSLATE(A7306, ""zh-CN"", ""ko"")"),"상황에 따라 다릅니다")</f>
        <v>상황에 따라 다릅니다</v>
      </c>
    </row>
    <row r="7307" ht="15.75" customHeight="1">
      <c r="A7307" s="1" t="s">
        <v>21449</v>
      </c>
      <c r="B7307" s="1">
        <v>7.0</v>
      </c>
      <c r="C7307" s="1" t="s">
        <v>21450</v>
      </c>
      <c r="D7307" s="1" t="s">
        <v>8</v>
      </c>
      <c r="E7307" s="1" t="s">
        <v>21451</v>
      </c>
      <c r="F7307" s="1" t="str">
        <f>IFERROR(__xludf.DUMMYFUNCTION("GOOGLETRANSLATE(A7307, ""zh-CN"", ""ko"")"),"난방")</f>
        <v>난방</v>
      </c>
    </row>
    <row r="7308" ht="15.75" customHeight="1">
      <c r="A7308" s="1" t="s">
        <v>21452</v>
      </c>
      <c r="B7308" s="1">
        <v>7.0</v>
      </c>
      <c r="C7308" s="1" t="s">
        <v>21453</v>
      </c>
      <c r="D7308" s="1" t="s">
        <v>8</v>
      </c>
      <c r="E7308" s="1" t="s">
        <v>21454</v>
      </c>
      <c r="F7308" s="1" t="str">
        <f>IFERROR(__xludf.DUMMYFUNCTION("GOOGLETRANSLATE(A7308, ""zh-CN"", ""ko"")"),"이기다")</f>
        <v>이기다</v>
      </c>
    </row>
    <row r="7309" ht="15.75" customHeight="1">
      <c r="A7309" s="1" t="s">
        <v>21455</v>
      </c>
      <c r="B7309" s="1">
        <v>7.0</v>
      </c>
      <c r="C7309" s="1" t="s">
        <v>21456</v>
      </c>
      <c r="D7309" s="1" t="s">
        <v>8</v>
      </c>
      <c r="E7309" s="1" t="s">
        <v>21457</v>
      </c>
      <c r="F7309" s="1" t="str">
        <f>IFERROR(__xludf.DUMMYFUNCTION("GOOGLETRANSLATE(A7309, ""zh-CN"", ""ko"")"),"놀리다")</f>
        <v>놀리다</v>
      </c>
    </row>
    <row r="7310" ht="15.75" customHeight="1">
      <c r="A7310" s="1" t="s">
        <v>21458</v>
      </c>
      <c r="B7310" s="1">
        <v>7.0</v>
      </c>
      <c r="C7310" s="1" t="s">
        <v>21459</v>
      </c>
      <c r="D7310" s="1" t="s">
        <v>16</v>
      </c>
      <c r="E7310" s="1" t="s">
        <v>21460</v>
      </c>
      <c r="F7310" s="1" t="str">
        <f>IFERROR(__xludf.DUMMYFUNCTION("GOOGLETRANSLATE(A7310, ""zh-CN"", ""ko"")"),"민속 예술")</f>
        <v>민속 예술</v>
      </c>
    </row>
    <row r="7311" ht="15.75" customHeight="1">
      <c r="A7311" s="1" t="s">
        <v>21461</v>
      </c>
      <c r="B7311" s="1">
        <v>7.0</v>
      </c>
      <c r="C7311" s="1" t="s">
        <v>21462</v>
      </c>
      <c r="D7311" s="1" t="s">
        <v>8</v>
      </c>
      <c r="E7311" s="1" t="s">
        <v>21463</v>
      </c>
      <c r="F7311" s="1" t="str">
        <f>IFERROR(__xludf.DUMMYFUNCTION("GOOGLETRANSLATE(A7311, ""zh-CN"", ""ko"")"),"제거하다")</f>
        <v>제거하다</v>
      </c>
    </row>
    <row r="7312" ht="15.75" customHeight="1">
      <c r="A7312" s="1" t="s">
        <v>21464</v>
      </c>
      <c r="B7312" s="1">
        <v>7.0</v>
      </c>
      <c r="C7312" s="1" t="s">
        <v>21465</v>
      </c>
      <c r="D7312" s="1" t="s">
        <v>16</v>
      </c>
      <c r="E7312" s="1" t="s">
        <v>21466</v>
      </c>
      <c r="F7312" s="1" t="str">
        <f>IFERROR(__xludf.DUMMYFUNCTION("GOOGLETRANSLATE(A7312, ""zh-CN"", ""ko"")"),"장소")</f>
        <v>장소</v>
      </c>
    </row>
    <row r="7313" ht="15.75" customHeight="1">
      <c r="A7313" s="1" t="s">
        <v>21467</v>
      </c>
      <c r="B7313" s="1">
        <v>7.0</v>
      </c>
      <c r="C7313" s="1" t="s">
        <v>21468</v>
      </c>
      <c r="D7313" s="1" t="s">
        <v>16</v>
      </c>
      <c r="E7313" s="1" t="s">
        <v>21469</v>
      </c>
      <c r="F7313" s="1" t="str">
        <f>IFERROR(__xludf.DUMMYFUNCTION("GOOGLETRANSLATE(A7313, ""zh-CN"", ""ko"")"),"목적지")</f>
        <v>목적지</v>
      </c>
    </row>
    <row r="7314" ht="15.75" customHeight="1">
      <c r="A7314" s="1" t="s">
        <v>21470</v>
      </c>
      <c r="B7314" s="1">
        <v>7.0</v>
      </c>
      <c r="C7314" s="1" t="s">
        <v>21471</v>
      </c>
      <c r="D7314" s="1" t="s">
        <v>16</v>
      </c>
      <c r="E7314" s="1" t="s">
        <v>21472</v>
      </c>
      <c r="F7314" s="1" t="str">
        <f>IFERROR(__xludf.DUMMYFUNCTION("GOOGLETRANSLATE(A7314, ""zh-CN"", ""ko"")"),"원")</f>
        <v>원</v>
      </c>
    </row>
    <row r="7315" ht="15.75" customHeight="1">
      <c r="A7315" s="1" t="s">
        <v>21473</v>
      </c>
      <c r="B7315" s="1">
        <v>7.0</v>
      </c>
      <c r="C7315" s="1" t="s">
        <v>21474</v>
      </c>
      <c r="D7315" s="1" t="s">
        <v>14917</v>
      </c>
      <c r="E7315" s="1" t="s">
        <v>21475</v>
      </c>
      <c r="F7315" s="1" t="str">
        <f>IFERROR(__xludf.DUMMYFUNCTION("GOOGLETRANSLATE(A7315, ""zh-CN"", ""ko"")"),"주먹")</f>
        <v>주먹</v>
      </c>
    </row>
    <row r="7316" ht="15.75" customHeight="1">
      <c r="A7316" s="1" t="s">
        <v>21476</v>
      </c>
      <c r="B7316" s="1">
        <v>7.0</v>
      </c>
      <c r="C7316" s="1" t="s">
        <v>21477</v>
      </c>
      <c r="D7316" s="1" t="s">
        <v>16</v>
      </c>
      <c r="E7316" s="1" t="s">
        <v>21478</v>
      </c>
      <c r="F7316" s="1" t="str">
        <f>IFERROR(__xludf.DUMMYFUNCTION("GOOGLETRANSLATE(A7316, ""zh-CN"", ""ko"")"),"다재다능한")</f>
        <v>다재다능한</v>
      </c>
    </row>
    <row r="7317" ht="15.75" customHeight="1">
      <c r="A7317" s="1" t="s">
        <v>21479</v>
      </c>
      <c r="B7317" s="1">
        <v>7.0</v>
      </c>
      <c r="C7317" s="1" t="s">
        <v>21480</v>
      </c>
      <c r="D7317" s="1" t="s">
        <v>16</v>
      </c>
      <c r="E7317" s="1" t="s">
        <v>21481</v>
      </c>
      <c r="F7317" s="1" t="str">
        <f>IFERROR(__xludf.DUMMYFUNCTION("GOOGLETRANSLATE(A7317, ""zh-CN"", ""ko"")"),"권투")</f>
        <v>권투</v>
      </c>
    </row>
    <row r="7318" ht="15.75" customHeight="1">
      <c r="A7318" s="1" t="s">
        <v>21482</v>
      </c>
      <c r="B7318" s="1">
        <v>7.0</v>
      </c>
      <c r="C7318" s="1" t="s">
        <v>21483</v>
      </c>
      <c r="D7318" s="1" t="s">
        <v>52</v>
      </c>
      <c r="E7318" s="1" t="s">
        <v>21484</v>
      </c>
      <c r="F7318" s="1" t="str">
        <f>IFERROR(__xludf.DUMMYFUNCTION("GOOGLETRANSLATE(A7318, ""zh-CN"", ""ko"")"),"다재다능한")</f>
        <v>다재다능한</v>
      </c>
    </row>
    <row r="7319" ht="15.75" customHeight="1">
      <c r="A7319" s="1" t="s">
        <v>21485</v>
      </c>
      <c r="B7319" s="1">
        <v>7.0</v>
      </c>
      <c r="C7319" s="1" t="s">
        <v>21486</v>
      </c>
      <c r="D7319" s="1" t="s">
        <v>33</v>
      </c>
      <c r="E7319" s="1" t="s">
        <v>21487</v>
      </c>
      <c r="F7319" s="1" t="str">
        <f>IFERROR(__xludf.DUMMYFUNCTION("GOOGLETRANSLATE(A7319, ""zh-CN"", ""ko"")"),"성의 있는")</f>
        <v>성의 있는</v>
      </c>
    </row>
    <row r="7320" ht="15.75" customHeight="1">
      <c r="A7320" s="1" t="s">
        <v>21488</v>
      </c>
      <c r="B7320" s="1">
        <v>7.0</v>
      </c>
      <c r="C7320" s="1" t="s">
        <v>21489</v>
      </c>
      <c r="D7320" s="1" t="s">
        <v>8</v>
      </c>
      <c r="E7320" s="1" t="s">
        <v>21490</v>
      </c>
      <c r="F7320" s="1" t="str">
        <f>IFERROR(__xludf.DUMMYFUNCTION("GOOGLETRANSLATE(A7320, ""zh-CN"", ""ko"")"),"해석")</f>
        <v>해석</v>
      </c>
    </row>
    <row r="7321" ht="15.75" customHeight="1">
      <c r="A7321" s="1" t="s">
        <v>21491</v>
      </c>
      <c r="B7321" s="1">
        <v>7.0</v>
      </c>
      <c r="C7321" s="1" t="s">
        <v>21492</v>
      </c>
      <c r="D7321" s="1" t="s">
        <v>16</v>
      </c>
      <c r="E7321" s="1" t="s">
        <v>11784</v>
      </c>
      <c r="F7321" s="1" t="str">
        <f>IFERROR(__xludf.DUMMYFUNCTION("GOOGLETRANSLATE(A7321, ""zh-CN"", ""ko"")"),"권한")</f>
        <v>권한</v>
      </c>
    </row>
    <row r="7322" ht="15.75" customHeight="1">
      <c r="A7322" s="1" t="s">
        <v>21493</v>
      </c>
      <c r="B7322" s="1">
        <v>7.0</v>
      </c>
      <c r="C7322" s="1" t="s">
        <v>21494</v>
      </c>
      <c r="E7322" s="1" t="s">
        <v>21495</v>
      </c>
      <c r="F7322" s="1" t="str">
        <f>IFERROR(__xludf.DUMMYFUNCTION("GOOGLETRANSLATE(A7322, ""zh-CN"", ""ko"")"),"진심으로")</f>
        <v>진심으로</v>
      </c>
    </row>
    <row r="7323" ht="15.75" customHeight="1">
      <c r="A7323" s="1" t="s">
        <v>21496</v>
      </c>
      <c r="B7323" s="1">
        <v>7.0</v>
      </c>
      <c r="C7323" s="1" t="s">
        <v>21497</v>
      </c>
      <c r="D7323" s="1" t="s">
        <v>16</v>
      </c>
      <c r="E7323" s="1" t="s">
        <v>21498</v>
      </c>
      <c r="F7323" s="1" t="str">
        <f>IFERROR(__xludf.DUMMYFUNCTION("GOOGLETRANSLATE(A7323, ""zh-CN"", ""ko"")"),"권리와 이익")</f>
        <v>권리와 이익</v>
      </c>
    </row>
    <row r="7324" ht="15.75" customHeight="1">
      <c r="A7324" s="1" t="s">
        <v>21499</v>
      </c>
      <c r="B7324" s="1">
        <v>7.0</v>
      </c>
      <c r="C7324" s="1" t="s">
        <v>21500</v>
      </c>
      <c r="D7324" s="1" t="s">
        <v>14870</v>
      </c>
      <c r="E7324" s="1" t="s">
        <v>21501</v>
      </c>
      <c r="F7324" s="1" t="str">
        <f>IFERROR(__xludf.DUMMYFUNCTION("GOOGLETRANSLATE(A7324, ""zh-CN"", ""ko"")"),"조언")</f>
        <v>조언</v>
      </c>
    </row>
    <row r="7325" ht="15.75" customHeight="1">
      <c r="A7325" s="1" t="s">
        <v>21502</v>
      </c>
      <c r="B7325" s="1">
        <v>7.0</v>
      </c>
      <c r="C7325" s="1" t="s">
        <v>21503</v>
      </c>
      <c r="D7325" s="1" t="s">
        <v>8</v>
      </c>
      <c r="E7325" s="1" t="s">
        <v>21504</v>
      </c>
      <c r="F7325" s="1" t="str">
        <f>IFERROR(__xludf.DUMMYFUNCTION("GOOGLETRANSLATE(A7325, ""zh-CN"", ""ko"")"),"설득하다")</f>
        <v>설득하다</v>
      </c>
    </row>
    <row r="7326" ht="15.75" customHeight="1">
      <c r="A7326" s="1" t="s">
        <v>21505</v>
      </c>
      <c r="B7326" s="1">
        <v>7.0</v>
      </c>
      <c r="C7326" s="1" t="s">
        <v>21506</v>
      </c>
      <c r="D7326" s="1" t="s">
        <v>8</v>
      </c>
      <c r="E7326" s="1" t="s">
        <v>21507</v>
      </c>
      <c r="F7326" s="1" t="str">
        <f>IFERROR(__xludf.DUMMYFUNCTION("GOOGLETRANSLATE(A7326, ""zh-CN"", ""ko"")"),"단념시키다")</f>
        <v>단념시키다</v>
      </c>
    </row>
    <row r="7327" ht="15.75" customHeight="1">
      <c r="A7327" s="1" t="s">
        <v>21508</v>
      </c>
      <c r="B7327" s="1">
        <v>7.0</v>
      </c>
      <c r="C7327" s="1" t="s">
        <v>21509</v>
      </c>
      <c r="D7327" s="1" t="s">
        <v>14917</v>
      </c>
      <c r="E7327" s="1" t="s">
        <v>21510</v>
      </c>
      <c r="F7327" s="1" t="str">
        <f>IFERROR(__xludf.DUMMYFUNCTION("GOOGLETRANSLATE(A7327, ""zh-CN"", ""ko"")"),"없어진")</f>
        <v>없어진</v>
      </c>
    </row>
    <row r="7328" ht="15.75" customHeight="1">
      <c r="A7328" s="1" t="s">
        <v>21511</v>
      </c>
      <c r="B7328" s="1">
        <v>7.0</v>
      </c>
      <c r="C7328" s="1" t="s">
        <v>21512</v>
      </c>
      <c r="D7328" s="1" t="s">
        <v>52</v>
      </c>
      <c r="E7328" s="1" t="s">
        <v>21513</v>
      </c>
      <c r="F7328" s="1" t="str">
        <f>IFERROR(__xludf.DUMMYFUNCTION("GOOGLETRANSLATE(A7328, ""zh-CN"", ""ko"")"),"단호한")</f>
        <v>단호한</v>
      </c>
    </row>
    <row r="7329" ht="15.75" customHeight="1">
      <c r="A7329" s="1" t="s">
        <v>21514</v>
      </c>
      <c r="B7329" s="1">
        <v>7.0</v>
      </c>
      <c r="C7329" s="1" t="s">
        <v>21515</v>
      </c>
      <c r="D7329" s="1" t="s">
        <v>8</v>
      </c>
      <c r="E7329" s="1" t="s">
        <v>21516</v>
      </c>
      <c r="F7329" s="1" t="str">
        <f>IFERROR(__xludf.DUMMYFUNCTION("GOOGLETRANSLATE(A7329, ""zh-CN"", ""ko"")"),"확인됨")</f>
        <v>확인됨</v>
      </c>
    </row>
    <row r="7330" ht="15.75" customHeight="1">
      <c r="A7330" s="1" t="s">
        <v>21517</v>
      </c>
      <c r="B7330" s="1">
        <v>7.0</v>
      </c>
      <c r="C7330" s="1" t="s">
        <v>21518</v>
      </c>
      <c r="D7330" s="1" t="s">
        <v>8</v>
      </c>
      <c r="E7330" s="1" t="s">
        <v>21519</v>
      </c>
      <c r="F7330" s="1" t="str">
        <f>IFERROR(__xludf.DUMMYFUNCTION("GOOGLETRANSLATE(A7330, ""zh-CN"", ""ko"")"),"출발")</f>
        <v>출발</v>
      </c>
    </row>
    <row r="7331" ht="15.75" customHeight="1">
      <c r="A7331" s="1" t="s">
        <v>21520</v>
      </c>
      <c r="B7331" s="1">
        <v>7.0</v>
      </c>
      <c r="C7331" s="1" t="s">
        <v>21521</v>
      </c>
      <c r="D7331" s="1" t="s">
        <v>16</v>
      </c>
      <c r="E7331" s="1" t="s">
        <v>12588</v>
      </c>
      <c r="F7331" s="1" t="str">
        <f>IFERROR(__xludf.DUMMYFUNCTION("GOOGLETRANSLATE(A7331, ""zh-CN"", ""ko"")"),"가스")</f>
        <v>가스</v>
      </c>
    </row>
    <row r="7332" ht="15.75" customHeight="1">
      <c r="A7332" s="1" t="s">
        <v>21522</v>
      </c>
      <c r="B7332" s="1">
        <v>7.0</v>
      </c>
      <c r="C7332" s="1" t="s">
        <v>21523</v>
      </c>
      <c r="D7332" s="1" t="s">
        <v>16</v>
      </c>
      <c r="E7332" s="1" t="s">
        <v>21524</v>
      </c>
      <c r="F7332" s="1" t="str">
        <f>IFERROR(__xludf.DUMMYFUNCTION("GOOGLETRANSLATE(A7332, ""zh-CN"", ""ko"")"),"연료")</f>
        <v>연료</v>
      </c>
    </row>
    <row r="7333" ht="15.75" customHeight="1">
      <c r="A7333" s="1" t="s">
        <v>21525</v>
      </c>
      <c r="B7333" s="1">
        <v>7.0</v>
      </c>
      <c r="C7333" s="1" t="s">
        <v>21526</v>
      </c>
      <c r="D7333" s="1" t="s">
        <v>8</v>
      </c>
      <c r="E7333" s="1" t="s">
        <v>21527</v>
      </c>
      <c r="F7333" s="1" t="str">
        <f>IFERROR(__xludf.DUMMYFUNCTION("GOOGLETRANSLATE(A7333, ""zh-CN"", ""ko"")"),"라오")</f>
        <v>라오</v>
      </c>
    </row>
    <row r="7334" ht="15.75" customHeight="1">
      <c r="A7334" s="1" t="s">
        <v>21528</v>
      </c>
      <c r="B7334" s="1">
        <v>7.0</v>
      </c>
      <c r="C7334" s="1" t="s">
        <v>21529</v>
      </c>
      <c r="D7334" s="1" t="s">
        <v>8</v>
      </c>
      <c r="E7334" s="1" t="s">
        <v>21530</v>
      </c>
      <c r="F7334" s="1" t="str">
        <f>IFERROR(__xludf.DUMMYFUNCTION("GOOGLETRANSLATE(A7334, ""zh-CN"", ""ko"")"),"우회로")</f>
        <v>우회로</v>
      </c>
    </row>
    <row r="7335" ht="15.75" customHeight="1">
      <c r="A7335" s="1" t="s">
        <v>21531</v>
      </c>
      <c r="B7335" s="1">
        <v>7.0</v>
      </c>
      <c r="C7335" s="1" t="s">
        <v>21532</v>
      </c>
      <c r="D7335" s="1" t="s">
        <v>14735</v>
      </c>
      <c r="E7335" s="1" t="s">
        <v>21533</v>
      </c>
      <c r="F7335" s="1" t="str">
        <f>IFERROR(__xludf.DUMMYFUNCTION("GOOGLETRANSLATE(A7335, ""zh-CN"", ""ko"")"),"우회하세요")</f>
        <v>우회하세요</v>
      </c>
    </row>
    <row r="7336" ht="15.75" customHeight="1">
      <c r="A7336" s="1" t="s">
        <v>21534</v>
      </c>
      <c r="B7336" s="1">
        <v>7.0</v>
      </c>
      <c r="C7336" s="1" t="s">
        <v>21535</v>
      </c>
      <c r="D7336" s="1" t="s">
        <v>8</v>
      </c>
      <c r="E7336" s="1" t="s">
        <v>21536</v>
      </c>
      <c r="F7336" s="1" t="str">
        <f>IFERROR(__xludf.DUMMYFUNCTION("GOOGLETRANSLATE(A7336, ""zh-CN"", ""ko"")"),"화나게 하다")</f>
        <v>화나게 하다</v>
      </c>
    </row>
    <row r="7337" ht="15.75" customHeight="1">
      <c r="A7337" s="1" t="s">
        <v>21537</v>
      </c>
      <c r="B7337" s="1">
        <v>7.0</v>
      </c>
      <c r="C7337" s="1" t="s">
        <v>21538</v>
      </c>
      <c r="D7337" s="1" t="s">
        <v>16</v>
      </c>
      <c r="E7337" s="1" t="s">
        <v>21539</v>
      </c>
      <c r="F7337" s="1" t="str">
        <f>IFERROR(__xludf.DUMMYFUNCTION("GOOGLETRANSLATE(A7337, ""zh-CN"", ""ko"")"),"급증")</f>
        <v>급증</v>
      </c>
    </row>
    <row r="7338" ht="15.75" customHeight="1">
      <c r="A7338" s="1" t="s">
        <v>21540</v>
      </c>
      <c r="B7338" s="1">
        <v>7.0</v>
      </c>
      <c r="C7338" s="1" t="s">
        <v>21541</v>
      </c>
      <c r="D7338" s="1" t="s">
        <v>16</v>
      </c>
      <c r="E7338" s="1" t="s">
        <v>21542</v>
      </c>
      <c r="F7338" s="1" t="str">
        <f>IFERROR(__xludf.DUMMYFUNCTION("GOOGLETRANSLATE(A7338, ""zh-CN"", ""ko"")"),"열렬한")</f>
        <v>열렬한</v>
      </c>
    </row>
    <row r="7339" ht="15.75" customHeight="1">
      <c r="A7339" s="1" t="s">
        <v>21543</v>
      </c>
      <c r="B7339" s="1">
        <v>7.0</v>
      </c>
      <c r="C7339" s="1" t="s">
        <v>21544</v>
      </c>
      <c r="D7339" s="1" t="s">
        <v>52</v>
      </c>
      <c r="E7339" s="1" t="s">
        <v>21545</v>
      </c>
      <c r="F7339" s="1" t="str">
        <f>IFERROR(__xludf.DUMMYFUNCTION("GOOGLETRANSLATE(A7339, ""zh-CN"", ""ko"")"),"김이 모락모락 나는 뜨거운")</f>
        <v>김이 모락모락 나는 뜨거운</v>
      </c>
    </row>
    <row r="7340" ht="15.75" customHeight="1">
      <c r="A7340" s="1" t="s">
        <v>21546</v>
      </c>
      <c r="B7340" s="1">
        <v>7.0</v>
      </c>
      <c r="C7340" s="1" t="s">
        <v>21547</v>
      </c>
      <c r="D7340" s="1" t="s">
        <v>8</v>
      </c>
      <c r="E7340" s="1" t="s">
        <v>21548</v>
      </c>
      <c r="F7340" s="1" t="str">
        <f>IFERROR(__xludf.DUMMYFUNCTION("GOOGLETRANSLATE(A7340, ""zh-CN"", ""ko"")"),"날개 돋친 듯 팔려요")</f>
        <v>날개 돋친 듯 팔려요</v>
      </c>
    </row>
    <row r="7341" ht="15.75" customHeight="1">
      <c r="A7341" s="1" t="s">
        <v>21549</v>
      </c>
      <c r="B7341" s="1">
        <v>7.0</v>
      </c>
      <c r="C7341" s="1" t="s">
        <v>21550</v>
      </c>
      <c r="D7341" s="1" t="s">
        <v>8</v>
      </c>
      <c r="E7341" s="1" t="s">
        <v>21551</v>
      </c>
      <c r="F7341" s="1" t="str">
        <f>IFERROR(__xludf.DUMMYFUNCTION("GOOGLETRANSLATE(A7341, ""zh-CN"", ""ko"")"),"열렬한")</f>
        <v>열렬한</v>
      </c>
    </row>
    <row r="7342" ht="15.75" customHeight="1">
      <c r="A7342" s="1" t="s">
        <v>21552</v>
      </c>
      <c r="B7342" s="1">
        <v>7.0</v>
      </c>
      <c r="C7342" s="1" t="s">
        <v>21553</v>
      </c>
      <c r="D7342" s="1" t="s">
        <v>26</v>
      </c>
      <c r="E7342" s="1" t="s">
        <v>21554</v>
      </c>
      <c r="F7342" s="1" t="str">
        <f>IFERROR(__xludf.DUMMYFUNCTION("GOOGLETRANSLATE(A7342, ""zh-CN"", ""ko"")"),"사람 수")</f>
        <v>사람 수</v>
      </c>
    </row>
    <row r="7343" ht="15.75" customHeight="1">
      <c r="A7343" s="1" t="s">
        <v>21555</v>
      </c>
      <c r="B7343" s="1">
        <v>7.0</v>
      </c>
      <c r="C7343" s="1" t="s">
        <v>21556</v>
      </c>
      <c r="D7343" s="1" t="s">
        <v>16</v>
      </c>
      <c r="E7343" s="1" t="s">
        <v>21557</v>
      </c>
      <c r="F7343" s="1" t="str">
        <f>IFERROR(__xludf.DUMMYFUNCTION("GOOGLETRANSLATE(A7343, ""zh-CN"", ""ko"")"),"성격")</f>
        <v>성격</v>
      </c>
    </row>
    <row r="7344" ht="15.75" customHeight="1">
      <c r="A7344" s="1" t="s">
        <v>21558</v>
      </c>
      <c r="B7344" s="1">
        <v>7.0</v>
      </c>
      <c r="C7344" s="1" t="s">
        <v>21559</v>
      </c>
      <c r="D7344" s="1" t="s">
        <v>16</v>
      </c>
      <c r="E7344" s="1" t="s">
        <v>21560</v>
      </c>
      <c r="F7344" s="1" t="str">
        <f>IFERROR(__xludf.DUMMYFUNCTION("GOOGLETRANSLATE(A7344, ""zh-CN"", ""ko"")"),"인기")</f>
        <v>인기</v>
      </c>
    </row>
    <row r="7345" ht="15.75" customHeight="1">
      <c r="A7345" s="1" t="s">
        <v>21561</v>
      </c>
      <c r="B7345" s="1">
        <v>7.0</v>
      </c>
      <c r="C7345" s="1" t="s">
        <v>21562</v>
      </c>
      <c r="D7345" s="1" t="s">
        <v>16</v>
      </c>
      <c r="E7345" s="1" t="s">
        <v>21563</v>
      </c>
      <c r="F7345" s="1" t="str">
        <f>IFERROR(__xludf.DUMMYFUNCTION("GOOGLETRANSLATE(A7345, ""zh-CN"", ""ko"")"),"인간관계")</f>
        <v>인간관계</v>
      </c>
    </row>
    <row r="7346" ht="15.75" customHeight="1">
      <c r="A7346" s="1" t="s">
        <v>21564</v>
      </c>
      <c r="B7346" s="1">
        <v>7.0</v>
      </c>
      <c r="C7346" s="1" t="s">
        <v>21565</v>
      </c>
      <c r="D7346" s="1" t="s">
        <v>16</v>
      </c>
      <c r="E7346" s="1" t="s">
        <v>21566</v>
      </c>
      <c r="F7346" s="1" t="str">
        <f>IFERROR(__xludf.DUMMYFUNCTION("GOOGLETRANSLATE(A7346, ""zh-CN"", ""ko"")"),"인권")</f>
        <v>인권</v>
      </c>
    </row>
    <row r="7347" ht="15.75" customHeight="1">
      <c r="A7347" s="1" t="s">
        <v>21567</v>
      </c>
      <c r="B7347" s="1">
        <v>7.0</v>
      </c>
      <c r="C7347" s="1" t="s">
        <v>21568</v>
      </c>
      <c r="D7347" s="1" t="s">
        <v>16</v>
      </c>
      <c r="E7347" s="1" t="s">
        <v>21284</v>
      </c>
      <c r="F7347" s="1" t="str">
        <f>IFERROR(__xludf.DUMMYFUNCTION("GOOGLETRANSLATE(A7347, ""zh-CN"", ""ko"")"),"개인의")</f>
        <v>개인의</v>
      </c>
    </row>
    <row r="7348" ht="15.75" customHeight="1">
      <c r="A7348" s="1" t="s">
        <v>21569</v>
      </c>
      <c r="B7348" s="1">
        <v>7.0</v>
      </c>
      <c r="C7348" s="1" t="s">
        <v>21570</v>
      </c>
      <c r="D7348" s="1" t="s">
        <v>16</v>
      </c>
      <c r="E7348" s="1" t="s">
        <v>21571</v>
      </c>
      <c r="F7348" s="1" t="str">
        <f>IFERROR(__xludf.DUMMYFUNCTION("GOOGLETRANSLATE(A7348, ""zh-CN"", ""ko"")"),"인력")</f>
        <v>인력</v>
      </c>
    </row>
    <row r="7349" ht="15.75" customHeight="1">
      <c r="A7349" s="1" t="s">
        <v>21572</v>
      </c>
      <c r="B7349" s="1">
        <v>7.0</v>
      </c>
      <c r="C7349" s="1" t="s">
        <v>21573</v>
      </c>
      <c r="D7349" s="1" t="s">
        <v>16</v>
      </c>
      <c r="E7349" s="1" t="s">
        <v>21574</v>
      </c>
      <c r="F7349" s="1" t="str">
        <f>IFERROR(__xludf.DUMMYFUNCTION("GOOGLETRANSLATE(A7349, ""zh-CN"", ""ko"")"),"인문학")</f>
        <v>인문학</v>
      </c>
    </row>
    <row r="7350" ht="15.75" customHeight="1">
      <c r="A7350" s="1" t="s">
        <v>21575</v>
      </c>
      <c r="B7350" s="1">
        <v>7.0</v>
      </c>
      <c r="C7350" s="1" t="s">
        <v>21576</v>
      </c>
      <c r="D7350" s="1" t="s">
        <v>16</v>
      </c>
      <c r="E7350" s="1" t="s">
        <v>18083</v>
      </c>
      <c r="F7350" s="1" t="str">
        <f>IFERROR(__xludf.DUMMYFUNCTION("GOOGLETRANSLATE(A7350, ""zh-CN"", ""ko"")"),"후보자들")</f>
        <v>후보자들</v>
      </c>
    </row>
    <row r="7351" ht="15.75" customHeight="1">
      <c r="A7351" s="1" t="s">
        <v>21577</v>
      </c>
      <c r="B7351" s="1">
        <v>7.0</v>
      </c>
      <c r="C7351" s="1" t="s">
        <v>21578</v>
      </c>
      <c r="D7351" s="1" t="s">
        <v>16</v>
      </c>
      <c r="E7351" s="1" t="s">
        <v>21579</v>
      </c>
      <c r="F7351" s="1" t="str">
        <f>IFERROR(__xludf.DUMMYFUNCTION("GOOGLETRANSLATE(A7351, ""zh-CN"", ""ko"")"),"인기")</f>
        <v>인기</v>
      </c>
    </row>
    <row r="7352" ht="15.75" customHeight="1">
      <c r="A7352" s="1" t="s">
        <v>21580</v>
      </c>
      <c r="B7352" s="1">
        <v>7.0</v>
      </c>
      <c r="C7352" s="1" t="s">
        <v>21581</v>
      </c>
      <c r="D7352" s="1" t="s">
        <v>52</v>
      </c>
      <c r="E7352" s="1" t="s">
        <v>21582</v>
      </c>
      <c r="F7352" s="1" t="str">
        <f>IFERROR(__xludf.DUMMYFUNCTION("GOOGLETRANSLATE(A7352, ""zh-CN"", ""ko"")"),"인공의")</f>
        <v>인공의</v>
      </c>
    </row>
    <row r="7353" ht="15.75" customHeight="1">
      <c r="A7353" s="1" t="s">
        <v>21583</v>
      </c>
      <c r="B7353" s="1">
        <v>7.0</v>
      </c>
      <c r="C7353" s="1" t="s">
        <v>21584</v>
      </c>
      <c r="D7353" s="1" t="s">
        <v>8</v>
      </c>
      <c r="E7353" s="1" t="s">
        <v>21585</v>
      </c>
      <c r="F7353" s="1" t="str">
        <f>IFERROR(__xludf.DUMMYFUNCTION("GOOGLETRANSLATE(A7353, ""zh-CN"", ""ko"")"),"무정한")</f>
        <v>무정한</v>
      </c>
    </row>
    <row r="7354" ht="15.75" customHeight="1">
      <c r="A7354" s="1" t="s">
        <v>21586</v>
      </c>
      <c r="B7354" s="1">
        <v>7.0</v>
      </c>
      <c r="C7354" s="1" t="s">
        <v>21587</v>
      </c>
      <c r="D7354" s="1" t="s">
        <v>21588</v>
      </c>
      <c r="E7354" s="1" t="s">
        <v>21589</v>
      </c>
      <c r="F7354" s="1" t="str">
        <f>IFERROR(__xludf.DUMMYFUNCTION("GOOGLETRANSLATE(A7354, ""zh-CN"", ""ko"")"),"정하다")</f>
        <v>정하다</v>
      </c>
    </row>
    <row r="7355" ht="15.75" customHeight="1">
      <c r="A7355" s="1" t="s">
        <v>21590</v>
      </c>
      <c r="B7355" s="1">
        <v>7.0</v>
      </c>
      <c r="C7355" s="1" t="s">
        <v>21591</v>
      </c>
      <c r="D7355" s="1" t="s">
        <v>16</v>
      </c>
      <c r="E7355" s="1" t="s">
        <v>21592</v>
      </c>
      <c r="F7355" s="1" t="str">
        <f>IFERROR(__xludf.DUMMYFUNCTION("GOOGLETRANSLATE(A7355, ""zh-CN"", ""ko"")"),"임기")</f>
        <v>임기</v>
      </c>
    </row>
    <row r="7356" ht="15.75" customHeight="1">
      <c r="A7356" s="1" t="s">
        <v>21593</v>
      </c>
      <c r="B7356" s="1">
        <v>7.0</v>
      </c>
      <c r="C7356" s="1" t="s">
        <v>11883</v>
      </c>
      <c r="D7356" s="1" t="s">
        <v>16</v>
      </c>
      <c r="E7356" s="1" t="s">
        <v>21594</v>
      </c>
      <c r="F7356" s="1" t="str">
        <f>IFERROR(__xludf.DUMMYFUNCTION("GOOGLETRANSLATE(A7356, ""zh-CN"", ""ko"")"),"강인함")</f>
        <v>강인함</v>
      </c>
    </row>
    <row r="7357" ht="15.75" customHeight="1">
      <c r="A7357" s="1" t="s">
        <v>21595</v>
      </c>
      <c r="B7357" s="1">
        <v>7.0</v>
      </c>
      <c r="C7357" s="1" t="s">
        <v>21596</v>
      </c>
      <c r="D7357" s="1" t="s">
        <v>8</v>
      </c>
      <c r="E7357" s="1" t="s">
        <v>21597</v>
      </c>
      <c r="F7357" s="1" t="str">
        <f>IFERROR(__xludf.DUMMYFUNCTION("GOOGLETRANSLATE(A7357, ""zh-CN"", ""ko"")"),"인증")</f>
        <v>인증</v>
      </c>
    </row>
    <row r="7358" ht="15.75" customHeight="1">
      <c r="A7358" s="1" t="s">
        <v>21598</v>
      </c>
      <c r="B7358" s="1">
        <v>7.0</v>
      </c>
      <c r="C7358" s="1" t="s">
        <v>21599</v>
      </c>
      <c r="D7358" s="1" t="s">
        <v>8</v>
      </c>
      <c r="E7358" s="1" t="s">
        <v>21600</v>
      </c>
      <c r="F7358" s="1" t="str">
        <f>IFERROR(__xludf.DUMMYFUNCTION("GOOGLETRANSLATE(A7358, ""zh-CN"", ""ko"")"),"약속")</f>
        <v>약속</v>
      </c>
    </row>
    <row r="7359" ht="15.75" customHeight="1">
      <c r="A7359" s="1" t="s">
        <v>21601</v>
      </c>
      <c r="B7359" s="1">
        <v>7.0</v>
      </c>
      <c r="C7359" s="1" t="s">
        <v>21602</v>
      </c>
      <c r="E7359" s="1" t="s">
        <v>21603</v>
      </c>
      <c r="F7359" s="1" t="str">
        <f>IFERROR(__xludf.DUMMYFUNCTION("GOOGLETRANSLATE(A7359, ""zh-CN"", ""ko"")"),"매일")</f>
        <v>매일</v>
      </c>
    </row>
    <row r="7360" ht="15.75" customHeight="1">
      <c r="A7360" s="1" t="s">
        <v>21604</v>
      </c>
      <c r="B7360" s="1">
        <v>7.0</v>
      </c>
      <c r="C7360" s="1" t="s">
        <v>21605</v>
      </c>
      <c r="D7360" s="1" t="s">
        <v>33</v>
      </c>
      <c r="E7360" s="1" t="s">
        <v>21606</v>
      </c>
      <c r="F7360" s="1" t="str">
        <f>IFERROR(__xludf.DUMMYFUNCTION("GOOGLETRANSLATE(A7360, ""zh-CN"", ""ko"")"),"더욱 더")</f>
        <v>더욱 더</v>
      </c>
    </row>
    <row r="7361" ht="15.75" customHeight="1">
      <c r="A7361" s="1" t="s">
        <v>21607</v>
      </c>
      <c r="B7361" s="1">
        <v>7.0</v>
      </c>
      <c r="C7361" s="1" t="s">
        <v>21608</v>
      </c>
      <c r="D7361" s="1" t="s">
        <v>8</v>
      </c>
      <c r="E7361" s="1" t="s">
        <v>21609</v>
      </c>
      <c r="F7361" s="1" t="str">
        <f>IFERROR(__xludf.DUMMYFUNCTION("GOOGLETRANSLATE(A7361, ""zh-CN"", ""ko"")"),"녹다")</f>
        <v>녹다</v>
      </c>
    </row>
    <row r="7362" ht="15.75" customHeight="1">
      <c r="A7362" s="1" t="s">
        <v>21610</v>
      </c>
      <c r="B7362" s="1">
        <v>7.0</v>
      </c>
      <c r="C7362" s="1" t="s">
        <v>21611</v>
      </c>
      <c r="E7362" s="1" t="s">
        <v>21612</v>
      </c>
      <c r="F7362" s="1" t="str">
        <f>IFERROR(__xludf.DUMMYFUNCTION("GOOGLETRANSLATE(A7362, ""zh-CN"", ""ko"")"),"광점")</f>
        <v>광점</v>
      </c>
    </row>
    <row r="7363" ht="15.75" customHeight="1">
      <c r="A7363" s="1" t="s">
        <v>21613</v>
      </c>
      <c r="B7363" s="1">
        <v>7.0</v>
      </c>
      <c r="C7363" s="1" t="s">
        <v>21614</v>
      </c>
      <c r="D7363" s="1" t="s">
        <v>8</v>
      </c>
      <c r="E7363" s="1" t="s">
        <v>21615</v>
      </c>
      <c r="F7363" s="1" t="str">
        <f>IFERROR(__xludf.DUMMYFUNCTION("GOOGLETRANSLATE(A7363, ""zh-CN"", ""ko"")"),"상")</f>
        <v>상</v>
      </c>
    </row>
    <row r="7364" ht="15.75" customHeight="1">
      <c r="A7364" s="1" t="s">
        <v>21616</v>
      </c>
      <c r="B7364" s="1">
        <v>7.0</v>
      </c>
      <c r="C7364" s="1" t="s">
        <v>21617</v>
      </c>
      <c r="D7364" s="1" t="s">
        <v>8</v>
      </c>
      <c r="E7364" s="1" t="s">
        <v>21618</v>
      </c>
      <c r="F7364" s="1" t="str">
        <f>IFERROR(__xludf.DUMMYFUNCTION("GOOGLETRANSLATE(A7364, ""zh-CN"", ""ko"")"),"허용하다")</f>
        <v>허용하다</v>
      </c>
    </row>
    <row r="7365" ht="15.75" customHeight="1">
      <c r="A7365" s="1" t="s">
        <v>21619</v>
      </c>
      <c r="B7365" s="1">
        <v>7.0</v>
      </c>
      <c r="C7365" s="1" t="s">
        <v>21620</v>
      </c>
      <c r="D7365" s="1" t="s">
        <v>16</v>
      </c>
      <c r="E7365" s="1" t="s">
        <v>21621</v>
      </c>
      <c r="F7365" s="1" t="str">
        <f>IFERROR(__xludf.DUMMYFUNCTION("GOOGLETRANSLATE(A7365, ""zh-CN"", ""ko"")"),"모습")</f>
        <v>모습</v>
      </c>
    </row>
    <row r="7366" ht="15.75" customHeight="1">
      <c r="A7366" s="1" t="s">
        <v>21622</v>
      </c>
      <c r="B7366" s="1">
        <v>7.0</v>
      </c>
      <c r="C7366" s="1" t="s">
        <v>21623</v>
      </c>
      <c r="D7366" s="1" t="s">
        <v>52</v>
      </c>
      <c r="E7366" s="1" t="s">
        <v>21624</v>
      </c>
      <c r="F7366" s="1" t="str">
        <f>IFERROR(__xludf.DUMMYFUNCTION("GOOGLETRANSLATE(A7366, ""zh-CN"", ""ko"")"),"영광")</f>
        <v>영광</v>
      </c>
    </row>
    <row r="7367" ht="15.75" customHeight="1">
      <c r="A7367" s="1" t="s">
        <v>21625</v>
      </c>
      <c r="B7367" s="1">
        <v>7.0</v>
      </c>
      <c r="C7367" s="1" t="s">
        <v>21626</v>
      </c>
      <c r="D7367" s="1" t="s">
        <v>14870</v>
      </c>
      <c r="E7367" s="1" t="s">
        <v>21627</v>
      </c>
      <c r="F7367" s="1" t="str">
        <f>IFERROR(__xludf.DUMMYFUNCTION("GOOGLETRANSLATE(A7367, ""zh-CN"", ""ko"")"),"자금 조달")</f>
        <v>자금 조달</v>
      </c>
    </row>
    <row r="7368" ht="15.75" customHeight="1">
      <c r="A7368" s="1" t="s">
        <v>21628</v>
      </c>
      <c r="B7368" s="1">
        <v>7.0</v>
      </c>
      <c r="C7368" s="1" t="s">
        <v>21629</v>
      </c>
      <c r="D7368" s="1" t="s">
        <v>52</v>
      </c>
      <c r="E7368" s="1" t="s">
        <v>21630</v>
      </c>
      <c r="F7368" s="1" t="str">
        <f>IFERROR(__xludf.DUMMYFUNCTION("GOOGLETRANSLATE(A7368, ""zh-CN"", ""ko"")"),"긴")</f>
        <v>긴</v>
      </c>
    </row>
    <row r="7369" ht="15.75" customHeight="1">
      <c r="A7369" s="1" t="s">
        <v>21631</v>
      </c>
      <c r="B7369" s="1">
        <v>7.0</v>
      </c>
      <c r="C7369" s="1" t="s">
        <v>21632</v>
      </c>
      <c r="E7369" s="1" t="s">
        <v>21633</v>
      </c>
      <c r="F7369" s="1" t="str">
        <f>IFERROR(__xludf.DUMMYFUNCTION("GOOGLETRANSLATE(A7369, ""zh-CN"", ""ko"")"),"완전히 몰입했어요")</f>
        <v>완전히 몰입했어요</v>
      </c>
    </row>
    <row r="7370" ht="15.75" customHeight="1">
      <c r="A7370" s="1" t="s">
        <v>21634</v>
      </c>
      <c r="B7370" s="1">
        <v>7.0</v>
      </c>
      <c r="C7370" s="1" t="s">
        <v>21635</v>
      </c>
      <c r="D7370" s="1" t="s">
        <v>33</v>
      </c>
      <c r="E7370" s="1" t="s">
        <v>21636</v>
      </c>
      <c r="F7370" s="1" t="str">
        <f>IFERROR(__xludf.DUMMYFUNCTION("GOOGLETRANSLATE(A7370, ""zh-CN"", ""ko"")"),"예정대로")</f>
        <v>예정대로</v>
      </c>
    </row>
    <row r="7371" ht="15.75" customHeight="1">
      <c r="A7371" s="1" t="s">
        <v>21637</v>
      </c>
      <c r="B7371" s="1">
        <v>7.0</v>
      </c>
      <c r="C7371" s="1" t="s">
        <v>21638</v>
      </c>
      <c r="D7371" s="1" t="s">
        <v>33</v>
      </c>
      <c r="E7371" s="1" t="s">
        <v>21639</v>
      </c>
      <c r="F7371" s="1" t="str">
        <f>IFERROR(__xludf.DUMMYFUNCTION("GOOGLETRANSLATE(A7371, ""zh-CN"", ""ko"")"),"솔직히 말해서")</f>
        <v>솔직히 말해서</v>
      </c>
    </row>
    <row r="7372" ht="15.75" customHeight="1">
      <c r="A7372" s="1" t="s">
        <v>21640</v>
      </c>
      <c r="B7372" s="1">
        <v>7.0</v>
      </c>
      <c r="C7372" s="1" t="s">
        <v>21641</v>
      </c>
      <c r="D7372" s="1" t="s">
        <v>8</v>
      </c>
      <c r="E7372" s="1" t="s">
        <v>21642</v>
      </c>
      <c r="F7372" s="1" t="str">
        <f>IFERROR(__xludf.DUMMYFUNCTION("GOOGLETRANSLATE(A7372, ""zh-CN"", ""ko"")"),"하나로서")</f>
        <v>하나로서</v>
      </c>
    </row>
    <row r="7373" ht="15.75" customHeight="1">
      <c r="A7373" s="1" t="s">
        <v>21643</v>
      </c>
      <c r="B7373" s="1">
        <v>7.0</v>
      </c>
      <c r="C7373" s="1" t="s">
        <v>21644</v>
      </c>
      <c r="D7373" s="1" t="s">
        <v>52</v>
      </c>
      <c r="E7373" s="1" t="s">
        <v>21645</v>
      </c>
      <c r="F7373" s="1" t="str">
        <f>IFERROR(__xludf.DUMMYFUNCTION("GOOGLETRANSLATE(A7373, ""zh-CN"", ""ko"")"),"원하는 대로")</f>
        <v>원하는 대로</v>
      </c>
    </row>
    <row r="7374" ht="15.75" customHeight="1">
      <c r="A7374" s="1" t="s">
        <v>21646</v>
      </c>
      <c r="B7374" s="1">
        <v>7.0</v>
      </c>
      <c r="C7374" s="1" t="s">
        <v>21647</v>
      </c>
      <c r="E7374" s="1" t="s">
        <v>21648</v>
      </c>
      <c r="F7374" s="1" t="str">
        <f>IFERROR(__xludf.DUMMYFUNCTION("GOOGLETRANSLATE(A7374, ""zh-CN"", ""ko"")"),"내가 바라던 대로")</f>
        <v>내가 바라던 대로</v>
      </c>
    </row>
    <row r="7375" ht="15.75" customHeight="1">
      <c r="A7375" s="1" t="s">
        <v>21649</v>
      </c>
      <c r="B7375" s="1">
        <v>7.0</v>
      </c>
      <c r="C7375" s="1" t="s">
        <v>21650</v>
      </c>
      <c r="D7375" s="1" t="s">
        <v>16</v>
      </c>
      <c r="E7375" s="1" t="s">
        <v>21651</v>
      </c>
      <c r="F7375" s="1" t="str">
        <f>IFERROR(__xludf.DUMMYFUNCTION("GOOGLETRANSLATE(A7375, ""zh-CN"", ""ko"")"),"유제품")</f>
        <v>유제품</v>
      </c>
    </row>
    <row r="7376" ht="15.75" customHeight="1">
      <c r="A7376" s="1" t="s">
        <v>21652</v>
      </c>
      <c r="B7376" s="1">
        <v>7.0</v>
      </c>
      <c r="C7376" s="1" t="s">
        <v>21653</v>
      </c>
      <c r="D7376" s="1" t="s">
        <v>8</v>
      </c>
      <c r="E7376" s="1" t="s">
        <v>21654</v>
      </c>
      <c r="F7376" s="1" t="str">
        <f>IFERROR(__xludf.DUMMYFUNCTION("GOOGLETRANSLATE(A7376, ""zh-CN"", ""ko"")"),"입구")</f>
        <v>입구</v>
      </c>
    </row>
    <row r="7377" ht="15.75" customHeight="1">
      <c r="A7377" s="1" t="s">
        <v>21655</v>
      </c>
      <c r="B7377" s="1">
        <v>7.0</v>
      </c>
      <c r="C7377" s="1" t="s">
        <v>21656</v>
      </c>
      <c r="D7377" s="1" t="s">
        <v>16</v>
      </c>
      <c r="E7377" s="1" t="s">
        <v>21657</v>
      </c>
      <c r="F7377" s="1" t="str">
        <f>IFERROR(__xludf.DUMMYFUNCTION("GOOGLETRANSLATE(A7377, ""zh-CN"", ""ko"")"),"입장권")</f>
        <v>입장권</v>
      </c>
    </row>
    <row r="7378" ht="15.75" customHeight="1">
      <c r="A7378" s="1" t="s">
        <v>21658</v>
      </c>
      <c r="B7378" s="1">
        <v>7.0</v>
      </c>
      <c r="C7378" s="1" t="s">
        <v>21659</v>
      </c>
      <c r="D7378" s="1" t="s">
        <v>8</v>
      </c>
      <c r="E7378" s="1" t="s">
        <v>21660</v>
      </c>
      <c r="F7378" s="1" t="str">
        <f>IFERROR(__xludf.DUMMYFUNCTION("GOOGLETRANSLATE(A7378, ""zh-CN"", ""ko"")"),"강요")</f>
        <v>강요</v>
      </c>
    </row>
    <row r="7379" ht="15.75" customHeight="1">
      <c r="A7379" s="1" t="s">
        <v>21661</v>
      </c>
      <c r="B7379" s="1">
        <v>7.0</v>
      </c>
      <c r="C7379" s="1" t="s">
        <v>21662</v>
      </c>
      <c r="D7379" s="1" t="s">
        <v>8</v>
      </c>
      <c r="E7379" s="1" t="s">
        <v>21663</v>
      </c>
      <c r="F7379" s="1" t="str">
        <f>IFERROR(__xludf.DUMMYFUNCTION("GOOGLETRANSLATE(A7379, ""zh-CN"", ""ko"")"),"얻으세요")</f>
        <v>얻으세요</v>
      </c>
    </row>
    <row r="7380" ht="15.75" customHeight="1">
      <c r="A7380" s="1" t="s">
        <v>21664</v>
      </c>
      <c r="B7380" s="1">
        <v>7.0</v>
      </c>
      <c r="C7380" s="1" t="s">
        <v>21665</v>
      </c>
      <c r="D7380" s="1" t="s">
        <v>52</v>
      </c>
      <c r="E7380" s="1" t="s">
        <v>21666</v>
      </c>
      <c r="F7380" s="1" t="str">
        <f>IFERROR(__xludf.DUMMYFUNCTION("GOOGLETRANSLATE(A7380, ""zh-CN"", ""ko"")"),"약한")</f>
        <v>약한</v>
      </c>
    </row>
    <row r="7381" ht="15.75" customHeight="1">
      <c r="A7381" s="1" t="s">
        <v>21667</v>
      </c>
      <c r="B7381" s="1">
        <v>7.0</v>
      </c>
      <c r="C7381" s="1" t="s">
        <v>21668</v>
      </c>
      <c r="D7381" s="1" t="s">
        <v>16</v>
      </c>
      <c r="E7381" s="1" t="s">
        <v>21669</v>
      </c>
      <c r="F7381" s="1" t="str">
        <f>IFERROR(__xludf.DUMMYFUNCTION("GOOGLETRANSLATE(A7381, ""zh-CN"", ""ko"")"),"소프트 파워")</f>
        <v>소프트 파워</v>
      </c>
    </row>
    <row r="7382" ht="15.75" customHeight="1">
      <c r="A7382" s="1" t="s">
        <v>21670</v>
      </c>
      <c r="B7382" s="1">
        <v>7.0</v>
      </c>
      <c r="C7382" s="1" t="s">
        <v>21671</v>
      </c>
      <c r="D7382" s="1" t="s">
        <v>16</v>
      </c>
      <c r="E7382" s="1" t="s">
        <v>21672</v>
      </c>
      <c r="F7382" s="1" t="str">
        <f>IFERROR(__xludf.DUMMYFUNCTION("GOOGLETRANSLATE(A7382, ""zh-CN"", ""ko"")"),"눈")</f>
        <v>눈</v>
      </c>
    </row>
    <row r="7383" ht="15.75" customHeight="1">
      <c r="A7383" s="1" t="s">
        <v>21673</v>
      </c>
      <c r="B7383" s="1">
        <v>7.0</v>
      </c>
      <c r="C7383" s="1" t="s">
        <v>21674</v>
      </c>
      <c r="D7383" s="1" t="s">
        <v>14742</v>
      </c>
      <c r="E7383" s="1" t="s">
        <v>21675</v>
      </c>
      <c r="F7383" s="1" t="str">
        <f>IFERROR(__xludf.DUMMYFUNCTION("GOOGLETRANSLATE(A7383, ""zh-CN"", ""ko"")"),"달리다")</f>
        <v>달리다</v>
      </c>
    </row>
    <row r="7384" ht="15.75" customHeight="1">
      <c r="A7384" s="1" t="s">
        <v>21676</v>
      </c>
      <c r="B7384" s="1">
        <v>7.0</v>
      </c>
      <c r="C7384" s="1" t="s">
        <v>5883</v>
      </c>
      <c r="D7384" s="1" t="s">
        <v>1473</v>
      </c>
      <c r="E7384" s="1" t="s">
        <v>1489</v>
      </c>
      <c r="F7384" s="1" t="str">
        <f>IFERROR(__xludf.DUMMYFUNCTION("GOOGLETRANSLATE(A7384, ""zh-CN"", ""ko"")"),"좋다")</f>
        <v>좋다</v>
      </c>
    </row>
    <row r="7385" ht="15.75" customHeight="1">
      <c r="A7385" s="1" t="s">
        <v>21677</v>
      </c>
      <c r="B7385" s="1">
        <v>7.0</v>
      </c>
      <c r="C7385" s="1" t="s">
        <v>21678</v>
      </c>
      <c r="D7385" s="1" t="s">
        <v>1473</v>
      </c>
      <c r="E7385" s="1" t="s">
        <v>1489</v>
      </c>
      <c r="F7385" s="1" t="str">
        <f>IFERROR(__xludf.DUMMYFUNCTION("GOOGLETRANSLATE(A7385, ""zh-CN"", ""ko"")"),"만약에")</f>
        <v>만약에</v>
      </c>
    </row>
    <row r="7386" ht="15.75" customHeight="1">
      <c r="A7386" s="1" t="s">
        <v>21679</v>
      </c>
      <c r="B7386" s="1">
        <v>7.0</v>
      </c>
      <c r="C7386" s="1" t="s">
        <v>21678</v>
      </c>
      <c r="D7386" s="1" t="s">
        <v>16</v>
      </c>
      <c r="E7386" s="1" t="s">
        <v>21680</v>
      </c>
      <c r="F7386" s="1" t="str">
        <f>IFERROR(__xludf.DUMMYFUNCTION("GOOGLETRANSLATE(A7386, ""zh-CN"", ""ko"")"),"약한")</f>
        <v>약한</v>
      </c>
    </row>
    <row r="7387" ht="15.75" customHeight="1">
      <c r="A7387" s="1" t="s">
        <v>21681</v>
      </c>
      <c r="B7387" s="1">
        <v>7.0</v>
      </c>
      <c r="C7387" s="1" t="s">
        <v>21682</v>
      </c>
      <c r="D7387" s="1" t="s">
        <v>16</v>
      </c>
      <c r="E7387" s="1" t="s">
        <v>21683</v>
      </c>
      <c r="F7387" s="1" t="str">
        <f>IFERROR(__xludf.DUMMYFUNCTION("GOOGLETRANSLATE(A7387, ""zh-CN"", ""ko"")"),"약점")</f>
        <v>약점</v>
      </c>
    </row>
    <row r="7388" ht="15.75" customHeight="1">
      <c r="A7388" s="1" t="s">
        <v>21684</v>
      </c>
      <c r="B7388" s="1">
        <v>7.0</v>
      </c>
      <c r="C7388" s="1" t="s">
        <v>5886</v>
      </c>
      <c r="D7388" s="1" t="s">
        <v>8</v>
      </c>
      <c r="E7388" s="1" t="s">
        <v>21685</v>
      </c>
      <c r="F7388" s="1" t="str">
        <f>IFERROR(__xludf.DUMMYFUNCTION("GOOGLETRANSLATE(A7388, ""zh-CN"", ""ko"")"),"확산")</f>
        <v>확산</v>
      </c>
    </row>
    <row r="7389" ht="15.75" customHeight="1">
      <c r="A7389" s="1" t="s">
        <v>21686</v>
      </c>
      <c r="B7389" s="1">
        <v>7.0</v>
      </c>
      <c r="C7389" s="1" t="s">
        <v>21687</v>
      </c>
      <c r="D7389" s="1" t="s">
        <v>8</v>
      </c>
      <c r="E7389" s="1" t="s">
        <v>21688</v>
      </c>
      <c r="F7389" s="1" t="str">
        <f>IFERROR(__xludf.DUMMYFUNCTION("GOOGLETRANSLATE(A7389, ""zh-CN"", ""ko"")"),"사이")</f>
        <v>사이</v>
      </c>
    </row>
    <row r="7390" ht="15.75" customHeight="1">
      <c r="A7390" s="1" t="s">
        <v>21689</v>
      </c>
      <c r="B7390" s="1">
        <v>7.0</v>
      </c>
      <c r="C7390" s="1" t="s">
        <v>21690</v>
      </c>
      <c r="D7390" s="1" t="s">
        <v>16</v>
      </c>
      <c r="E7390" s="1" t="s">
        <v>21691</v>
      </c>
      <c r="F7390" s="1" t="str">
        <f>IFERROR(__xludf.DUMMYFUNCTION("GOOGLETRANSLATE(A7390, ""zh-CN"", ""ko"")"),"경마")</f>
        <v>경마</v>
      </c>
    </row>
    <row r="7391" ht="15.75" customHeight="1">
      <c r="A7391" s="1" t="s">
        <v>21692</v>
      </c>
      <c r="B7391" s="1">
        <v>7.0</v>
      </c>
      <c r="C7391" s="1" t="s">
        <v>21693</v>
      </c>
      <c r="D7391" s="1" t="s">
        <v>16</v>
      </c>
      <c r="E7391" s="1" t="s">
        <v>1244</v>
      </c>
      <c r="F7391" s="1" t="str">
        <f>IFERROR(__xludf.DUMMYFUNCTION("GOOGLETRANSLATE(A7391, ""zh-CN"", ""ko"")"),"계절")</f>
        <v>계절</v>
      </c>
    </row>
    <row r="7392" ht="15.75" customHeight="1">
      <c r="A7392" s="1" t="s">
        <v>21694</v>
      </c>
      <c r="B7392" s="1">
        <v>7.0</v>
      </c>
      <c r="C7392" s="1" t="s">
        <v>21695</v>
      </c>
      <c r="D7392" s="1" t="s">
        <v>8</v>
      </c>
      <c r="E7392" s="1" t="s">
        <v>21696</v>
      </c>
      <c r="F7392" s="1" t="str">
        <f>IFERROR(__xludf.DUMMYFUNCTION("GOOGLETRANSLATE(A7392, ""zh-CN"", ""ko"")"),"경주")</f>
        <v>경주</v>
      </c>
    </row>
    <row r="7393" ht="15.75" customHeight="1">
      <c r="A7393" s="1" t="s">
        <v>21697</v>
      </c>
      <c r="B7393" s="1">
        <v>7.0</v>
      </c>
      <c r="C7393" s="1" t="s">
        <v>21698</v>
      </c>
      <c r="E7393" s="1" t="s">
        <v>21699</v>
      </c>
      <c r="F7393" s="1" t="str">
        <f>IFERROR(__xludf.DUMMYFUNCTION("GOOGLETRANSLATE(A7393, ""zh-CN"", ""ko"")"),"자꾸")</f>
        <v>자꾸</v>
      </c>
    </row>
    <row r="7394" ht="15.75" customHeight="1">
      <c r="A7394" s="1" t="s">
        <v>21700</v>
      </c>
      <c r="B7394" s="1">
        <v>7.0</v>
      </c>
      <c r="C7394" s="1" t="s">
        <v>21701</v>
      </c>
      <c r="D7394" s="1" t="s">
        <v>15011</v>
      </c>
      <c r="E7394" s="1" t="s">
        <v>21702</v>
      </c>
      <c r="F7394" s="1" t="str">
        <f>IFERROR(__xludf.DUMMYFUNCTION("GOOGLETRANSLATE(A7394, ""zh-CN"", ""ko"")"),"삼각형")</f>
        <v>삼각형</v>
      </c>
    </row>
    <row r="7395" ht="15.75" customHeight="1">
      <c r="A7395" s="1" t="s">
        <v>21703</v>
      </c>
      <c r="B7395" s="1">
        <v>7.0</v>
      </c>
      <c r="C7395" s="1" t="s">
        <v>21704</v>
      </c>
      <c r="D7395" s="1" t="s">
        <v>52</v>
      </c>
      <c r="E7395" s="1" t="s">
        <v>21705</v>
      </c>
      <c r="F7395" s="1" t="str">
        <f>IFERROR(__xludf.DUMMYFUNCTION("GOOGLETRANSLATE(A7395, ""zh-CN"", ""ko"")"),"3D")</f>
        <v>3D</v>
      </c>
    </row>
    <row r="7396" ht="15.75" customHeight="1">
      <c r="A7396" s="1" t="s">
        <v>21706</v>
      </c>
      <c r="B7396" s="1">
        <v>7.0</v>
      </c>
      <c r="C7396" s="1" t="s">
        <v>21707</v>
      </c>
      <c r="D7396" s="1" t="s">
        <v>8</v>
      </c>
      <c r="E7396" s="1" t="s">
        <v>21708</v>
      </c>
      <c r="F7396" s="1" t="str">
        <f>IFERROR(__xludf.DUMMYFUNCTION("GOOGLETRANSLATE(A7396, ""zh-CN"", ""ko"")"),"뿔뿔이 흩어진")</f>
        <v>뿔뿔이 흩어진</v>
      </c>
    </row>
    <row r="7397" ht="15.75" customHeight="1">
      <c r="A7397" s="1" t="s">
        <v>21709</v>
      </c>
      <c r="B7397" s="1">
        <v>7.0</v>
      </c>
      <c r="C7397" s="1" t="s">
        <v>21710</v>
      </c>
      <c r="D7397" s="1" t="s">
        <v>16</v>
      </c>
      <c r="E7397" s="1" t="s">
        <v>21711</v>
      </c>
      <c r="F7397" s="1" t="str">
        <f>IFERROR(__xludf.DUMMYFUNCTION("GOOGLETRANSLATE(A7397, ""zh-CN"", ""ko"")"),"사우나")</f>
        <v>사우나</v>
      </c>
    </row>
    <row r="7398" ht="15.75" customHeight="1">
      <c r="A7398" s="1" t="s">
        <v>21712</v>
      </c>
      <c r="B7398" s="1">
        <v>7.0</v>
      </c>
      <c r="C7398" s="1" t="s">
        <v>21713</v>
      </c>
      <c r="D7398" s="1" t="s">
        <v>16</v>
      </c>
      <c r="E7398" s="1" t="s">
        <v>10568</v>
      </c>
      <c r="F7398" s="1" t="str">
        <f>IFERROR(__xludf.DUMMYFUNCTION("GOOGLETRANSLATE(A7398, ""zh-CN"", ""ko"")"),"목소리")</f>
        <v>목소리</v>
      </c>
    </row>
    <row r="7399" ht="15.75" customHeight="1">
      <c r="A7399" s="1" t="s">
        <v>21714</v>
      </c>
      <c r="B7399" s="1">
        <v>7.0</v>
      </c>
      <c r="C7399" s="1" t="s">
        <v>21715</v>
      </c>
      <c r="D7399" s="1" t="s">
        <v>8</v>
      </c>
      <c r="E7399" s="1" t="s">
        <v>21716</v>
      </c>
      <c r="F7399" s="1" t="str">
        <f>IFERROR(__xludf.DUMMYFUNCTION("GOOGLETRANSLATE(A7399, ""zh-CN"", ""ko"")"),"죽음")</f>
        <v>죽음</v>
      </c>
    </row>
    <row r="7400" ht="15.75" customHeight="1">
      <c r="A7400" s="1" t="s">
        <v>21717</v>
      </c>
      <c r="B7400" s="1">
        <v>7.0</v>
      </c>
      <c r="C7400" s="1" t="s">
        <v>21718</v>
      </c>
      <c r="D7400" s="1" t="s">
        <v>8</v>
      </c>
      <c r="E7400" s="1" t="s">
        <v>21719</v>
      </c>
      <c r="F7400" s="1" t="str">
        <f>IFERROR(__xludf.DUMMYFUNCTION("GOOGLETRANSLATE(A7400, ""zh-CN"", ""ko"")"),"폭동")</f>
        <v>폭동</v>
      </c>
    </row>
    <row r="7401" ht="15.75" customHeight="1">
      <c r="A7401" s="1" t="s">
        <v>21720</v>
      </c>
      <c r="B7401" s="1">
        <v>7.0</v>
      </c>
      <c r="C7401" s="1" t="s">
        <v>21721</v>
      </c>
      <c r="D7401" s="1" t="s">
        <v>8</v>
      </c>
      <c r="E7401" s="1" t="s">
        <v>21722</v>
      </c>
      <c r="F7401" s="1" t="str">
        <f>IFERROR(__xludf.DUMMYFUNCTION("GOOGLETRANSLATE(A7401, ""zh-CN"", ""ko"")"),"제거하다")</f>
        <v>제거하다</v>
      </c>
    </row>
    <row r="7402" ht="15.75" customHeight="1">
      <c r="A7402" s="1" t="s">
        <v>21723</v>
      </c>
      <c r="B7402" s="1">
        <v>7.0</v>
      </c>
      <c r="C7402" s="1" t="s">
        <v>21724</v>
      </c>
      <c r="D7402" s="1" t="s">
        <v>8</v>
      </c>
      <c r="E7402" s="1" t="s">
        <v>21725</v>
      </c>
      <c r="F7402" s="1" t="str">
        <f>IFERROR(__xludf.DUMMYFUNCTION("GOOGLETRANSLATE(A7402, ""zh-CN"", ""ko"")"),"무덤 청소")</f>
        <v>무덤 청소</v>
      </c>
    </row>
    <row r="7403" ht="15.75" customHeight="1">
      <c r="A7403" s="1" t="s">
        <v>21726</v>
      </c>
      <c r="B7403" s="1">
        <v>7.0</v>
      </c>
      <c r="C7403" s="1" t="s">
        <v>21727</v>
      </c>
      <c r="D7403" s="1" t="s">
        <v>52</v>
      </c>
      <c r="E7403" s="1" t="s">
        <v>21728</v>
      </c>
      <c r="F7403" s="1" t="str">
        <f>IFERROR(__xludf.DUMMYFUNCTION("GOOGLETRANSLATE(A7403, ""zh-CN"", ""ko"")"),"실망스럽다")</f>
        <v>실망스럽다</v>
      </c>
    </row>
    <row r="7404" ht="15.75" customHeight="1">
      <c r="A7404" s="1" t="s">
        <v>21729</v>
      </c>
      <c r="B7404" s="1">
        <v>7.0</v>
      </c>
      <c r="C7404" s="1" t="s">
        <v>21730</v>
      </c>
      <c r="D7404" s="1" t="s">
        <v>16</v>
      </c>
      <c r="E7404" s="1" t="s">
        <v>21731</v>
      </c>
      <c r="F7404" s="1" t="str">
        <f>IFERROR(__xludf.DUMMYFUNCTION("GOOGLETRANSLATE(A7404, ""zh-CN"", ""ko"")"),"비")</f>
        <v>비</v>
      </c>
    </row>
    <row r="7405" ht="15.75" customHeight="1">
      <c r="A7405" s="1" t="s">
        <v>21732</v>
      </c>
      <c r="B7405" s="1">
        <v>7.0</v>
      </c>
      <c r="C7405" s="1" t="s">
        <v>21733</v>
      </c>
      <c r="D7405" s="1" t="s">
        <v>16</v>
      </c>
      <c r="E7405" s="1" t="s">
        <v>17970</v>
      </c>
      <c r="F7405" s="1" t="str">
        <f>IFERROR(__xludf.DUMMYFUNCTION("GOOGLETRANSLATE(A7405, ""zh-CN"", ""ko"")"),"승려들")</f>
        <v>승려들</v>
      </c>
    </row>
    <row r="7406" ht="15.75" customHeight="1">
      <c r="A7406" s="1" t="s">
        <v>21734</v>
      </c>
      <c r="B7406" s="1">
        <v>7.0</v>
      </c>
      <c r="C7406" s="1" t="s">
        <v>5895</v>
      </c>
      <c r="D7406" s="1" t="s">
        <v>16</v>
      </c>
      <c r="E7406" s="1" t="s">
        <v>21735</v>
      </c>
      <c r="F7406" s="1" t="str">
        <f>IFERROR(__xludf.DUMMYFUNCTION("GOOGLETRANSLATE(A7406, ""zh-CN"", ""ko"")"),"방사")</f>
        <v>방사</v>
      </c>
    </row>
    <row r="7407" ht="15.75" customHeight="1">
      <c r="A7407" s="1" t="s">
        <v>21736</v>
      </c>
      <c r="B7407" s="1">
        <v>7.0</v>
      </c>
      <c r="C7407" s="1" t="s">
        <v>21737</v>
      </c>
      <c r="D7407" s="1" t="s">
        <v>8</v>
      </c>
      <c r="E7407" s="1" t="s">
        <v>21738</v>
      </c>
      <c r="F7407" s="1" t="str">
        <f>IFERROR(__xludf.DUMMYFUNCTION("GOOGLETRANSLATE(A7407, ""zh-CN"", ""ko"")"),"바이러스 백신")</f>
        <v>바이러스 백신</v>
      </c>
    </row>
    <row r="7408" ht="15.75" customHeight="1">
      <c r="A7408" s="1" t="s">
        <v>21739</v>
      </c>
      <c r="B7408" s="1">
        <v>7.0</v>
      </c>
      <c r="C7408" s="1" t="s">
        <v>21740</v>
      </c>
      <c r="D7408" s="1" t="s">
        <v>8</v>
      </c>
      <c r="E7408" s="1" t="s">
        <v>21741</v>
      </c>
      <c r="F7408" s="1" t="str">
        <f>IFERROR(__xludf.DUMMYFUNCTION("GOOGLETRANSLATE(A7408, ""zh-CN"", ""ko"")"),"죽이다")</f>
        <v>죽이다</v>
      </c>
    </row>
    <row r="7409" ht="15.75" customHeight="1">
      <c r="A7409" s="1" t="s">
        <v>21742</v>
      </c>
      <c r="B7409" s="1">
        <v>7.0</v>
      </c>
      <c r="C7409" s="1" t="s">
        <v>21743</v>
      </c>
      <c r="D7409" s="1" t="s">
        <v>16</v>
      </c>
      <c r="E7409" s="1" t="s">
        <v>21744</v>
      </c>
      <c r="F7409" s="1" t="str">
        <f>IFERROR(__xludf.DUMMYFUNCTION("GOOGLETRANSLATE(A7409, ""zh-CN"", ""ko"")"),"가게")</f>
        <v>가게</v>
      </c>
    </row>
    <row r="7410" ht="15.75" customHeight="1">
      <c r="A7410" s="1" t="s">
        <v>21745</v>
      </c>
      <c r="B7410" s="1">
        <v>7.0</v>
      </c>
      <c r="C7410" s="1" t="s">
        <v>21746</v>
      </c>
      <c r="D7410" s="1" t="s">
        <v>16</v>
      </c>
      <c r="E7410" s="1" t="s">
        <v>21747</v>
      </c>
      <c r="F7410" s="1" t="str">
        <f>IFERROR(__xludf.DUMMYFUNCTION("GOOGLETRANSLATE(A7410, ""zh-CN"", ""ko"")"),"살인자")</f>
        <v>살인자</v>
      </c>
    </row>
    <row r="7411" ht="15.75" customHeight="1">
      <c r="A7411" s="1" t="s">
        <v>21748</v>
      </c>
      <c r="B7411" s="1">
        <v>7.0</v>
      </c>
      <c r="C7411" s="1" t="s">
        <v>21749</v>
      </c>
      <c r="D7411" s="1" t="s">
        <v>16</v>
      </c>
      <c r="E7411" s="1" t="s">
        <v>21750</v>
      </c>
      <c r="F7411" s="1" t="str">
        <f>IFERROR(__xludf.DUMMYFUNCTION("GOOGLETRANSLATE(A7411, ""zh-CN"", ""ko"")"),"바보")</f>
        <v>바보</v>
      </c>
    </row>
    <row r="7412" ht="15.75" customHeight="1">
      <c r="A7412" s="1" t="s">
        <v>21751</v>
      </c>
      <c r="B7412" s="1">
        <v>7.0</v>
      </c>
      <c r="C7412" s="1" t="s">
        <v>21752</v>
      </c>
      <c r="D7412" s="1" t="s">
        <v>8</v>
      </c>
      <c r="E7412" s="1" t="s">
        <v>21753</v>
      </c>
      <c r="F7412" s="1" t="str">
        <f>IFERROR(__xludf.DUMMYFUNCTION("GOOGLETRANSLATE(A7412, ""zh-CN"", ""ko"")"),"화면")</f>
        <v>화면</v>
      </c>
    </row>
    <row r="7413" ht="15.75" customHeight="1">
      <c r="A7413" s="1" t="s">
        <v>21754</v>
      </c>
      <c r="B7413" s="1">
        <v>7.0</v>
      </c>
      <c r="C7413" s="1" t="s">
        <v>21755</v>
      </c>
      <c r="D7413" s="1" t="s">
        <v>8</v>
      </c>
      <c r="E7413" s="1" t="s">
        <v>11419</v>
      </c>
      <c r="F7413" s="1" t="str">
        <f>IFERROR(__xludf.DUMMYFUNCTION("GOOGLETRANSLATE(A7413, ""zh-CN"", ""ko"")"),"상영")</f>
        <v>상영</v>
      </c>
    </row>
    <row r="7414" ht="15.75" customHeight="1">
      <c r="A7414" s="1" t="s">
        <v>21756</v>
      </c>
      <c r="B7414" s="1">
        <v>7.0</v>
      </c>
      <c r="C7414" s="1" t="s">
        <v>21757</v>
      </c>
      <c r="D7414" s="1" t="s">
        <v>16</v>
      </c>
      <c r="E7414" s="1" t="s">
        <v>21758</v>
      </c>
      <c r="F7414" s="1" t="str">
        <f>IFERROR(__xludf.DUMMYFUNCTION("GOOGLETRANSLATE(A7414, ""zh-CN"", ""ko"")"),"산과 강")</f>
        <v>산과 강</v>
      </c>
    </row>
    <row r="7415" ht="15.75" customHeight="1">
      <c r="A7415" s="1" t="s">
        <v>21759</v>
      </c>
      <c r="B7415" s="1">
        <v>7.0</v>
      </c>
      <c r="C7415" s="1" t="s">
        <v>21760</v>
      </c>
      <c r="D7415" s="1" t="s">
        <v>8</v>
      </c>
      <c r="E7415" s="1" t="s">
        <v>21761</v>
      </c>
      <c r="F7415" s="1" t="str">
        <f>IFERROR(__xludf.DUMMYFUNCTION("GOOGLETRANSLATE(A7415, ""zh-CN"", ""ko"")"),"선동하다")</f>
        <v>선동하다</v>
      </c>
    </row>
    <row r="7416" ht="15.75" customHeight="1">
      <c r="A7416" s="1" t="s">
        <v>21762</v>
      </c>
      <c r="B7416" s="1">
        <v>7.0</v>
      </c>
      <c r="C7416" s="1" t="s">
        <v>21763</v>
      </c>
      <c r="D7416" s="1" t="s">
        <v>16</v>
      </c>
      <c r="E7416" s="1" t="s">
        <v>21764</v>
      </c>
      <c r="F7416" s="1" t="str">
        <f>IFERROR(__xludf.DUMMYFUNCTION("GOOGLETRANSLATE(A7416, ""zh-CN"", ""ko"")"),"골짜기")</f>
        <v>골짜기</v>
      </c>
    </row>
    <row r="7417" ht="15.75" customHeight="1">
      <c r="A7417" s="1" t="s">
        <v>21765</v>
      </c>
      <c r="B7417" s="1">
        <v>7.0</v>
      </c>
      <c r="C7417" s="1" t="s">
        <v>21766</v>
      </c>
      <c r="D7417" s="1" t="s">
        <v>16</v>
      </c>
      <c r="E7417" s="1" t="s">
        <v>21767</v>
      </c>
      <c r="F7417" s="1" t="str">
        <f>IFERROR(__xludf.DUMMYFUNCTION("GOOGLETRANSLATE(A7417, ""zh-CN"", ""ko"")"),"산")</f>
        <v>산</v>
      </c>
    </row>
    <row r="7418" ht="15.75" customHeight="1">
      <c r="A7418" s="1" t="s">
        <v>21768</v>
      </c>
      <c r="B7418" s="1">
        <v>7.0</v>
      </c>
      <c r="C7418" s="1" t="s">
        <v>21769</v>
      </c>
      <c r="D7418" s="1" t="s">
        <v>16</v>
      </c>
      <c r="E7418" s="1" t="s">
        <v>21770</v>
      </c>
      <c r="F7418" s="1" t="str">
        <f>IFERROR(__xludf.DUMMYFUNCTION("GOOGLETRANSLATE(A7418, ""zh-CN"", ""ko"")"),"모방범")</f>
        <v>모방범</v>
      </c>
    </row>
    <row r="7419" ht="15.75" customHeight="1">
      <c r="A7419" s="1" t="s">
        <v>21771</v>
      </c>
      <c r="B7419" s="1">
        <v>7.0</v>
      </c>
      <c r="C7419" s="1" t="s">
        <v>21772</v>
      </c>
      <c r="D7419" s="1" t="s">
        <v>52</v>
      </c>
      <c r="E7419" s="1" t="s">
        <v>21773</v>
      </c>
      <c r="F7419" s="1" t="str">
        <f>IFERROR(__xludf.DUMMYFUNCTION("GOOGLETRANSLATE(A7419, ""zh-CN"", ""ko"")"),"좋은")</f>
        <v>좋은</v>
      </c>
    </row>
    <row r="7420" ht="15.75" customHeight="1">
      <c r="A7420" s="1" t="s">
        <v>21774</v>
      </c>
      <c r="B7420" s="1">
        <v>7.0</v>
      </c>
      <c r="C7420" s="1" t="s">
        <v>21775</v>
      </c>
      <c r="D7420" s="1" t="s">
        <v>16</v>
      </c>
      <c r="E7420" s="1" t="s">
        <v>21776</v>
      </c>
      <c r="F7420" s="1" t="str">
        <f>IFERROR(__xludf.DUMMYFUNCTION("GOOGLETRANSLATE(A7420, ""zh-CN"", ""ko"")"),"식사")</f>
        <v>식사</v>
      </c>
    </row>
    <row r="7421" ht="15.75" customHeight="1">
      <c r="A7421" s="1" t="s">
        <v>21777</v>
      </c>
      <c r="B7421" s="1">
        <v>7.0</v>
      </c>
      <c r="C7421" s="1" t="s">
        <v>21778</v>
      </c>
      <c r="D7421" s="1" t="s">
        <v>8</v>
      </c>
      <c r="E7421" s="1" t="s">
        <v>17467</v>
      </c>
      <c r="F7421" s="1" t="str">
        <f>IFERROR(__xludf.DUMMYFUNCTION("GOOGLETRANSLATE(A7421, ""zh-CN"", ""ko"")"),"지원하다")</f>
        <v>지원하다</v>
      </c>
    </row>
    <row r="7422" ht="15.75" customHeight="1">
      <c r="A7422" s="1" t="s">
        <v>21779</v>
      </c>
      <c r="B7422" s="1">
        <v>7.0</v>
      </c>
      <c r="C7422" s="1" t="s">
        <v>21780</v>
      </c>
      <c r="D7422" s="1" t="s">
        <v>16</v>
      </c>
      <c r="E7422" s="1" t="s">
        <v>21781</v>
      </c>
      <c r="F7422" s="1" t="str">
        <f>IFERROR(__xludf.DUMMYFUNCTION("GOOGLETRANSLATE(A7422, ""zh-CN"", ""ko"")"),"진실한")</f>
        <v>진실한</v>
      </c>
    </row>
    <row r="7423" ht="15.75" customHeight="1">
      <c r="A7423" s="1" t="s">
        <v>21782</v>
      </c>
      <c r="B7423" s="1">
        <v>7.0</v>
      </c>
      <c r="C7423" s="1" t="s">
        <v>21783</v>
      </c>
      <c r="D7423" s="1" t="s">
        <v>8</v>
      </c>
      <c r="E7423" s="1" t="s">
        <v>21784</v>
      </c>
      <c r="F7423" s="1" t="str">
        <f>IFERROR(__xludf.DUMMYFUNCTION("GOOGLETRANSLATE(A7423, ""zh-CN"", ""ko"")"),"무능")</f>
        <v>무능</v>
      </c>
    </row>
    <row r="7424" ht="15.75" customHeight="1">
      <c r="A7424" s="1" t="s">
        <v>21785</v>
      </c>
      <c r="B7424" s="1">
        <v>7.0</v>
      </c>
      <c r="C7424" s="1" t="s">
        <v>21786</v>
      </c>
      <c r="D7424" s="1" t="s">
        <v>16</v>
      </c>
      <c r="E7424" s="1" t="s">
        <v>21787</v>
      </c>
      <c r="F7424" s="1" t="str">
        <f>IFERROR(__xludf.DUMMYFUNCTION("GOOGLETRANSLATE(A7424, ""zh-CN"", ""ko"")"),"판매자")</f>
        <v>판매자</v>
      </c>
    </row>
    <row r="7425" ht="15.75" customHeight="1">
      <c r="A7425" s="1" t="s">
        <v>21788</v>
      </c>
      <c r="B7425" s="1">
        <v>7.0</v>
      </c>
      <c r="C7425" s="1" t="s">
        <v>21789</v>
      </c>
      <c r="D7425" s="1" t="s">
        <v>52</v>
      </c>
      <c r="E7425" s="1" t="s">
        <v>21790</v>
      </c>
      <c r="F7425" s="1" t="str">
        <f>IFERROR(__xludf.DUMMYFUNCTION("GOOGLETRANSLATE(A7425, ""zh-CN"", ""ko"")"),"슬픈")</f>
        <v>슬픈</v>
      </c>
    </row>
    <row r="7426" ht="15.75" customHeight="1">
      <c r="A7426" s="1" t="s">
        <v>21791</v>
      </c>
      <c r="B7426" s="1">
        <v>7.0</v>
      </c>
      <c r="C7426" s="1" t="s">
        <v>21792</v>
      </c>
      <c r="D7426" s="1" t="s">
        <v>16</v>
      </c>
      <c r="E7426" s="1" t="s">
        <v>21793</v>
      </c>
      <c r="F7426" s="1" t="str">
        <f>IFERROR(__xludf.DUMMYFUNCTION("GOOGLETRANSLATE(A7426, ""zh-CN"", ""ko"")"),"상인들")</f>
        <v>상인들</v>
      </c>
    </row>
    <row r="7427" ht="15.75" customHeight="1">
      <c r="A7427" s="1" t="s">
        <v>21794</v>
      </c>
      <c r="B7427" s="1">
        <v>7.0</v>
      </c>
      <c r="C7427" s="1" t="s">
        <v>21795</v>
      </c>
      <c r="D7427" s="1" t="s">
        <v>16</v>
      </c>
      <c r="E7427" s="1" t="s">
        <v>21796</v>
      </c>
      <c r="F7427" s="1" t="str">
        <f>IFERROR(__xludf.DUMMYFUNCTION("GOOGLETRANSLATE(A7427, ""zh-CN"", ""ko"")"),"흉터")</f>
        <v>흉터</v>
      </c>
    </row>
    <row r="7428" ht="15.75" customHeight="1">
      <c r="A7428" s="1" t="s">
        <v>21797</v>
      </c>
      <c r="B7428" s="1">
        <v>7.0</v>
      </c>
      <c r="C7428" s="1" t="s">
        <v>21798</v>
      </c>
      <c r="D7428" s="1" t="s">
        <v>16</v>
      </c>
      <c r="E7428" s="1" t="s">
        <v>21799</v>
      </c>
      <c r="F7428" s="1" t="str">
        <f>IFERROR(__xludf.DUMMYFUNCTION("GOOGLETRANSLATE(A7428, ""zh-CN"", ""ko"")"),"사업 기회")</f>
        <v>사업 기회</v>
      </c>
    </row>
    <row r="7429" ht="15.75" customHeight="1">
      <c r="A7429" s="1" t="s">
        <v>21800</v>
      </c>
      <c r="B7429" s="1">
        <v>7.0</v>
      </c>
      <c r="C7429" s="1" t="s">
        <v>21801</v>
      </c>
      <c r="D7429" s="1" t="s">
        <v>16</v>
      </c>
      <c r="E7429" s="1" t="s">
        <v>21802</v>
      </c>
      <c r="F7429" s="1" t="str">
        <f>IFERROR(__xludf.DUMMYFUNCTION("GOOGLETRANSLATE(A7429, ""zh-CN"", ""ko"")"),"부상")</f>
        <v>부상</v>
      </c>
    </row>
    <row r="7430" ht="15.75" customHeight="1">
      <c r="A7430" s="1" t="s">
        <v>21803</v>
      </c>
      <c r="B7430" s="1">
        <v>7.0</v>
      </c>
      <c r="C7430" s="1" t="s">
        <v>21804</v>
      </c>
      <c r="D7430" s="1" t="s">
        <v>8</v>
      </c>
      <c r="E7430" s="1" t="s">
        <v>21805</v>
      </c>
      <c r="F7430" s="1" t="str">
        <f>IFERROR(__xludf.DUMMYFUNCTION("GOOGLETRANSLATE(A7430, ""zh-CN"", ""ko"")"),"논의하다")</f>
        <v>논의하다</v>
      </c>
    </row>
    <row r="7431" ht="15.75" customHeight="1">
      <c r="A7431" s="1" t="s">
        <v>21806</v>
      </c>
      <c r="B7431" s="1">
        <v>7.0</v>
      </c>
      <c r="C7431" s="1" t="s">
        <v>21807</v>
      </c>
      <c r="D7431" s="1" t="s">
        <v>8</v>
      </c>
      <c r="E7431" s="1" t="s">
        <v>10119</v>
      </c>
      <c r="F7431" s="1" t="str">
        <f>IFERROR(__xludf.DUMMYFUNCTION("GOOGLETRANSLATE(A7431, ""zh-CN"", ""ko"")"),"논의")</f>
        <v>논의</v>
      </c>
    </row>
    <row r="7432" ht="15.75" customHeight="1">
      <c r="A7432" s="1" t="s">
        <v>21808</v>
      </c>
      <c r="B7432" s="1">
        <v>7.0</v>
      </c>
      <c r="C7432" s="1" t="s">
        <v>21809</v>
      </c>
      <c r="D7432" s="1" t="s">
        <v>52</v>
      </c>
      <c r="E7432" s="1" t="s">
        <v>21810</v>
      </c>
      <c r="F7432" s="1" t="str">
        <f>IFERROR(__xludf.DUMMYFUNCTION("GOOGLETRANSLATE(A7432, ""zh-CN"", ""ko"")"),"광고")</f>
        <v>광고</v>
      </c>
    </row>
    <row r="7433" ht="15.75" customHeight="1">
      <c r="A7433" s="1" t="s">
        <v>21811</v>
      </c>
      <c r="B7433" s="1">
        <v>7.0</v>
      </c>
      <c r="C7433" s="1" t="s">
        <v>21812</v>
      </c>
      <c r="D7433" s="1" t="s">
        <v>8</v>
      </c>
      <c r="E7433" s="1" t="s">
        <v>21813</v>
      </c>
      <c r="F7433" s="1" t="str">
        <f>IFERROR(__xludf.DUMMYFUNCTION("GOOGLETRANSLATE(A7433, ""zh-CN"", ""ko"")"),"감사")</f>
        <v>감사</v>
      </c>
    </row>
    <row r="7434" ht="15.75" customHeight="1">
      <c r="A7434" s="1" t="s">
        <v>21814</v>
      </c>
      <c r="B7434" s="1">
        <v>7.0</v>
      </c>
      <c r="C7434" s="1" t="s">
        <v>285</v>
      </c>
      <c r="D7434" s="1" t="s">
        <v>17562</v>
      </c>
      <c r="E7434" s="1" t="s">
        <v>21815</v>
      </c>
      <c r="F7434" s="1" t="str">
        <f>IFERROR(__xludf.DUMMYFUNCTION("GOOGLETRANSLATE(A7434, ""zh-CN"", ""ko"")"),"아직")</f>
        <v>아직</v>
      </c>
    </row>
    <row r="7435" ht="15.75" customHeight="1">
      <c r="A7435" s="1" t="s">
        <v>21816</v>
      </c>
      <c r="B7435" s="1">
        <v>7.0</v>
      </c>
      <c r="C7435" s="1" t="s">
        <v>21817</v>
      </c>
      <c r="D7435" s="1" t="s">
        <v>16</v>
      </c>
      <c r="E7435" s="1" t="s">
        <v>21818</v>
      </c>
      <c r="F7435" s="1" t="str">
        <f>IFERROR(__xludf.DUMMYFUNCTION("GOOGLETRANSLATE(A7435, ""zh-CN"", ""ko"")"),"전반전")</f>
        <v>전반전</v>
      </c>
    </row>
    <row r="7436" ht="15.75" customHeight="1">
      <c r="A7436" s="1" t="s">
        <v>21819</v>
      </c>
      <c r="B7436" s="1">
        <v>7.0</v>
      </c>
      <c r="C7436" s="1" t="s">
        <v>21820</v>
      </c>
      <c r="D7436" s="1" t="s">
        <v>8</v>
      </c>
      <c r="E7436" s="1" t="s">
        <v>21821</v>
      </c>
      <c r="F7436" s="1" t="str">
        <f>IFERROR(__xludf.DUMMYFUNCTION("GOOGLETRANSLATE(A7436, ""zh-CN"", ""ko"")"),"보고서")</f>
        <v>보고서</v>
      </c>
    </row>
    <row r="7437" ht="15.75" customHeight="1">
      <c r="A7437" s="1" t="s">
        <v>21822</v>
      </c>
      <c r="B7437" s="1">
        <v>7.0</v>
      </c>
      <c r="C7437" s="1" t="s">
        <v>21823</v>
      </c>
      <c r="D7437" s="1" t="s">
        <v>16</v>
      </c>
      <c r="E7437" s="1" t="s">
        <v>21824</v>
      </c>
      <c r="F7437" s="1" t="str">
        <f>IFERROR(__xludf.DUMMYFUNCTION("GOOGLETRANSLATE(A7437, ""zh-CN"", ""ko"")"),"상층")</f>
        <v>상층</v>
      </c>
    </row>
    <row r="7438" ht="15.75" customHeight="1">
      <c r="A7438" s="1" t="s">
        <v>21825</v>
      </c>
      <c r="B7438" s="1">
        <v>7.0</v>
      </c>
      <c r="C7438" s="1" t="s">
        <v>21826</v>
      </c>
      <c r="D7438" s="1" t="s">
        <v>16</v>
      </c>
      <c r="E7438" s="1" t="s">
        <v>21827</v>
      </c>
      <c r="F7438" s="1" t="str">
        <f>IFERROR(__xludf.DUMMYFUNCTION("GOOGLETRANSLATE(A7438, ""zh-CN"", ""ko"")"),"경기장에서")</f>
        <v>경기장에서</v>
      </c>
    </row>
    <row r="7439" ht="15.75" customHeight="1">
      <c r="A7439" s="1" t="s">
        <v>21828</v>
      </c>
      <c r="B7439" s="1">
        <v>7.0</v>
      </c>
      <c r="C7439" s="1" t="s">
        <v>21829</v>
      </c>
      <c r="D7439" s="1" t="s">
        <v>8</v>
      </c>
      <c r="E7439" s="1" t="s">
        <v>21830</v>
      </c>
      <c r="F7439" s="1" t="str">
        <f>IFERROR(__xludf.DUMMYFUNCTION("GOOGLETRANSLATE(A7439, ""zh-CN"", ""ko"")"),"업무 중")</f>
        <v>업무 중</v>
      </c>
    </row>
    <row r="7440" ht="15.75" customHeight="1">
      <c r="A7440" s="1" t="s">
        <v>21831</v>
      </c>
      <c r="B7440" s="1">
        <v>7.0</v>
      </c>
      <c r="C7440" s="1" t="s">
        <v>21832</v>
      </c>
      <c r="D7440" s="1" t="s">
        <v>8</v>
      </c>
      <c r="E7440" s="1" t="s">
        <v>16766</v>
      </c>
      <c r="F7440" s="1" t="str">
        <f>IFERROR(__xludf.DUMMYFUNCTION("GOOGLETRANSLATE(A7440, ""zh-CN"", ""ko"")"),"목이 아프다")</f>
        <v>목이 아프다</v>
      </c>
    </row>
    <row r="7441" ht="15.75" customHeight="1">
      <c r="A7441" s="1" t="s">
        <v>21833</v>
      </c>
      <c r="B7441" s="1">
        <v>7.0</v>
      </c>
      <c r="C7441" s="1" t="s">
        <v>21834</v>
      </c>
      <c r="D7441" s="1" t="s">
        <v>16</v>
      </c>
      <c r="E7441" s="1" t="s">
        <v>21835</v>
      </c>
      <c r="F7441" s="1" t="str">
        <f>IFERROR(__xludf.DUMMYFUNCTION("GOOGLETRANSLATE(A7441, ""zh-CN"", ""ko"")"),"위에")</f>
        <v>위에</v>
      </c>
    </row>
    <row r="7442" ht="15.75" customHeight="1">
      <c r="A7442" s="1" t="s">
        <v>21836</v>
      </c>
      <c r="B7442" s="1">
        <v>7.0</v>
      </c>
      <c r="C7442" s="1" t="s">
        <v>21837</v>
      </c>
      <c r="D7442" s="1" t="s">
        <v>16</v>
      </c>
      <c r="E7442" s="1" t="s">
        <v>21838</v>
      </c>
      <c r="F7442" s="1" t="str">
        <f>IFERROR(__xludf.DUMMYFUNCTION("GOOGLETRANSLATE(A7442, ""zh-CN"", ""ko"")"),"사장")</f>
        <v>사장</v>
      </c>
    </row>
    <row r="7443" ht="15.75" customHeight="1">
      <c r="A7443" s="1" t="s">
        <v>21839</v>
      </c>
      <c r="B7443" s="1">
        <v>7.0</v>
      </c>
      <c r="C7443" s="1" t="s">
        <v>21840</v>
      </c>
      <c r="D7443" s="1" t="s">
        <v>8</v>
      </c>
      <c r="E7443" s="1" t="s">
        <v>21841</v>
      </c>
      <c r="F7443" s="1" t="str">
        <f>IFERROR(__xludf.DUMMYFUNCTION("GOOGLETRANSLATE(A7443, ""zh-CN"", ""ko"")"),"항소")</f>
        <v>항소</v>
      </c>
    </row>
    <row r="7444" ht="15.75" customHeight="1">
      <c r="A7444" s="1" t="s">
        <v>21842</v>
      </c>
      <c r="B7444" s="1">
        <v>7.0</v>
      </c>
      <c r="C7444" s="1" t="s">
        <v>21843</v>
      </c>
      <c r="D7444" s="1" t="s">
        <v>8</v>
      </c>
      <c r="E7444" s="1" t="s">
        <v>21844</v>
      </c>
      <c r="F7444" s="1" t="str">
        <f>IFERROR(__xludf.DUMMYFUNCTION("GOOGLETRANSLATE(A7444, ""zh-CN"", ""ko"")"),"상승")</f>
        <v>상승</v>
      </c>
    </row>
    <row r="7445" ht="15.75" customHeight="1">
      <c r="A7445" s="1" t="s">
        <v>21845</v>
      </c>
      <c r="B7445" s="1">
        <v>7.0</v>
      </c>
      <c r="C7445" s="1" t="s">
        <v>21846</v>
      </c>
      <c r="D7445" s="1" t="s">
        <v>33</v>
      </c>
      <c r="E7445" s="1" t="s">
        <v>21847</v>
      </c>
      <c r="F7445" s="1" t="str">
        <f>IFERROR(__xludf.DUMMYFUNCTION("GOOGLETRANSLATE(A7445, ""zh-CN"", ""ko"")"),"아직 아님")</f>
        <v>아직 아님</v>
      </c>
    </row>
    <row r="7446" ht="15.75" customHeight="1">
      <c r="A7446" s="1" t="s">
        <v>21848</v>
      </c>
      <c r="B7446" s="1">
        <v>7.0</v>
      </c>
      <c r="C7446" s="1" t="s">
        <v>21849</v>
      </c>
      <c r="D7446" s="1" t="s">
        <v>16</v>
      </c>
      <c r="E7446" s="1" t="s">
        <v>21850</v>
      </c>
      <c r="F7446" s="1" t="str">
        <f>IFERROR(__xludf.DUMMYFUNCTION("GOOGLETRANSLATE(A7446, ""zh-CN"", ""ko"")"),"상한")</f>
        <v>상한</v>
      </c>
    </row>
    <row r="7447" ht="15.75" customHeight="1">
      <c r="A7447" s="1" t="s">
        <v>21851</v>
      </c>
      <c r="B7447" s="1">
        <v>7.0</v>
      </c>
      <c r="C7447" s="1" t="s">
        <v>21852</v>
      </c>
      <c r="D7447" s="1" t="s">
        <v>8</v>
      </c>
      <c r="E7447" s="1" t="s">
        <v>21853</v>
      </c>
      <c r="F7447" s="1" t="str">
        <f>IFERROR(__xludf.DUMMYFUNCTION("GOOGLETRANSLATE(A7447, ""zh-CN"", ""ko"")"),"위로")</f>
        <v>위로</v>
      </c>
    </row>
    <row r="7448" ht="15.75" customHeight="1">
      <c r="A7448" s="1" t="s">
        <v>21854</v>
      </c>
      <c r="B7448" s="1">
        <v>7.0</v>
      </c>
      <c r="C7448" s="1" t="s">
        <v>21855</v>
      </c>
      <c r="D7448" s="1" t="s">
        <v>8</v>
      </c>
      <c r="E7448" s="1" t="s">
        <v>21856</v>
      </c>
      <c r="F7448" s="1" t="str">
        <f>IFERROR(__xludf.DUMMYFUNCTION("GOOGLETRANSLATE(A7448, ""zh-CN"", ""ko"")"),"성능")</f>
        <v>성능</v>
      </c>
    </row>
    <row r="7449" ht="15.75" customHeight="1">
      <c r="A7449" s="1" t="s">
        <v>21857</v>
      </c>
      <c r="B7449" s="1">
        <v>7.0</v>
      </c>
      <c r="C7449" s="1" t="s">
        <v>21858</v>
      </c>
      <c r="D7449" s="1" t="s">
        <v>8</v>
      </c>
      <c r="E7449" s="1" t="s">
        <v>21859</v>
      </c>
      <c r="F7449" s="1" t="str">
        <f>IFERROR(__xludf.DUMMYFUNCTION("GOOGLETRANSLATE(A7449, ""zh-CN"", ""ko"")"),"출시된")</f>
        <v>출시된</v>
      </c>
    </row>
    <row r="7450" ht="15.75" customHeight="1">
      <c r="A7450" s="1" t="s">
        <v>21860</v>
      </c>
      <c r="B7450" s="1">
        <v>7.0</v>
      </c>
      <c r="C7450" s="1" t="s">
        <v>21861</v>
      </c>
      <c r="D7450" s="1" t="s">
        <v>33</v>
      </c>
      <c r="E7450" s="1" t="s">
        <v>21862</v>
      </c>
      <c r="F7450" s="1" t="str">
        <f>IFERROR(__xludf.DUMMYFUNCTION("GOOGLETRANSLATE(A7450, ""zh-CN"", ""ko"")"),"나중에")</f>
        <v>나중에</v>
      </c>
    </row>
    <row r="7451" ht="15.75" customHeight="1">
      <c r="A7451" s="1" t="s">
        <v>21863</v>
      </c>
      <c r="B7451" s="1">
        <v>7.0</v>
      </c>
      <c r="C7451" s="1" t="s">
        <v>21864</v>
      </c>
      <c r="D7451" s="1" t="s">
        <v>8</v>
      </c>
      <c r="E7451" s="1" t="s">
        <v>21865</v>
      </c>
      <c r="F7451" s="1" t="str">
        <f>IFERROR(__xludf.DUMMYFUNCTION("GOOGLETRANSLATE(A7451, ""zh-CN"", ""ko"")"),"불타다")</f>
        <v>불타다</v>
      </c>
    </row>
    <row r="7452" ht="15.75" customHeight="1">
      <c r="A7452" s="1" t="s">
        <v>21866</v>
      </c>
      <c r="B7452" s="1">
        <v>7.0</v>
      </c>
      <c r="C7452" s="1" t="s">
        <v>21867</v>
      </c>
      <c r="D7452" s="1" t="s">
        <v>33</v>
      </c>
      <c r="E7452" s="1" t="s">
        <v>21868</v>
      </c>
      <c r="F7452" s="1" t="str">
        <f>IFERROR(__xludf.DUMMYFUNCTION("GOOGLETRANSLATE(A7452, ""zh-CN"", ""ko"")"),"약간")</f>
        <v>약간</v>
      </c>
    </row>
    <row r="7453" ht="15.75" customHeight="1">
      <c r="A7453" s="1" t="s">
        <v>21869</v>
      </c>
      <c r="B7453" s="1">
        <v>7.0</v>
      </c>
      <c r="C7453" s="1" t="s">
        <v>21870</v>
      </c>
      <c r="D7453" s="1" t="s">
        <v>8</v>
      </c>
      <c r="E7453" s="1" t="s">
        <v>21871</v>
      </c>
      <c r="F7453" s="1" t="str">
        <f>IFERROR(__xludf.DUMMYFUNCTION("GOOGLETRANSLATE(A7453, ""zh-CN"", ""ko"")"),"없어서는 안될")</f>
        <v>없어서는 안될</v>
      </c>
    </row>
    <row r="7454" ht="15.75" customHeight="1">
      <c r="A7454" s="1" t="s">
        <v>21872</v>
      </c>
      <c r="B7454" s="1">
        <v>7.0</v>
      </c>
      <c r="C7454" s="1" t="s">
        <v>21873</v>
      </c>
      <c r="D7454" s="1" t="s">
        <v>16</v>
      </c>
      <c r="E7454" s="1" t="s">
        <v>21874</v>
      </c>
      <c r="F7454" s="1" t="str">
        <f>IFERROR(__xludf.DUMMYFUNCTION("GOOGLETRANSLATE(A7454, ""zh-CN"", ""ko"")"),"소녀")</f>
        <v>소녀</v>
      </c>
    </row>
    <row r="7455" ht="15.75" customHeight="1">
      <c r="A7455" s="1" t="s">
        <v>21875</v>
      </c>
      <c r="B7455" s="1">
        <v>7.0</v>
      </c>
      <c r="C7455" s="1" t="s">
        <v>21876</v>
      </c>
      <c r="D7455" s="1" t="s">
        <v>14870</v>
      </c>
      <c r="E7455" s="1" t="s">
        <v>21877</v>
      </c>
      <c r="F7455" s="1" t="str">
        <f>IFERROR(__xludf.DUMMYFUNCTION("GOOGLETRANSLATE(A7455, ""zh-CN"", ""ko"")"),"과도한 희망")</f>
        <v>과도한 희망</v>
      </c>
    </row>
    <row r="7456" ht="15.75" customHeight="1">
      <c r="A7456" s="1" t="s">
        <v>21878</v>
      </c>
      <c r="B7456" s="1">
        <v>7.0</v>
      </c>
      <c r="C7456" s="1" t="s">
        <v>21879</v>
      </c>
      <c r="D7456" s="1" t="s">
        <v>8</v>
      </c>
      <c r="E7456" s="1" t="s">
        <v>21880</v>
      </c>
      <c r="F7456" s="1" t="str">
        <f>IFERROR(__xludf.DUMMYFUNCTION("GOOGLETRANSLATE(A7456, ""zh-CN"", ""ko"")"),"설정")</f>
        <v>설정</v>
      </c>
    </row>
    <row r="7457" ht="15.75" customHeight="1">
      <c r="A7457" s="1" t="s">
        <v>21881</v>
      </c>
      <c r="B7457" s="1">
        <v>7.0</v>
      </c>
      <c r="C7457" s="1" t="s">
        <v>21882</v>
      </c>
      <c r="D7457" s="1" t="s">
        <v>8</v>
      </c>
      <c r="E7457" s="1" t="s">
        <v>21883</v>
      </c>
      <c r="F7457" s="1" t="str">
        <f>IFERROR(__xludf.DUMMYFUNCTION("GOOGLETRANSLATE(A7457, ""zh-CN"", ""ko"")"),"설정")</f>
        <v>설정</v>
      </c>
    </row>
    <row r="7458" ht="15.75" customHeight="1">
      <c r="A7458" s="1" t="s">
        <v>21884</v>
      </c>
      <c r="B7458" s="1">
        <v>7.0</v>
      </c>
      <c r="C7458" s="1" t="s">
        <v>21885</v>
      </c>
      <c r="D7458" s="1" t="s">
        <v>8</v>
      </c>
      <c r="E7458" s="1" t="s">
        <v>21886</v>
      </c>
      <c r="F7458" s="1" t="str">
        <f>IFERROR(__xludf.DUMMYFUNCTION("GOOGLETRANSLATE(A7458, ""zh-CN"", ""ko"")"),"노력하다")</f>
        <v>노력하다</v>
      </c>
    </row>
    <row r="7459" ht="15.75" customHeight="1">
      <c r="A7459" s="1" t="s">
        <v>21887</v>
      </c>
      <c r="B7459" s="1">
        <v>7.0</v>
      </c>
      <c r="C7459" s="1" t="s">
        <v>21888</v>
      </c>
      <c r="E7459" s="1" t="s">
        <v>21889</v>
      </c>
      <c r="F7459" s="1" t="str">
        <f>IFERROR(__xludf.DUMMYFUNCTION("GOOGLETRANSLATE(A7459, ""zh-CN"", ""ko"")"),"사회주의")</f>
        <v>사회주의</v>
      </c>
    </row>
    <row r="7460" ht="15.75" customHeight="1">
      <c r="A7460" s="1" t="s">
        <v>21890</v>
      </c>
      <c r="B7460" s="1">
        <v>7.0</v>
      </c>
      <c r="C7460" s="1" t="s">
        <v>21891</v>
      </c>
      <c r="D7460" s="1" t="s">
        <v>16</v>
      </c>
      <c r="E7460" s="1" t="s">
        <v>21892</v>
      </c>
      <c r="F7460" s="1" t="str">
        <f>IFERROR(__xludf.DUMMYFUNCTION("GOOGLETRANSLATE(A7460, ""zh-CN"", ""ko"")"),"사회적 접촉")</f>
        <v>사회적 접촉</v>
      </c>
    </row>
    <row r="7461" ht="15.75" customHeight="1">
      <c r="A7461" s="1" t="s">
        <v>21893</v>
      </c>
      <c r="B7461" s="1">
        <v>7.0</v>
      </c>
      <c r="C7461" s="1" t="s">
        <v>21894</v>
      </c>
      <c r="D7461" s="1" t="s">
        <v>8</v>
      </c>
      <c r="E7461" s="1" t="s">
        <v>21895</v>
      </c>
      <c r="F7461" s="1" t="str">
        <f>IFERROR(__xludf.DUMMYFUNCTION("GOOGLETRANSLATE(A7461, ""zh-CN"", ""ko"")"),"탐구")</f>
        <v>탐구</v>
      </c>
    </row>
    <row r="7462" ht="15.75" customHeight="1">
      <c r="A7462" s="1" t="s">
        <v>21896</v>
      </c>
      <c r="B7462" s="1">
        <v>7.0</v>
      </c>
      <c r="C7462" s="1" t="s">
        <v>21897</v>
      </c>
      <c r="D7462" s="1" t="s">
        <v>16</v>
      </c>
      <c r="E7462" s="1" t="s">
        <v>21898</v>
      </c>
      <c r="F7462" s="1" t="str">
        <f>IFERROR(__xludf.DUMMYFUNCTION("GOOGLETRANSLATE(A7462, ""zh-CN"", ""ko"")"),"클럽")</f>
        <v>클럽</v>
      </c>
    </row>
    <row r="7463" ht="15.75" customHeight="1">
      <c r="A7463" s="1" t="s">
        <v>21899</v>
      </c>
      <c r="B7463" s="1">
        <v>7.0</v>
      </c>
      <c r="C7463" s="1" t="s">
        <v>21900</v>
      </c>
      <c r="D7463" s="1" t="s">
        <v>8</v>
      </c>
      <c r="E7463" s="1" t="s">
        <v>21901</v>
      </c>
      <c r="F7463" s="1" t="str">
        <f>IFERROR(__xludf.DUMMYFUNCTION("GOOGLETRANSLATE(A7463, ""zh-CN"", ""ko"")"),"의심 가는")</f>
        <v>의심 가는</v>
      </c>
    </row>
    <row r="7464" ht="15.75" customHeight="1">
      <c r="A7464" s="1" t="s">
        <v>21902</v>
      </c>
      <c r="B7464" s="1">
        <v>7.0</v>
      </c>
      <c r="C7464" s="1" t="s">
        <v>21903</v>
      </c>
      <c r="D7464" s="1" t="s">
        <v>8</v>
      </c>
      <c r="E7464" s="1" t="s">
        <v>21904</v>
      </c>
      <c r="F7464" s="1" t="str">
        <f>IFERROR(__xludf.DUMMYFUNCTION("GOOGLETRANSLATE(A7464, ""zh-CN"", ""ko"")"),"애플리케이션")</f>
        <v>애플리케이션</v>
      </c>
    </row>
    <row r="7465" ht="15.75" customHeight="1">
      <c r="A7465" s="1" t="s">
        <v>21905</v>
      </c>
      <c r="B7465" s="1">
        <v>7.0</v>
      </c>
      <c r="C7465" s="1" t="s">
        <v>21906</v>
      </c>
      <c r="E7465" s="1" t="s">
        <v>21907</v>
      </c>
      <c r="F7465" s="1" t="str">
        <f>IFERROR(__xludf.DUMMYFUNCTION("GOOGLETRANSLATE(A7465, ""zh-CN"", ""ko"")"),"어찌할 수 없는")</f>
        <v>어찌할 수 없는</v>
      </c>
    </row>
    <row r="7466" ht="15.75" customHeight="1">
      <c r="A7466" s="1" t="s">
        <v>21908</v>
      </c>
      <c r="B7466" s="1">
        <v>7.0</v>
      </c>
      <c r="C7466" s="1" t="s">
        <v>21909</v>
      </c>
      <c r="D7466" s="1" t="s">
        <v>8</v>
      </c>
      <c r="E7466" s="1" t="s">
        <v>21910</v>
      </c>
      <c r="F7466" s="1" t="str">
        <f>IFERROR(__xludf.DUMMYFUNCTION("GOOGLETRANSLATE(A7466, ""zh-CN"", ""ko"")"),"깊게 하다")</f>
        <v>깊게 하다</v>
      </c>
    </row>
    <row r="7467" ht="15.75" customHeight="1">
      <c r="A7467" s="1" t="s">
        <v>21911</v>
      </c>
      <c r="B7467" s="1">
        <v>7.0</v>
      </c>
      <c r="C7467" s="1" t="s">
        <v>21912</v>
      </c>
      <c r="D7467" s="1" t="s">
        <v>16</v>
      </c>
      <c r="E7467" s="1" t="s">
        <v>21913</v>
      </c>
      <c r="F7467" s="1" t="str">
        <f>IFERROR(__xludf.DUMMYFUNCTION("GOOGLETRANSLATE(A7467, ""zh-CN"", ""ko"")"),"순자산")</f>
        <v>순자산</v>
      </c>
    </row>
    <row r="7468" ht="15.75" customHeight="1">
      <c r="A7468" s="1" t="s">
        <v>21914</v>
      </c>
      <c r="B7468" s="1">
        <v>7.0</v>
      </c>
      <c r="C7468" s="1" t="s">
        <v>21915</v>
      </c>
      <c r="D7468" s="1" t="s">
        <v>8</v>
      </c>
      <c r="E7468" s="1" t="s">
        <v>21916</v>
      </c>
      <c r="F7468" s="1" t="str">
        <f>IFERROR(__xludf.DUMMYFUNCTION("GOOGLETRANSLATE(A7468, ""zh-CN"", ""ko"")"),"적용하다")</f>
        <v>적용하다</v>
      </c>
    </row>
    <row r="7469" ht="15.75" customHeight="1">
      <c r="A7469" s="1" t="s">
        <v>21917</v>
      </c>
      <c r="B7469" s="1">
        <v>7.0</v>
      </c>
      <c r="C7469" s="1" t="s">
        <v>21918</v>
      </c>
      <c r="D7469" s="1" t="s">
        <v>52</v>
      </c>
      <c r="E7469" s="1" t="s">
        <v>21919</v>
      </c>
      <c r="F7469" s="1" t="str">
        <f>IFERROR(__xludf.DUMMYFUNCTION("GOOGLETRANSLATE(A7469, ""zh-CN"", ""ko"")"),"깊은")</f>
        <v>깊은</v>
      </c>
    </row>
    <row r="7470" ht="15.75" customHeight="1">
      <c r="A7470" s="1" t="s">
        <v>21920</v>
      </c>
      <c r="B7470" s="1">
        <v>7.0</v>
      </c>
      <c r="C7470" s="1" t="s">
        <v>21921</v>
      </c>
      <c r="D7470" s="1" t="s">
        <v>15011</v>
      </c>
      <c r="E7470" s="1" t="s">
        <v>21922</v>
      </c>
      <c r="F7470" s="1" t="str">
        <f>IFERROR(__xludf.DUMMYFUNCTION("GOOGLETRANSLATE(A7470, ""zh-CN"", ""ko"")"),"깊은 감정")</f>
        <v>깊은 감정</v>
      </c>
    </row>
    <row r="7471" ht="15.75" customHeight="1">
      <c r="A7471" s="1" t="s">
        <v>21923</v>
      </c>
      <c r="B7471" s="1">
        <v>7.0</v>
      </c>
      <c r="C7471" s="1" t="s">
        <v>21924</v>
      </c>
      <c r="D7471" s="1" t="s">
        <v>16</v>
      </c>
      <c r="E7471" s="1" t="s">
        <v>21925</v>
      </c>
      <c r="F7471" s="1" t="str">
        <f>IFERROR(__xludf.DUMMYFUNCTION("GOOGLETRANSLATE(A7471, ""zh-CN"", ""ko"")"),"몸")</f>
        <v>몸</v>
      </c>
    </row>
    <row r="7472" ht="15.75" customHeight="1">
      <c r="A7472" s="1" t="s">
        <v>21926</v>
      </c>
      <c r="B7472" s="1">
        <v>7.0</v>
      </c>
      <c r="C7472" s="1" t="s">
        <v>21927</v>
      </c>
      <c r="E7472" s="1" t="s">
        <v>21928</v>
      </c>
      <c r="F7472" s="1" t="str">
        <f>IFERROR(__xludf.DUMMYFUNCTION("GOOGLETRANSLATE(A7472, ""zh-CN"", ""ko"")"),"사람들의 마음속 깊이 뿌리내리고 있다")</f>
        <v>사람들의 마음속 깊이 뿌리내리고 있다</v>
      </c>
    </row>
    <row r="7473" ht="15.75" customHeight="1">
      <c r="A7473" s="1" t="s">
        <v>21929</v>
      </c>
      <c r="B7473" s="1">
        <v>7.0</v>
      </c>
      <c r="C7473" s="1" t="s">
        <v>21930</v>
      </c>
      <c r="D7473" s="1" t="s">
        <v>8</v>
      </c>
      <c r="E7473" s="1" t="s">
        <v>21931</v>
      </c>
      <c r="F7473" s="1" t="str">
        <f>IFERROR(__xludf.DUMMYFUNCTION("GOOGLETRANSLATE(A7473, ""zh-CN"", ""ko"")"),"연락하세요")</f>
        <v>연락하세요</v>
      </c>
    </row>
    <row r="7474" ht="15.75" customHeight="1">
      <c r="A7474" s="1" t="s">
        <v>21932</v>
      </c>
      <c r="B7474" s="1">
        <v>7.0</v>
      </c>
      <c r="C7474" s="1" t="s">
        <v>21933</v>
      </c>
      <c r="D7474" s="1" t="s">
        <v>8</v>
      </c>
      <c r="E7474" s="1" t="s">
        <v>21934</v>
      </c>
      <c r="F7474" s="1" t="str">
        <f>IFERROR(__xludf.DUMMYFUNCTION("GOOGLETRANSLATE(A7474, ""zh-CN"", ""ko"")"),"깊은 생각")</f>
        <v>깊은 생각</v>
      </c>
    </row>
    <row r="7475" ht="15.75" customHeight="1">
      <c r="A7475" s="1" t="s">
        <v>21935</v>
      </c>
      <c r="B7475" s="1">
        <v>7.0</v>
      </c>
      <c r="C7475" s="1" t="s">
        <v>21936</v>
      </c>
      <c r="D7475" s="1" t="s">
        <v>8</v>
      </c>
      <c r="E7475" s="1" t="s">
        <v>21937</v>
      </c>
      <c r="F7475" s="1" t="str">
        <f>IFERROR(__xludf.DUMMYFUNCTION("GOOGLETRANSLATE(A7475, ""zh-CN"", ""ko"")"),"항소")</f>
        <v>항소</v>
      </c>
    </row>
    <row r="7476" ht="15.75" customHeight="1">
      <c r="A7476" s="1" t="s">
        <v>21938</v>
      </c>
      <c r="B7476" s="1">
        <v>7.0</v>
      </c>
      <c r="C7476" s="1" t="s">
        <v>21939</v>
      </c>
      <c r="D7476" s="1" t="s">
        <v>52</v>
      </c>
      <c r="E7476" s="1" t="s">
        <v>21940</v>
      </c>
      <c r="F7476" s="1" t="str">
        <f>IFERROR(__xludf.DUMMYFUNCTION("GOOGLETRANSLATE(A7476, ""zh-CN"", ""ko"")"),"심오한")</f>
        <v>심오한</v>
      </c>
    </row>
    <row r="7477" ht="15.75" customHeight="1">
      <c r="A7477" s="1" t="s">
        <v>21941</v>
      </c>
      <c r="B7477" s="1">
        <v>7.0</v>
      </c>
      <c r="C7477" s="1" t="s">
        <v>21942</v>
      </c>
      <c r="D7477" s="1" t="s">
        <v>8</v>
      </c>
      <c r="E7477" s="1" t="s">
        <v>21943</v>
      </c>
      <c r="F7477" s="1" t="str">
        <f>IFERROR(__xludf.DUMMYFUNCTION("GOOGLETRANSLATE(A7477, ""zh-CN"", ""ko"")"),"뻗기")</f>
        <v>뻗기</v>
      </c>
    </row>
    <row r="7478" ht="15.75" customHeight="1">
      <c r="A7478" s="1" t="s">
        <v>21944</v>
      </c>
      <c r="B7478" s="1">
        <v>7.0</v>
      </c>
      <c r="C7478" s="1" t="s">
        <v>21945</v>
      </c>
      <c r="D7478" s="1" t="s">
        <v>16</v>
      </c>
      <c r="E7478" s="1" t="s">
        <v>21946</v>
      </c>
      <c r="F7478" s="1" t="str">
        <f>IFERROR(__xludf.DUMMYFUNCTION("GOOGLETRANSLATE(A7478, ""zh-CN"", ""ko"")"),"수치")</f>
        <v>수치</v>
      </c>
    </row>
    <row r="7479" ht="15.75" customHeight="1">
      <c r="A7479" s="1" t="s">
        <v>21947</v>
      </c>
      <c r="B7479" s="1">
        <v>7.0</v>
      </c>
      <c r="C7479" s="1" t="s">
        <v>21948</v>
      </c>
      <c r="D7479" s="1" t="s">
        <v>8</v>
      </c>
      <c r="E7479" s="1" t="s">
        <v>21949</v>
      </c>
      <c r="F7479" s="1" t="str">
        <f>IFERROR(__xludf.DUMMYFUNCTION("GOOGLETRANSLATE(A7479, ""zh-CN"", ""ko"")"),"추가 연구")</f>
        <v>추가 연구</v>
      </c>
    </row>
    <row r="7480" ht="15.75" customHeight="1">
      <c r="A7480" s="1" t="s">
        <v>21950</v>
      </c>
      <c r="B7480" s="1">
        <v>7.0</v>
      </c>
      <c r="C7480" s="1" t="s">
        <v>21951</v>
      </c>
      <c r="D7480" s="1" t="s">
        <v>8</v>
      </c>
      <c r="E7480" s="1" t="s">
        <v>21952</v>
      </c>
      <c r="F7480" s="1" t="str">
        <f>IFERROR(__xludf.DUMMYFUNCTION("GOOGLETRANSLATE(A7480, ""zh-CN"", ""ko"")"),"뻗기")</f>
        <v>뻗기</v>
      </c>
    </row>
    <row r="7481" ht="15.75" customHeight="1">
      <c r="A7481" s="1" t="s">
        <v>21953</v>
      </c>
      <c r="B7481" s="1">
        <v>7.0</v>
      </c>
      <c r="C7481" s="1" t="s">
        <v>21954</v>
      </c>
      <c r="D7481" s="1" t="s">
        <v>16</v>
      </c>
      <c r="E7481" s="1" t="s">
        <v>21925</v>
      </c>
      <c r="F7481" s="1" t="str">
        <f>IFERROR(__xludf.DUMMYFUNCTION("GOOGLETRANSLATE(A7481, ""zh-CN"", ""ko"")"),"몸")</f>
        <v>몸</v>
      </c>
    </row>
    <row r="7482" ht="15.75" customHeight="1">
      <c r="A7482" s="1" t="s">
        <v>21955</v>
      </c>
      <c r="B7482" s="1">
        <v>7.0</v>
      </c>
      <c r="C7482" s="1" t="s">
        <v>21956</v>
      </c>
      <c r="D7482" s="1" t="s">
        <v>16</v>
      </c>
      <c r="E7482" s="1" t="s">
        <v>21957</v>
      </c>
      <c r="F7482" s="1" t="str">
        <f>IFERROR(__xludf.DUMMYFUNCTION("GOOGLETRANSLATE(A7482, ""zh-CN"", ""ko"")"),"바라보다")</f>
        <v>바라보다</v>
      </c>
    </row>
    <row r="7483" ht="15.75" customHeight="1">
      <c r="A7483" s="1" t="s">
        <v>21958</v>
      </c>
      <c r="B7483" s="1">
        <v>7.0</v>
      </c>
      <c r="C7483" s="1" t="s">
        <v>21959</v>
      </c>
      <c r="D7483" s="1" t="s">
        <v>8</v>
      </c>
      <c r="E7483" s="1" t="s">
        <v>21960</v>
      </c>
      <c r="F7483" s="1" t="str">
        <f>IFERROR(__xludf.DUMMYFUNCTION("GOOGLETRANSLATE(A7483, ""zh-CN"", ""ko"")"),"재판")</f>
        <v>재판</v>
      </c>
    </row>
    <row r="7484" ht="15.75" customHeight="1">
      <c r="A7484" s="1" t="s">
        <v>21961</v>
      </c>
      <c r="B7484" s="1">
        <v>7.0</v>
      </c>
      <c r="C7484" s="1" t="s">
        <v>21962</v>
      </c>
      <c r="D7484" s="1" t="s">
        <v>8</v>
      </c>
      <c r="E7484" s="1" t="s">
        <v>21963</v>
      </c>
      <c r="F7484" s="1" t="str">
        <f>IFERROR(__xludf.DUMMYFUNCTION("GOOGLETRANSLATE(A7484, ""zh-CN"", ""ko"")"),"승인")</f>
        <v>승인</v>
      </c>
    </row>
    <row r="7485" ht="15.75" customHeight="1">
      <c r="A7485" s="1" t="s">
        <v>21964</v>
      </c>
      <c r="B7485" s="1">
        <v>7.0</v>
      </c>
      <c r="C7485" s="1" t="s">
        <v>21965</v>
      </c>
      <c r="D7485" s="1" t="s">
        <v>8</v>
      </c>
      <c r="E7485" s="1" t="s">
        <v>21966</v>
      </c>
      <c r="F7485" s="1" t="str">
        <f>IFERROR(__xludf.DUMMYFUNCTION("GOOGLETRANSLATE(A7485, ""zh-CN"", ""ko"")"),"검토")</f>
        <v>검토</v>
      </c>
    </row>
    <row r="7486" ht="15.75" customHeight="1">
      <c r="A7486" s="1" t="s">
        <v>21967</v>
      </c>
      <c r="B7486" s="1">
        <v>7.0</v>
      </c>
      <c r="C7486" s="1" t="s">
        <v>21968</v>
      </c>
      <c r="D7486" s="1" t="s">
        <v>8</v>
      </c>
      <c r="E7486" s="1" t="s">
        <v>21969</v>
      </c>
      <c r="F7486" s="1" t="str">
        <f>IFERROR(__xludf.DUMMYFUNCTION("GOOGLETRANSLATE(A7486, ""zh-CN"", ""ko"")"),"심사")</f>
        <v>심사</v>
      </c>
    </row>
    <row r="7487" ht="15.75" customHeight="1">
      <c r="A7487" s="1" t="s">
        <v>21970</v>
      </c>
      <c r="B7487" s="1">
        <v>7.0</v>
      </c>
      <c r="C7487" s="1" t="s">
        <v>21971</v>
      </c>
      <c r="D7487" s="1" t="s">
        <v>8</v>
      </c>
      <c r="E7487" s="1" t="s">
        <v>21972</v>
      </c>
      <c r="F7487" s="1" t="str">
        <f>IFERROR(__xludf.DUMMYFUNCTION("GOOGLETRANSLATE(A7487, ""zh-CN"", ""ko"")"),"승인")</f>
        <v>승인</v>
      </c>
    </row>
    <row r="7488" ht="15.75" customHeight="1">
      <c r="A7488" s="1" t="s">
        <v>21973</v>
      </c>
      <c r="B7488" s="1">
        <v>7.0</v>
      </c>
      <c r="C7488" s="1" t="s">
        <v>21974</v>
      </c>
      <c r="D7488" s="1" t="s">
        <v>8</v>
      </c>
      <c r="E7488" s="1" t="s">
        <v>15509</v>
      </c>
      <c r="F7488" s="1" t="str">
        <f>IFERROR(__xludf.DUMMYFUNCTION("GOOGLETRANSLATE(A7488, ""zh-CN"", ""ko"")"),"조사하다")</f>
        <v>조사하다</v>
      </c>
    </row>
    <row r="7489" ht="15.75" customHeight="1">
      <c r="A7489" s="1" t="s">
        <v>21975</v>
      </c>
      <c r="B7489" s="1">
        <v>7.0</v>
      </c>
      <c r="C7489" s="1" t="s">
        <v>21976</v>
      </c>
      <c r="D7489" s="1" t="s">
        <v>8</v>
      </c>
      <c r="E7489" s="1" t="s">
        <v>21977</v>
      </c>
      <c r="F7489" s="1" t="str">
        <f>IFERROR(__xludf.DUMMYFUNCTION("GOOGLETRANSLATE(A7489, ""zh-CN"", ""ko"")"),"누출")</f>
        <v>누출</v>
      </c>
    </row>
    <row r="7490" ht="15.75" customHeight="1">
      <c r="A7490" s="1" t="s">
        <v>21978</v>
      </c>
      <c r="B7490" s="1">
        <v>7.0</v>
      </c>
      <c r="C7490" s="1" t="s">
        <v>21976</v>
      </c>
      <c r="D7490" s="1" t="s">
        <v>16</v>
      </c>
      <c r="E7490" s="1" t="s">
        <v>21979</v>
      </c>
      <c r="F7490" s="1" t="str">
        <f>IFERROR(__xludf.DUMMYFUNCTION("GOOGLETRANSLATE(A7490, ""zh-CN"", ""ko"")"),"신장")</f>
        <v>신장</v>
      </c>
    </row>
    <row r="7491" ht="15.75" customHeight="1">
      <c r="A7491" s="1" t="s">
        <v>21980</v>
      </c>
      <c r="B7491" s="1">
        <v>7.0</v>
      </c>
      <c r="C7491" s="1" t="s">
        <v>21981</v>
      </c>
      <c r="D7491" s="1" t="s">
        <v>16</v>
      </c>
      <c r="E7491" s="1" t="s">
        <v>21982</v>
      </c>
      <c r="F7491" s="1" t="str">
        <f>IFERROR(__xludf.DUMMYFUNCTION("GOOGLETRANSLATE(A7491, ""zh-CN"", ""ko"")"),"생산 라인")</f>
        <v>생산 라인</v>
      </c>
    </row>
    <row r="7492" ht="15.75" customHeight="1">
      <c r="A7492" s="1" t="s">
        <v>21983</v>
      </c>
      <c r="B7492" s="1">
        <v>7.0</v>
      </c>
      <c r="C7492" s="1" t="s">
        <v>21984</v>
      </c>
      <c r="D7492" s="1" t="s">
        <v>8</v>
      </c>
      <c r="E7492" s="1" t="s">
        <v>21985</v>
      </c>
      <c r="F7492" s="1" t="str">
        <f>IFERROR(__xludf.DUMMYFUNCTION("GOOGLETRANSLATE(A7492, ""zh-CN"", ""ko"")"),"주장하다")</f>
        <v>주장하다</v>
      </c>
    </row>
    <row r="7493" ht="15.75" customHeight="1">
      <c r="A7493" s="1" t="s">
        <v>21986</v>
      </c>
      <c r="B7493" s="1">
        <v>7.0</v>
      </c>
      <c r="C7493" s="1" t="s">
        <v>21987</v>
      </c>
      <c r="D7493" s="1" t="s">
        <v>8</v>
      </c>
      <c r="E7493" s="1" t="s">
        <v>21988</v>
      </c>
      <c r="F7493" s="1" t="str">
        <f>IFERROR(__xludf.DUMMYFUNCTION("GOOGLETRANSLATE(A7493, ""zh-CN"", ""ko"")"),"승화")</f>
        <v>승화</v>
      </c>
    </row>
    <row r="7494" ht="15.75" customHeight="1">
      <c r="A7494" s="1" t="s">
        <v>21989</v>
      </c>
      <c r="B7494" s="1">
        <v>7.0</v>
      </c>
      <c r="C7494" s="1" t="s">
        <v>21990</v>
      </c>
      <c r="D7494" s="1" t="s">
        <v>16</v>
      </c>
      <c r="E7494" s="1" t="s">
        <v>21991</v>
      </c>
      <c r="F7494" s="1" t="str">
        <f>IFERROR(__xludf.DUMMYFUNCTION("GOOGLETRANSLATE(A7494, ""zh-CN"", ""ko"")"),"생명선")</f>
        <v>생명선</v>
      </c>
    </row>
    <row r="7495" ht="15.75" customHeight="1">
      <c r="A7495" s="1" t="s">
        <v>21992</v>
      </c>
      <c r="B7495" s="1">
        <v>7.0</v>
      </c>
      <c r="C7495" s="1" t="s">
        <v>21993</v>
      </c>
      <c r="D7495" s="1" t="s">
        <v>8</v>
      </c>
      <c r="E7495" s="1" t="s">
        <v>21994</v>
      </c>
      <c r="F7495" s="1" t="str">
        <f>IFERROR(__xludf.DUMMYFUNCTION("GOOGLETRANSLATE(A7495, ""zh-CN"", ""ko"")"),"두려움")</f>
        <v>두려움</v>
      </c>
    </row>
    <row r="7496" ht="15.75" customHeight="1">
      <c r="A7496" s="1" t="s">
        <v>21995</v>
      </c>
      <c r="B7496" s="1">
        <v>7.0</v>
      </c>
      <c r="C7496" s="1" t="s">
        <v>21996</v>
      </c>
      <c r="D7496" s="1" t="s">
        <v>16</v>
      </c>
      <c r="E7496" s="1" t="s">
        <v>21997</v>
      </c>
      <c r="F7496" s="1" t="str">
        <f>IFERROR(__xludf.DUMMYFUNCTION("GOOGLETRANSLATE(A7496, ""zh-CN"", ""ko"")"),"전기")</f>
        <v>전기</v>
      </c>
    </row>
    <row r="7497" ht="15.75" customHeight="1">
      <c r="A7497" s="1" t="s">
        <v>21998</v>
      </c>
      <c r="B7497" s="1">
        <v>7.0</v>
      </c>
      <c r="C7497" s="1" t="s">
        <v>21999</v>
      </c>
      <c r="D7497" s="1" t="s">
        <v>16</v>
      </c>
      <c r="E7497" s="1" t="s">
        <v>22000</v>
      </c>
      <c r="F7497" s="1" t="str">
        <f>IFERROR(__xludf.DUMMYFUNCTION("GOOGLETRANSLATE(A7497, ""zh-CN"", ""ko"")"),"그는 죽기 전에")</f>
        <v>그는 죽기 전에</v>
      </c>
    </row>
    <row r="7498" ht="15.75" customHeight="1">
      <c r="A7498" s="1" t="s">
        <v>22001</v>
      </c>
      <c r="B7498" s="1">
        <v>7.0</v>
      </c>
      <c r="C7498" s="1" t="s">
        <v>22002</v>
      </c>
      <c r="D7498" s="1" t="s">
        <v>15011</v>
      </c>
      <c r="E7498" s="1" t="s">
        <v>22003</v>
      </c>
      <c r="F7498" s="1" t="str">
        <f>IFERROR(__xludf.DUMMYFUNCTION("GOOGLETRANSLATE(A7498, ""zh-CN"", ""ko"")"),"삶과 죽음")</f>
        <v>삶과 죽음</v>
      </c>
    </row>
    <row r="7499" ht="15.75" customHeight="1">
      <c r="A7499" s="1" t="s">
        <v>22004</v>
      </c>
      <c r="B7499" s="1">
        <v>7.0</v>
      </c>
      <c r="C7499" s="1" t="s">
        <v>22005</v>
      </c>
      <c r="D7499" s="1" t="s">
        <v>16</v>
      </c>
      <c r="E7499" s="1" t="s">
        <v>22006</v>
      </c>
      <c r="F7499" s="1" t="str">
        <f>IFERROR(__xludf.DUMMYFUNCTION("GOOGLETRANSLATE(A7499, ""zh-CN"", ""ko"")"),"명성")</f>
        <v>명성</v>
      </c>
    </row>
    <row r="7500" ht="15.75" customHeight="1">
      <c r="A7500" s="1" t="s">
        <v>22007</v>
      </c>
      <c r="B7500" s="1">
        <v>7.0</v>
      </c>
      <c r="C7500" s="1" t="s">
        <v>22008</v>
      </c>
      <c r="D7500" s="1" t="s">
        <v>16</v>
      </c>
      <c r="E7500" s="1" t="s">
        <v>22009</v>
      </c>
      <c r="F7500" s="1" t="str">
        <f>IFERROR(__xludf.DUMMYFUNCTION("GOOGLETRANSLATE(A7500, ""zh-CN"", ""ko"")"),"직업")</f>
        <v>직업</v>
      </c>
    </row>
    <row r="7501" ht="15.75" customHeight="1">
      <c r="A7501" s="1" t="s">
        <v>22010</v>
      </c>
      <c r="B7501" s="1">
        <v>7.0</v>
      </c>
      <c r="C7501" s="1" t="s">
        <v>22011</v>
      </c>
      <c r="D7501" s="1" t="s">
        <v>52</v>
      </c>
      <c r="E7501" s="1" t="s">
        <v>22012</v>
      </c>
      <c r="F7501" s="1" t="str">
        <f>IFERROR(__xludf.DUMMYFUNCTION("GOOGLETRANSLATE(A7501, ""zh-CN"", ""ko"")"),"뻣뻣한")</f>
        <v>뻣뻣한</v>
      </c>
    </row>
    <row r="7502" ht="15.75" customHeight="1">
      <c r="A7502" s="1" t="s">
        <v>22013</v>
      </c>
      <c r="B7502" s="1">
        <v>7.0</v>
      </c>
      <c r="C7502" s="1" t="s">
        <v>22014</v>
      </c>
      <c r="D7502" s="1" t="s">
        <v>8</v>
      </c>
      <c r="E7502" s="1" t="s">
        <v>22015</v>
      </c>
      <c r="F7502" s="1" t="str">
        <f>IFERROR(__xludf.DUMMYFUNCTION("GOOGLETRANSLATE(A7502, ""zh-CN"", ""ko"")"),"감사")</f>
        <v>감사</v>
      </c>
    </row>
    <row r="7503" ht="15.75" customHeight="1">
      <c r="A7503" s="1" t="s">
        <v>22016</v>
      </c>
      <c r="B7503" s="1">
        <v>7.0</v>
      </c>
      <c r="C7503" s="1" t="s">
        <v>22017</v>
      </c>
      <c r="D7503" s="1" t="s">
        <v>14735</v>
      </c>
      <c r="E7503" s="1" t="s">
        <v>22018</v>
      </c>
      <c r="F7503" s="1" t="str">
        <f>IFERROR(__xludf.DUMMYFUNCTION("GOOGLETRANSLATE(A7503, ""zh-CN"", ""ko"")"),"번거로움을 줄이세요")</f>
        <v>번거로움을 줄이세요</v>
      </c>
    </row>
    <row r="7504" ht="15.75" customHeight="1">
      <c r="A7504" s="1" t="s">
        <v>22019</v>
      </c>
      <c r="B7504" s="1">
        <v>7.0</v>
      </c>
      <c r="C7504" s="1" t="s">
        <v>22020</v>
      </c>
      <c r="D7504" s="1" t="s">
        <v>8</v>
      </c>
      <c r="E7504" s="1" t="s">
        <v>22021</v>
      </c>
      <c r="F7504" s="1" t="str">
        <f>IFERROR(__xludf.DUMMYFUNCTION("GOOGLETRANSLATE(A7504, ""zh-CN"", ""ko"")"),"이기다")</f>
        <v>이기다</v>
      </c>
    </row>
    <row r="7505" ht="15.75" customHeight="1">
      <c r="A7505" s="1" t="s">
        <v>22022</v>
      </c>
      <c r="B7505" s="1">
        <v>7.0</v>
      </c>
      <c r="C7505" s="1" t="s">
        <v>22023</v>
      </c>
      <c r="D7505" s="1" t="s">
        <v>52</v>
      </c>
      <c r="E7505" s="1" t="s">
        <v>22024</v>
      </c>
      <c r="F7505" s="1" t="str">
        <f>IFERROR(__xludf.DUMMYFUNCTION("GOOGLETRANSLATE(A7505, ""zh-CN"", ""ko"")"),"멋진")</f>
        <v>멋진</v>
      </c>
    </row>
    <row r="7506" ht="15.75" customHeight="1">
      <c r="A7506" s="1" t="s">
        <v>22025</v>
      </c>
      <c r="B7506" s="1">
        <v>7.0</v>
      </c>
      <c r="C7506" s="1" t="s">
        <v>22026</v>
      </c>
      <c r="D7506" s="1" t="s">
        <v>16</v>
      </c>
      <c r="E7506" s="1" t="s">
        <v>22027</v>
      </c>
      <c r="F7506" s="1" t="str">
        <f>IFERROR(__xludf.DUMMYFUNCTION("GOOGLETRANSLATE(A7506, ""zh-CN"", ""ko"")"),"대규모 행사")</f>
        <v>대규모 행사</v>
      </c>
    </row>
    <row r="7507" ht="15.75" customHeight="1">
      <c r="A7507" s="1" t="s">
        <v>22028</v>
      </c>
      <c r="B7507" s="1">
        <v>7.0</v>
      </c>
      <c r="C7507" s="1" t="s">
        <v>22029</v>
      </c>
      <c r="E7507" s="1" t="s">
        <v>22030</v>
      </c>
      <c r="F7507" s="1" t="str">
        <f>IFERROR(__xludf.DUMMYFUNCTION("GOOGLETRANSLATE(A7507, ""zh-CN"", ""ko"")"),"지배적인")</f>
        <v>지배적인</v>
      </c>
    </row>
    <row r="7508" ht="15.75" customHeight="1">
      <c r="A7508" s="1" t="s">
        <v>22031</v>
      </c>
      <c r="B7508" s="1">
        <v>7.0</v>
      </c>
      <c r="C7508" s="1" t="s">
        <v>22032</v>
      </c>
      <c r="D7508" s="1" t="s">
        <v>8</v>
      </c>
      <c r="E7508" s="1" t="s">
        <v>22033</v>
      </c>
      <c r="F7508" s="1" t="str">
        <f>IFERROR(__xludf.DUMMYFUNCTION("GOOGLETRANSLATE(A7508, ""zh-CN"", ""ko"")"),"능숙한")</f>
        <v>능숙한</v>
      </c>
    </row>
    <row r="7509" ht="15.75" customHeight="1">
      <c r="A7509" s="1" t="s">
        <v>22034</v>
      </c>
      <c r="B7509" s="1">
        <v>7.0</v>
      </c>
      <c r="C7509" s="1" t="s">
        <v>22035</v>
      </c>
      <c r="D7509" s="1" t="s">
        <v>16</v>
      </c>
      <c r="E7509" s="1" t="s">
        <v>22036</v>
      </c>
      <c r="F7509" s="1" t="str">
        <f>IFERROR(__xludf.DUMMYFUNCTION("GOOGLETRANSLATE(A7509, ""zh-CN"", ""ko"")"),"한여름")</f>
        <v>한여름</v>
      </c>
    </row>
    <row r="7510" ht="15.75" customHeight="1">
      <c r="A7510" s="1" t="s">
        <v>22037</v>
      </c>
      <c r="B7510" s="1">
        <v>7.0</v>
      </c>
      <c r="C7510" s="1" t="s">
        <v>22038</v>
      </c>
      <c r="D7510" s="1" t="s">
        <v>16</v>
      </c>
      <c r="E7510" s="1" t="s">
        <v>22039</v>
      </c>
      <c r="F7510" s="1" t="str">
        <f>IFERROR(__xludf.DUMMYFUNCTION("GOOGLETRANSLATE(A7510, ""zh-CN"", ""ko"")"),"현자들")</f>
        <v>현자들</v>
      </c>
    </row>
    <row r="7511" ht="15.75" customHeight="1">
      <c r="A7511" s="1" t="s">
        <v>22040</v>
      </c>
      <c r="B7511" s="1">
        <v>7.0</v>
      </c>
      <c r="C7511" s="1" t="s">
        <v>22041</v>
      </c>
      <c r="D7511" s="1" t="s">
        <v>16</v>
      </c>
      <c r="E7511" s="1" t="s">
        <v>22042</v>
      </c>
      <c r="F7511" s="1" t="str">
        <f>IFERROR(__xludf.DUMMYFUNCTION("GOOGLETRANSLATE(A7511, ""zh-CN"", ""ko"")"),"잔치")</f>
        <v>잔치</v>
      </c>
    </row>
    <row r="7512" ht="15.75" customHeight="1">
      <c r="A7512" s="1" t="s">
        <v>22043</v>
      </c>
      <c r="B7512" s="1">
        <v>7.0</v>
      </c>
      <c r="C7512" s="1" t="s">
        <v>22044</v>
      </c>
      <c r="D7512" s="1" t="s">
        <v>8</v>
      </c>
      <c r="E7512" s="1" t="s">
        <v>22045</v>
      </c>
      <c r="F7512" s="1" t="str">
        <f>IFERROR(__xludf.DUMMYFUNCTION("GOOGLETRANSLATE(A7512, ""zh-CN"", ""ko"")"),"잃어버린")</f>
        <v>잃어버린</v>
      </c>
    </row>
    <row r="7513" ht="15.75" customHeight="1">
      <c r="A7513" s="1" t="s">
        <v>22046</v>
      </c>
      <c r="B7513" s="1">
        <v>7.0</v>
      </c>
      <c r="C7513" s="1" t="s">
        <v>22047</v>
      </c>
      <c r="D7513" s="1" t="s">
        <v>16</v>
      </c>
      <c r="E7513" s="1" t="s">
        <v>22048</v>
      </c>
      <c r="F7513" s="1" t="str">
        <f>IFERROR(__xludf.DUMMYFUNCTION("GOOGLETRANSLATE(A7513, ""zh-CN"", ""ko"")"),"습지")</f>
        <v>습지</v>
      </c>
    </row>
    <row r="7514" ht="15.75" customHeight="1">
      <c r="A7514" s="1" t="s">
        <v>22049</v>
      </c>
      <c r="B7514" s="1">
        <v>7.0</v>
      </c>
      <c r="C7514" s="1" t="s">
        <v>22050</v>
      </c>
      <c r="E7514" s="1" t="s">
        <v>22051</v>
      </c>
      <c r="F7514" s="1" t="str">
        <f>IFERROR(__xludf.DUMMYFUNCTION("GOOGLETRANSLATE(A7514, ""zh-CN"", ""ko"")"),"건설")</f>
        <v>건설</v>
      </c>
    </row>
    <row r="7515" ht="15.75" customHeight="1">
      <c r="A7515" s="1" t="s">
        <v>22052</v>
      </c>
      <c r="B7515" s="1">
        <v>7.0</v>
      </c>
      <c r="C7515" s="1" t="s">
        <v>22053</v>
      </c>
      <c r="D7515" s="1" t="s">
        <v>8</v>
      </c>
      <c r="E7515" s="1" t="s">
        <v>22054</v>
      </c>
      <c r="F7515" s="1" t="str">
        <f>IFERROR(__xludf.DUMMYFUNCTION("GOOGLETRANSLATE(A7515, ""zh-CN"", ""ko"")"),"통제 불능")</f>
        <v>통제 불능</v>
      </c>
    </row>
    <row r="7516" ht="15.75" customHeight="1">
      <c r="A7516" s="1" t="s">
        <v>22055</v>
      </c>
      <c r="B7516" s="1">
        <v>7.0</v>
      </c>
      <c r="C7516" s="1" t="s">
        <v>22056</v>
      </c>
      <c r="D7516" s="1" t="s">
        <v>8</v>
      </c>
      <c r="E7516" s="1" t="s">
        <v>22057</v>
      </c>
      <c r="F7516" s="1" t="str">
        <f>IFERROR(__xludf.DUMMYFUNCTION("GOOGLETRANSLATE(A7516, ""zh-CN"", ""ko"")"),"무례한")</f>
        <v>무례한</v>
      </c>
    </row>
    <row r="7517" ht="15.75" customHeight="1">
      <c r="A7517" s="1" t="s">
        <v>22058</v>
      </c>
      <c r="B7517" s="1">
        <v>7.0</v>
      </c>
      <c r="C7517" s="1" t="s">
        <v>22059</v>
      </c>
      <c r="D7517" s="1" t="s">
        <v>8</v>
      </c>
      <c r="E7517" s="1" t="s">
        <v>22060</v>
      </c>
      <c r="F7517" s="1" t="str">
        <f>IFERROR(__xludf.DUMMYFUNCTION("GOOGLETRANSLATE(A7517, ""zh-CN"", ""ko"")"),"손실")</f>
        <v>손실</v>
      </c>
    </row>
    <row r="7518" ht="15.75" customHeight="1">
      <c r="A7518" s="1" t="s">
        <v>22061</v>
      </c>
      <c r="B7518" s="1">
        <v>7.0</v>
      </c>
      <c r="C7518" s="1" t="s">
        <v>22062</v>
      </c>
      <c r="D7518" s="1" t="s">
        <v>8</v>
      </c>
      <c r="E7518" s="1" t="s">
        <v>22063</v>
      </c>
      <c r="F7518" s="1" t="str">
        <f>IFERROR(__xludf.DUMMYFUNCTION("GOOGLETRANSLATE(A7518, ""zh-CN"", ""ko"")"),"부조")</f>
        <v>부조</v>
      </c>
    </row>
    <row r="7519" ht="15.75" customHeight="1">
      <c r="A7519" s="1" t="s">
        <v>22064</v>
      </c>
      <c r="B7519" s="1">
        <v>7.0</v>
      </c>
      <c r="C7519" s="1" t="s">
        <v>22065</v>
      </c>
      <c r="D7519" s="1" t="s">
        <v>14735</v>
      </c>
      <c r="E7519" s="1" t="s">
        <v>22066</v>
      </c>
      <c r="F7519" s="1" t="str">
        <f>IFERROR(__xludf.DUMMYFUNCTION("GOOGLETRANSLATE(A7519, ""zh-CN"", ""ko"")"),"손실")</f>
        <v>손실</v>
      </c>
    </row>
    <row r="7520" ht="15.75" customHeight="1">
      <c r="A7520" s="1" t="s">
        <v>22067</v>
      </c>
      <c r="B7520" s="1">
        <v>7.0</v>
      </c>
      <c r="C7520" s="1" t="s">
        <v>22068</v>
      </c>
      <c r="D7520" s="1" t="s">
        <v>8</v>
      </c>
      <c r="E7520" s="1" t="s">
        <v>22069</v>
      </c>
      <c r="F7520" s="1" t="str">
        <f>IFERROR(__xludf.DUMMYFUNCTION("GOOGLETRANSLATE(A7520, ""zh-CN"", ""ko"")"),"맹목")</f>
        <v>맹목</v>
      </c>
    </row>
    <row r="7521" ht="15.75" customHeight="1">
      <c r="A7521" s="1" t="s">
        <v>22070</v>
      </c>
      <c r="B7521" s="1">
        <v>7.0</v>
      </c>
      <c r="C7521" s="1" t="s">
        <v>22071</v>
      </c>
      <c r="D7521" s="1" t="s">
        <v>8</v>
      </c>
      <c r="E7521" s="1" t="s">
        <v>22072</v>
      </c>
      <c r="F7521" s="1" t="str">
        <f>IFERROR(__xludf.DUMMYFUNCTION("GOOGLETRANSLATE(A7521, ""zh-CN"", ""ko"")"),"평정심 상실")</f>
        <v>평정심 상실</v>
      </c>
    </row>
    <row r="7522" ht="15.75" customHeight="1">
      <c r="A7522" s="1" t="s">
        <v>22073</v>
      </c>
      <c r="B7522" s="1">
        <v>7.0</v>
      </c>
      <c r="C7522" s="1" t="s">
        <v>22074</v>
      </c>
      <c r="D7522" s="1" t="s">
        <v>8</v>
      </c>
      <c r="E7522" s="1" t="s">
        <v>22075</v>
      </c>
      <c r="F7522" s="1" t="str">
        <f>IFERROR(__xludf.DUMMYFUNCTION("GOOGLETRANSLATE(A7522, ""zh-CN"", ""ko"")"),"실패")</f>
        <v>실패</v>
      </c>
    </row>
    <row r="7523" ht="15.75" customHeight="1">
      <c r="A7523" s="1" t="s">
        <v>22076</v>
      </c>
      <c r="B7523" s="1">
        <v>7.0</v>
      </c>
      <c r="C7523" s="1" t="s">
        <v>22077</v>
      </c>
      <c r="D7523" s="1" t="s">
        <v>8</v>
      </c>
      <c r="E7523" s="1" t="s">
        <v>22078</v>
      </c>
      <c r="F7523" s="1" t="str">
        <f>IFERROR(__xludf.DUMMYFUNCTION("GOOGLETRANSLATE(A7523, ""zh-CN"", ""ko"")"),"구현하다")</f>
        <v>구현하다</v>
      </c>
    </row>
    <row r="7524" ht="15.75" customHeight="1">
      <c r="A7524" s="1" t="s">
        <v>22079</v>
      </c>
      <c r="B7524" s="1">
        <v>7.0</v>
      </c>
      <c r="C7524" s="1" t="s">
        <v>22080</v>
      </c>
      <c r="D7524" s="1" t="s">
        <v>8</v>
      </c>
      <c r="E7524" s="1" t="s">
        <v>22081</v>
      </c>
      <c r="F7524" s="1" t="str">
        <f>IFERROR(__xludf.DUMMYFUNCTION("GOOGLETRANSLATE(A7524, ""zh-CN"", ""ko"")"),"압력을 가하다")</f>
        <v>압력을 가하다</v>
      </c>
    </row>
    <row r="7525" ht="15.75" customHeight="1">
      <c r="A7525" s="1" t="s">
        <v>22082</v>
      </c>
      <c r="B7525" s="1">
        <v>7.0</v>
      </c>
      <c r="C7525" s="1" t="s">
        <v>22083</v>
      </c>
      <c r="D7525" s="1" t="s">
        <v>16</v>
      </c>
      <c r="E7525" s="1" t="s">
        <v>22084</v>
      </c>
      <c r="F7525" s="1" t="str">
        <f>IFERROR(__xludf.DUMMYFUNCTION("GOOGLETRANSLATE(A7525, ""zh-CN"", ""ko"")"),"사단장")</f>
        <v>사단장</v>
      </c>
    </row>
    <row r="7526" ht="15.75" customHeight="1">
      <c r="A7526" s="1" t="s">
        <v>22085</v>
      </c>
      <c r="B7526" s="1">
        <v>7.0</v>
      </c>
      <c r="C7526" s="1" t="s">
        <v>22086</v>
      </c>
      <c r="D7526" s="1" t="s">
        <v>16</v>
      </c>
      <c r="E7526" s="1" t="s">
        <v>22087</v>
      </c>
      <c r="F7526" s="1" t="str">
        <f>IFERROR(__xludf.DUMMYFUNCTION("GOOGLETRANSLATE(A7526, ""zh-CN"", ""ko"")"),"학부")</f>
        <v>학부</v>
      </c>
    </row>
    <row r="7527" ht="15.75" customHeight="1">
      <c r="A7527" s="1" t="s">
        <v>22088</v>
      </c>
      <c r="B7527" s="1">
        <v>7.0</v>
      </c>
      <c r="C7527" s="1" t="s">
        <v>22089</v>
      </c>
      <c r="D7527" s="1" t="s">
        <v>33</v>
      </c>
      <c r="E7527" s="1" t="s">
        <v>22090</v>
      </c>
      <c r="F7527" s="1" t="str">
        <f>IFERROR(__xludf.DUMMYFUNCTION("GOOGLETRANSLATE(A7527, ""zh-CN"", ""ko"")"),"현장")</f>
        <v>현장</v>
      </c>
    </row>
    <row r="7528" ht="15.75" customHeight="1">
      <c r="A7528" s="1" t="s">
        <v>22091</v>
      </c>
      <c r="B7528" s="1">
        <v>7.0</v>
      </c>
      <c r="C7528" s="1" t="s">
        <v>22092</v>
      </c>
      <c r="D7528" s="1" t="s">
        <v>16</v>
      </c>
      <c r="E7528" s="1" t="s">
        <v>22093</v>
      </c>
      <c r="F7528" s="1" t="str">
        <f>IFERROR(__xludf.DUMMYFUNCTION("GOOGLETRANSLATE(A7528, ""zh-CN"", ""ko"")"),"기간")</f>
        <v>기간</v>
      </c>
    </row>
    <row r="7529" ht="15.75" customHeight="1">
      <c r="A7529" s="1" t="s">
        <v>22094</v>
      </c>
      <c r="B7529" s="1">
        <v>7.0</v>
      </c>
      <c r="C7529" s="1" t="s">
        <v>22095</v>
      </c>
      <c r="E7529" s="1" t="s">
        <v>22096</v>
      </c>
      <c r="F7529" s="1" t="str">
        <f>IFERROR(__xludf.DUMMYFUNCTION("GOOGLETRANSLATE(A7529, ""zh-CN"", ""ko"")"),"시간")</f>
        <v>시간</v>
      </c>
    </row>
    <row r="7530" ht="15.75" customHeight="1">
      <c r="A7530" s="1" t="s">
        <v>22097</v>
      </c>
      <c r="B7530" s="1">
        <v>7.0</v>
      </c>
      <c r="C7530" s="1" t="s">
        <v>22098</v>
      </c>
      <c r="E7530" s="1" t="s">
        <v>22099</v>
      </c>
      <c r="F7530" s="1" t="str">
        <f>IFERROR(__xludf.DUMMYFUNCTION("GOOGLETRANSLATE(A7530, ""zh-CN"", ""ko"")"),"좋은 것과 나쁜 것")</f>
        <v>좋은 것과 나쁜 것</v>
      </c>
    </row>
    <row r="7531" ht="15.75" customHeight="1">
      <c r="A7531" s="1" t="s">
        <v>22100</v>
      </c>
      <c r="B7531" s="1">
        <v>7.0</v>
      </c>
      <c r="C7531" s="1" t="s">
        <v>22101</v>
      </c>
      <c r="E7531" s="1" t="s">
        <v>22102</v>
      </c>
      <c r="F7531" s="1" t="str">
        <f>IFERROR(__xludf.DUMMYFUNCTION("GOOGLETRANSLATE(A7531, ""zh-CN"", ""ko"")"),"솔직히 말해서")</f>
        <v>솔직히 말해서</v>
      </c>
    </row>
    <row r="7532" ht="15.75" customHeight="1">
      <c r="A7532" s="1" t="s">
        <v>22103</v>
      </c>
      <c r="B7532" s="1">
        <v>7.0</v>
      </c>
      <c r="C7532" s="1" t="s">
        <v>22104</v>
      </c>
      <c r="D7532" s="1" t="s">
        <v>16</v>
      </c>
      <c r="E7532" s="1" t="s">
        <v>1244</v>
      </c>
      <c r="F7532" s="1" t="str">
        <f>IFERROR(__xludf.DUMMYFUNCTION("GOOGLETRANSLATE(A7532, ""zh-CN"", ""ko"")"),"계절")</f>
        <v>계절</v>
      </c>
    </row>
    <row r="7533" ht="15.75" customHeight="1">
      <c r="A7533" s="1" t="s">
        <v>22105</v>
      </c>
      <c r="B7533" s="1">
        <v>7.0</v>
      </c>
      <c r="C7533" s="1" t="s">
        <v>22106</v>
      </c>
      <c r="D7533" s="1" t="s">
        <v>16</v>
      </c>
      <c r="E7533" s="1" t="s">
        <v>22107</v>
      </c>
      <c r="F7533" s="1" t="str">
        <f>IFERROR(__xludf.DUMMYFUNCTION("GOOGLETRANSLATE(A7533, ""zh-CN"", ""ko"")"),"시간과 공간")</f>
        <v>시간과 공간</v>
      </c>
    </row>
    <row r="7534" ht="15.75" customHeight="1">
      <c r="A7534" s="1" t="s">
        <v>22108</v>
      </c>
      <c r="B7534" s="1">
        <v>7.0</v>
      </c>
      <c r="C7534" s="1" t="s">
        <v>22109</v>
      </c>
      <c r="D7534" s="1" t="s">
        <v>16</v>
      </c>
      <c r="E7534" s="1" t="s">
        <v>22110</v>
      </c>
      <c r="F7534" s="1" t="str">
        <f>IFERROR(__xludf.DUMMYFUNCTION("GOOGLETRANSLATE(A7534, ""zh-CN"", ""ko"")"),"살다")</f>
        <v>살다</v>
      </c>
    </row>
    <row r="7535" ht="15.75" customHeight="1">
      <c r="A7535" s="1" t="s">
        <v>22111</v>
      </c>
      <c r="B7535" s="1">
        <v>7.0</v>
      </c>
      <c r="C7535" s="1" t="s">
        <v>22112</v>
      </c>
      <c r="D7535" s="1" t="s">
        <v>33</v>
      </c>
      <c r="E7535" s="1" t="s">
        <v>22113</v>
      </c>
      <c r="F7535" s="1" t="str">
        <f>IFERROR(__xludf.DUMMYFUNCTION("GOOGLETRANSLATE(A7535, ""zh-CN"", ""ko"")"),"매번")</f>
        <v>매번</v>
      </c>
    </row>
    <row r="7536" ht="15.75" customHeight="1">
      <c r="A7536" s="1" t="s">
        <v>22114</v>
      </c>
      <c r="B7536" s="1">
        <v>7.0</v>
      </c>
      <c r="C7536" s="1" t="s">
        <v>22115</v>
      </c>
      <c r="D7536" s="1" t="s">
        <v>16</v>
      </c>
      <c r="E7536" s="1" t="s">
        <v>22116</v>
      </c>
      <c r="F7536" s="1" t="str">
        <f>IFERROR(__xludf.DUMMYFUNCTION("GOOGLETRANSLATE(A7536, ""zh-CN"", ""ko"")"),"음식 및 숙박")</f>
        <v>음식 및 숙박</v>
      </c>
    </row>
    <row r="7537" ht="15.75" customHeight="1">
      <c r="A7537" s="1" t="s">
        <v>22117</v>
      </c>
      <c r="B7537" s="1">
        <v>7.0</v>
      </c>
      <c r="C7537" s="1" t="s">
        <v>22118</v>
      </c>
      <c r="D7537" s="1" t="s">
        <v>16</v>
      </c>
      <c r="E7537" s="1" t="s">
        <v>22119</v>
      </c>
      <c r="F7537" s="1" t="str">
        <f>IFERROR(__xludf.DUMMYFUNCTION("GOOGLETRANSLATE(A7537, ""zh-CN"", ""ko"")"),"실재")</f>
        <v>실재</v>
      </c>
    </row>
    <row r="7538" ht="15.75" customHeight="1">
      <c r="A7538" s="1" t="s">
        <v>22120</v>
      </c>
      <c r="B7538" s="1">
        <v>7.0</v>
      </c>
      <c r="C7538" s="1" t="s">
        <v>6045</v>
      </c>
      <c r="D7538" s="1" t="s">
        <v>16</v>
      </c>
      <c r="E7538" s="1" t="s">
        <v>22121</v>
      </c>
      <c r="F7538" s="1" t="str">
        <f>IFERROR(__xludf.DUMMYFUNCTION("GOOGLETRANSLATE(A7538, ""zh-CN"", ""ko"")"),"물리적 객체")</f>
        <v>물리적 객체</v>
      </c>
    </row>
    <row r="7539" ht="15.75" customHeight="1">
      <c r="A7539" s="1" t="s">
        <v>22122</v>
      </c>
      <c r="B7539" s="1">
        <v>7.0</v>
      </c>
      <c r="C7539" s="1" t="s">
        <v>22123</v>
      </c>
      <c r="D7539" s="1" t="s">
        <v>16</v>
      </c>
      <c r="E7539" s="1" t="s">
        <v>22124</v>
      </c>
      <c r="F7539" s="1" t="str">
        <f>IFERROR(__xludf.DUMMYFUNCTION("GOOGLETRANSLATE(A7539, ""zh-CN"", ""ko"")"),"패션")</f>
        <v>패션</v>
      </c>
    </row>
    <row r="7540" ht="15.75" customHeight="1">
      <c r="A7540" s="1" t="s">
        <v>22125</v>
      </c>
      <c r="B7540" s="1">
        <v>7.0</v>
      </c>
      <c r="C7540" s="1" t="s">
        <v>2910</v>
      </c>
      <c r="D7540" s="1" t="s">
        <v>16</v>
      </c>
      <c r="E7540" s="1" t="s">
        <v>22126</v>
      </c>
      <c r="F7540" s="1" t="str">
        <f>IFERROR(__xludf.DUMMYFUNCTION("GOOGLETRANSLATE(A7540, ""zh-CN"", ""ko"")"),"똥")</f>
        <v>똥</v>
      </c>
    </row>
    <row r="7541" ht="15.75" customHeight="1">
      <c r="A7541" s="1" t="s">
        <v>22127</v>
      </c>
      <c r="B7541" s="1">
        <v>7.0</v>
      </c>
      <c r="C7541" s="1" t="s">
        <v>22128</v>
      </c>
      <c r="D7541" s="1" t="s">
        <v>8</v>
      </c>
      <c r="E7541" s="1" t="s">
        <v>22129</v>
      </c>
      <c r="F7541" s="1" t="str">
        <f>IFERROR(__xludf.DUMMYFUNCTION("GOOGLETRANSLATE(A7541, ""zh-CN"", ""ko"")"),"핸들")</f>
        <v>핸들</v>
      </c>
    </row>
    <row r="7542" ht="15.75" customHeight="1">
      <c r="A7542" s="1" t="s">
        <v>22130</v>
      </c>
      <c r="B7542" s="1">
        <v>7.0</v>
      </c>
      <c r="C7542" s="1" t="s">
        <v>22131</v>
      </c>
      <c r="E7542" s="1" t="s">
        <v>22132</v>
      </c>
      <c r="F7542" s="1" t="str">
        <f>IFERROR(__xludf.DUMMYFUNCTION("GOOGLETRANSLATE(A7542, ""zh-CN"", ""ko"")"),"전례 없는")</f>
        <v>전례 없는</v>
      </c>
    </row>
    <row r="7543" ht="15.75" customHeight="1">
      <c r="A7543" s="1" t="s">
        <v>22133</v>
      </c>
      <c r="B7543" s="1">
        <v>7.0</v>
      </c>
      <c r="C7543" s="1" t="s">
        <v>22134</v>
      </c>
      <c r="D7543" s="1" t="s">
        <v>16</v>
      </c>
      <c r="E7543" s="1" t="s">
        <v>22135</v>
      </c>
      <c r="F7543" s="1" t="str">
        <f>IFERROR(__xludf.DUMMYFUNCTION("GOOGLETRANSLATE(A7543, ""zh-CN"", ""ko"")"),"전령")</f>
        <v>전령</v>
      </c>
    </row>
    <row r="7544" ht="15.75" customHeight="1">
      <c r="A7544" s="1" t="s">
        <v>22136</v>
      </c>
      <c r="B7544" s="1">
        <v>7.0</v>
      </c>
      <c r="C7544" s="1" t="s">
        <v>22137</v>
      </c>
      <c r="E7544" s="1" t="s">
        <v>22138</v>
      </c>
      <c r="F7544" s="1" t="str">
        <f>IFERROR(__xludf.DUMMYFUNCTION("GOOGLETRANSLATE(A7544, ""zh-CN"", ""ko"")"),"멈출 수 없는")</f>
        <v>멈출 수 없는</v>
      </c>
    </row>
    <row r="7545" ht="15.75" customHeight="1">
      <c r="A7545" s="1" t="s">
        <v>22139</v>
      </c>
      <c r="B7545" s="1">
        <v>7.0</v>
      </c>
      <c r="C7545" s="1" t="s">
        <v>22140</v>
      </c>
      <c r="D7545" s="1" t="s">
        <v>8</v>
      </c>
      <c r="E7545" s="1" t="s">
        <v>22141</v>
      </c>
      <c r="F7545" s="1" t="str">
        <f>IFERROR(__xludf.DUMMYFUNCTION("GOOGLETRANSLATE(A7545, ""zh-CN"", ""ko"")"),"점검")</f>
        <v>점검</v>
      </c>
    </row>
    <row r="7546" ht="15.75" customHeight="1">
      <c r="A7546" s="1" t="s">
        <v>22142</v>
      </c>
      <c r="B7546" s="1">
        <v>7.0</v>
      </c>
      <c r="C7546" s="1" t="s">
        <v>22143</v>
      </c>
      <c r="E7546" s="1" t="s">
        <v>22144</v>
      </c>
      <c r="F7546" s="1" t="str">
        <f>IFERROR(__xludf.DUMMYFUNCTION("GOOGLETRANSLATE(A7546, ""zh-CN"", ""ko"")"),"시장 경제")</f>
        <v>시장 경제</v>
      </c>
    </row>
    <row r="7547" ht="15.75" customHeight="1">
      <c r="A7547" s="1" t="s">
        <v>22145</v>
      </c>
      <c r="B7547" s="1">
        <v>7.0</v>
      </c>
      <c r="C7547" s="1" t="s">
        <v>22146</v>
      </c>
      <c r="D7547" s="1" t="s">
        <v>14870</v>
      </c>
      <c r="E7547" s="1" t="s">
        <v>22147</v>
      </c>
      <c r="F7547" s="1" t="str">
        <f>IFERROR(__xludf.DUMMYFUNCTION("GOOGLETRANSLATE(A7547, ""zh-CN"", ""ko"")"),"조종사")</f>
        <v>조종사</v>
      </c>
    </row>
    <row r="7548" ht="15.75" customHeight="1">
      <c r="A7548" s="1" t="s">
        <v>22148</v>
      </c>
      <c r="B7548" s="1">
        <v>7.0</v>
      </c>
      <c r="C7548" s="1" t="s">
        <v>22149</v>
      </c>
      <c r="D7548" s="1" t="s">
        <v>52</v>
      </c>
      <c r="E7548" s="1" t="s">
        <v>22150</v>
      </c>
      <c r="F7548" s="1" t="str">
        <f>IFERROR(__xludf.DUMMYFUNCTION("GOOGLETRANSLATE(A7548, ""zh-CN"", ""ko"")"),"속된 마음")</f>
        <v>속된 마음</v>
      </c>
    </row>
    <row r="7549" ht="15.75" customHeight="1">
      <c r="A7549" s="1" t="s">
        <v>22151</v>
      </c>
      <c r="B7549" s="1">
        <v>7.0</v>
      </c>
      <c r="C7549" s="1" t="s">
        <v>22152</v>
      </c>
      <c r="D7549" s="1" t="s">
        <v>16</v>
      </c>
      <c r="E7549" s="1" t="s">
        <v>22153</v>
      </c>
      <c r="F7549" s="1" t="str">
        <f>IFERROR(__xludf.DUMMYFUNCTION("GOOGLETRANSLATE(A7549, ""zh-CN"", ""ko"")"),"취미")</f>
        <v>취미</v>
      </c>
    </row>
    <row r="7550" ht="15.75" customHeight="1">
      <c r="A7550" s="1" t="s">
        <v>22154</v>
      </c>
      <c r="B7550" s="1">
        <v>7.0</v>
      </c>
      <c r="C7550" s="1" t="s">
        <v>22155</v>
      </c>
      <c r="D7550" s="1" t="s">
        <v>8</v>
      </c>
      <c r="E7550" s="1" t="s">
        <v>22156</v>
      </c>
      <c r="F7550" s="1" t="str">
        <f>IFERROR(__xludf.DUMMYFUNCTION("GOOGLETRANSLATE(A7550, ""zh-CN"", ""ko"")"),"제공하다")</f>
        <v>제공하다</v>
      </c>
    </row>
    <row r="7551" ht="15.75" customHeight="1">
      <c r="A7551" s="1" t="s">
        <v>22157</v>
      </c>
      <c r="B7551" s="1">
        <v>7.0</v>
      </c>
      <c r="C7551" s="1" t="s">
        <v>22158</v>
      </c>
      <c r="D7551" s="1" t="s">
        <v>16</v>
      </c>
      <c r="E7551" s="1" t="s">
        <v>22159</v>
      </c>
      <c r="F7551" s="1" t="str">
        <f>IFERROR(__xludf.DUMMYFUNCTION("GOOGLETRANSLATE(A7551, ""zh-CN"", ""ko"")"),"세계")</f>
        <v>세계</v>
      </c>
    </row>
    <row r="7552" ht="15.75" customHeight="1">
      <c r="A7552" s="1" t="s">
        <v>22160</v>
      </c>
      <c r="B7552" s="1">
        <v>7.0</v>
      </c>
      <c r="C7552" s="1" t="s">
        <v>22161</v>
      </c>
      <c r="D7552" s="1" t="s">
        <v>16</v>
      </c>
      <c r="E7552" s="1" t="s">
        <v>22162</v>
      </c>
      <c r="F7552" s="1" t="str">
        <f>IFERROR(__xludf.DUMMYFUNCTION("GOOGLETRANSLATE(A7552, ""zh-CN"", ""ko"")"),"관점")</f>
        <v>관점</v>
      </c>
    </row>
    <row r="7553" ht="15.75" customHeight="1">
      <c r="A7553" s="1" t="s">
        <v>22163</v>
      </c>
      <c r="B7553" s="1">
        <v>7.0</v>
      </c>
      <c r="C7553" s="1" t="s">
        <v>22164</v>
      </c>
      <c r="D7553" s="1" t="s">
        <v>52</v>
      </c>
      <c r="E7553" s="1" t="s">
        <v>22165</v>
      </c>
      <c r="F7553" s="1" t="str">
        <f>IFERROR(__xludf.DUMMYFUNCTION("GOOGLETRANSLATE(A7553, ""zh-CN"", ""ko"")"),"적절한 금액")</f>
        <v>적절한 금액</v>
      </c>
    </row>
    <row r="7554" ht="15.75" customHeight="1">
      <c r="A7554" s="1" t="s">
        <v>22166</v>
      </c>
      <c r="B7554" s="1">
        <v>7.0</v>
      </c>
      <c r="C7554" s="1" t="s">
        <v>22167</v>
      </c>
      <c r="D7554" s="1" t="s">
        <v>16</v>
      </c>
      <c r="E7554" s="1" t="s">
        <v>22168</v>
      </c>
      <c r="F7554" s="1" t="str">
        <f>IFERROR(__xludf.DUMMYFUNCTION("GOOGLETRANSLATE(A7554, ""zh-CN"", ""ko"")"),"사기")</f>
        <v>사기</v>
      </c>
    </row>
    <row r="7555" ht="15.75" customHeight="1">
      <c r="A7555" s="1" t="s">
        <v>22169</v>
      </c>
      <c r="B7555" s="1">
        <v>7.0</v>
      </c>
      <c r="C7555" s="1" t="s">
        <v>22170</v>
      </c>
      <c r="D7555" s="1" t="s">
        <v>16</v>
      </c>
      <c r="E7555" s="1" t="s">
        <v>22171</v>
      </c>
      <c r="F7555" s="1" t="str">
        <f>IFERROR(__xludf.DUMMYFUNCTION("GOOGLETRANSLATE(A7555, ""zh-CN"", ""ko"")"),"사람들")</f>
        <v>사람들</v>
      </c>
    </row>
    <row r="7556" ht="15.75" customHeight="1">
      <c r="A7556" s="1" t="s">
        <v>22172</v>
      </c>
      <c r="B7556" s="1">
        <v>7.0</v>
      </c>
      <c r="C7556" s="1" t="s">
        <v>6078</v>
      </c>
      <c r="D7556" s="1" t="s">
        <v>52</v>
      </c>
      <c r="E7556" s="1" t="s">
        <v>22173</v>
      </c>
      <c r="F7556" s="1" t="str">
        <f>IFERROR(__xludf.DUMMYFUNCTION("GOOGLETRANSLATE(A7556, ""zh-CN"", ""ko"")"),"때마침")</f>
        <v>때마침</v>
      </c>
    </row>
    <row r="7557" ht="15.75" customHeight="1">
      <c r="A7557" s="1" t="s">
        <v>22174</v>
      </c>
      <c r="B7557" s="1">
        <v>7.0</v>
      </c>
      <c r="C7557" s="1" t="s">
        <v>22175</v>
      </c>
      <c r="D7557" s="1" t="s">
        <v>8</v>
      </c>
      <c r="E7557" s="1" t="s">
        <v>22176</v>
      </c>
      <c r="F7557" s="1" t="str">
        <f>IFERROR(__xludf.DUMMYFUNCTION("GOOGLETRANSLATE(A7557, ""zh-CN"", ""ko"")"),"시험")</f>
        <v>시험</v>
      </c>
    </row>
    <row r="7558" ht="15.75" customHeight="1">
      <c r="A7558" s="1" t="s">
        <v>22177</v>
      </c>
      <c r="B7558" s="1">
        <v>7.0</v>
      </c>
      <c r="C7558" s="1" t="s">
        <v>22178</v>
      </c>
      <c r="D7558" s="1" t="s">
        <v>16</v>
      </c>
      <c r="E7558" s="1" t="s">
        <v>22179</v>
      </c>
      <c r="F7558" s="1" t="str">
        <f>IFERROR(__xludf.DUMMYFUNCTION("GOOGLETRANSLATE(A7558, ""zh-CN"", ""ko"")"),"기세")</f>
        <v>기세</v>
      </c>
    </row>
    <row r="7559" ht="15.75" customHeight="1">
      <c r="A7559" s="1" t="s">
        <v>22180</v>
      </c>
      <c r="B7559" s="1">
        <v>7.0</v>
      </c>
      <c r="C7559" s="1" t="s">
        <v>22181</v>
      </c>
      <c r="D7559" s="1" t="s">
        <v>16</v>
      </c>
      <c r="E7559" s="1" t="s">
        <v>22182</v>
      </c>
      <c r="F7559" s="1" t="str">
        <f>IFERROR(__xludf.DUMMYFUNCTION("GOOGLETRANSLATE(A7559, ""zh-CN"", ""ko"")"),"단단한")</f>
        <v>단단한</v>
      </c>
    </row>
    <row r="7560" ht="15.75" customHeight="1">
      <c r="A7560" s="1" t="s">
        <v>22183</v>
      </c>
      <c r="B7560" s="1">
        <v>7.0</v>
      </c>
      <c r="C7560" s="1" t="s">
        <v>22184</v>
      </c>
      <c r="D7560" s="1" t="s">
        <v>8</v>
      </c>
      <c r="E7560" s="1" t="s">
        <v>22185</v>
      </c>
      <c r="F7560" s="1" t="str">
        <f>IFERROR(__xludf.DUMMYFUNCTION("GOOGLETRANSLATE(A7560, ""zh-CN"", ""ko"")"),"재판")</f>
        <v>재판</v>
      </c>
    </row>
    <row r="7561" ht="15.75" customHeight="1">
      <c r="A7561" s="1" t="s">
        <v>22186</v>
      </c>
      <c r="B7561" s="1">
        <v>7.0</v>
      </c>
      <c r="C7561" s="1" t="s">
        <v>12279</v>
      </c>
      <c r="D7561" s="1" t="s">
        <v>16</v>
      </c>
      <c r="E7561" s="1" t="s">
        <v>22187</v>
      </c>
      <c r="F7561" s="1" t="str">
        <f>IFERROR(__xludf.DUMMYFUNCTION("GOOGLETRANSLATE(A7561, ""zh-CN"", ""ko"")"),"문제들")</f>
        <v>문제들</v>
      </c>
    </row>
    <row r="7562" ht="15.75" customHeight="1">
      <c r="A7562" s="1" t="s">
        <v>22188</v>
      </c>
      <c r="B7562" s="1">
        <v>7.0</v>
      </c>
      <c r="C7562" s="1" t="s">
        <v>22189</v>
      </c>
      <c r="D7562" s="1" t="s">
        <v>16</v>
      </c>
      <c r="E7562" s="1" t="s">
        <v>22190</v>
      </c>
      <c r="F7562" s="1" t="str">
        <f>IFERROR(__xludf.DUMMYFUNCTION("GOOGLETRANSLATE(A7562, ""zh-CN"", ""ko"")"),"시가총액")</f>
        <v>시가총액</v>
      </c>
    </row>
    <row r="7563" ht="15.75" customHeight="1">
      <c r="A7563" s="1" t="s">
        <v>22191</v>
      </c>
      <c r="B7563" s="1">
        <v>7.0</v>
      </c>
      <c r="C7563" s="1" t="s">
        <v>22192</v>
      </c>
      <c r="D7563" s="1" t="s">
        <v>16</v>
      </c>
      <c r="E7563" s="1" t="s">
        <v>22193</v>
      </c>
      <c r="F7563" s="1" t="str">
        <f>IFERROR(__xludf.DUMMYFUNCTION("GOOGLETRANSLATE(A7563, ""zh-CN"", ""ko"")"),"감")</f>
        <v>감</v>
      </c>
    </row>
    <row r="7564" ht="15.75" customHeight="1">
      <c r="A7564" s="1" t="s">
        <v>22194</v>
      </c>
      <c r="B7564" s="1">
        <v>7.0</v>
      </c>
      <c r="C7564" s="1" t="s">
        <v>22195</v>
      </c>
      <c r="D7564" s="1" t="s">
        <v>8</v>
      </c>
      <c r="E7564" s="1" t="s">
        <v>22196</v>
      </c>
      <c r="F7564" s="1" t="str">
        <f>IFERROR(__xludf.DUMMYFUNCTION("GOOGLETRANSLATE(A7564, ""zh-CN"", ""ko"")"),"다시 덮다")</f>
        <v>다시 덮다</v>
      </c>
    </row>
    <row r="7565" ht="15.75" customHeight="1">
      <c r="A7565" s="1" t="s">
        <v>22197</v>
      </c>
      <c r="B7565" s="1">
        <v>7.0</v>
      </c>
      <c r="C7565" s="1" t="s">
        <v>22198</v>
      </c>
      <c r="D7565" s="1" t="s">
        <v>8</v>
      </c>
      <c r="E7565" s="1" t="s">
        <v>22199</v>
      </c>
      <c r="F7565" s="1" t="str">
        <f>IFERROR(__xludf.DUMMYFUNCTION("GOOGLETRANSLATE(A7565, ""zh-CN"", ""ko"")"),"수확")</f>
        <v>수확</v>
      </c>
    </row>
    <row r="7566" ht="15.75" customHeight="1">
      <c r="A7566" s="1" t="s">
        <v>22200</v>
      </c>
      <c r="B7566" s="1">
        <v>7.0</v>
      </c>
      <c r="C7566" s="1" t="s">
        <v>22201</v>
      </c>
      <c r="D7566" s="1" t="s">
        <v>8</v>
      </c>
      <c r="E7566" s="1" t="s">
        <v>22202</v>
      </c>
      <c r="F7566" s="1" t="str">
        <f>IFERROR(__xludf.DUMMYFUNCTION("GOOGLETRANSLATE(A7566, ""zh-CN"", ""ko"")"),"수렴")</f>
        <v>수렴</v>
      </c>
    </row>
    <row r="7567" ht="15.75" customHeight="1">
      <c r="A7567" s="1" t="s">
        <v>22203</v>
      </c>
      <c r="B7567" s="1">
        <v>7.0</v>
      </c>
      <c r="C7567" s="1" t="s">
        <v>22204</v>
      </c>
      <c r="D7567" s="1" t="s">
        <v>8</v>
      </c>
      <c r="E7567" s="1" t="s">
        <v>22205</v>
      </c>
      <c r="F7567" s="1" t="str">
        <f>IFERROR(__xludf.DUMMYFUNCTION("GOOGLETRANSLATE(A7567, ""zh-CN"", ""ko"")"),"받아들이다")</f>
        <v>받아들이다</v>
      </c>
    </row>
    <row r="7568" ht="15.75" customHeight="1">
      <c r="A7568" s="1" t="s">
        <v>22206</v>
      </c>
      <c r="B7568" s="1">
        <v>7.0</v>
      </c>
      <c r="C7568" s="1" t="s">
        <v>22207</v>
      </c>
      <c r="D7568" s="1" t="s">
        <v>8</v>
      </c>
      <c r="E7568" s="1" t="s">
        <v>22208</v>
      </c>
      <c r="F7568" s="1" t="str">
        <f>IFERROR(__xludf.DUMMYFUNCTION("GOOGLETRANSLATE(A7568, ""zh-CN"", ""ko"")"),"구입하다")</f>
        <v>구입하다</v>
      </c>
    </row>
    <row r="7569" ht="15.75" customHeight="1">
      <c r="A7569" s="1" t="s">
        <v>22209</v>
      </c>
      <c r="B7569" s="1">
        <v>7.0</v>
      </c>
      <c r="C7569" s="1" t="s">
        <v>22210</v>
      </c>
      <c r="D7569" s="1" t="s">
        <v>16</v>
      </c>
      <c r="E7569" s="1" t="s">
        <v>22211</v>
      </c>
      <c r="F7569" s="1" t="str">
        <f>IFERROR(__xludf.DUMMYFUNCTION("GOOGLETRANSLATE(A7569, ""zh-CN"", ""ko"")"),"평가")</f>
        <v>평가</v>
      </c>
    </row>
    <row r="7570" ht="15.75" customHeight="1">
      <c r="A7570" s="1" t="s">
        <v>22212</v>
      </c>
      <c r="B7570" s="1">
        <v>7.0</v>
      </c>
      <c r="C7570" s="1" t="s">
        <v>22213</v>
      </c>
      <c r="D7570" s="1" t="s">
        <v>8</v>
      </c>
      <c r="E7570" s="1" t="s">
        <v>22214</v>
      </c>
      <c r="F7570" s="1" t="str">
        <f>IFERROR(__xludf.DUMMYFUNCTION("GOOGLETRANSLATE(A7570, ""zh-CN"", ""ko"")"),"양자")</f>
        <v>양자</v>
      </c>
    </row>
    <row r="7571" ht="15.75" customHeight="1">
      <c r="A7571" s="1" t="s">
        <v>22215</v>
      </c>
      <c r="B7571" s="1">
        <v>7.0</v>
      </c>
      <c r="C7571" s="1" t="s">
        <v>22216</v>
      </c>
      <c r="D7571" s="1" t="s">
        <v>16</v>
      </c>
      <c r="E7571" s="1" t="s">
        <v>22217</v>
      </c>
      <c r="F7571" s="1" t="str">
        <f>IFERROR(__xludf.DUMMYFUNCTION("GOOGLETRANSLATE(A7571, ""zh-CN"", ""ko"")"),"수입과 지출")</f>
        <v>수입과 지출</v>
      </c>
    </row>
    <row r="7572" ht="15.75" customHeight="1">
      <c r="A7572" s="1" t="s">
        <v>22218</v>
      </c>
      <c r="B7572" s="1">
        <v>7.0</v>
      </c>
      <c r="C7572" s="1" t="s">
        <v>22219</v>
      </c>
      <c r="D7572" s="1" t="s">
        <v>16</v>
      </c>
      <c r="E7572" s="1" t="s">
        <v>22220</v>
      </c>
      <c r="F7572" s="1" t="str">
        <f>IFERROR(__xludf.DUMMYFUNCTION("GOOGLETRANSLATE(A7572, ""zh-CN"", ""ko"")"),"수동")</f>
        <v>수동</v>
      </c>
    </row>
    <row r="7573" ht="15.75" customHeight="1">
      <c r="A7573" s="1" t="s">
        <v>22221</v>
      </c>
      <c r="B7573" s="1">
        <v>7.0</v>
      </c>
      <c r="C7573" s="1" t="s">
        <v>22222</v>
      </c>
      <c r="D7573" s="1" t="s">
        <v>8</v>
      </c>
      <c r="E7573" s="1" t="s">
        <v>22223</v>
      </c>
      <c r="F7573" s="1" t="str">
        <f>IFERROR(__xludf.DUMMYFUNCTION("GOOGLETRANSLATE(A7573, ""zh-CN"", ""ko"")"),"첫 번째")</f>
        <v>첫 번째</v>
      </c>
    </row>
    <row r="7574" ht="15.75" customHeight="1">
      <c r="A7574" s="1" t="s">
        <v>22224</v>
      </c>
      <c r="B7574" s="1">
        <v>7.0</v>
      </c>
      <c r="C7574" s="1" t="s">
        <v>22225</v>
      </c>
      <c r="D7574" s="1" t="s">
        <v>52</v>
      </c>
      <c r="E7574" s="1" t="s">
        <v>22226</v>
      </c>
      <c r="F7574" s="1" t="str">
        <f>IFERROR(__xludf.DUMMYFUNCTION("GOOGLETRANSLATE(A7574, ""zh-CN"", ""ko"")"),"수동")</f>
        <v>수동</v>
      </c>
    </row>
    <row r="7575" ht="15.75" customHeight="1">
      <c r="A7575" s="1" t="s">
        <v>22227</v>
      </c>
      <c r="B7575" s="1">
        <v>7.0</v>
      </c>
      <c r="C7575" s="1" t="s">
        <v>22228</v>
      </c>
      <c r="D7575" s="1" t="s">
        <v>16</v>
      </c>
      <c r="E7575" s="1" t="s">
        <v>22229</v>
      </c>
      <c r="F7575" s="1" t="str">
        <f>IFERROR(__xludf.DUMMYFUNCTION("GOOGLETRANSLATE(A7575, ""zh-CN"", ""ko"")"),"수도")</f>
        <v>수도</v>
      </c>
    </row>
    <row r="7576" ht="15.75" customHeight="1">
      <c r="A7576" s="1" t="s">
        <v>22230</v>
      </c>
      <c r="B7576" s="1">
        <v>7.0</v>
      </c>
      <c r="C7576" s="1" t="s">
        <v>22231</v>
      </c>
      <c r="D7576" s="1" t="s">
        <v>16</v>
      </c>
      <c r="E7576" s="1" t="s">
        <v>22232</v>
      </c>
      <c r="F7576" s="1" t="str">
        <f>IFERROR(__xludf.DUMMYFUNCTION("GOOGLETRANSLATE(A7576, ""zh-CN"", ""ko"")"),"계약금")</f>
        <v>계약금</v>
      </c>
    </row>
    <row r="7577" ht="15.75" customHeight="1">
      <c r="A7577" s="1" t="s">
        <v>22233</v>
      </c>
      <c r="B7577" s="1">
        <v>7.0</v>
      </c>
      <c r="C7577" s="1" t="s">
        <v>22234</v>
      </c>
      <c r="D7577" s="1" t="s">
        <v>8</v>
      </c>
      <c r="E7577" s="1" t="s">
        <v>22235</v>
      </c>
      <c r="F7577" s="1" t="str">
        <f>IFERROR(__xludf.DUMMYFUNCTION("GOOGLETRANSLATE(A7577, ""zh-CN"", ""ko"")"),"대기 중")</f>
        <v>대기 중</v>
      </c>
    </row>
    <row r="7578" ht="15.75" customHeight="1">
      <c r="A7578" s="1" t="s">
        <v>22236</v>
      </c>
      <c r="B7578" s="1">
        <v>7.0</v>
      </c>
      <c r="C7578" s="1" t="s">
        <v>22237</v>
      </c>
      <c r="D7578" s="1" t="s">
        <v>16</v>
      </c>
      <c r="E7578" s="1" t="s">
        <v>22238</v>
      </c>
      <c r="F7578" s="1" t="str">
        <f>IFERROR(__xludf.DUMMYFUNCTION("GOOGLETRANSLATE(A7578, ""zh-CN"", ""ko"")"),"손과 발")</f>
        <v>손과 발</v>
      </c>
    </row>
    <row r="7579" ht="15.75" customHeight="1">
      <c r="A7579" s="1" t="s">
        <v>22239</v>
      </c>
      <c r="B7579" s="1">
        <v>7.0</v>
      </c>
      <c r="C7579" s="1" t="s">
        <v>22240</v>
      </c>
      <c r="D7579" s="1" t="s">
        <v>16</v>
      </c>
      <c r="E7579" s="1" t="s">
        <v>22241</v>
      </c>
      <c r="F7579" s="1" t="str">
        <f>IFERROR(__xludf.DUMMYFUNCTION("GOOGLETRANSLATE(A7579, ""zh-CN"", ""ko"")"),"정상 회담")</f>
        <v>정상 회담</v>
      </c>
    </row>
    <row r="7580" ht="15.75" customHeight="1">
      <c r="A7580" s="1" t="s">
        <v>22242</v>
      </c>
      <c r="B7580" s="1">
        <v>7.0</v>
      </c>
      <c r="C7580" s="1" t="s">
        <v>22243</v>
      </c>
      <c r="D7580" s="1" t="s">
        <v>16</v>
      </c>
      <c r="E7580" s="1" t="s">
        <v>22244</v>
      </c>
      <c r="F7580" s="1" t="str">
        <f>IFERROR(__xludf.DUMMYFUNCTION("GOOGLETRANSLATE(A7580, ""zh-CN"", ""ko"")"),"손수건")</f>
        <v>손수건</v>
      </c>
    </row>
    <row r="7581" ht="15.75" customHeight="1">
      <c r="A7581" s="1" t="s">
        <v>22245</v>
      </c>
      <c r="B7581" s="1">
        <v>7.0</v>
      </c>
      <c r="C7581" s="1" t="s">
        <v>22246</v>
      </c>
      <c r="D7581" s="1" t="s">
        <v>52</v>
      </c>
      <c r="E7581" s="1" t="s">
        <v>22247</v>
      </c>
      <c r="F7581" s="1" t="str">
        <f>IFERROR(__xludf.DUMMYFUNCTION("GOOGLETRANSLATE(A7581, ""zh-CN"", ""ko"")"),"첫 번째 배치")</f>
        <v>첫 번째 배치</v>
      </c>
    </row>
    <row r="7582" ht="15.75" customHeight="1">
      <c r="A7582" s="1" t="s">
        <v>22248</v>
      </c>
      <c r="B7582" s="1">
        <v>7.0</v>
      </c>
      <c r="C7582" s="1" t="s">
        <v>22249</v>
      </c>
      <c r="D7582" s="1" t="s">
        <v>16</v>
      </c>
      <c r="E7582" s="1" t="s">
        <v>22250</v>
      </c>
      <c r="F7582" s="1" t="str">
        <f>IFERROR(__xludf.DUMMYFUNCTION("GOOGLETRANSLATE(A7582, ""zh-CN"", ""ko"")"),"권총")</f>
        <v>권총</v>
      </c>
    </row>
    <row r="7583" ht="15.75" customHeight="1">
      <c r="A7583" s="1" t="s">
        <v>22251</v>
      </c>
      <c r="B7583" s="1">
        <v>7.0</v>
      </c>
      <c r="C7583" s="1" t="s">
        <v>22252</v>
      </c>
      <c r="D7583" s="1" t="s">
        <v>16</v>
      </c>
      <c r="E7583" s="1" t="s">
        <v>22253</v>
      </c>
      <c r="F7583" s="1" t="str">
        <f>IFERROR(__xludf.DUMMYFUNCTION("GOOGLETRANSLATE(A7583, ""zh-CN"", ""ko"")"),"손에 들고")</f>
        <v>손에 들고</v>
      </c>
    </row>
    <row r="7584" ht="15.75" customHeight="1">
      <c r="A7584" s="1" t="s">
        <v>22254</v>
      </c>
      <c r="B7584" s="1">
        <v>7.0</v>
      </c>
      <c r="C7584" s="1" t="s">
        <v>22255</v>
      </c>
      <c r="D7584" s="1" t="s">
        <v>16</v>
      </c>
      <c r="E7584" s="1" t="s">
        <v>22256</v>
      </c>
      <c r="F7584" s="1" t="str">
        <f>IFERROR(__xludf.DUMMYFUNCTION("GOOGLETRANSLATE(A7584, ""zh-CN"", ""ko"")"),"손목")</f>
        <v>손목</v>
      </c>
    </row>
    <row r="7585" ht="15.75" customHeight="1">
      <c r="A7585" s="1" t="s">
        <v>22257</v>
      </c>
      <c r="B7585" s="1">
        <v>7.0</v>
      </c>
      <c r="C7585" s="1" t="s">
        <v>22258</v>
      </c>
      <c r="D7585" s="1" t="s">
        <v>15011</v>
      </c>
      <c r="E7585" s="1" t="s">
        <v>22259</v>
      </c>
      <c r="F7585" s="1" t="str">
        <f>IFERROR(__xludf.DUMMYFUNCTION("GOOGLETRANSLATE(A7585, ""zh-CN"", ""ko"")"),"셰프")</f>
        <v>셰프</v>
      </c>
    </row>
    <row r="7586" ht="15.75" customHeight="1">
      <c r="A7586" s="1" t="s">
        <v>22260</v>
      </c>
      <c r="B7586" s="1">
        <v>7.0</v>
      </c>
      <c r="C7586" s="1" t="s">
        <v>22261</v>
      </c>
      <c r="D7586" s="1" t="s">
        <v>8</v>
      </c>
      <c r="E7586" s="1" t="s">
        <v>22262</v>
      </c>
      <c r="F7586" s="1" t="str">
        <f>IFERROR(__xludf.DUMMYFUNCTION("GOOGLETRANSLATE(A7586, ""zh-CN"", ""ko"")"),"약속을 지키는 것")</f>
        <v>약속을 지키는 것</v>
      </c>
    </row>
    <row r="7587" ht="15.75" customHeight="1">
      <c r="A7587" s="1" t="s">
        <v>22263</v>
      </c>
      <c r="B7587" s="1">
        <v>7.0</v>
      </c>
      <c r="C7587" s="1" t="s">
        <v>22264</v>
      </c>
      <c r="D7587" s="1" t="s">
        <v>16</v>
      </c>
      <c r="E7587" s="1" t="s">
        <v>22265</v>
      </c>
      <c r="F7587" s="1" t="str">
        <f>IFERROR(__xludf.DUMMYFUNCTION("GOOGLETRANSLATE(A7587, ""zh-CN"", ""ko"")"),"손바닥 안에 감추다")</f>
        <v>손바닥 안에 감추다</v>
      </c>
    </row>
    <row r="7588" ht="15.75" customHeight="1">
      <c r="A7588" s="1" t="s">
        <v>22266</v>
      </c>
      <c r="B7588" s="1">
        <v>7.0</v>
      </c>
      <c r="C7588" s="1" t="s">
        <v>22267</v>
      </c>
      <c r="E7588" s="1" t="s">
        <v>22268</v>
      </c>
      <c r="F7588" s="1" t="str">
        <f>IFERROR(__xludf.DUMMYFUNCTION("GOOGLETRANSLATE(A7588, ""zh-CN"", ""ko"")"),"토끼가 나무 그루터기에 부딪히기를 기다리는 중")</f>
        <v>토끼가 나무 그루터기에 부딪히기를 기다리는 중</v>
      </c>
    </row>
    <row r="7589" ht="15.75" customHeight="1">
      <c r="A7589" s="1" t="s">
        <v>22269</v>
      </c>
      <c r="B7589" s="1">
        <v>7.0</v>
      </c>
      <c r="C7589" s="1" t="s">
        <v>22270</v>
      </c>
      <c r="E7589" s="1" t="s">
        <v>22271</v>
      </c>
      <c r="F7589" s="1" t="str">
        <f>IFERROR(__xludf.DUMMYFUNCTION("GOOGLETRANSLATE(A7589, ""zh-CN"", ""ko"")"),"감사함에 벅차오릅니다")</f>
        <v>감사함에 벅차오릅니다</v>
      </c>
    </row>
    <row r="7590" ht="15.75" customHeight="1">
      <c r="A7590" s="1" t="s">
        <v>22272</v>
      </c>
      <c r="B7590" s="1">
        <v>7.0</v>
      </c>
      <c r="C7590" s="1" t="s">
        <v>22273</v>
      </c>
      <c r="D7590" s="1" t="s">
        <v>8</v>
      </c>
      <c r="E7590" s="1" t="s">
        <v>22274</v>
      </c>
      <c r="F7590" s="1" t="str">
        <f>IFERROR(__xludf.DUMMYFUNCTION("GOOGLETRANSLATE(A7590, ""zh-CN"", ""ko"")"),"좌절")</f>
        <v>좌절</v>
      </c>
    </row>
    <row r="7591" ht="15.75" customHeight="1">
      <c r="A7591" s="1" t="s">
        <v>22275</v>
      </c>
      <c r="B7591" s="1">
        <v>7.0</v>
      </c>
      <c r="C7591" s="1" t="s">
        <v>22276</v>
      </c>
      <c r="D7591" s="1" t="s">
        <v>8</v>
      </c>
      <c r="E7591" s="1" t="s">
        <v>22277</v>
      </c>
      <c r="F7591" s="1" t="str">
        <f>IFERROR(__xludf.DUMMYFUNCTION("GOOGLETRANSLATE(A7591, ""zh-CN"", ""ko"")"),"피해자")</f>
        <v>피해자</v>
      </c>
    </row>
    <row r="7592" ht="15.75" customHeight="1">
      <c r="A7592" s="1" t="s">
        <v>22278</v>
      </c>
      <c r="B7592" s="1">
        <v>7.0</v>
      </c>
      <c r="C7592" s="1" t="s">
        <v>22279</v>
      </c>
      <c r="D7592" s="1" t="s">
        <v>16</v>
      </c>
      <c r="E7592" s="1" t="s">
        <v>22280</v>
      </c>
      <c r="F7592" s="1" t="str">
        <f>IFERROR(__xludf.DUMMYFUNCTION("GOOGLETRANSLATE(A7592, ""zh-CN"", ""ko"")"),"피해자")</f>
        <v>피해자</v>
      </c>
    </row>
    <row r="7593" ht="15.75" customHeight="1">
      <c r="A7593" s="1" t="s">
        <v>22281</v>
      </c>
      <c r="B7593" s="1">
        <v>7.0</v>
      </c>
      <c r="C7593" s="1" t="s">
        <v>22282</v>
      </c>
      <c r="D7593" s="1" t="s">
        <v>8</v>
      </c>
      <c r="E7593" s="1" t="s">
        <v>22283</v>
      </c>
      <c r="F7593" s="1" t="str">
        <f>IFERROR(__xludf.DUMMYFUNCTION("GOOGLETRANSLATE(A7593, ""zh-CN"", ""ko"")"),"수회")</f>
        <v>수회</v>
      </c>
    </row>
    <row r="7594" ht="15.75" customHeight="1">
      <c r="A7594" s="1" t="s">
        <v>22284</v>
      </c>
      <c r="B7594" s="1">
        <v>7.0</v>
      </c>
      <c r="C7594" s="1" t="s">
        <v>22285</v>
      </c>
      <c r="E7594" s="1" t="s">
        <v>22286</v>
      </c>
      <c r="F7594" s="1" t="str">
        <f>IFERROR(__xludf.DUMMYFUNCTION("GOOGLETRANSLATE(A7594, ""zh-CN"", ""ko"")"),"깜짝 놀랐다")</f>
        <v>깜짝 놀랐다</v>
      </c>
    </row>
    <row r="7595" ht="15.75" customHeight="1">
      <c r="A7595" s="1" t="s">
        <v>22287</v>
      </c>
      <c r="B7595" s="1">
        <v>7.0</v>
      </c>
      <c r="C7595" s="1" t="s">
        <v>22288</v>
      </c>
      <c r="D7595" s="1" t="s">
        <v>8</v>
      </c>
      <c r="E7595" s="1" t="s">
        <v>22289</v>
      </c>
      <c r="F7595" s="1" t="str">
        <f>IFERROR(__xludf.DUMMYFUNCTION("GOOGLETRANSLATE(A7595, ""zh-CN"", ""ko"")"),"시달리다")</f>
        <v>시달리다</v>
      </c>
    </row>
    <row r="7596" ht="15.75" customHeight="1">
      <c r="A7596" s="1" t="s">
        <v>22290</v>
      </c>
      <c r="B7596" s="1">
        <v>7.0</v>
      </c>
      <c r="C7596" s="1" t="s">
        <v>22291</v>
      </c>
      <c r="D7596" s="1" t="s">
        <v>8</v>
      </c>
      <c r="E7596" s="1" t="s">
        <v>22292</v>
      </c>
      <c r="F7596" s="1" t="str">
        <f>IFERROR(__xludf.DUMMYFUNCTION("GOOGLETRANSLATE(A7596, ""zh-CN"", ""ko"")"),"수락")</f>
        <v>수락</v>
      </c>
    </row>
    <row r="7597" ht="15.75" customHeight="1">
      <c r="A7597" s="1" t="s">
        <v>22293</v>
      </c>
      <c r="B7597" s="1">
        <v>7.0</v>
      </c>
      <c r="C7597" s="1" t="s">
        <v>22294</v>
      </c>
      <c r="D7597" s="1" t="s">
        <v>8</v>
      </c>
      <c r="E7597" s="1" t="s">
        <v>22295</v>
      </c>
      <c r="F7597" s="1" t="str">
        <f>IFERROR(__xludf.DUMMYFUNCTION("GOOGLETRANSLATE(A7597, ""zh-CN"", ""ko"")"),"속았다")</f>
        <v>속았다</v>
      </c>
    </row>
    <row r="7598" ht="15.75" customHeight="1">
      <c r="A7598" s="1" t="s">
        <v>22296</v>
      </c>
      <c r="B7598" s="1">
        <v>7.0</v>
      </c>
      <c r="C7598" s="1" t="s">
        <v>22297</v>
      </c>
      <c r="D7598" s="1" t="s">
        <v>8</v>
      </c>
      <c r="E7598" s="1" t="s">
        <v>22298</v>
      </c>
      <c r="F7598" s="1" t="str">
        <f>IFERROR(__xludf.DUMMYFUNCTION("GOOGLETRANSLATE(A7598, ""zh-CN"", ""ko"")"),"권한 부여")</f>
        <v>권한 부여</v>
      </c>
    </row>
    <row r="7599" ht="15.75" customHeight="1">
      <c r="A7599" s="1" t="s">
        <v>22299</v>
      </c>
      <c r="B7599" s="1">
        <v>7.0</v>
      </c>
      <c r="C7599" s="1" t="s">
        <v>22300</v>
      </c>
      <c r="D7599" s="1" t="s">
        <v>8</v>
      </c>
      <c r="E7599" s="1" t="s">
        <v>22301</v>
      </c>
      <c r="F7599" s="1" t="str">
        <f>IFERROR(__xludf.DUMMYFUNCTION("GOOGLETRANSLATE(A7599, ""zh-CN"", ""ko"")"),"혜택")</f>
        <v>혜택</v>
      </c>
    </row>
    <row r="7600" ht="15.75" customHeight="1">
      <c r="A7600" s="1" t="s">
        <v>22302</v>
      </c>
      <c r="B7600" s="1">
        <v>7.0</v>
      </c>
      <c r="C7600" s="1" t="s">
        <v>22303</v>
      </c>
      <c r="E7600" s="1" t="s">
        <v>22304</v>
      </c>
      <c r="F7600" s="1" t="str">
        <f>IFERROR(__xludf.DUMMYFUNCTION("GOOGLETRANSLATE(A7600, ""zh-CN"", ""ko"")"),"저는 많은 도움을 받았습니다.")</f>
        <v>저는 많은 도움을 받았습니다.</v>
      </c>
    </row>
    <row r="7601" ht="15.75" customHeight="1">
      <c r="A7601" s="1" t="s">
        <v>22305</v>
      </c>
      <c r="B7601" s="1">
        <v>7.0</v>
      </c>
      <c r="C7601" s="1" t="s">
        <v>309</v>
      </c>
      <c r="D7601" s="1" t="s">
        <v>8</v>
      </c>
      <c r="E7601" s="1" t="s">
        <v>22306</v>
      </c>
      <c r="F7601" s="1" t="str">
        <f>IFERROR(__xludf.DUMMYFUNCTION("GOOGLETRANSLATE(A7601, ""zh-CN"", ""ko"")"),"빗")</f>
        <v>빗</v>
      </c>
    </row>
    <row r="7602" ht="15.75" customHeight="1">
      <c r="A7602" s="1" t="s">
        <v>22307</v>
      </c>
      <c r="B7602" s="1">
        <v>7.0</v>
      </c>
      <c r="C7602" s="1" t="s">
        <v>22308</v>
      </c>
      <c r="D7602" s="1" t="s">
        <v>8</v>
      </c>
      <c r="E7602" s="1" t="s">
        <v>22309</v>
      </c>
      <c r="F7602" s="1" t="str">
        <f>IFERROR(__xludf.DUMMYFUNCTION("GOOGLETRANSLATE(A7602, ""zh-CN"", ""ko"")"),"배수")</f>
        <v>배수</v>
      </c>
    </row>
    <row r="7603" ht="15.75" customHeight="1">
      <c r="A7603" s="1" t="s">
        <v>22310</v>
      </c>
      <c r="B7603" s="1">
        <v>7.0</v>
      </c>
      <c r="C7603" s="1" t="s">
        <v>22311</v>
      </c>
      <c r="D7603" s="1" t="s">
        <v>8</v>
      </c>
      <c r="E7603" s="1" t="s">
        <v>22312</v>
      </c>
      <c r="F7603" s="1" t="str">
        <f>IFERROR(__xludf.DUMMYFUNCTION("GOOGLETRANSLATE(A7603, ""zh-CN"", ""ko"")"),"정리하다")</f>
        <v>정리하다</v>
      </c>
    </row>
    <row r="7604" ht="15.75" customHeight="1">
      <c r="A7604" s="1" t="s">
        <v>22313</v>
      </c>
      <c r="B7604" s="1">
        <v>7.0</v>
      </c>
      <c r="C7604" s="1" t="s">
        <v>22314</v>
      </c>
      <c r="D7604" s="1" t="s">
        <v>16</v>
      </c>
      <c r="E7604" s="1" t="s">
        <v>22315</v>
      </c>
      <c r="F7604" s="1" t="str">
        <f>IFERROR(__xludf.DUMMYFUNCTION("GOOGLETRANSLATE(A7604, ""zh-CN"", ""ko"")"),"바퀴통")</f>
        <v>바퀴통</v>
      </c>
    </row>
    <row r="7605" ht="15.75" customHeight="1">
      <c r="A7605" s="1" t="s">
        <v>22316</v>
      </c>
      <c r="B7605" s="1">
        <v>7.0</v>
      </c>
      <c r="C7605" s="1" t="s">
        <v>22317</v>
      </c>
      <c r="D7605" s="1" t="s">
        <v>8</v>
      </c>
      <c r="E7605" s="1" t="s">
        <v>22318</v>
      </c>
      <c r="F7605" s="1" t="str">
        <f>IFERROR(__xludf.DUMMYFUNCTION("GOOGLETRANSLATE(A7605, ""zh-CN"", ""ko"")"),"서정적인")</f>
        <v>서정적인</v>
      </c>
    </row>
    <row r="7606" ht="15.75" customHeight="1">
      <c r="A7606" s="1" t="s">
        <v>22319</v>
      </c>
      <c r="B7606" s="1">
        <v>7.0</v>
      </c>
      <c r="C7606" s="1" t="s">
        <v>22320</v>
      </c>
      <c r="D7606" s="1" t="s">
        <v>14742</v>
      </c>
      <c r="E7606" s="1" t="s">
        <v>22321</v>
      </c>
      <c r="F7606" s="1" t="str">
        <f>IFERROR(__xludf.DUMMYFUNCTION("GOOGLETRANSLATE(A7606, ""zh-CN"", ""ko"")"),"소개")</f>
        <v>소개</v>
      </c>
    </row>
    <row r="7607" ht="15.75" customHeight="1">
      <c r="A7607" s="1" t="s">
        <v>22322</v>
      </c>
      <c r="B7607" s="1">
        <v>7.0</v>
      </c>
      <c r="C7607" s="1" t="s">
        <v>22323</v>
      </c>
      <c r="D7607" s="1" t="s">
        <v>8</v>
      </c>
      <c r="E7607" s="1" t="s">
        <v>22324</v>
      </c>
      <c r="F7607" s="1" t="str">
        <f>IFERROR(__xludf.DUMMYFUNCTION("GOOGLETRANSLATE(A7607, ""zh-CN"", ""ko"")"),"준설선")</f>
        <v>준설선</v>
      </c>
    </row>
    <row r="7608" ht="15.75" customHeight="1">
      <c r="A7608" s="1" t="s">
        <v>22325</v>
      </c>
      <c r="B7608" s="1">
        <v>7.0</v>
      </c>
      <c r="C7608" s="1" t="s">
        <v>22326</v>
      </c>
      <c r="D7608" s="1" t="s">
        <v>8</v>
      </c>
      <c r="E7608" s="1" t="s">
        <v>22327</v>
      </c>
      <c r="F7608" s="1" t="str">
        <f>IFERROR(__xludf.DUMMYFUNCTION("GOOGLETRANSLATE(A7608, ""zh-CN"", ""ko"")"),"수혈")</f>
        <v>수혈</v>
      </c>
    </row>
    <row r="7609" ht="15.75" customHeight="1">
      <c r="A7609" s="1" t="s">
        <v>22328</v>
      </c>
      <c r="B7609" s="1">
        <v>7.0</v>
      </c>
      <c r="C7609" s="1" t="s">
        <v>22329</v>
      </c>
      <c r="D7609" s="1" t="s">
        <v>8</v>
      </c>
      <c r="E7609" s="1" t="s">
        <v>22330</v>
      </c>
      <c r="F7609" s="1" t="str">
        <f>IFERROR(__xludf.DUMMYFUNCTION("GOOGLETRANSLATE(A7609, ""zh-CN"", ""ko"")"),"주입")</f>
        <v>주입</v>
      </c>
    </row>
    <row r="7610" ht="15.75" customHeight="1">
      <c r="A7610" s="1" t="s">
        <v>22331</v>
      </c>
      <c r="B7610" s="1">
        <v>7.0</v>
      </c>
      <c r="C7610" s="1" t="s">
        <v>22332</v>
      </c>
      <c r="D7610" s="1" t="s">
        <v>14735</v>
      </c>
      <c r="E7610" s="1" t="s">
        <v>22333</v>
      </c>
      <c r="F7610" s="1" t="str">
        <f>IFERROR(__xludf.DUMMYFUNCTION("GOOGLETRANSLATE(A7610, ""zh-CN"", ""ko"")"),"뻗기")</f>
        <v>뻗기</v>
      </c>
    </row>
    <row r="7611" ht="15.75" customHeight="1">
      <c r="A7611" s="1" t="s">
        <v>22334</v>
      </c>
      <c r="B7611" s="1">
        <v>7.0</v>
      </c>
      <c r="C7611" s="1" t="s">
        <v>22335</v>
      </c>
      <c r="D7611" s="1" t="s">
        <v>8</v>
      </c>
      <c r="E7611" s="1" t="s">
        <v>22336</v>
      </c>
      <c r="F7611" s="1" t="str">
        <f>IFERROR(__xludf.DUMMYFUNCTION("GOOGLETRANSLATE(A7611, ""zh-CN"", ""ko"")"),"구원")</f>
        <v>구원</v>
      </c>
    </row>
    <row r="7612" ht="15.75" customHeight="1">
      <c r="A7612" s="1" t="s">
        <v>22337</v>
      </c>
      <c r="B7612" s="1">
        <v>7.0</v>
      </c>
      <c r="C7612" s="1" t="s">
        <v>22338</v>
      </c>
      <c r="D7612" s="1" t="s">
        <v>16</v>
      </c>
      <c r="E7612" s="1" t="s">
        <v>22339</v>
      </c>
      <c r="F7612" s="1" t="str">
        <f>IFERROR(__xludf.DUMMYFUNCTION("GOOGLETRANSLATE(A7612, ""zh-CN"", ""ko"")"),"새벽")</f>
        <v>새벽</v>
      </c>
    </row>
    <row r="7613" ht="15.75" customHeight="1">
      <c r="A7613" s="1" t="s">
        <v>22340</v>
      </c>
      <c r="B7613" s="1">
        <v>7.0</v>
      </c>
      <c r="C7613" s="1" t="s">
        <v>22341</v>
      </c>
      <c r="D7613" s="1" t="s">
        <v>16</v>
      </c>
      <c r="E7613" s="1" t="s">
        <v>22342</v>
      </c>
      <c r="F7613" s="1" t="str">
        <f>IFERROR(__xludf.DUMMYFUNCTION("GOOGLETRANSLATE(A7613, ""zh-CN"", ""ko"")"),"별자리")</f>
        <v>별자리</v>
      </c>
    </row>
    <row r="7614" ht="15.75" customHeight="1">
      <c r="A7614" s="1" t="s">
        <v>22343</v>
      </c>
      <c r="B7614" s="1">
        <v>7.0</v>
      </c>
      <c r="C7614" s="1" t="s">
        <v>22344</v>
      </c>
      <c r="D7614" s="1" t="s">
        <v>16</v>
      </c>
      <c r="E7614" s="1" t="s">
        <v>22345</v>
      </c>
      <c r="F7614" s="1" t="str">
        <f>IFERROR(__xludf.DUMMYFUNCTION("GOOGLETRANSLATE(A7614, ""zh-CN"", ""ko"")"),"재산")</f>
        <v>재산</v>
      </c>
    </row>
    <row r="7615" ht="15.75" customHeight="1">
      <c r="A7615" s="1" t="s">
        <v>22346</v>
      </c>
      <c r="B7615" s="1">
        <v>7.0</v>
      </c>
      <c r="C7615" s="1" t="s">
        <v>22347</v>
      </c>
      <c r="E7615" s="1" t="s">
        <v>22348</v>
      </c>
      <c r="F7615" s="1" t="str">
        <f>IFERROR(__xludf.DUMMYFUNCTION("GOOGLETRANSLATE(A7615, ""zh-CN"", ""ko"")"),"1번과 2번")</f>
        <v>1번과 2번</v>
      </c>
    </row>
    <row r="7616" ht="15.75" customHeight="1">
      <c r="A7616" s="1" t="s">
        <v>22349</v>
      </c>
      <c r="B7616" s="1">
        <v>7.0</v>
      </c>
      <c r="C7616" s="1" t="s">
        <v>22350</v>
      </c>
      <c r="D7616" s="1" t="s">
        <v>16</v>
      </c>
      <c r="E7616" s="1" t="s">
        <v>22351</v>
      </c>
      <c r="F7616" s="1" t="str">
        <f>IFERROR(__xludf.DUMMYFUNCTION("GOOGLETRANSLATE(A7616, ""zh-CN"", ""ko"")"),"트렁크")</f>
        <v>트렁크</v>
      </c>
    </row>
    <row r="7617" ht="15.75" customHeight="1">
      <c r="A7617" s="1" t="s">
        <v>22352</v>
      </c>
      <c r="B7617" s="1">
        <v>7.0</v>
      </c>
      <c r="C7617" s="1" t="s">
        <v>22353</v>
      </c>
      <c r="D7617" s="1" t="s">
        <v>16</v>
      </c>
      <c r="E7617" s="1" t="s">
        <v>22354</v>
      </c>
      <c r="F7617" s="1" t="str">
        <f>IFERROR(__xludf.DUMMYFUNCTION("GOOGLETRANSLATE(A7617, ""zh-CN"", ""ko"")"),"데이터 베이스")</f>
        <v>데이터 베이스</v>
      </c>
    </row>
    <row r="7618" ht="15.75" customHeight="1">
      <c r="A7618" s="1" t="s">
        <v>22355</v>
      </c>
      <c r="B7618" s="1">
        <v>7.0</v>
      </c>
      <c r="C7618" s="1" t="s">
        <v>12350</v>
      </c>
      <c r="D7618" s="1" t="s">
        <v>8</v>
      </c>
      <c r="E7618" s="1" t="s">
        <v>22356</v>
      </c>
      <c r="F7618" s="1" t="str">
        <f>IFERROR(__xludf.DUMMYFUNCTION("GOOGLETRANSLATE(A7618, ""zh-CN"", ""ko"")"),"서다")</f>
        <v>서다</v>
      </c>
    </row>
    <row r="7619" ht="15.75" customHeight="1">
      <c r="A7619" s="1" t="s">
        <v>22357</v>
      </c>
      <c r="B7619" s="1">
        <v>7.0</v>
      </c>
      <c r="C7619" s="1" t="s">
        <v>22358</v>
      </c>
      <c r="D7619" s="1" t="s">
        <v>16</v>
      </c>
      <c r="E7619" s="1" t="s">
        <v>22359</v>
      </c>
      <c r="F7619" s="1" t="str">
        <f>IFERROR(__xludf.DUMMYFUNCTION("GOOGLETRANSLATE(A7619, ""zh-CN"", ""ko"")"),"나무 꼭대기")</f>
        <v>나무 꼭대기</v>
      </c>
    </row>
    <row r="7620" ht="15.75" customHeight="1">
      <c r="A7620" s="1" t="s">
        <v>22360</v>
      </c>
      <c r="B7620" s="1">
        <v>7.0</v>
      </c>
      <c r="C7620" s="1" t="s">
        <v>22361</v>
      </c>
      <c r="E7620" s="1" t="s">
        <v>22362</v>
      </c>
      <c r="F7620" s="1" t="str">
        <f>IFERROR(__xludf.DUMMYFUNCTION("GOOGLETRANSLATE(A7620, ""zh-CN"", ""ko"")"),"어찌할 수 없는")</f>
        <v>어찌할 수 없는</v>
      </c>
    </row>
    <row r="7621" ht="15.75" customHeight="1">
      <c r="A7621" s="1" t="s">
        <v>22363</v>
      </c>
      <c r="B7621" s="1">
        <v>7.0</v>
      </c>
      <c r="C7621" s="1" t="s">
        <v>22364</v>
      </c>
      <c r="D7621" s="1" t="s">
        <v>16</v>
      </c>
      <c r="E7621" s="1" t="s">
        <v>22365</v>
      </c>
      <c r="F7621" s="1" t="str">
        <f>IFERROR(__xludf.DUMMYFUNCTION("GOOGLETRANSLATE(A7621, ""zh-CN"", ""ko"")"),"그늘")</f>
        <v>그늘</v>
      </c>
    </row>
    <row r="7622" ht="15.75" customHeight="1">
      <c r="A7622" s="1" t="s">
        <v>22366</v>
      </c>
      <c r="B7622" s="1">
        <v>7.0</v>
      </c>
      <c r="C7622" s="1" t="s">
        <v>22367</v>
      </c>
      <c r="D7622" s="1" t="s">
        <v>8</v>
      </c>
      <c r="E7622" s="1" t="s">
        <v>22368</v>
      </c>
      <c r="F7622" s="1" t="str">
        <f>IFERROR(__xludf.DUMMYFUNCTION("GOOGLETRANSLATE(A7622, ""zh-CN"", ""ko"")"),"새로 고치다")</f>
        <v>새로 고치다</v>
      </c>
    </row>
    <row r="7623" ht="15.75" customHeight="1">
      <c r="A7623" s="1" t="s">
        <v>22369</v>
      </c>
      <c r="B7623" s="1">
        <v>7.0</v>
      </c>
      <c r="C7623" s="1" t="s">
        <v>22370</v>
      </c>
      <c r="D7623" s="1" t="s">
        <v>8</v>
      </c>
      <c r="E7623" s="1" t="s">
        <v>22371</v>
      </c>
      <c r="F7623" s="1" t="str">
        <f>IFERROR(__xludf.DUMMYFUNCTION("GOOGLETRANSLATE(A7623, ""zh-CN"", ""ko"")"),"부정행위")</f>
        <v>부정행위</v>
      </c>
    </row>
    <row r="7624" ht="15.75" customHeight="1">
      <c r="A7624" s="1" t="s">
        <v>22372</v>
      </c>
      <c r="B7624" s="1">
        <v>7.0</v>
      </c>
      <c r="C7624" s="1" t="s">
        <v>22373</v>
      </c>
      <c r="D7624" s="1" t="s">
        <v>8</v>
      </c>
      <c r="E7624" s="1" t="s">
        <v>16493</v>
      </c>
      <c r="F7624" s="1" t="str">
        <f>IFERROR(__xludf.DUMMYFUNCTION("GOOGLETRANSLATE(A7624, ""zh-CN"", ""ko"")"),"감쇠")</f>
        <v>감쇠</v>
      </c>
    </row>
    <row r="7625" ht="15.75" customHeight="1">
      <c r="A7625" s="1" t="s">
        <v>22374</v>
      </c>
      <c r="B7625" s="1">
        <v>7.0</v>
      </c>
      <c r="C7625" s="1" t="s">
        <v>22375</v>
      </c>
      <c r="E7625" s="1" t="s">
        <v>22376</v>
      </c>
      <c r="F7625" s="1" t="str">
        <f>IFERROR(__xludf.DUMMYFUNCTION("GOOGLETRANSLATE(A7625, ""zh-CN"", ""ko"")"),"레슬링")</f>
        <v>레슬링</v>
      </c>
    </row>
    <row r="7626" ht="15.75" customHeight="1">
      <c r="A7626" s="1" t="s">
        <v>22377</v>
      </c>
      <c r="B7626" s="1">
        <v>7.0</v>
      </c>
      <c r="C7626" s="1" t="s">
        <v>22378</v>
      </c>
      <c r="D7626" s="1" t="s">
        <v>8</v>
      </c>
      <c r="E7626" s="1" t="s">
        <v>22379</v>
      </c>
      <c r="F7626" s="1" t="str">
        <f>IFERROR(__xludf.DUMMYFUNCTION("GOOGLETRANSLATE(A7626, ""zh-CN"", ""ko"")"),"피로")</f>
        <v>피로</v>
      </c>
    </row>
    <row r="7627" ht="15.75" customHeight="1">
      <c r="A7627" s="1" t="s">
        <v>22380</v>
      </c>
      <c r="B7627" s="1">
        <v>7.0</v>
      </c>
      <c r="C7627" s="1" t="s">
        <v>22381</v>
      </c>
      <c r="D7627" s="1" t="s">
        <v>8</v>
      </c>
      <c r="E7627" s="1" t="s">
        <v>6342</v>
      </c>
      <c r="F7627" s="1" t="str">
        <f>IFERROR(__xludf.DUMMYFUNCTION("GOOGLETRANSLATE(A7627, ""zh-CN"", ""ko"")"),"감소")</f>
        <v>감소</v>
      </c>
    </row>
    <row r="7628" ht="15.75" customHeight="1">
      <c r="A7628" s="1" t="s">
        <v>22382</v>
      </c>
      <c r="B7628" s="1">
        <v>7.0</v>
      </c>
      <c r="C7628" s="1" t="s">
        <v>22383</v>
      </c>
      <c r="D7628" s="1" t="s">
        <v>52</v>
      </c>
      <c r="E7628" s="1" t="s">
        <v>22384</v>
      </c>
      <c r="F7628" s="1" t="str">
        <f>IFERROR(__xludf.DUMMYFUNCTION("GOOGLETRANSLATE(A7628, ""zh-CN"", ""ko"")"),"약한")</f>
        <v>약한</v>
      </c>
    </row>
    <row r="7629" ht="15.75" customHeight="1">
      <c r="A7629" s="1" t="s">
        <v>22385</v>
      </c>
      <c r="B7629" s="1">
        <v>7.0</v>
      </c>
      <c r="C7629" s="1" t="s">
        <v>22386</v>
      </c>
      <c r="D7629" s="1" t="s">
        <v>8</v>
      </c>
      <c r="E7629" s="1" t="s">
        <v>22387</v>
      </c>
      <c r="F7629" s="1" t="str">
        <f>IFERROR(__xludf.DUMMYFUNCTION("GOOGLETRANSLATE(A7629, ""zh-CN"", ""ko"")"),"밧줄")</f>
        <v>밧줄</v>
      </c>
    </row>
    <row r="7630" ht="15.75" customHeight="1">
      <c r="A7630" s="1" t="s">
        <v>22388</v>
      </c>
      <c r="B7630" s="1">
        <v>7.0</v>
      </c>
      <c r="C7630" s="1" t="s">
        <v>22389</v>
      </c>
      <c r="D7630" s="1" t="s">
        <v>8</v>
      </c>
      <c r="E7630" s="1" t="s">
        <v>22390</v>
      </c>
      <c r="F7630" s="1" t="str">
        <f>IFERROR(__xludf.DUMMYFUNCTION("GOOGLETRANSLATE(A7630, ""zh-CN"", ""ko"")"),"헹구기")</f>
        <v>헹구기</v>
      </c>
    </row>
    <row r="7631" ht="15.75" customHeight="1">
      <c r="A7631" s="1" t="s">
        <v>22391</v>
      </c>
      <c r="B7631" s="1">
        <v>7.0</v>
      </c>
      <c r="C7631" s="1" t="s">
        <v>1526</v>
      </c>
      <c r="D7631" s="1" t="s">
        <v>16</v>
      </c>
      <c r="E7631" s="1" t="s">
        <v>22392</v>
      </c>
      <c r="F7631" s="1" t="str">
        <f>IFERROR(__xludf.DUMMYFUNCTION("GOOGLETRANSLATE(A7631, ""zh-CN"", ""ko"")"),"서리")</f>
        <v>서리</v>
      </c>
    </row>
    <row r="7632" ht="15.75" customHeight="1">
      <c r="A7632" s="1" t="s">
        <v>22393</v>
      </c>
      <c r="B7632" s="1">
        <v>7.0</v>
      </c>
      <c r="C7632" s="1" t="s">
        <v>22394</v>
      </c>
      <c r="D7632" s="1" t="s">
        <v>52</v>
      </c>
      <c r="E7632" s="1" t="s">
        <v>22395</v>
      </c>
      <c r="F7632" s="1" t="str">
        <f>IFERROR(__xludf.DUMMYFUNCTION("GOOGLETRANSLATE(A7632, ""zh-CN"", ""ko"")"),"양측")</f>
        <v>양측</v>
      </c>
    </row>
    <row r="7633" ht="15.75" customHeight="1">
      <c r="A7633" s="1" t="s">
        <v>22396</v>
      </c>
      <c r="B7633" s="1">
        <v>7.0</v>
      </c>
      <c r="C7633" s="1" t="s">
        <v>22397</v>
      </c>
      <c r="D7633" s="1" t="s">
        <v>52</v>
      </c>
      <c r="E7633" s="1" t="s">
        <v>22398</v>
      </c>
      <c r="F7633" s="1" t="str">
        <f>IFERROR(__xludf.DUMMYFUNCTION("GOOGLETRANSLATE(A7633, ""zh-CN"", ""ko"")"),"더블")</f>
        <v>더블</v>
      </c>
    </row>
    <row r="7634" ht="15.75" customHeight="1">
      <c r="A7634" s="1" t="s">
        <v>22399</v>
      </c>
      <c r="B7634" s="1">
        <v>7.0</v>
      </c>
      <c r="C7634" s="1" t="s">
        <v>22400</v>
      </c>
      <c r="D7634" s="1" t="s">
        <v>52</v>
      </c>
      <c r="E7634" s="1" t="s">
        <v>22401</v>
      </c>
      <c r="F7634" s="1" t="str">
        <f>IFERROR(__xludf.DUMMYFUNCTION("GOOGLETRANSLATE(A7634, ""zh-CN"", ""ko"")"),"양방향")</f>
        <v>양방향</v>
      </c>
    </row>
    <row r="7635" ht="15.75" customHeight="1">
      <c r="A7635" s="1" t="s">
        <v>22402</v>
      </c>
      <c r="B7635" s="1">
        <v>7.0</v>
      </c>
      <c r="C7635" s="1" t="s">
        <v>22403</v>
      </c>
      <c r="D7635" s="1" t="s">
        <v>8</v>
      </c>
      <c r="E7635" s="1" t="s">
        <v>22404</v>
      </c>
      <c r="F7635" s="1" t="str">
        <f>IFERROR(__xludf.DUMMYFUNCTION("GOOGLETRANSLATE(A7635, ""zh-CN"", ""ko"")"),"윈윈")</f>
        <v>윈윈</v>
      </c>
    </row>
    <row r="7636" ht="15.75" customHeight="1">
      <c r="A7636" s="1" t="s">
        <v>22405</v>
      </c>
      <c r="B7636" s="1">
        <v>7.0</v>
      </c>
      <c r="C7636" s="1" t="s">
        <v>22406</v>
      </c>
      <c r="D7636" s="1" t="s">
        <v>52</v>
      </c>
      <c r="E7636" s="1" t="s">
        <v>22407</v>
      </c>
      <c r="F7636" s="1" t="str">
        <f>IFERROR(__xludf.DUMMYFUNCTION("GOOGLETRANSLATE(A7636, ""zh-CN"", ""ko"")"),"시원한")</f>
        <v>시원한</v>
      </c>
    </row>
    <row r="7637" ht="15.75" customHeight="1">
      <c r="A7637" s="1" t="s">
        <v>22408</v>
      </c>
      <c r="B7637" s="1">
        <v>7.0</v>
      </c>
      <c r="C7637" s="1" t="s">
        <v>22409</v>
      </c>
      <c r="D7637" s="1" t="s">
        <v>16</v>
      </c>
      <c r="E7637" s="1" t="s">
        <v>22410</v>
      </c>
      <c r="F7637" s="1" t="str">
        <f>IFERROR(__xludf.DUMMYFUNCTION("GOOGLETRANSLATE(A7637, ""zh-CN"", ""ko"")"),"수산물")</f>
        <v>수산물</v>
      </c>
    </row>
    <row r="7638" ht="15.75" customHeight="1">
      <c r="A7638" s="1" t="s">
        <v>22411</v>
      </c>
      <c r="B7638" s="1">
        <v>7.0</v>
      </c>
      <c r="C7638" s="1" t="s">
        <v>22412</v>
      </c>
      <c r="E7638" s="1" t="s">
        <v>22413</v>
      </c>
      <c r="F7638" s="1" t="str">
        <f>IFERROR(__xludf.DUMMYFUNCTION("GOOGLETRANSLATE(A7638, ""zh-CN"", ""ko"")"),"물방울이 돌을 닳게 한다")</f>
        <v>물방울이 돌을 닳게 한다</v>
      </c>
    </row>
    <row r="7639" ht="15.75" customHeight="1">
      <c r="A7639" s="1" t="s">
        <v>22414</v>
      </c>
      <c r="B7639" s="1">
        <v>7.0</v>
      </c>
      <c r="C7639" s="1" t="s">
        <v>22415</v>
      </c>
      <c r="D7639" s="1" t="s">
        <v>16</v>
      </c>
      <c r="E7639" s="1" t="s">
        <v>22416</v>
      </c>
      <c r="F7639" s="1" t="str">
        <f>IFERROR(__xludf.DUMMYFUNCTION("GOOGLETRANSLATE(A7639, ""zh-CN"", ""ko"")"),"결정")</f>
        <v>결정</v>
      </c>
    </row>
    <row r="7640" ht="15.75" customHeight="1">
      <c r="A7640" s="1" t="s">
        <v>22417</v>
      </c>
      <c r="B7640" s="1">
        <v>7.0</v>
      </c>
      <c r="C7640" s="1" t="s">
        <v>22418</v>
      </c>
      <c r="E7640" s="1" t="s">
        <v>22419</v>
      </c>
      <c r="F7640" s="1" t="str">
        <f>IFERROR(__xludf.DUMMYFUNCTION("GOOGLETRANSLATE(A7640, ""zh-CN"", ""ko"")"),"진실은 드러날 것이다")</f>
        <v>진실은 드러날 것이다</v>
      </c>
    </row>
    <row r="7641" ht="15.75" customHeight="1">
      <c r="A7641" s="1" t="s">
        <v>22420</v>
      </c>
      <c r="B7641" s="1">
        <v>7.0</v>
      </c>
      <c r="C7641" s="1" t="s">
        <v>22421</v>
      </c>
      <c r="D7641" s="1" t="s">
        <v>16</v>
      </c>
      <c r="E7641" s="1" t="s">
        <v>22422</v>
      </c>
      <c r="F7641" s="1" t="str">
        <f>IFERROR(__xludf.DUMMYFUNCTION("GOOGLETRANSLATE(A7641, ""zh-CN"", ""ko"")"),"수증기")</f>
        <v>수증기</v>
      </c>
    </row>
    <row r="7642" ht="15.75" customHeight="1">
      <c r="A7642" s="1" t="s">
        <v>22423</v>
      </c>
      <c r="B7642" s="1">
        <v>7.0</v>
      </c>
      <c r="C7642" s="1" t="s">
        <v>22424</v>
      </c>
      <c r="D7642" s="1" t="s">
        <v>16</v>
      </c>
      <c r="E7642" s="1" t="s">
        <v>22425</v>
      </c>
      <c r="F7642" s="1" t="str">
        <f>IFERROR(__xludf.DUMMYFUNCTION("GOOGLETRANSLATE(A7642, ""zh-CN"", ""ko"")"),"토양과 물")</f>
        <v>토양과 물</v>
      </c>
    </row>
    <row r="7643" ht="15.75" customHeight="1">
      <c r="A7643" s="1" t="s">
        <v>22426</v>
      </c>
      <c r="B7643" s="1">
        <v>7.0</v>
      </c>
      <c r="C7643" s="1" t="s">
        <v>22427</v>
      </c>
      <c r="D7643" s="1" t="s">
        <v>16</v>
      </c>
      <c r="E7643" s="1" t="s">
        <v>22428</v>
      </c>
      <c r="F7643" s="1" t="str">
        <f>IFERROR(__xludf.DUMMYFUNCTION("GOOGLETRANSLATE(A7643, ""zh-CN"", ""ko"")"),"물")</f>
        <v>물</v>
      </c>
    </row>
    <row r="7644" ht="15.75" customHeight="1">
      <c r="A7644" s="1" t="s">
        <v>22429</v>
      </c>
      <c r="B7644" s="1">
        <v>7.0</v>
      </c>
      <c r="C7644" s="1" t="s">
        <v>22430</v>
      </c>
      <c r="D7644" s="1" t="s">
        <v>16</v>
      </c>
      <c r="E7644" s="1" t="s">
        <v>22431</v>
      </c>
      <c r="F7644" s="1" t="str">
        <f>IFERROR(__xludf.DUMMYFUNCTION("GOOGLETRANSLATE(A7644, ""zh-CN"", ""ko"")"),"수원")</f>
        <v>수원</v>
      </c>
    </row>
    <row r="7645" ht="15.75" customHeight="1">
      <c r="A7645" s="1" t="s">
        <v>22432</v>
      </c>
      <c r="B7645" s="1">
        <v>7.0</v>
      </c>
      <c r="C7645" s="1" t="s">
        <v>22433</v>
      </c>
      <c r="E7645" s="1" t="s">
        <v>22434</v>
      </c>
      <c r="F7645" s="1" t="str">
        <f>IFERROR(__xludf.DUMMYFUNCTION("GOOGLETRANSLATE(A7645, ""zh-CN"", ""ko"")"),"밀물이 차오르면 모든 배도 함께 올라간다.")</f>
        <v>밀물이 차오르면 모든 배도 함께 올라간다.</v>
      </c>
    </row>
    <row r="7646" ht="15.75" customHeight="1">
      <c r="A7646" s="1" t="s">
        <v>22435</v>
      </c>
      <c r="B7646" s="1">
        <v>7.0</v>
      </c>
      <c r="C7646" s="1" t="s">
        <v>22436</v>
      </c>
      <c r="D7646" s="1" t="s">
        <v>16</v>
      </c>
      <c r="E7646" s="1" t="s">
        <v>22437</v>
      </c>
      <c r="F7646" s="1" t="str">
        <f>IFERROR(__xludf.DUMMYFUNCTION("GOOGLETRANSLATE(A7646, ""zh-CN"", ""ko"")"),"수준")</f>
        <v>수준</v>
      </c>
    </row>
    <row r="7647" ht="15.75" customHeight="1">
      <c r="A7647" s="1" t="s">
        <v>22438</v>
      </c>
      <c r="B7647" s="1">
        <v>7.0</v>
      </c>
      <c r="C7647" s="1" t="s">
        <v>22439</v>
      </c>
      <c r="D7647" s="1" t="s">
        <v>16</v>
      </c>
      <c r="E7647" s="1" t="s">
        <v>22440</v>
      </c>
      <c r="F7647" s="1" t="str">
        <f>IFERROR(__xludf.DUMMYFUNCTION("GOOGLETRANSLATE(A7647, ""zh-CN"", ""ko"")"),"침낭")</f>
        <v>침낭</v>
      </c>
    </row>
    <row r="7648" ht="15.75" customHeight="1">
      <c r="A7648" s="1" t="s">
        <v>22441</v>
      </c>
      <c r="B7648" s="1">
        <v>7.0</v>
      </c>
      <c r="C7648" s="1" t="s">
        <v>22442</v>
      </c>
      <c r="D7648" s="1" t="s">
        <v>16</v>
      </c>
      <c r="E7648" s="1" t="s">
        <v>22443</v>
      </c>
      <c r="F7648" s="1" t="str">
        <f>IFERROR(__xludf.DUMMYFUNCTION("GOOGLETRANSLATE(A7648, ""zh-CN"", ""ko"")"),"세")</f>
        <v>세</v>
      </c>
    </row>
    <row r="7649" ht="15.75" customHeight="1">
      <c r="A7649" s="1" t="s">
        <v>22444</v>
      </c>
      <c r="B7649" s="1">
        <v>7.0</v>
      </c>
      <c r="C7649" s="1" t="s">
        <v>22445</v>
      </c>
      <c r="D7649" s="1" t="s">
        <v>16</v>
      </c>
      <c r="E7649" s="1" t="s">
        <v>22446</v>
      </c>
      <c r="F7649" s="1" t="str">
        <f>IFERROR(__xludf.DUMMYFUNCTION("GOOGLETRANSLATE(A7649, ""zh-CN"", ""ko"")"),"과세")</f>
        <v>과세</v>
      </c>
    </row>
    <row r="7650" ht="15.75" customHeight="1">
      <c r="A7650" s="1" t="s">
        <v>22447</v>
      </c>
      <c r="B7650" s="1">
        <v>7.0</v>
      </c>
      <c r="C7650" s="1" t="s">
        <v>22448</v>
      </c>
      <c r="D7650" s="1" t="s">
        <v>16</v>
      </c>
      <c r="E7650" s="1" t="s">
        <v>22449</v>
      </c>
      <c r="F7650" s="1" t="str">
        <f>IFERROR(__xludf.DUMMYFUNCTION("GOOGLETRANSLATE(A7650, ""zh-CN"", ""ko"")"),"여분")</f>
        <v>여분</v>
      </c>
    </row>
    <row r="7651" ht="15.75" customHeight="1">
      <c r="A7651" s="1" t="s">
        <v>22450</v>
      </c>
      <c r="B7651" s="1">
        <v>7.0</v>
      </c>
      <c r="C7651" s="1" t="s">
        <v>22451</v>
      </c>
      <c r="D7651" s="1" t="s">
        <v>52</v>
      </c>
      <c r="E7651" s="1" t="s">
        <v>22452</v>
      </c>
      <c r="F7651" s="1" t="str">
        <f>IFERROR(__xludf.DUMMYFUNCTION("GOOGLETRANSLATE(A7651, ""zh-CN"", ""ko"")"),"매끄러운")</f>
        <v>매끄러운</v>
      </c>
    </row>
    <row r="7652" ht="15.75" customHeight="1">
      <c r="A7652" s="1" t="s">
        <v>22453</v>
      </c>
      <c r="B7652" s="1">
        <v>7.0</v>
      </c>
      <c r="C7652" s="1" t="s">
        <v>22454</v>
      </c>
      <c r="D7652" s="1" t="s">
        <v>8</v>
      </c>
      <c r="E7652" s="1" t="s">
        <v>22455</v>
      </c>
      <c r="F7652" s="1" t="str">
        <f>IFERROR(__xludf.DUMMYFUNCTION("GOOGLETRANSLATE(A7652, ""zh-CN"", ""ko"")"),"복종")</f>
        <v>복종</v>
      </c>
    </row>
    <row r="7653" ht="15.75" customHeight="1">
      <c r="A7653" s="1" t="s">
        <v>22456</v>
      </c>
      <c r="B7653" s="1">
        <v>7.0</v>
      </c>
      <c r="C7653" s="1" t="s">
        <v>22457</v>
      </c>
      <c r="E7653" s="1" t="s">
        <v>22458</v>
      </c>
      <c r="F7653" s="1" t="str">
        <f>IFERROR(__xludf.DUMMYFUNCTION("GOOGLETRANSLATE(A7653, ""zh-CN"", ""ko"")"),"논리적으로")</f>
        <v>논리적으로</v>
      </c>
    </row>
    <row r="7654" ht="15.75" customHeight="1">
      <c r="A7654" s="1" t="s">
        <v>22459</v>
      </c>
      <c r="B7654" s="1">
        <v>7.0</v>
      </c>
      <c r="C7654" s="1" t="s">
        <v>22460</v>
      </c>
      <c r="D7654" s="1" t="s">
        <v>15257</v>
      </c>
      <c r="E7654" s="1" t="s">
        <v>22461</v>
      </c>
      <c r="F7654" s="1" t="str">
        <f>IFERROR(__xludf.DUMMYFUNCTION("GOOGLETRANSLATE(A7654, ""zh-CN"", ""ko"")"),"가는 길에")</f>
        <v>가는 길에</v>
      </c>
    </row>
    <row r="7655" ht="15.75" customHeight="1">
      <c r="A7655" s="1" t="s">
        <v>22462</v>
      </c>
      <c r="B7655" s="1">
        <v>7.0</v>
      </c>
      <c r="C7655" s="1" t="s">
        <v>22463</v>
      </c>
      <c r="E7655" s="1" t="s">
        <v>22464</v>
      </c>
      <c r="F7655" s="1" t="str">
        <f>IFERROR(__xludf.DUMMYFUNCTION("GOOGLETRANSLATE(A7655, ""zh-CN"", ""ko"")"),"자연의 섭리에 맡기세요")</f>
        <v>자연의 섭리에 맡기세요</v>
      </c>
    </row>
    <row r="7656" ht="15.75" customHeight="1">
      <c r="A7656" s="1" t="s">
        <v>22465</v>
      </c>
      <c r="B7656" s="1">
        <v>7.0</v>
      </c>
      <c r="C7656" s="1" t="s">
        <v>22466</v>
      </c>
      <c r="D7656" s="1" t="s">
        <v>33</v>
      </c>
      <c r="E7656" s="1" t="s">
        <v>22467</v>
      </c>
      <c r="F7656" s="1" t="str">
        <f>IFERROR(__xludf.DUMMYFUNCTION("GOOGLETRANSLATE(A7656, ""zh-CN"", ""ko"")"),"흐름에 몸을 맡겨라")</f>
        <v>흐름에 몸을 맡겨라</v>
      </c>
    </row>
    <row r="7657" ht="15.75" customHeight="1">
      <c r="A7657" s="1" t="s">
        <v>22468</v>
      </c>
      <c r="B7657" s="1">
        <v>7.0</v>
      </c>
      <c r="C7657" s="1" t="s">
        <v>22469</v>
      </c>
      <c r="D7657" s="1" t="s">
        <v>15257</v>
      </c>
      <c r="E7657" s="1" t="s">
        <v>22470</v>
      </c>
      <c r="F7657" s="1" t="str">
        <f>IFERROR(__xludf.DUMMYFUNCTION("GOOGLETRANSLATE(A7657, ""zh-CN"", ""ko"")"),"부드럽게")</f>
        <v>부드럽게</v>
      </c>
    </row>
    <row r="7658" ht="15.75" customHeight="1">
      <c r="A7658" s="1" t="s">
        <v>22471</v>
      </c>
      <c r="B7658" s="1">
        <v>7.0</v>
      </c>
      <c r="C7658" s="1" t="s">
        <v>22472</v>
      </c>
      <c r="D7658" s="1" t="s">
        <v>52</v>
      </c>
      <c r="E7658" s="1" t="s">
        <v>22473</v>
      </c>
      <c r="F7658" s="1" t="str">
        <f>IFERROR(__xludf.DUMMYFUNCTION("GOOGLETRANSLATE(A7658, ""zh-CN"", ""ko"")"),"매끄러운")</f>
        <v>매끄러운</v>
      </c>
    </row>
    <row r="7659" ht="15.75" customHeight="1">
      <c r="A7659" s="1" t="s">
        <v>22474</v>
      </c>
      <c r="B7659" s="1">
        <v>7.0</v>
      </c>
      <c r="C7659" s="1" t="s">
        <v>22475</v>
      </c>
      <c r="D7659" s="1" t="s">
        <v>8</v>
      </c>
      <c r="E7659" s="1" t="s">
        <v>22476</v>
      </c>
      <c r="F7659" s="1" t="str">
        <f>IFERROR(__xludf.DUMMYFUNCTION("GOOGLETRANSLATE(A7659, ""zh-CN"", ""ko"")"),"연기됨")</f>
        <v>연기됨</v>
      </c>
    </row>
    <row r="7660" ht="15.75" customHeight="1">
      <c r="A7660" s="1" t="s">
        <v>22477</v>
      </c>
      <c r="B7660" s="1">
        <v>7.0</v>
      </c>
      <c r="C7660" s="1" t="s">
        <v>22478</v>
      </c>
      <c r="D7660" s="1" t="s">
        <v>8</v>
      </c>
      <c r="E7660" s="1" t="s">
        <v>22479</v>
      </c>
      <c r="F7660" s="1" t="str">
        <f>IFERROR(__xludf.DUMMYFUNCTION("GOOGLETRANSLATE(A7660, ""zh-CN"", ""ko"")"),"따르다")</f>
        <v>따르다</v>
      </c>
    </row>
    <row r="7661" ht="15.75" customHeight="1">
      <c r="A7661" s="1" t="s">
        <v>22480</v>
      </c>
      <c r="B7661" s="1">
        <v>7.0</v>
      </c>
      <c r="C7661" s="1" t="s">
        <v>22481</v>
      </c>
      <c r="D7661" s="1" t="s">
        <v>8</v>
      </c>
      <c r="E7661" s="1" t="s">
        <v>22482</v>
      </c>
      <c r="F7661" s="1" t="str">
        <f>IFERROR(__xludf.DUMMYFUNCTION("GOOGLETRANSLATE(A7661, ""zh-CN"", ""ko"")"),"말할 수 없어요")</f>
        <v>말할 수 없어요</v>
      </c>
    </row>
    <row r="7662" ht="15.75" customHeight="1">
      <c r="A7662" s="1" t="s">
        <v>22483</v>
      </c>
      <c r="B7662" s="1">
        <v>7.0</v>
      </c>
      <c r="C7662" s="1" t="s">
        <v>22484</v>
      </c>
      <c r="D7662" s="1" t="s">
        <v>8</v>
      </c>
      <c r="E7662" s="1" t="s">
        <v>18256</v>
      </c>
      <c r="F7662" s="1" t="str">
        <f>IFERROR(__xludf.DUMMYFUNCTION("GOOGLETRANSLATE(A7662, ""zh-CN"", ""ko"")"),"거짓말하다")</f>
        <v>거짓말하다</v>
      </c>
    </row>
    <row r="7663" ht="15.75" customHeight="1">
      <c r="A7663" s="1" t="s">
        <v>22485</v>
      </c>
      <c r="B7663" s="1">
        <v>7.0</v>
      </c>
      <c r="C7663" s="1" t="s">
        <v>22486</v>
      </c>
      <c r="D7663" s="1" t="s">
        <v>8</v>
      </c>
      <c r="E7663" s="1" t="s">
        <v>22487</v>
      </c>
      <c r="F7663" s="1" t="str">
        <f>IFERROR(__xludf.DUMMYFUNCTION("GOOGLETRANSLATE(A7663, ""zh-CN"", ""ko"")"),"중재하다")</f>
        <v>중재하다</v>
      </c>
    </row>
    <row r="7664" ht="15.75" customHeight="1">
      <c r="A7664" s="1" t="s">
        <v>22488</v>
      </c>
      <c r="B7664" s="1">
        <v>7.0</v>
      </c>
      <c r="C7664" s="1" t="s">
        <v>22489</v>
      </c>
      <c r="D7664" s="1" t="s">
        <v>16</v>
      </c>
      <c r="E7664" s="1" t="s">
        <v>22490</v>
      </c>
      <c r="F7664" s="1" t="str">
        <f>IFERROR(__xludf.DUMMYFUNCTION("GOOGLETRANSLATE(A7664, ""zh-CN"", ""ko"")"),"결실 있는 결과")</f>
        <v>결실 있는 결과</v>
      </c>
    </row>
    <row r="7665" ht="15.75" customHeight="1">
      <c r="A7665" s="1" t="s">
        <v>22491</v>
      </c>
      <c r="B7665" s="1">
        <v>7.0</v>
      </c>
      <c r="C7665" s="1" t="s">
        <v>6166</v>
      </c>
      <c r="D7665" s="1" t="s">
        <v>16</v>
      </c>
      <c r="E7665" s="1" t="s">
        <v>22492</v>
      </c>
      <c r="F7665" s="1" t="str">
        <f>IFERROR(__xludf.DUMMYFUNCTION("GOOGLETRANSLATE(A7665, ""zh-CN"", ""ko"")"),"명주")</f>
        <v>명주</v>
      </c>
    </row>
    <row r="7666" ht="15.75" customHeight="1">
      <c r="A7666" s="1" t="s">
        <v>22493</v>
      </c>
      <c r="B7666" s="1">
        <v>7.0</v>
      </c>
      <c r="C7666" s="1" t="s">
        <v>22494</v>
      </c>
      <c r="D7666" s="1" t="s">
        <v>16</v>
      </c>
      <c r="E7666" s="1" t="s">
        <v>22495</v>
      </c>
      <c r="F7666" s="1" t="str">
        <f>IFERROR(__xludf.DUMMYFUNCTION("GOOGLETRANSLATE(A7666, ""zh-CN"", ""ko"")"),"개인 차량")</f>
        <v>개인 차량</v>
      </c>
    </row>
    <row r="7667" ht="15.75" customHeight="1">
      <c r="A7667" s="1" t="s">
        <v>22496</v>
      </c>
      <c r="B7667" s="1">
        <v>7.0</v>
      </c>
      <c r="C7667" s="1" t="s">
        <v>22497</v>
      </c>
      <c r="E7667" s="1" t="s">
        <v>22498</v>
      </c>
      <c r="F7667" s="1" t="str">
        <f>IFERROR(__xludf.DUMMYFUNCTION("GOOGLETRANSLATE(A7667, ""zh-CN"", ""ko"")"),"평범한")</f>
        <v>평범한</v>
      </c>
    </row>
    <row r="7668" ht="15.75" customHeight="1">
      <c r="A7668" s="1" t="s">
        <v>22499</v>
      </c>
      <c r="B7668" s="1">
        <v>7.0</v>
      </c>
      <c r="C7668" s="1" t="s">
        <v>22500</v>
      </c>
      <c r="D7668" s="1" t="s">
        <v>14735</v>
      </c>
      <c r="E7668" s="1" t="s">
        <v>22501</v>
      </c>
      <c r="F7668" s="1" t="str">
        <f>IFERROR(__xludf.DUMMYFUNCTION("GOOGLETRANSLATE(A7668, ""zh-CN"", ""ko"")"),"사적인")</f>
        <v>사적인</v>
      </c>
    </row>
    <row r="7669" ht="15.75" customHeight="1">
      <c r="A7669" s="1" t="s">
        <v>22502</v>
      </c>
      <c r="B7669" s="1">
        <v>7.0</v>
      </c>
      <c r="C7669" s="1" t="s">
        <v>22503</v>
      </c>
      <c r="E7669" s="1" t="s">
        <v>22504</v>
      </c>
      <c r="F7669" s="1" t="str">
        <f>IFERROR(__xludf.DUMMYFUNCTION("GOOGLETRANSLATE(A7669, ""zh-CN"", ""ko"")"),"곰곰이 생각해 본 후")</f>
        <v>곰곰이 생각해 본 후</v>
      </c>
    </row>
    <row r="7670" ht="15.75" customHeight="1">
      <c r="A7670" s="1" t="s">
        <v>22505</v>
      </c>
      <c r="B7670" s="1">
        <v>7.0</v>
      </c>
      <c r="C7670" s="1" t="s">
        <v>22506</v>
      </c>
      <c r="D7670" s="1" t="s">
        <v>16</v>
      </c>
      <c r="E7670" s="1" t="s">
        <v>22507</v>
      </c>
      <c r="F7670" s="1" t="str">
        <f>IFERROR(__xludf.DUMMYFUNCTION("GOOGLETRANSLATE(A7670, ""zh-CN"", ""ko"")"),"사적인 문제")</f>
        <v>사적인 문제</v>
      </c>
    </row>
    <row r="7671" ht="15.75" customHeight="1">
      <c r="A7671" s="1" t="s">
        <v>22508</v>
      </c>
      <c r="B7671" s="1">
        <v>7.0</v>
      </c>
      <c r="C7671" s="1" t="s">
        <v>22509</v>
      </c>
      <c r="D7671" s="1" t="s">
        <v>17886</v>
      </c>
      <c r="E7671" s="1" t="s">
        <v>22510</v>
      </c>
      <c r="F7671" s="1" t="str">
        <f>IFERROR(__xludf.DUMMYFUNCTION("GOOGLETRANSLATE(A7671, ""zh-CN"", ""ko"")"),"개인적으로")</f>
        <v>개인적으로</v>
      </c>
    </row>
    <row r="7672" ht="15.75" customHeight="1">
      <c r="A7672" s="1" t="s">
        <v>22511</v>
      </c>
      <c r="B7672" s="1">
        <v>7.0</v>
      </c>
      <c r="C7672" s="1" t="s">
        <v>22512</v>
      </c>
      <c r="D7672" s="1" t="s">
        <v>16</v>
      </c>
      <c r="E7672" s="1" t="s">
        <v>22513</v>
      </c>
      <c r="F7672" s="1" t="str">
        <f>IFERROR(__xludf.DUMMYFUNCTION("GOOGLETRANSLATE(A7672, ""zh-CN"", ""ko"")"),"생각들")</f>
        <v>생각들</v>
      </c>
    </row>
    <row r="7673" ht="15.75" customHeight="1">
      <c r="A7673" s="1" t="s">
        <v>22514</v>
      </c>
      <c r="B7673" s="1">
        <v>7.0</v>
      </c>
      <c r="C7673" s="1" t="s">
        <v>22515</v>
      </c>
      <c r="D7673" s="1" t="s">
        <v>52</v>
      </c>
      <c r="E7673" s="1" t="s">
        <v>22516</v>
      </c>
      <c r="F7673" s="1" t="str">
        <f>IFERROR(__xludf.DUMMYFUNCTION("GOOGLETRANSLATE(A7673, ""zh-CN"", ""ko"")"),"사적인")</f>
        <v>사적인</v>
      </c>
    </row>
    <row r="7674" ht="15.75" customHeight="1">
      <c r="A7674" s="1" t="s">
        <v>22517</v>
      </c>
      <c r="B7674" s="1">
        <v>7.0</v>
      </c>
      <c r="C7674" s="1" t="s">
        <v>22518</v>
      </c>
      <c r="D7674" s="1" t="s">
        <v>8</v>
      </c>
      <c r="E7674" s="1" t="s">
        <v>22519</v>
      </c>
      <c r="F7674" s="1" t="str">
        <f>IFERROR(__xludf.DUMMYFUNCTION("GOOGLETRANSLATE(A7674, ""zh-CN"", ""ko"")"),"사적인")</f>
        <v>사적인</v>
      </c>
    </row>
    <row r="7675" ht="15.75" customHeight="1">
      <c r="A7675" s="1" t="s">
        <v>22520</v>
      </c>
      <c r="B7675" s="1">
        <v>7.0</v>
      </c>
      <c r="C7675" s="1" t="s">
        <v>22521</v>
      </c>
      <c r="E7675" s="1" t="s">
        <v>22522</v>
      </c>
      <c r="F7675" s="1" t="str">
        <f>IFERROR(__xludf.DUMMYFUNCTION("GOOGLETRANSLATE(A7675, ""zh-CN"", ""ko"")"),"포기하다")</f>
        <v>포기하다</v>
      </c>
    </row>
    <row r="7676" ht="15.75" customHeight="1">
      <c r="A7676" s="1" t="s">
        <v>22523</v>
      </c>
      <c r="B7676" s="1">
        <v>7.0</v>
      </c>
      <c r="C7676" s="1" t="s">
        <v>324</v>
      </c>
      <c r="D7676" s="1" t="s">
        <v>16</v>
      </c>
      <c r="E7676" s="1" t="s">
        <v>12411</v>
      </c>
      <c r="F7676" s="1" t="str">
        <f>IFERROR(__xludf.DUMMYFUNCTION("GOOGLETRANSLATE(A7676, ""zh-CN"", ""ko"")"),"절")</f>
        <v>절</v>
      </c>
    </row>
    <row r="7677" ht="15.75" customHeight="1">
      <c r="A7677" s="1" t="s">
        <v>22524</v>
      </c>
      <c r="B7677" s="1">
        <v>7.0</v>
      </c>
      <c r="C7677" s="1" t="s">
        <v>22525</v>
      </c>
      <c r="E7677" s="1" t="s">
        <v>22526</v>
      </c>
      <c r="F7677" s="1" t="str">
        <f>IFERROR(__xludf.DUMMYFUNCTION("GOOGLETRANSLATE(A7677, ""zh-CN"", ""ko"")"),"데자뷔")</f>
        <v>데자뷔</v>
      </c>
    </row>
    <row r="7678" ht="15.75" customHeight="1">
      <c r="A7678" s="1" t="s">
        <v>22527</v>
      </c>
      <c r="B7678" s="1">
        <v>7.0</v>
      </c>
      <c r="C7678" s="1" t="s">
        <v>22528</v>
      </c>
      <c r="D7678" s="1" t="s">
        <v>16</v>
      </c>
      <c r="E7678" s="1" t="s">
        <v>22529</v>
      </c>
      <c r="F7678" s="1" t="str">
        <f>IFERROR(__xludf.DUMMYFUNCTION("GOOGLETRANSLATE(A7678, ""zh-CN"", ""ko"")"),"사중주")</f>
        <v>사중주</v>
      </c>
    </row>
    <row r="7679" ht="15.75" customHeight="1">
      <c r="A7679" s="1" t="s">
        <v>22530</v>
      </c>
      <c r="B7679" s="1">
        <v>7.0</v>
      </c>
      <c r="C7679" s="1" t="s">
        <v>22531</v>
      </c>
      <c r="D7679" s="1" t="s">
        <v>8</v>
      </c>
      <c r="E7679" s="1" t="s">
        <v>22532</v>
      </c>
      <c r="F7679" s="1" t="str">
        <f>IFERROR(__xludf.DUMMYFUNCTION("GOOGLETRANSLATE(A7679, ""zh-CN"", ""ko"")"),"기회를 기다리며")</f>
        <v>기회를 기다리며</v>
      </c>
    </row>
    <row r="7680" ht="15.75" customHeight="1">
      <c r="A7680" s="1" t="s">
        <v>22533</v>
      </c>
      <c r="B7680" s="1">
        <v>7.0</v>
      </c>
      <c r="C7680" s="1" t="s">
        <v>22534</v>
      </c>
      <c r="D7680" s="1" t="s">
        <v>16</v>
      </c>
      <c r="E7680" s="1" t="s">
        <v>22535</v>
      </c>
      <c r="F7680" s="1" t="str">
        <f>IFERROR(__xludf.DUMMYFUNCTION("GOOGLETRANSLATE(A7680, ""zh-CN"", ""ko"")"),"밥을 먹이다")</f>
        <v>밥을 먹이다</v>
      </c>
    </row>
    <row r="7681" ht="15.75" customHeight="1">
      <c r="A7681" s="1" t="s">
        <v>22536</v>
      </c>
      <c r="B7681" s="1">
        <v>7.0</v>
      </c>
      <c r="C7681" s="1" t="s">
        <v>22537</v>
      </c>
      <c r="E7681" s="1" t="s">
        <v>22538</v>
      </c>
      <c r="F7681" s="1" t="str">
        <f>IFERROR(__xludf.DUMMYFUNCTION("GOOGLETRANSLATE(A7681, ""zh-CN"", ""ko"")"),"모든 방향으로")</f>
        <v>모든 방향으로</v>
      </c>
    </row>
    <row r="7682" ht="15.75" customHeight="1">
      <c r="A7682" s="1" t="s">
        <v>22539</v>
      </c>
      <c r="B7682" s="1">
        <v>7.0</v>
      </c>
      <c r="C7682" s="1" t="s">
        <v>22540</v>
      </c>
      <c r="E7682" s="1" t="s">
        <v>22541</v>
      </c>
      <c r="F7682" s="1" t="str">
        <f>IFERROR(__xludf.DUMMYFUNCTION("GOOGLETRANSLATE(A7682, ""zh-CN"", ""ko"")"),"겉보기에는 사실이지만 실제로는 거짓입니다")</f>
        <v>겉보기에는 사실이지만 실제로는 거짓입니다</v>
      </c>
    </row>
    <row r="7683" ht="15.75" customHeight="1">
      <c r="A7683" s="1" t="s">
        <v>22542</v>
      </c>
      <c r="B7683" s="1">
        <v>7.0</v>
      </c>
      <c r="C7683" s="1" t="s">
        <v>22543</v>
      </c>
      <c r="E7683" s="1" t="s">
        <v>22544</v>
      </c>
      <c r="F7683" s="1" t="str">
        <f>IFERROR(__xludf.DUMMYFUNCTION("GOOGLETRANSLATE(A7683, ""zh-CN"", ""ko"")"),"인맥이 넓다")</f>
        <v>인맥이 넓다</v>
      </c>
    </row>
    <row r="7684" ht="15.75" customHeight="1">
      <c r="A7684" s="1" t="s">
        <v>22545</v>
      </c>
      <c r="B7684" s="1">
        <v>7.0</v>
      </c>
      <c r="C7684" s="1" t="s">
        <v>22546</v>
      </c>
      <c r="D7684" s="1" t="s">
        <v>52</v>
      </c>
      <c r="E7684" s="1" t="s">
        <v>22547</v>
      </c>
      <c r="F7684" s="1" t="str">
        <f>IFERROR(__xludf.DUMMYFUNCTION("GOOGLETRANSLATE(A7684, ""zh-CN"", ""ko"")"),"기분 전환")</f>
        <v>기분 전환</v>
      </c>
    </row>
    <row r="7685" ht="15.75" customHeight="1">
      <c r="A7685" s="1" t="s">
        <v>22548</v>
      </c>
      <c r="B7685" s="1">
        <v>7.0</v>
      </c>
      <c r="C7685" s="1" t="s">
        <v>22549</v>
      </c>
      <c r="D7685" s="1" t="s">
        <v>16</v>
      </c>
      <c r="E7685" s="1" t="s">
        <v>22550</v>
      </c>
      <c r="F7685" s="1" t="str">
        <f>IFERROR(__xludf.DUMMYFUNCTION("GOOGLETRANSLATE(A7685, ""zh-CN"", ""ko"")"),"소나무")</f>
        <v>소나무</v>
      </c>
    </row>
    <row r="7686" ht="15.75" customHeight="1">
      <c r="A7686" s="1" t="s">
        <v>22551</v>
      </c>
      <c r="B7686" s="1">
        <v>7.0</v>
      </c>
      <c r="C7686" s="1" t="s">
        <v>22552</v>
      </c>
      <c r="D7686" s="1" t="s">
        <v>14742</v>
      </c>
      <c r="E7686" s="1" t="s">
        <v>22553</v>
      </c>
      <c r="F7686" s="1" t="str">
        <f>IFERROR(__xludf.DUMMYFUNCTION("GOOGLETRANSLATE(A7686, ""zh-CN"", ""ko"")"),"느슨하게")</f>
        <v>느슨하게</v>
      </c>
    </row>
    <row r="7687" ht="15.75" customHeight="1">
      <c r="A7687" s="1" t="s">
        <v>22554</v>
      </c>
      <c r="B7687" s="1">
        <v>7.0</v>
      </c>
      <c r="C7687" s="1" t="s">
        <v>22555</v>
      </c>
      <c r="D7687" s="1" t="s">
        <v>8</v>
      </c>
      <c r="E7687" s="1" t="s">
        <v>22556</v>
      </c>
      <c r="F7687" s="1" t="str">
        <f>IFERROR(__xludf.DUMMYFUNCTION("GOOGLETRANSLATE(A7687, ""zh-CN"", ""ko"")"),"높이 솟은")</f>
        <v>높이 솟은</v>
      </c>
    </row>
    <row r="7688" ht="15.75" customHeight="1">
      <c r="A7688" s="1" t="s">
        <v>22557</v>
      </c>
      <c r="B7688" s="1">
        <v>7.0</v>
      </c>
      <c r="C7688" s="1" t="s">
        <v>22558</v>
      </c>
      <c r="D7688" s="1" t="s">
        <v>8</v>
      </c>
      <c r="E7688" s="1" t="s">
        <v>22559</v>
      </c>
      <c r="F7688" s="1" t="str">
        <f>IFERROR(__xludf.DUMMYFUNCTION("GOOGLETRANSLATE(A7688, ""zh-CN"", ""ko"")"),"선동")</f>
        <v>선동</v>
      </c>
    </row>
    <row r="7689" ht="15.75" customHeight="1">
      <c r="A7689" s="1" t="s">
        <v>22560</v>
      </c>
      <c r="B7689" s="1">
        <v>7.0</v>
      </c>
      <c r="C7689" s="1" t="s">
        <v>22561</v>
      </c>
      <c r="D7689" s="1" t="s">
        <v>14870</v>
      </c>
      <c r="E7689" s="1" t="s">
        <v>22562</v>
      </c>
      <c r="F7689" s="1" t="str">
        <f>IFERROR(__xludf.DUMMYFUNCTION("GOOGLETRANSLATE(A7689, ""zh-CN"", ""ko"")"),"작별")</f>
        <v>작별</v>
      </c>
    </row>
    <row r="7690" ht="15.75" customHeight="1">
      <c r="A7690" s="1" t="s">
        <v>22563</v>
      </c>
      <c r="B7690" s="1">
        <v>7.0</v>
      </c>
      <c r="C7690" s="1" t="s">
        <v>22564</v>
      </c>
      <c r="D7690" s="1" t="s">
        <v>8</v>
      </c>
      <c r="E7690" s="1" t="s">
        <v>22565</v>
      </c>
      <c r="F7690" s="1" t="str">
        <f>IFERROR(__xludf.DUMMYFUNCTION("GOOGLETRANSLATE(A7690, ""zh-CN"", ""ko"")"),"배웅하며")</f>
        <v>배웅하며</v>
      </c>
    </row>
    <row r="7691" ht="15.75" customHeight="1">
      <c r="A7691" s="1" t="s">
        <v>22566</v>
      </c>
      <c r="B7691" s="1">
        <v>7.0</v>
      </c>
      <c r="C7691" s="1" t="s">
        <v>22567</v>
      </c>
      <c r="D7691" s="1" t="s">
        <v>8</v>
      </c>
      <c r="E7691" s="1" t="s">
        <v>22568</v>
      </c>
      <c r="F7691" s="1" t="str">
        <f>IFERROR(__xludf.DUMMYFUNCTION("GOOGLETRANSLATE(A7691, ""zh-CN"", ""ko"")"),"찾다")</f>
        <v>찾다</v>
      </c>
    </row>
    <row r="7692" ht="15.75" customHeight="1">
      <c r="A7692" s="1" t="s">
        <v>22569</v>
      </c>
      <c r="B7692" s="1">
        <v>7.0</v>
      </c>
      <c r="C7692" s="1" t="s">
        <v>22570</v>
      </c>
      <c r="D7692" s="1" t="s">
        <v>8</v>
      </c>
      <c r="E7692" s="1" t="s">
        <v>22571</v>
      </c>
      <c r="F7692" s="1" t="str">
        <f>IFERROR(__xludf.DUMMYFUNCTION("GOOGLETRANSLATE(A7692, ""zh-CN"", ""ko"")"),"수색 및 구조")</f>
        <v>수색 및 구조</v>
      </c>
    </row>
    <row r="7693" ht="15.75" customHeight="1">
      <c r="A7693" s="1" t="s">
        <v>22572</v>
      </c>
      <c r="B7693" s="1">
        <v>7.0</v>
      </c>
      <c r="C7693" s="1" t="s">
        <v>22573</v>
      </c>
      <c r="D7693" s="1" t="s">
        <v>8</v>
      </c>
      <c r="E7693" s="1" t="s">
        <v>22574</v>
      </c>
      <c r="F7693" s="1" t="str">
        <f>IFERROR(__xludf.DUMMYFUNCTION("GOOGLETRANSLATE(A7693, ""zh-CN"", ""ko"")"),"찾다")</f>
        <v>찾다</v>
      </c>
    </row>
    <row r="7694" ht="15.75" customHeight="1">
      <c r="A7694" s="1" t="s">
        <v>22575</v>
      </c>
      <c r="B7694" s="1">
        <v>7.0</v>
      </c>
      <c r="C7694" s="1" t="s">
        <v>22576</v>
      </c>
      <c r="D7694" s="1" t="s">
        <v>52</v>
      </c>
      <c r="E7694" s="1" t="s">
        <v>22577</v>
      </c>
      <c r="F7694" s="1" t="str">
        <f>IFERROR(__xludf.DUMMYFUNCTION("GOOGLETRANSLATE(A7694, ""zh-CN"", ""ko"")"),"바삭한")</f>
        <v>바삭한</v>
      </c>
    </row>
    <row r="7695" ht="15.75" customHeight="1">
      <c r="A7695" s="1" t="s">
        <v>22578</v>
      </c>
      <c r="B7695" s="1">
        <v>7.0</v>
      </c>
      <c r="C7695" s="1" t="s">
        <v>22579</v>
      </c>
      <c r="D7695" s="1" t="s">
        <v>52</v>
      </c>
      <c r="E7695" s="1" t="s">
        <v>22580</v>
      </c>
      <c r="F7695" s="1" t="str">
        <f>IFERROR(__xludf.DUMMYFUNCTION("GOOGLETRANSLATE(A7695, ""zh-CN"", ""ko"")"),"저속한")</f>
        <v>저속한</v>
      </c>
    </row>
    <row r="7696" ht="15.75" customHeight="1">
      <c r="A7696" s="1" t="s">
        <v>22581</v>
      </c>
      <c r="B7696" s="1">
        <v>7.0</v>
      </c>
      <c r="C7696" s="1" t="s">
        <v>22582</v>
      </c>
      <c r="D7696" s="1" t="s">
        <v>14870</v>
      </c>
      <c r="E7696" s="1" t="s">
        <v>22583</v>
      </c>
      <c r="F7696" s="1" t="str">
        <f>IFERROR(__xludf.DUMMYFUNCTION("GOOGLETRANSLATE(A7696, ""zh-CN"", ""ko"")"),"일반명")</f>
        <v>일반명</v>
      </c>
    </row>
    <row r="7697" ht="15.75" customHeight="1">
      <c r="A7697" s="1" t="s">
        <v>22584</v>
      </c>
      <c r="B7697" s="1">
        <v>7.0</v>
      </c>
      <c r="C7697" s="1" t="s">
        <v>22585</v>
      </c>
      <c r="D7697" s="1" t="s">
        <v>16</v>
      </c>
      <c r="E7697" s="1" t="s">
        <v>22586</v>
      </c>
      <c r="F7697" s="1" t="str">
        <f>IFERROR(__xludf.DUMMYFUNCTION("GOOGLETRANSLATE(A7697, ""zh-CN"", ""ko"")"),"속담")</f>
        <v>속담</v>
      </c>
    </row>
    <row r="7698" ht="15.75" customHeight="1">
      <c r="A7698" s="1" t="s">
        <v>22587</v>
      </c>
      <c r="B7698" s="1">
        <v>7.0</v>
      </c>
      <c r="C7698" s="1" t="s">
        <v>22588</v>
      </c>
      <c r="D7698" s="1" t="s">
        <v>15352</v>
      </c>
      <c r="E7698" s="1" t="s">
        <v>22589</v>
      </c>
      <c r="F7698" s="1" t="str">
        <f>IFERROR(__xludf.DUMMYFUNCTION("GOOGLETRANSLATE(A7698, ""zh-CN"", ""ko"")"),"하얀색")</f>
        <v>하얀색</v>
      </c>
    </row>
    <row r="7699" ht="15.75" customHeight="1">
      <c r="A7699" s="1" t="s">
        <v>22590</v>
      </c>
      <c r="B7699" s="1">
        <v>7.0</v>
      </c>
      <c r="C7699" s="1" t="s">
        <v>22591</v>
      </c>
      <c r="E7699" s="1" t="s">
        <v>22592</v>
      </c>
      <c r="F7699" s="1" t="str">
        <f>IFERROR(__xludf.DUMMYFUNCTION("GOOGLETRANSLATE(A7699, ""zh-CN"", ""ko"")"),"낯선 사람들")</f>
        <v>낯선 사람들</v>
      </c>
    </row>
    <row r="7700" ht="15.75" customHeight="1">
      <c r="A7700" s="1" t="s">
        <v>22593</v>
      </c>
      <c r="B7700" s="1">
        <v>7.0</v>
      </c>
      <c r="C7700" s="1" t="s">
        <v>22594</v>
      </c>
      <c r="D7700" s="1" t="s">
        <v>16</v>
      </c>
      <c r="E7700" s="1" t="s">
        <v>22595</v>
      </c>
      <c r="F7700" s="1" t="str">
        <f>IFERROR(__xludf.DUMMYFUNCTION("GOOGLETRANSLATE(A7700, ""zh-CN"", ""ko"")"),"재료")</f>
        <v>재료</v>
      </c>
    </row>
    <row r="7701" ht="15.75" customHeight="1">
      <c r="A7701" s="1" t="s">
        <v>22596</v>
      </c>
      <c r="B7701" s="1">
        <v>7.0</v>
      </c>
      <c r="C7701" s="1" t="s">
        <v>22597</v>
      </c>
      <c r="D7701" s="1" t="s">
        <v>8</v>
      </c>
      <c r="E7701" s="1" t="s">
        <v>22598</v>
      </c>
      <c r="F7701" s="1" t="str">
        <f>IFERROR(__xludf.DUMMYFUNCTION("GOOGLETRANSLATE(A7701, ""zh-CN"", ""ko"")"),"불평하다")</f>
        <v>불평하다</v>
      </c>
    </row>
    <row r="7702" ht="15.75" customHeight="1">
      <c r="A7702" s="1" t="s">
        <v>22599</v>
      </c>
      <c r="B7702" s="1">
        <v>7.0</v>
      </c>
      <c r="C7702" s="1" t="s">
        <v>22600</v>
      </c>
      <c r="D7702" s="1" t="s">
        <v>14870</v>
      </c>
      <c r="E7702" s="1" t="s">
        <v>22601</v>
      </c>
      <c r="F7702" s="1" t="str">
        <f>IFERROR(__xludf.DUMMYFUNCTION("GOOGLETRANSLATE(A7702, ""zh-CN"", ""ko"")"),"요구 사항")</f>
        <v>요구 사항</v>
      </c>
    </row>
    <row r="7703" ht="15.75" customHeight="1">
      <c r="A7703" s="1" t="s">
        <v>22602</v>
      </c>
      <c r="B7703" s="1">
        <v>7.0</v>
      </c>
      <c r="C7703" s="1" t="s">
        <v>22603</v>
      </c>
      <c r="D7703" s="1" t="s">
        <v>8</v>
      </c>
      <c r="E7703" s="1" t="s">
        <v>22604</v>
      </c>
      <c r="F7703" s="1" t="str">
        <f>IFERROR(__xludf.DUMMYFUNCTION("GOOGLETRANSLATE(A7703, ""zh-CN"", ""ko"")"),"말하다")</f>
        <v>말하다</v>
      </c>
    </row>
    <row r="7704" ht="15.75" customHeight="1">
      <c r="A7704" s="1" t="s">
        <v>22605</v>
      </c>
      <c r="B7704" s="1">
        <v>7.0</v>
      </c>
      <c r="C7704" s="1" t="s">
        <v>22606</v>
      </c>
      <c r="D7704" s="1" t="s">
        <v>16</v>
      </c>
      <c r="E7704" s="1" t="s">
        <v>22607</v>
      </c>
      <c r="F7704" s="1" t="str">
        <f>IFERROR(__xludf.DUMMYFUNCTION("GOOGLETRANSLATE(A7704, ""zh-CN"", ""ko"")"),"문해력")</f>
        <v>문해력</v>
      </c>
    </row>
    <row r="7705" ht="15.75" customHeight="1">
      <c r="A7705" s="1" t="s">
        <v>22608</v>
      </c>
      <c r="B7705" s="1">
        <v>7.0</v>
      </c>
      <c r="C7705" s="1" t="s">
        <v>22609</v>
      </c>
      <c r="D7705" s="1" t="s">
        <v>8</v>
      </c>
      <c r="E7705" s="1" t="s">
        <v>22610</v>
      </c>
      <c r="F7705" s="1" t="str">
        <f>IFERROR(__xludf.DUMMYFUNCTION("GOOGLETRANSLATE(A7705, ""zh-CN"", ""ko"")"),"항소")</f>
        <v>항소</v>
      </c>
    </row>
    <row r="7706" ht="15.75" customHeight="1">
      <c r="A7706" s="1" t="s">
        <v>22611</v>
      </c>
      <c r="B7706" s="1">
        <v>7.0</v>
      </c>
      <c r="C7706" s="1" t="s">
        <v>22612</v>
      </c>
      <c r="D7706" s="1" t="s">
        <v>16</v>
      </c>
      <c r="E7706" s="1" t="s">
        <v>22613</v>
      </c>
      <c r="F7706" s="1" t="str">
        <f>IFERROR(__xludf.DUMMYFUNCTION("GOOGLETRANSLATE(A7706, ""zh-CN"", ""ko"")"),"마늘")</f>
        <v>마늘</v>
      </c>
    </row>
    <row r="7707" ht="15.75" customHeight="1">
      <c r="A7707" s="1" t="s">
        <v>22614</v>
      </c>
      <c r="B7707" s="1">
        <v>7.0</v>
      </c>
      <c r="C7707" s="1" t="s">
        <v>22615</v>
      </c>
      <c r="D7707" s="1" t="s">
        <v>8</v>
      </c>
      <c r="E7707" s="1" t="s">
        <v>22616</v>
      </c>
      <c r="F7707" s="1" t="str">
        <f>IFERROR(__xludf.DUMMYFUNCTION("GOOGLETRANSLATE(A7707, ""zh-CN"", ""ko"")"),"계산")</f>
        <v>계산</v>
      </c>
    </row>
    <row r="7708" ht="15.75" customHeight="1">
      <c r="A7708" s="1" t="s">
        <v>22617</v>
      </c>
      <c r="B7708" s="1">
        <v>7.0</v>
      </c>
      <c r="C7708" s="1" t="s">
        <v>22618</v>
      </c>
      <c r="D7708" s="1" t="s">
        <v>16</v>
      </c>
      <c r="E7708" s="1" t="s">
        <v>22619</v>
      </c>
      <c r="F7708" s="1" t="str">
        <f>IFERROR(__xludf.DUMMYFUNCTION("GOOGLETRANSLATE(A7708, ""zh-CN"", ""ko"")"),"주판")</f>
        <v>주판</v>
      </c>
    </row>
    <row r="7709" ht="15.75" customHeight="1">
      <c r="A7709" s="1" t="s">
        <v>22620</v>
      </c>
      <c r="B7709" s="1">
        <v>7.0</v>
      </c>
      <c r="C7709" s="1" t="s">
        <v>22621</v>
      </c>
      <c r="D7709" s="1" t="s">
        <v>8</v>
      </c>
      <c r="E7709" s="1" t="s">
        <v>22622</v>
      </c>
      <c r="F7709" s="1" t="str">
        <f>IFERROR(__xludf.DUMMYFUNCTION("GOOGLETRANSLATE(A7709, ""zh-CN"", ""ko"")"),"회계")</f>
        <v>회계</v>
      </c>
    </row>
    <row r="7710" ht="15.75" customHeight="1">
      <c r="A7710" s="1" t="s">
        <v>22623</v>
      </c>
      <c r="B7710" s="1">
        <v>7.0</v>
      </c>
      <c r="C7710" s="1" t="s">
        <v>22624</v>
      </c>
      <c r="D7710" s="1" t="s">
        <v>1473</v>
      </c>
      <c r="E7710" s="1" t="s">
        <v>22625</v>
      </c>
      <c r="F7710" s="1" t="str">
        <f>IFERROR(__xludf.DUMMYFUNCTION("GOOGLETRANSLATE(A7710, ""zh-CN"", ""ko"")"),"하지만")</f>
        <v>하지만</v>
      </c>
    </row>
    <row r="7711" ht="15.75" customHeight="1">
      <c r="A7711" s="1" t="s">
        <v>22626</v>
      </c>
      <c r="B7711" s="1">
        <v>7.0</v>
      </c>
      <c r="C7711" s="1" t="s">
        <v>22627</v>
      </c>
      <c r="E7711" s="1" t="s">
        <v>22628</v>
      </c>
      <c r="F7711" s="1" t="str">
        <f>IFERROR(__xludf.DUMMYFUNCTION("GOOGLETRANSLATE(A7711, ""zh-CN"", ""ko"")"),"어디에나")</f>
        <v>어디에나</v>
      </c>
    </row>
    <row r="7712" ht="15.75" customHeight="1">
      <c r="A7712" s="1" t="s">
        <v>22629</v>
      </c>
      <c r="B7712" s="1">
        <v>7.0</v>
      </c>
      <c r="C7712" s="1" t="s">
        <v>22630</v>
      </c>
      <c r="D7712" s="1" t="s">
        <v>52</v>
      </c>
      <c r="E7712" s="1" t="s">
        <v>22631</v>
      </c>
      <c r="F7712" s="1" t="str">
        <f>IFERROR(__xludf.DUMMYFUNCTION("GOOGLETRANSLATE(A7712, ""zh-CN"", ""ko"")"),"무작위의")</f>
        <v>무작위의</v>
      </c>
    </row>
    <row r="7713" ht="15.75" customHeight="1">
      <c r="A7713" s="1" t="s">
        <v>22632</v>
      </c>
      <c r="B7713" s="1">
        <v>7.0</v>
      </c>
      <c r="C7713" s="1" t="s">
        <v>22633</v>
      </c>
      <c r="E7713" s="1" t="s">
        <v>22634</v>
      </c>
      <c r="F7713" s="1" t="str">
        <f>IFERROR(__xludf.DUMMYFUNCTION("GOOGLETRANSLATE(A7713, ""zh-CN"", ""ko"")"),"언제 어디서든")</f>
        <v>언제 어디서든</v>
      </c>
    </row>
    <row r="7714" ht="15.75" customHeight="1">
      <c r="A7714" s="1" t="s">
        <v>22635</v>
      </c>
      <c r="B7714" s="1">
        <v>7.0</v>
      </c>
      <c r="C7714" s="1" t="s">
        <v>22636</v>
      </c>
      <c r="E7714" s="1" t="s">
        <v>22637</v>
      </c>
      <c r="F7714" s="1" t="str">
        <f>IFERROR(__xludf.DUMMYFUNCTION("GOOGLETRANSLATE(A7714, ""zh-CN"", ""ko"")"),"하고 싶은 대로 하세요")</f>
        <v>하고 싶은 대로 하세요</v>
      </c>
    </row>
    <row r="7715" ht="15.75" customHeight="1">
      <c r="A7715" s="1" t="s">
        <v>22638</v>
      </c>
      <c r="B7715" s="1">
        <v>7.0</v>
      </c>
      <c r="C7715" s="1" t="s">
        <v>22639</v>
      </c>
      <c r="E7715" s="1" t="s">
        <v>22640</v>
      </c>
      <c r="F7715" s="1" t="str">
        <f>IFERROR(__xludf.DUMMYFUNCTION("GOOGLETRANSLATE(A7715, ""zh-CN"", ""ko"")"),"개인적인 이득을 위해 타인에게 해를 끼치다")</f>
        <v>개인적인 이득을 위해 타인에게 해를 끼치다</v>
      </c>
    </row>
    <row r="7716" ht="15.75" customHeight="1">
      <c r="A7716" s="1" t="s">
        <v>22641</v>
      </c>
      <c r="B7716" s="1">
        <v>7.0</v>
      </c>
      <c r="C7716" s="1" t="s">
        <v>22642</v>
      </c>
      <c r="D7716" s="1" t="s">
        <v>8</v>
      </c>
      <c r="E7716" s="1" t="s">
        <v>22643</v>
      </c>
      <c r="F7716" s="1" t="str">
        <f>IFERROR(__xludf.DUMMYFUNCTION("GOOGLETRANSLATE(A7716, ""zh-CN"", ""ko"")"),"수축")</f>
        <v>수축</v>
      </c>
    </row>
    <row r="7717" ht="15.75" customHeight="1">
      <c r="A7717" s="1" t="s">
        <v>22644</v>
      </c>
      <c r="B7717" s="1">
        <v>7.0</v>
      </c>
      <c r="C7717" s="1" t="s">
        <v>22645</v>
      </c>
      <c r="D7717" s="1" t="s">
        <v>8</v>
      </c>
      <c r="E7717" s="1" t="s">
        <v>22646</v>
      </c>
      <c r="F7717" s="1" t="str">
        <f>IFERROR(__xludf.DUMMYFUNCTION("GOOGLETRANSLATE(A7717, ""zh-CN"", ""ko"")"),"줄이다")</f>
        <v>줄이다</v>
      </c>
    </row>
    <row r="7718" ht="15.75" customHeight="1">
      <c r="A7718" s="1" t="s">
        <v>22647</v>
      </c>
      <c r="B7718" s="1">
        <v>7.0</v>
      </c>
      <c r="C7718" s="1" t="s">
        <v>22648</v>
      </c>
      <c r="D7718" s="1" t="s">
        <v>8</v>
      </c>
      <c r="E7718" s="1" t="s">
        <v>22649</v>
      </c>
      <c r="F7718" s="1" t="str">
        <f>IFERROR(__xludf.DUMMYFUNCTION("GOOGLETRANSLATE(A7718, ""zh-CN"", ""ko"")"),"수축")</f>
        <v>수축</v>
      </c>
    </row>
    <row r="7719" ht="15.75" customHeight="1">
      <c r="A7719" s="1" t="s">
        <v>22650</v>
      </c>
      <c r="B7719" s="1">
        <v>7.0</v>
      </c>
      <c r="C7719" s="1" t="s">
        <v>22651</v>
      </c>
      <c r="D7719" s="1" t="s">
        <v>16</v>
      </c>
      <c r="E7719" s="1" t="s">
        <v>22652</v>
      </c>
      <c r="F7719" s="1" t="str">
        <f>IFERROR(__xludf.DUMMYFUNCTION("GOOGLETRANSLATE(A7719, ""zh-CN"", ""ko"")"),"세밀화")</f>
        <v>세밀화</v>
      </c>
    </row>
    <row r="7720" ht="15.75" customHeight="1">
      <c r="A7720" s="1" t="s">
        <v>22653</v>
      </c>
      <c r="B7720" s="1">
        <v>7.0</v>
      </c>
      <c r="C7720" s="1" t="s">
        <v>22654</v>
      </c>
      <c r="D7720" s="1" t="s">
        <v>8</v>
      </c>
      <c r="E7720" s="1" t="s">
        <v>22655</v>
      </c>
      <c r="F7720" s="1" t="str">
        <f>IFERROR(__xludf.DUMMYFUNCTION("GOOGLETRANSLATE(A7720, ""zh-CN"", ""ko"")"),"잠금")</f>
        <v>잠금</v>
      </c>
    </row>
    <row r="7721" ht="15.75" customHeight="1">
      <c r="A7721" s="1" t="s">
        <v>22656</v>
      </c>
      <c r="B7721" s="1">
        <v>7.0</v>
      </c>
      <c r="C7721" s="1" t="s">
        <v>22657</v>
      </c>
      <c r="D7721" s="1" t="s">
        <v>8</v>
      </c>
      <c r="E7721" s="1" t="s">
        <v>22658</v>
      </c>
      <c r="F7721" s="1" t="str">
        <f>IFERROR(__xludf.DUMMYFUNCTION("GOOGLETRANSLATE(A7721, ""zh-CN"", ""ko"")"),"청구")</f>
        <v>청구</v>
      </c>
    </row>
    <row r="7722" ht="15.75" customHeight="1">
      <c r="A7722" s="1" t="s">
        <v>22659</v>
      </c>
      <c r="B7722" s="1">
        <v>7.0</v>
      </c>
      <c r="C7722" s="1" t="s">
        <v>22660</v>
      </c>
      <c r="D7722" s="1" t="s">
        <v>52</v>
      </c>
      <c r="E7722" s="1" t="s">
        <v>22661</v>
      </c>
      <c r="F7722" s="1" t="str">
        <f>IFERROR(__xludf.DUMMYFUNCTION("GOOGLETRANSLATE(A7722, ""zh-CN"", ""ko"")"),"제자리에 있다")</f>
        <v>제자리에 있다</v>
      </c>
    </row>
    <row r="7723" ht="15.75" customHeight="1">
      <c r="A7723" s="1" t="s">
        <v>22662</v>
      </c>
      <c r="B7723" s="1">
        <v>7.0</v>
      </c>
      <c r="C7723" s="1" t="s">
        <v>22663</v>
      </c>
      <c r="D7723" s="1" t="s">
        <v>52</v>
      </c>
      <c r="E7723" s="1" t="s">
        <v>22664</v>
      </c>
      <c r="F7723" s="1" t="str">
        <f>IFERROR(__xludf.DUMMYFUNCTION("GOOGLETRANSLATE(A7723, ""zh-CN"", ""ko"")"),"하찮은")</f>
        <v>하찮은</v>
      </c>
    </row>
    <row r="7724" ht="15.75" customHeight="1">
      <c r="A7724" s="1" t="s">
        <v>22665</v>
      </c>
      <c r="B7724" s="1">
        <v>7.0</v>
      </c>
      <c r="C7724" s="1" t="s">
        <v>22666</v>
      </c>
      <c r="D7724" s="1" t="s">
        <v>52</v>
      </c>
      <c r="E7724" s="1" t="s">
        <v>22667</v>
      </c>
      <c r="F7724" s="1" t="str">
        <f>IFERROR(__xludf.DUMMYFUNCTION("GOOGLETRANSLATE(A7724, ""zh-CN"", ""ko"")"),"소위")</f>
        <v>소위</v>
      </c>
    </row>
    <row r="7725" ht="15.75" customHeight="1">
      <c r="A7725" s="1" t="s">
        <v>22668</v>
      </c>
      <c r="B7725" s="1">
        <v>7.0</v>
      </c>
      <c r="C7725" s="1" t="s">
        <v>22669</v>
      </c>
      <c r="D7725" s="1" t="s">
        <v>16</v>
      </c>
      <c r="E7725" s="1" t="s">
        <v>2037</v>
      </c>
      <c r="F7725" s="1" t="str">
        <f>IFERROR(__xludf.DUMMYFUNCTION("GOOGLETRANSLATE(A7725, ""zh-CN"", ""ko"")"),"위치")</f>
        <v>위치</v>
      </c>
    </row>
    <row r="7726" ht="15.75" customHeight="1">
      <c r="A7726" s="1" t="s">
        <v>22670</v>
      </c>
      <c r="B7726" s="1">
        <v>7.0</v>
      </c>
      <c r="C7726" s="1" t="s">
        <v>22671</v>
      </c>
      <c r="E7726" s="1" t="s">
        <v>22672</v>
      </c>
      <c r="F7726" s="1" t="str">
        <f>IFERROR(__xludf.DUMMYFUNCTION("GOOGLETRANSLATE(A7726, ""zh-CN"", ""ko"")"),"그들이 한 일")</f>
        <v>그들이 한 일</v>
      </c>
    </row>
    <row r="7727" ht="15.75" customHeight="1">
      <c r="A7727" s="1" t="s">
        <v>22673</v>
      </c>
      <c r="B7727" s="1">
        <v>7.0</v>
      </c>
      <c r="C7727" s="1" t="s">
        <v>22674</v>
      </c>
      <c r="D7727" s="1" t="s">
        <v>8</v>
      </c>
      <c r="E7727" s="1" t="s">
        <v>22675</v>
      </c>
      <c r="F7727" s="1" t="str">
        <f>IFERROR(__xludf.DUMMYFUNCTION("GOOGLETRANSLATE(A7727, ""zh-CN"", ""ko"")"),"흘레")</f>
        <v>흘레</v>
      </c>
    </row>
    <row r="7728" ht="15.75" customHeight="1">
      <c r="A7728" s="1" t="s">
        <v>22676</v>
      </c>
      <c r="B7728" s="1">
        <v>7.0</v>
      </c>
      <c r="C7728" s="1" t="s">
        <v>22677</v>
      </c>
      <c r="D7728" s="1" t="s">
        <v>17233</v>
      </c>
      <c r="E7728" s="1" t="s">
        <v>22678</v>
      </c>
      <c r="F7728" s="1" t="str">
        <f>IFERROR(__xludf.DUMMYFUNCTION("GOOGLETRANSLATE(A7728, ""zh-CN"", ""ko"")"),"유쾌한")</f>
        <v>유쾌한</v>
      </c>
    </row>
    <row r="7729" ht="15.75" customHeight="1">
      <c r="A7729" s="1" t="s">
        <v>22679</v>
      </c>
      <c r="B7729" s="1">
        <v>7.0</v>
      </c>
      <c r="C7729" s="1" t="s">
        <v>22680</v>
      </c>
      <c r="D7729" s="1" t="s">
        <v>16</v>
      </c>
      <c r="E7729" s="1" t="s">
        <v>22681</v>
      </c>
      <c r="F7729" s="1" t="str">
        <f>IFERROR(__xludf.DUMMYFUNCTION("GOOGLETRANSLATE(A7729, ""zh-CN"", ""ko"")"),"태아")</f>
        <v>태아</v>
      </c>
    </row>
    <row r="7730" ht="15.75" customHeight="1">
      <c r="A7730" s="1" t="s">
        <v>22682</v>
      </c>
      <c r="B7730" s="1">
        <v>7.0</v>
      </c>
      <c r="C7730" s="1" t="s">
        <v>22683</v>
      </c>
      <c r="D7730" s="1" t="s">
        <v>16</v>
      </c>
      <c r="E7730" s="1" t="s">
        <v>22684</v>
      </c>
      <c r="F7730" s="1" t="str">
        <f>IFERROR(__xludf.DUMMYFUNCTION("GOOGLETRANSLATE(A7730, ""zh-CN"", ""ko"")"),"태극권")</f>
        <v>태극권</v>
      </c>
    </row>
    <row r="7731" ht="15.75" customHeight="1">
      <c r="A7731" s="1" t="s">
        <v>22685</v>
      </c>
      <c r="B7731" s="1">
        <v>7.0</v>
      </c>
      <c r="C7731" s="1" t="s">
        <v>22686</v>
      </c>
      <c r="D7731" s="1" t="s">
        <v>52</v>
      </c>
      <c r="E7731" s="1" t="s">
        <v>22687</v>
      </c>
      <c r="F7731" s="1" t="str">
        <f>IFERROR(__xludf.DUMMYFUNCTION("GOOGLETRANSLATE(A7731, ""zh-CN"", ""ko"")"),"타이핑")</f>
        <v>타이핑</v>
      </c>
    </row>
    <row r="7732" ht="15.75" customHeight="1">
      <c r="A7732" s="1" t="s">
        <v>22688</v>
      </c>
      <c r="B7732" s="1">
        <v>7.0</v>
      </c>
      <c r="C7732" s="1" t="s">
        <v>22689</v>
      </c>
      <c r="D7732" s="1" t="s">
        <v>16</v>
      </c>
      <c r="E7732" s="1" t="s">
        <v>10363</v>
      </c>
      <c r="F7732" s="1" t="str">
        <f>IFERROR(__xludf.DUMMYFUNCTION("GOOGLETRANSLATE(A7732, ""zh-CN"", ""ko"")"),"상황")</f>
        <v>상황</v>
      </c>
    </row>
    <row r="7733" ht="15.75" customHeight="1">
      <c r="A7733" s="1" t="s">
        <v>22690</v>
      </c>
      <c r="B7733" s="1">
        <v>7.0</v>
      </c>
      <c r="C7733" s="1" t="s">
        <v>12486</v>
      </c>
      <c r="D7733" s="1" t="s">
        <v>8</v>
      </c>
      <c r="E7733" s="1" t="s">
        <v>22691</v>
      </c>
      <c r="F7733" s="1" t="str">
        <f>IFERROR(__xludf.DUMMYFUNCTION("GOOGLETRANSLATE(A7733, ""zh-CN"", ""ko"")"),"마비")</f>
        <v>마비</v>
      </c>
    </row>
    <row r="7734" ht="15.75" customHeight="1">
      <c r="A7734" s="1" t="s">
        <v>22692</v>
      </c>
      <c r="B7734" s="1">
        <v>7.0</v>
      </c>
      <c r="C7734" s="1" t="s">
        <v>12486</v>
      </c>
      <c r="D7734" s="1" t="s">
        <v>8</v>
      </c>
      <c r="E7734" s="1" t="s">
        <v>22693</v>
      </c>
      <c r="F7734" s="1" t="str">
        <f>IFERROR(__xludf.DUMMYFUNCTION("GOOGLETRANSLATE(A7734, ""zh-CN"", ""ko"")"),"탐욕스러운")</f>
        <v>탐욕스러운</v>
      </c>
    </row>
    <row r="7735" ht="15.75" customHeight="1">
      <c r="A7735" s="1" t="s">
        <v>22694</v>
      </c>
      <c r="B7735" s="1">
        <v>7.0</v>
      </c>
      <c r="C7735" s="1" t="s">
        <v>22695</v>
      </c>
      <c r="D7735" s="1" t="s">
        <v>52</v>
      </c>
      <c r="E7735" s="1" t="s">
        <v>22696</v>
      </c>
      <c r="F7735" s="1" t="str">
        <f>IFERROR(__xludf.DUMMYFUNCTION("GOOGLETRANSLATE(A7735, ""zh-CN"", ""ko"")"),"대식")</f>
        <v>대식</v>
      </c>
    </row>
    <row r="7736" ht="15.75" customHeight="1">
      <c r="A7736" s="1" t="s">
        <v>22697</v>
      </c>
      <c r="B7736" s="1">
        <v>7.0</v>
      </c>
      <c r="C7736" s="1" t="s">
        <v>3010</v>
      </c>
      <c r="D7736" s="1" t="s">
        <v>16</v>
      </c>
      <c r="E7736" s="1" t="s">
        <v>22698</v>
      </c>
      <c r="F7736" s="1" t="str">
        <f>IFERROR(__xludf.DUMMYFUNCTION("GOOGLETRANSLATE(A7736, ""zh-CN"", ""ko"")"),"제단")</f>
        <v>제단</v>
      </c>
    </row>
    <row r="7737" ht="15.75" customHeight="1">
      <c r="A7737" s="1" t="s">
        <v>22699</v>
      </c>
      <c r="B7737" s="1">
        <v>7.0</v>
      </c>
      <c r="C7737" s="1" t="s">
        <v>3010</v>
      </c>
      <c r="D7737" s="1" t="s">
        <v>16</v>
      </c>
      <c r="E7737" s="1" t="s">
        <v>22700</v>
      </c>
      <c r="F7737" s="1" t="str">
        <f>IFERROR(__xludf.DUMMYFUNCTION("GOOGLETRANSLATE(A7737, ""zh-CN"", ""ko"")"),"담")</f>
        <v>담</v>
      </c>
    </row>
    <row r="7738" ht="15.75" customHeight="1">
      <c r="A7738" s="1" t="s">
        <v>22701</v>
      </c>
      <c r="B7738" s="1">
        <v>7.0</v>
      </c>
      <c r="C7738" s="1" t="s">
        <v>22702</v>
      </c>
      <c r="D7738" s="1" t="s">
        <v>8</v>
      </c>
      <c r="E7738" s="1" t="s">
        <v>22703</v>
      </c>
      <c r="F7738" s="1" t="str">
        <f>IFERROR(__xludf.DUMMYFUNCTION("GOOGLETRANSLATE(A7738, ""zh-CN"", ""ko"")"),"말할 때")</f>
        <v>말할 때</v>
      </c>
    </row>
    <row r="7739" ht="15.75" customHeight="1">
      <c r="A7739" s="1" t="s">
        <v>22704</v>
      </c>
      <c r="B7739" s="1">
        <v>7.0</v>
      </c>
      <c r="C7739" s="1" t="s">
        <v>22705</v>
      </c>
      <c r="D7739" s="1" t="s">
        <v>52</v>
      </c>
      <c r="E7739" s="1" t="s">
        <v>22706</v>
      </c>
      <c r="F7739" s="1" t="str">
        <f>IFERROR(__xludf.DUMMYFUNCTION("GOOGLETRANSLATE(A7739, ""zh-CN"", ""ko"")"),"정직")</f>
        <v>정직</v>
      </c>
    </row>
    <row r="7740" ht="15.75" customHeight="1">
      <c r="A7740" s="1" t="s">
        <v>22707</v>
      </c>
      <c r="B7740" s="1">
        <v>7.0</v>
      </c>
      <c r="C7740" s="1" t="s">
        <v>22708</v>
      </c>
      <c r="D7740" s="1" t="s">
        <v>16</v>
      </c>
      <c r="E7740" s="1" t="s">
        <v>22709</v>
      </c>
      <c r="F7740" s="1" t="str">
        <f>IFERROR(__xludf.DUMMYFUNCTION("GOOGLETRANSLATE(A7740, ""zh-CN"", ""ko"")"),"탱크")</f>
        <v>탱크</v>
      </c>
    </row>
    <row r="7741" ht="15.75" customHeight="1">
      <c r="A7741" s="1" t="s">
        <v>22710</v>
      </c>
      <c r="B7741" s="1">
        <v>7.0</v>
      </c>
      <c r="C7741" s="1" t="s">
        <v>22711</v>
      </c>
      <c r="D7741" s="1" t="s">
        <v>52</v>
      </c>
      <c r="E7741" s="1" t="s">
        <v>22712</v>
      </c>
      <c r="F7741" s="1" t="str">
        <f>IFERROR(__xludf.DUMMYFUNCTION("GOOGLETRANSLATE(A7741, ""zh-CN"", ""ko"")"),"침착한")</f>
        <v>침착한</v>
      </c>
    </row>
    <row r="7742" ht="15.75" customHeight="1">
      <c r="A7742" s="1" t="s">
        <v>22713</v>
      </c>
      <c r="B7742" s="1">
        <v>7.0</v>
      </c>
      <c r="C7742" s="1" t="s">
        <v>22714</v>
      </c>
      <c r="D7742" s="1" t="s">
        <v>14870</v>
      </c>
      <c r="E7742" s="1" t="s">
        <v>22715</v>
      </c>
      <c r="F7742" s="1" t="str">
        <f>IFERROR(__xludf.DUMMYFUNCTION("GOOGLETRANSLATE(A7742, ""zh-CN"", ""ko"")"),"솔직히")</f>
        <v>솔직히</v>
      </c>
    </row>
    <row r="7743" ht="15.75" customHeight="1">
      <c r="A7743" s="1" t="s">
        <v>22716</v>
      </c>
      <c r="B7743" s="1">
        <v>7.0</v>
      </c>
      <c r="C7743" s="1" t="s">
        <v>22717</v>
      </c>
      <c r="D7743" s="1" t="s">
        <v>16</v>
      </c>
      <c r="E7743" s="1" t="s">
        <v>22718</v>
      </c>
      <c r="F7743" s="1" t="str">
        <f>IFERROR(__xludf.DUMMYFUNCTION("GOOGLETRANSLATE(A7743, ""zh-CN"", ""ko"")"),"담요")</f>
        <v>담요</v>
      </c>
    </row>
    <row r="7744" ht="15.75" customHeight="1">
      <c r="A7744" s="1" t="s">
        <v>22719</v>
      </c>
      <c r="B7744" s="1">
        <v>7.0</v>
      </c>
      <c r="C7744" s="1" t="s">
        <v>22720</v>
      </c>
      <c r="D7744" s="1" t="s">
        <v>8</v>
      </c>
      <c r="E7744" s="1" t="s">
        <v>22721</v>
      </c>
      <c r="F7744" s="1" t="str">
        <f>IFERROR(__xludf.DUMMYFUNCTION("GOOGLETRANSLATE(A7744, ""zh-CN"", ""ko"")"),"탐구하다")</f>
        <v>탐구하다</v>
      </c>
    </row>
    <row r="7745" ht="15.75" customHeight="1">
      <c r="A7745" s="1" t="s">
        <v>22722</v>
      </c>
      <c r="B7745" s="1">
        <v>7.0</v>
      </c>
      <c r="C7745" s="1" t="s">
        <v>22720</v>
      </c>
      <c r="D7745" s="1" t="s">
        <v>16</v>
      </c>
      <c r="E7745" s="1" t="s">
        <v>22723</v>
      </c>
      <c r="F7745" s="1" t="str">
        <f>IFERROR(__xludf.DUMMYFUNCTION("GOOGLETRANSLATE(A7745, ""zh-CN"", ""ko"")"),"탄소")</f>
        <v>탄소</v>
      </c>
    </row>
    <row r="7746" ht="15.75" customHeight="1">
      <c r="A7746" s="1" t="s">
        <v>22724</v>
      </c>
      <c r="B7746" s="1">
        <v>7.0</v>
      </c>
      <c r="C7746" s="1" t="s">
        <v>22725</v>
      </c>
      <c r="D7746" s="1" t="s">
        <v>8</v>
      </c>
      <c r="E7746" s="1" t="s">
        <v>22726</v>
      </c>
      <c r="F7746" s="1" t="str">
        <f>IFERROR(__xludf.DUMMYFUNCTION("GOOGLETRANSLATE(A7746, ""zh-CN"", ""ko"")"),"탐구하다")</f>
        <v>탐구하다</v>
      </c>
    </row>
    <row r="7747" ht="15.75" customHeight="1">
      <c r="A7747" s="1" t="s">
        <v>22727</v>
      </c>
      <c r="B7747" s="1">
        <v>7.0</v>
      </c>
      <c r="C7747" s="1" t="s">
        <v>22728</v>
      </c>
      <c r="D7747" s="1" t="s">
        <v>8</v>
      </c>
      <c r="E7747" s="1" t="s">
        <v>22729</v>
      </c>
      <c r="F7747" s="1" t="str">
        <f>IFERROR(__xludf.DUMMYFUNCTION("GOOGLETRANSLATE(A7747, ""zh-CN"", ""ko"")"),"친척 방문")</f>
        <v>친척 방문</v>
      </c>
    </row>
    <row r="7748" ht="15.75" customHeight="1">
      <c r="A7748" s="1" t="s">
        <v>22730</v>
      </c>
      <c r="B7748" s="1">
        <v>7.0</v>
      </c>
      <c r="C7748" s="1" t="s">
        <v>22731</v>
      </c>
      <c r="D7748" s="1" t="s">
        <v>8</v>
      </c>
      <c r="E7748" s="1" t="s">
        <v>22732</v>
      </c>
      <c r="F7748" s="1" t="str">
        <f>IFERROR(__xludf.DUMMYFUNCTION("GOOGLETRANSLATE(A7748, ""zh-CN"", ""ko"")"),"탐구하다")</f>
        <v>탐구하다</v>
      </c>
    </row>
    <row r="7749" ht="15.75" customHeight="1">
      <c r="A7749" s="1" t="s">
        <v>22733</v>
      </c>
      <c r="B7749" s="1">
        <v>7.0</v>
      </c>
      <c r="C7749" s="1" t="s">
        <v>22734</v>
      </c>
      <c r="D7749" s="1" t="s">
        <v>8</v>
      </c>
      <c r="E7749" s="1" t="s">
        <v>22735</v>
      </c>
      <c r="F7749" s="1" t="str">
        <f>IFERROR(__xludf.DUMMYFUNCTION("GOOGLETRANSLATE(A7749, ""zh-CN"", ""ko"")"),"모험")</f>
        <v>모험</v>
      </c>
    </row>
    <row r="7750" ht="15.75" customHeight="1">
      <c r="A7750" s="1" t="s">
        <v>22736</v>
      </c>
      <c r="B7750" s="1">
        <v>7.0</v>
      </c>
      <c r="C7750" s="1" t="s">
        <v>3019</v>
      </c>
      <c r="D7750" s="1" t="s">
        <v>26</v>
      </c>
      <c r="E7750" s="1" t="s">
        <v>22737</v>
      </c>
      <c r="F7750" s="1" t="str">
        <f>IFERROR(__xludf.DUMMYFUNCTION("GOOGLETRANSLATE(A7750, ""zh-CN"", ""ko"")"),"홀")</f>
        <v>홀</v>
      </c>
    </row>
    <row r="7751" ht="15.75" customHeight="1">
      <c r="A7751" s="1" t="s">
        <v>22738</v>
      </c>
      <c r="B7751" s="1">
        <v>7.0</v>
      </c>
      <c r="C7751" s="1" t="s">
        <v>22739</v>
      </c>
      <c r="D7751" s="1" t="s">
        <v>16</v>
      </c>
      <c r="E7751" s="1" t="s">
        <v>22740</v>
      </c>
      <c r="F7751" s="1" t="str">
        <f>IFERROR(__xludf.DUMMYFUNCTION("GOOGLETRANSLATE(A7751, ""zh-CN"", ""ko"")"),"당뇨병")</f>
        <v>당뇨병</v>
      </c>
    </row>
    <row r="7752" ht="15.75" customHeight="1">
      <c r="A7752" s="1" t="s">
        <v>22741</v>
      </c>
      <c r="B7752" s="1">
        <v>7.0</v>
      </c>
      <c r="C7752" s="1" t="s">
        <v>3022</v>
      </c>
      <c r="D7752" s="1" t="s">
        <v>8</v>
      </c>
      <c r="E7752" s="1" t="s">
        <v>22742</v>
      </c>
      <c r="F7752" s="1" t="str">
        <f>IFERROR(__xludf.DUMMYFUNCTION("GOOGLETRANSLATE(A7752, ""zh-CN"", ""ko"")"),"똑똑 떨어지는 물방울 소리")</f>
        <v>똑똑 떨어지는 물방울 소리</v>
      </c>
    </row>
    <row r="7753" ht="15.75" customHeight="1">
      <c r="A7753" s="1" t="s">
        <v>22743</v>
      </c>
      <c r="B7753" s="1">
        <v>7.0</v>
      </c>
      <c r="C7753" s="1" t="s">
        <v>22744</v>
      </c>
      <c r="E7753" s="1" t="s">
        <v>22745</v>
      </c>
      <c r="F7753" s="1" t="str">
        <f>IFERROR(__xludf.DUMMYFUNCTION("GOOGLETRANSLATE(A7753, ""zh-CN"", ""ko"")"),"자비로 지불하기")</f>
        <v>자비로 지불하기</v>
      </c>
    </row>
    <row r="7754" ht="15.75" customHeight="1">
      <c r="A7754" s="1" t="s">
        <v>22746</v>
      </c>
      <c r="B7754" s="1">
        <v>7.0</v>
      </c>
      <c r="C7754" s="1" t="s">
        <v>6232</v>
      </c>
      <c r="D7754" s="1" t="s">
        <v>8</v>
      </c>
      <c r="E7754" s="1" t="s">
        <v>22747</v>
      </c>
      <c r="F7754" s="1" t="str">
        <f>IFERROR(__xludf.DUMMYFUNCTION("GOOGLETRANSLATE(A7754, ""zh-CN"", ""ko"")"),"타오바오")</f>
        <v>타오바오</v>
      </c>
    </row>
    <row r="7755" ht="15.75" customHeight="1">
      <c r="A7755" s="1" t="s">
        <v>22748</v>
      </c>
      <c r="B7755" s="1">
        <v>7.0</v>
      </c>
      <c r="C7755" s="1" t="s">
        <v>22749</v>
      </c>
      <c r="D7755" s="1" t="s">
        <v>8</v>
      </c>
      <c r="E7755" s="1" t="s">
        <v>22750</v>
      </c>
      <c r="F7755" s="1" t="str">
        <f>IFERROR(__xludf.DUMMYFUNCTION("GOOGLETRANSLATE(A7755, ""zh-CN"", ""ko"")"),"탈출하다")</f>
        <v>탈출하다</v>
      </c>
    </row>
    <row r="7756" ht="15.75" customHeight="1">
      <c r="A7756" s="1" t="s">
        <v>22751</v>
      </c>
      <c r="B7756" s="1">
        <v>7.0</v>
      </c>
      <c r="C7756" s="1" t="s">
        <v>22752</v>
      </c>
      <c r="D7756" s="1" t="s">
        <v>8</v>
      </c>
      <c r="E7756" s="1" t="s">
        <v>22753</v>
      </c>
      <c r="F7756" s="1" t="str">
        <f>IFERROR(__xludf.DUMMYFUNCTION("GOOGLETRANSLATE(A7756, ""zh-CN"", ""ko"")"),"탈출하다")</f>
        <v>탈출하다</v>
      </c>
    </row>
    <row r="7757" ht="15.75" customHeight="1">
      <c r="A7757" s="1" t="s">
        <v>22754</v>
      </c>
      <c r="B7757" s="1">
        <v>7.0</v>
      </c>
      <c r="C7757" s="1" t="s">
        <v>22755</v>
      </c>
      <c r="D7757" s="1" t="s">
        <v>8</v>
      </c>
      <c r="E7757" s="1" t="s">
        <v>22756</v>
      </c>
      <c r="F7757" s="1" t="str">
        <f>IFERROR(__xludf.DUMMYFUNCTION("GOOGLETRANSLATE(A7757, ""zh-CN"", ""ko"")"),"곰팡이")</f>
        <v>곰팡이</v>
      </c>
    </row>
    <row r="7758" ht="15.75" customHeight="1">
      <c r="A7758" s="1" t="s">
        <v>22757</v>
      </c>
      <c r="B7758" s="1">
        <v>7.0</v>
      </c>
      <c r="C7758" s="1" t="s">
        <v>22758</v>
      </c>
      <c r="D7758" s="1" t="s">
        <v>8</v>
      </c>
      <c r="E7758" s="1" t="s">
        <v>22759</v>
      </c>
      <c r="F7758" s="1" t="str">
        <f>IFERROR(__xludf.DUMMYFUNCTION("GOOGLETRANSLATE(A7758, ""zh-CN"", ""ko"")"),"논의하다")</f>
        <v>논의하다</v>
      </c>
    </row>
    <row r="7759" ht="15.75" customHeight="1">
      <c r="A7759" s="1" t="s">
        <v>22760</v>
      </c>
      <c r="B7759" s="1">
        <v>7.0</v>
      </c>
      <c r="C7759" s="1" t="s">
        <v>22761</v>
      </c>
      <c r="D7759" s="1" t="s">
        <v>33</v>
      </c>
      <c r="E7759" s="1" t="s">
        <v>22762</v>
      </c>
      <c r="F7759" s="1" t="str">
        <f>IFERROR(__xludf.DUMMYFUNCTION("GOOGLETRANSLATE(A7759, ""zh-CN"", ""ko"")"),"이로써")</f>
        <v>이로써</v>
      </c>
    </row>
    <row r="7760" ht="15.75" customHeight="1">
      <c r="A7760" s="1" t="s">
        <v>22763</v>
      </c>
      <c r="B7760" s="1">
        <v>7.0</v>
      </c>
      <c r="C7760" s="1" t="s">
        <v>22764</v>
      </c>
      <c r="D7760" s="1" t="s">
        <v>16</v>
      </c>
      <c r="E7760" s="1" t="s">
        <v>22765</v>
      </c>
      <c r="F7760" s="1" t="str">
        <f>IFERROR(__xludf.DUMMYFUNCTION("GOOGLETRANSLATE(A7760, ""zh-CN"", ""ko"")"),"특별한 경우")</f>
        <v>특별한 경우</v>
      </c>
    </row>
    <row r="7761" ht="15.75" customHeight="1">
      <c r="A7761" s="1" t="s">
        <v>22766</v>
      </c>
      <c r="B7761" s="1">
        <v>7.0</v>
      </c>
      <c r="C7761" s="1" t="s">
        <v>22767</v>
      </c>
      <c r="D7761" s="1" t="s">
        <v>16</v>
      </c>
      <c r="E7761" s="1" t="s">
        <v>22768</v>
      </c>
      <c r="F7761" s="1" t="str">
        <f>IFERROR(__xludf.DUMMYFUNCTION("GOOGLETRANSLATE(A7761, ""zh-CN"", ""ko"")"),"특권")</f>
        <v>특권</v>
      </c>
    </row>
    <row r="7762" ht="15.75" customHeight="1">
      <c r="A7762" s="1" t="s">
        <v>22769</v>
      </c>
      <c r="B7762" s="1">
        <v>7.0</v>
      </c>
      <c r="C7762" s="1" t="s">
        <v>22770</v>
      </c>
      <c r="D7762" s="1" t="s">
        <v>8</v>
      </c>
      <c r="E7762" s="1" t="s">
        <v>22771</v>
      </c>
      <c r="F7762" s="1" t="str">
        <f>IFERROR(__xludf.DUMMYFUNCTION("GOOGLETRANSLATE(A7762, ""zh-CN"", ""ko"")"),"특별 초대")</f>
        <v>특별 초대</v>
      </c>
    </row>
    <row r="7763" ht="15.75" customHeight="1">
      <c r="A7763" s="1" t="s">
        <v>22772</v>
      </c>
      <c r="B7763" s="1">
        <v>7.0</v>
      </c>
      <c r="C7763" s="1" t="s">
        <v>22773</v>
      </c>
      <c r="D7763" s="1" t="s">
        <v>8</v>
      </c>
      <c r="E7763" s="1" t="s">
        <v>22774</v>
      </c>
      <c r="F7763" s="1" t="str">
        <f>IFERROR(__xludf.DUMMYFUNCTION("GOOGLETRANSLATE(A7763, ""zh-CN"", ""ko"")"),"특별한")</f>
        <v>특별한</v>
      </c>
    </row>
    <row r="7764" ht="15.75" customHeight="1">
      <c r="A7764" s="1" t="s">
        <v>22775</v>
      </c>
      <c r="B7764" s="1">
        <v>7.0</v>
      </c>
      <c r="C7764" s="1" t="s">
        <v>22773</v>
      </c>
      <c r="D7764" s="1" t="s">
        <v>16</v>
      </c>
      <c r="E7764" s="1" t="s">
        <v>22776</v>
      </c>
      <c r="F7764" s="1" t="str">
        <f>IFERROR(__xludf.DUMMYFUNCTION("GOOGLETRANSLATE(A7764, ""zh-CN"", ""ko"")"),"특징")</f>
        <v>특징</v>
      </c>
    </row>
    <row r="7765" ht="15.75" customHeight="1">
      <c r="A7765" s="1" t="s">
        <v>22777</v>
      </c>
      <c r="B7765" s="1">
        <v>7.0</v>
      </c>
      <c r="C7765" s="1" t="s">
        <v>1541</v>
      </c>
      <c r="D7765" s="1" t="s">
        <v>8</v>
      </c>
      <c r="E7765" s="1" t="s">
        <v>22778</v>
      </c>
      <c r="F7765" s="1" t="str">
        <f>IFERROR(__xludf.DUMMYFUNCTION("GOOGLETRANSLATE(A7765, ""zh-CN"", ""ko"")"),"텡")</f>
        <v>텡</v>
      </c>
    </row>
    <row r="7766" ht="15.75" customHeight="1">
      <c r="A7766" s="1" t="s">
        <v>22779</v>
      </c>
      <c r="B7766" s="1">
        <v>7.0</v>
      </c>
      <c r="C7766" s="1" t="s">
        <v>22780</v>
      </c>
      <c r="D7766" s="1" t="s">
        <v>16</v>
      </c>
      <c r="E7766" s="1" t="s">
        <v>22781</v>
      </c>
      <c r="F7766" s="1" t="str">
        <f>IFERROR(__xludf.DUMMYFUNCTION("GOOGLETRANSLATE(A7766, ""zh-CN"", ""ko"")"),"덩굴")</f>
        <v>덩굴</v>
      </c>
    </row>
    <row r="7767" ht="15.75" customHeight="1">
      <c r="A7767" s="1" t="s">
        <v>22782</v>
      </c>
      <c r="B7767" s="1">
        <v>7.0</v>
      </c>
      <c r="C7767" s="1" t="s">
        <v>22783</v>
      </c>
      <c r="D7767" s="1" t="s">
        <v>8</v>
      </c>
      <c r="E7767" s="1" t="s">
        <v>21463</v>
      </c>
      <c r="F7767" s="1" t="str">
        <f>IFERROR(__xludf.DUMMYFUNCTION("GOOGLETRANSLATE(A7767, ""zh-CN"", ""ko"")"),"제거하다")</f>
        <v>제거하다</v>
      </c>
    </row>
    <row r="7768" ht="15.75" customHeight="1">
      <c r="A7768" s="1" t="s">
        <v>22784</v>
      </c>
      <c r="B7768" s="1">
        <v>7.0</v>
      </c>
      <c r="C7768" s="1" t="s">
        <v>22785</v>
      </c>
      <c r="D7768" s="1" t="s">
        <v>16</v>
      </c>
      <c r="E7768" s="1" t="s">
        <v>22786</v>
      </c>
      <c r="F7768" s="1" t="str">
        <f>IFERROR(__xludf.DUMMYFUNCTION("GOOGLETRANSLATE(A7768, ""zh-CN"", ""ko"")"),"사다리")</f>
        <v>사다리</v>
      </c>
    </row>
    <row r="7769" ht="15.75" customHeight="1">
      <c r="A7769" s="1" t="s">
        <v>22787</v>
      </c>
      <c r="B7769" s="1">
        <v>7.0</v>
      </c>
      <c r="C7769" s="1" t="s">
        <v>22788</v>
      </c>
      <c r="D7769" s="1" t="s">
        <v>8</v>
      </c>
      <c r="E7769" s="1" t="s">
        <v>22789</v>
      </c>
      <c r="F7769" s="1" t="str">
        <f>IFERROR(__xludf.DUMMYFUNCTION("GOOGLETRANSLATE(A7769, ""zh-CN"", ""ko"")"),"언급하다")</f>
        <v>언급하다</v>
      </c>
    </row>
    <row r="7770" ht="15.75" customHeight="1">
      <c r="A7770" s="1" t="s">
        <v>22790</v>
      </c>
      <c r="B7770" s="1">
        <v>7.0</v>
      </c>
      <c r="C7770" s="1" t="s">
        <v>22791</v>
      </c>
      <c r="D7770" s="1" t="s">
        <v>8</v>
      </c>
      <c r="E7770" s="1" t="s">
        <v>22792</v>
      </c>
      <c r="F7770" s="1" t="str">
        <f>IFERROR(__xludf.DUMMYFUNCTION("GOOGLETRANSLATE(A7770, ""zh-CN"", ""ko"")"),"지명")</f>
        <v>지명</v>
      </c>
    </row>
    <row r="7771" ht="15.75" customHeight="1">
      <c r="A7771" s="1" t="s">
        <v>22793</v>
      </c>
      <c r="B7771" s="1">
        <v>7.0</v>
      </c>
      <c r="C7771" s="1" t="s">
        <v>22794</v>
      </c>
      <c r="D7771" s="1" t="s">
        <v>8</v>
      </c>
      <c r="E7771" s="1" t="s">
        <v>22795</v>
      </c>
      <c r="F7771" s="1" t="str">
        <f>IFERROR(__xludf.DUMMYFUNCTION("GOOGLETRANSLATE(A7771, ""zh-CN"", ""ko"")"),"속도를 높이세요")</f>
        <v>속도를 높이세요</v>
      </c>
    </row>
    <row r="7772" ht="15.75" customHeight="1">
      <c r="A7772" s="1" t="s">
        <v>22796</v>
      </c>
      <c r="B7772" s="1">
        <v>7.0</v>
      </c>
      <c r="C7772" s="1" t="s">
        <v>22797</v>
      </c>
      <c r="E7772" s="1" t="s">
        <v>22798</v>
      </c>
      <c r="F7772" s="1" t="str">
        <f>IFERROR(__xludf.DUMMYFUNCTION("GOOGLETRANSLATE(A7772, ""zh-CN"", ""ko"")"),"초조하게 기다리고 있다")</f>
        <v>초조하게 기다리고 있다</v>
      </c>
    </row>
    <row r="7773" ht="15.75" customHeight="1">
      <c r="A7773" s="1" t="s">
        <v>22799</v>
      </c>
      <c r="B7773" s="1">
        <v>7.0</v>
      </c>
      <c r="C7773" s="1" t="s">
        <v>22800</v>
      </c>
      <c r="D7773" s="1" t="s">
        <v>16</v>
      </c>
      <c r="E7773" s="1" t="s">
        <v>22801</v>
      </c>
      <c r="F7773" s="1" t="str">
        <f>IFERROR(__xludf.DUMMYFUNCTION("GOOGLETRANSLATE(A7773, ""zh-CN"", ""ko"")"),"신체 건강")</f>
        <v>신체 건강</v>
      </c>
    </row>
    <row r="7774" ht="15.75" customHeight="1">
      <c r="A7774" s="1" t="s">
        <v>22802</v>
      </c>
      <c r="B7774" s="1">
        <v>7.0</v>
      </c>
      <c r="C7774" s="1" t="s">
        <v>22803</v>
      </c>
      <c r="D7774" s="1" t="s">
        <v>16</v>
      </c>
      <c r="E7774" s="1" t="s">
        <v>22804</v>
      </c>
      <c r="F7774" s="1" t="str">
        <f>IFERROR(__xludf.DUMMYFUNCTION("GOOGLETRANSLATE(A7774, ""zh-CN"", ""ko"")"),"체")</f>
        <v>체</v>
      </c>
    </row>
    <row r="7775" ht="15.75" customHeight="1">
      <c r="A7775" s="1" t="s">
        <v>22805</v>
      </c>
      <c r="B7775" s="1">
        <v>7.0</v>
      </c>
      <c r="C7775" s="1" t="s">
        <v>22806</v>
      </c>
      <c r="D7775" s="1" t="s">
        <v>16</v>
      </c>
      <c r="E7775" s="1" t="s">
        <v>22807</v>
      </c>
      <c r="F7775" s="1" t="str">
        <f>IFERROR(__xludf.DUMMYFUNCTION("GOOGLETRANSLATE(A7775, ""zh-CN"", ""ko"")"),"자세")</f>
        <v>자세</v>
      </c>
    </row>
    <row r="7776" ht="15.75" customHeight="1">
      <c r="A7776" s="1" t="s">
        <v>22808</v>
      </c>
      <c r="B7776" s="1">
        <v>7.0</v>
      </c>
      <c r="C7776" s="1" t="s">
        <v>22809</v>
      </c>
      <c r="D7776" s="1" t="s">
        <v>16</v>
      </c>
      <c r="E7776" s="1" t="s">
        <v>22810</v>
      </c>
      <c r="F7776" s="1" t="str">
        <f>IFERROR(__xludf.DUMMYFUNCTION("GOOGLETRANSLATE(A7776, ""zh-CN"", ""ko"")"),"체계")</f>
        <v>체계</v>
      </c>
    </row>
    <row r="7777" ht="15.75" customHeight="1">
      <c r="A7777" s="1" t="s">
        <v>22811</v>
      </c>
      <c r="B7777" s="1">
        <v>7.0</v>
      </c>
      <c r="C7777" s="1" t="s">
        <v>22809</v>
      </c>
      <c r="D7777" s="1" t="s">
        <v>16</v>
      </c>
      <c r="E7777" s="1" t="s">
        <v>22812</v>
      </c>
      <c r="F7777" s="1" t="str">
        <f>IFERROR(__xludf.DUMMYFUNCTION("GOOGLETRANSLATE(A7777, ""zh-CN"", ""ko"")"),"헌법")</f>
        <v>헌법</v>
      </c>
    </row>
    <row r="7778" ht="15.75" customHeight="1">
      <c r="A7778" s="1" t="s">
        <v>22813</v>
      </c>
      <c r="B7778" s="1">
        <v>7.0</v>
      </c>
      <c r="C7778" s="1" t="s">
        <v>22814</v>
      </c>
      <c r="D7778" s="1" t="s">
        <v>8</v>
      </c>
      <c r="E7778" s="1" t="s">
        <v>22815</v>
      </c>
      <c r="F7778" s="1" t="str">
        <f>IFERROR(__xludf.DUMMYFUNCTION("GOOGLETRANSLATE(A7778, ""zh-CN"", ""ko"")"),"깎다")</f>
        <v>깎다</v>
      </c>
    </row>
    <row r="7779" ht="15.75" customHeight="1">
      <c r="A7779" s="1" t="s">
        <v>22816</v>
      </c>
      <c r="B7779" s="1">
        <v>7.0</v>
      </c>
      <c r="C7779" s="1" t="s">
        <v>22817</v>
      </c>
      <c r="D7779" s="1" t="s">
        <v>14870</v>
      </c>
      <c r="E7779" s="1" t="s">
        <v>22818</v>
      </c>
      <c r="F7779" s="1" t="str">
        <f>IFERROR(__xludf.DUMMYFUNCTION("GOOGLETRANSLATE(A7779, ""zh-CN"", ""ko"")"),"대체자")</f>
        <v>대체자</v>
      </c>
    </row>
    <row r="7780" ht="15.75" customHeight="1">
      <c r="A7780" s="1" t="s">
        <v>22819</v>
      </c>
      <c r="B7780" s="1">
        <v>7.0</v>
      </c>
      <c r="C7780" s="1" t="s">
        <v>22820</v>
      </c>
      <c r="D7780" s="1" t="s">
        <v>8</v>
      </c>
      <c r="E7780" s="1" t="s">
        <v>22821</v>
      </c>
      <c r="F7780" s="1" t="str">
        <f>IFERROR(__xludf.DUMMYFUNCTION("GOOGLETRANSLATE(A7780, ""zh-CN"", ""ko"")"),"바꾸다")</f>
        <v>바꾸다</v>
      </c>
    </row>
    <row r="7781" ht="15.75" customHeight="1">
      <c r="A7781" s="1" t="s">
        <v>22822</v>
      </c>
      <c r="B7781" s="1">
        <v>7.0</v>
      </c>
      <c r="C7781" s="1" t="s">
        <v>22823</v>
      </c>
      <c r="E7781" s="1" t="s">
        <v>22824</v>
      </c>
      <c r="F7781" s="1" t="str">
        <f>IFERROR(__xludf.DUMMYFUNCTION("GOOGLETRANSLATE(A7781, ""zh-CN"", ""ko"")"),"영원히")</f>
        <v>영원히</v>
      </c>
    </row>
    <row r="7782" ht="15.75" customHeight="1">
      <c r="A7782" s="1" t="s">
        <v>22825</v>
      </c>
      <c r="B7782" s="1">
        <v>7.0</v>
      </c>
      <c r="C7782" s="1" t="s">
        <v>22826</v>
      </c>
      <c r="D7782" s="1" t="s">
        <v>16</v>
      </c>
      <c r="E7782" s="1" t="s">
        <v>22827</v>
      </c>
      <c r="F7782" s="1" t="str">
        <f>IFERROR(__xludf.DUMMYFUNCTION("GOOGLETRANSLATE(A7782, ""zh-CN"", ""ko"")"),"천적")</f>
        <v>천적</v>
      </c>
    </row>
    <row r="7783" ht="15.75" customHeight="1">
      <c r="A7783" s="1" t="s">
        <v>22828</v>
      </c>
      <c r="B7783" s="1">
        <v>7.0</v>
      </c>
      <c r="C7783" s="1" t="s">
        <v>22829</v>
      </c>
      <c r="D7783" s="1" t="s">
        <v>16</v>
      </c>
      <c r="E7783" s="1" t="s">
        <v>22830</v>
      </c>
      <c r="F7783" s="1" t="str">
        <f>IFERROR(__xludf.DUMMYFUNCTION("GOOGLETRANSLATE(A7783, ""zh-CN"", ""ko"")"),"세계")</f>
        <v>세계</v>
      </c>
    </row>
    <row r="7784" ht="15.75" customHeight="1">
      <c r="A7784" s="1" t="s">
        <v>22831</v>
      </c>
      <c r="B7784" s="1">
        <v>7.0</v>
      </c>
      <c r="C7784" s="1" t="s">
        <v>22832</v>
      </c>
      <c r="D7784" s="1" t="s">
        <v>16</v>
      </c>
      <c r="E7784" s="1" t="s">
        <v>22833</v>
      </c>
      <c r="F7784" s="1" t="str">
        <f>IFERROR(__xludf.DUMMYFUNCTION("GOOGLETRANSLATE(A7784, ""zh-CN"", ""ko"")"),"백조")</f>
        <v>백조</v>
      </c>
    </row>
    <row r="7785" ht="15.75" customHeight="1">
      <c r="A7785" s="1" t="s">
        <v>22834</v>
      </c>
      <c r="B7785" s="1">
        <v>7.0</v>
      </c>
      <c r="C7785" s="1" t="s">
        <v>22835</v>
      </c>
      <c r="D7785" s="1" t="s">
        <v>16</v>
      </c>
      <c r="E7785" s="1" t="s">
        <v>22836</v>
      </c>
      <c r="F7785" s="1" t="str">
        <f>IFERROR(__xludf.DUMMYFUNCTION("GOOGLETRANSLATE(A7785, ""zh-CN"", ""ko"")"),"재능")</f>
        <v>재능</v>
      </c>
    </row>
    <row r="7786" ht="15.75" customHeight="1">
      <c r="A7786" s="1" t="s">
        <v>22837</v>
      </c>
      <c r="B7786" s="1">
        <v>7.0</v>
      </c>
      <c r="C7786" s="1" t="s">
        <v>22838</v>
      </c>
      <c r="D7786" s="1" t="s">
        <v>16</v>
      </c>
      <c r="E7786" s="1" t="s">
        <v>22839</v>
      </c>
      <c r="F7786" s="1" t="str">
        <f>IFERROR(__xludf.DUMMYFUNCTION("GOOGLETRANSLATE(A7786, ""zh-CN"", ""ko"")"),"천장")</f>
        <v>천장</v>
      </c>
    </row>
    <row r="7787" ht="15.75" customHeight="1">
      <c r="A7787" s="1" t="s">
        <v>22840</v>
      </c>
      <c r="B7787" s="1">
        <v>7.0</v>
      </c>
      <c r="C7787" s="1" t="s">
        <v>22841</v>
      </c>
      <c r="D7787" s="1" t="s">
        <v>16</v>
      </c>
      <c r="E7787" s="1" t="s">
        <v>22842</v>
      </c>
      <c r="F7787" s="1" t="str">
        <f>IFERROR(__xludf.DUMMYFUNCTION("GOOGLETRANSLATE(A7787, ""zh-CN"", ""ko"")"),"첨가물")</f>
        <v>첨가물</v>
      </c>
    </row>
    <row r="7788" ht="15.75" customHeight="1">
      <c r="A7788" s="1" t="s">
        <v>22843</v>
      </c>
      <c r="B7788" s="1">
        <v>7.0</v>
      </c>
      <c r="C7788" s="1" t="s">
        <v>22844</v>
      </c>
      <c r="E7788" s="1" t="s">
        <v>22845</v>
      </c>
      <c r="F7788" s="1" t="str">
        <f>IFERROR(__xludf.DUMMYFUNCTION("GOOGLETRANSLATE(A7788, ""zh-CN"", ""ko"")"),"그건 지극히 당연한 일이다")</f>
        <v>그건 지극히 당연한 일이다</v>
      </c>
    </row>
    <row r="7789" ht="15.75" customHeight="1">
      <c r="A7789" s="1" t="s">
        <v>22846</v>
      </c>
      <c r="B7789" s="1">
        <v>7.0</v>
      </c>
      <c r="C7789" s="1" t="s">
        <v>22847</v>
      </c>
      <c r="D7789" s="1" t="s">
        <v>16</v>
      </c>
      <c r="E7789" s="1" t="s">
        <v>22848</v>
      </c>
      <c r="F7789" s="1" t="str">
        <f>IFERROR(__xludf.DUMMYFUNCTION("GOOGLETRANSLATE(A7789, ""zh-CN"", ""ko"")"),"균형")</f>
        <v>균형</v>
      </c>
    </row>
    <row r="7790" ht="15.75" customHeight="1">
      <c r="A7790" s="1" t="s">
        <v>22849</v>
      </c>
      <c r="B7790" s="1">
        <v>7.0</v>
      </c>
      <c r="C7790" s="1" t="s">
        <v>22850</v>
      </c>
      <c r="D7790" s="1" t="s">
        <v>16</v>
      </c>
      <c r="E7790" s="1" t="s">
        <v>22851</v>
      </c>
      <c r="F7790" s="1" t="str">
        <f>IFERROR(__xludf.DUMMYFUNCTION("GOOGLETRANSLATE(A7790, ""zh-CN"", ""ko"")"),"고가 도로")</f>
        <v>고가 도로</v>
      </c>
    </row>
    <row r="7791" ht="15.75" customHeight="1">
      <c r="A7791" s="1" t="s">
        <v>22852</v>
      </c>
      <c r="B7791" s="1">
        <v>7.0</v>
      </c>
      <c r="C7791" s="1" t="s">
        <v>22853</v>
      </c>
      <c r="D7791" s="1" t="s">
        <v>16</v>
      </c>
      <c r="E7791" s="1" t="s">
        <v>22854</v>
      </c>
      <c r="F7791" s="1" t="str">
        <f>IFERROR(__xludf.DUMMYFUNCTION("GOOGLETRANSLATE(A7791, ""zh-CN"", ""ko"")"),"천사")</f>
        <v>천사</v>
      </c>
    </row>
    <row r="7792" ht="15.75" customHeight="1">
      <c r="A7792" s="1" t="s">
        <v>22855</v>
      </c>
      <c r="B7792" s="1">
        <v>7.0</v>
      </c>
      <c r="C7792" s="1" t="s">
        <v>22856</v>
      </c>
      <c r="D7792" s="1" t="s">
        <v>16</v>
      </c>
      <c r="E7792" s="1" t="s">
        <v>22857</v>
      </c>
      <c r="F7792" s="1" t="str">
        <f>IFERROR(__xludf.DUMMYFUNCTION("GOOGLETRANSLATE(A7792, ""zh-CN"", ""ko"")"),"안테나")</f>
        <v>안테나</v>
      </c>
    </row>
    <row r="7793" ht="15.75" customHeight="1">
      <c r="A7793" s="1" t="s">
        <v>22858</v>
      </c>
      <c r="B7793" s="1">
        <v>7.0</v>
      </c>
      <c r="C7793" s="1" t="s">
        <v>22859</v>
      </c>
      <c r="D7793" s="1" t="s">
        <v>16</v>
      </c>
      <c r="E7793" s="1" t="s">
        <v>22860</v>
      </c>
      <c r="F7793" s="1" t="str">
        <f>IFERROR(__xludf.DUMMYFUNCTION("GOOGLETRANSLATE(A7793, ""zh-CN"", ""ko"")"),"자연")</f>
        <v>자연</v>
      </c>
    </row>
    <row r="7794" ht="15.75" customHeight="1">
      <c r="A7794" s="1" t="s">
        <v>22861</v>
      </c>
      <c r="B7794" s="1">
        <v>7.0</v>
      </c>
      <c r="C7794" s="1" t="s">
        <v>22862</v>
      </c>
      <c r="D7794" s="1" t="s">
        <v>8</v>
      </c>
      <c r="E7794" s="1" t="s">
        <v>22863</v>
      </c>
      <c r="F7794" s="1" t="str">
        <f>IFERROR(__xludf.DUMMYFUNCTION("GOOGLETRANSLATE(A7794, ""zh-CN"", ""ko"")"),"채우다")</f>
        <v>채우다</v>
      </c>
    </row>
    <row r="7795" ht="15.75" customHeight="1">
      <c r="A7795" s="1" t="s">
        <v>22864</v>
      </c>
      <c r="B7795" s="1">
        <v>7.0</v>
      </c>
      <c r="C7795" s="1" t="s">
        <v>22865</v>
      </c>
      <c r="D7795" s="1" t="s">
        <v>8</v>
      </c>
      <c r="E7795" s="1" t="s">
        <v>22866</v>
      </c>
      <c r="F7795" s="1" t="str">
        <f>IFERROR(__xludf.DUMMYFUNCTION("GOOGLETRANSLATE(A7795, ""zh-CN"", ""ko"")"),"충전재")</f>
        <v>충전재</v>
      </c>
    </row>
    <row r="7796" ht="15.75" customHeight="1">
      <c r="A7796" s="1" t="s">
        <v>22867</v>
      </c>
      <c r="B7796" s="1">
        <v>7.0</v>
      </c>
      <c r="C7796" s="1" t="s">
        <v>22868</v>
      </c>
      <c r="D7796" s="1" t="s">
        <v>16</v>
      </c>
      <c r="E7796" s="1" t="s">
        <v>22869</v>
      </c>
      <c r="F7796" s="1" t="str">
        <f>IFERROR(__xludf.DUMMYFUNCTION("GOOGLETRANSLATE(A7796, ""zh-CN"", ""ko"")"),"필드")</f>
        <v>필드</v>
      </c>
    </row>
    <row r="7797" ht="15.75" customHeight="1">
      <c r="A7797" s="1" t="s">
        <v>22870</v>
      </c>
      <c r="B7797" s="1">
        <v>7.0</v>
      </c>
      <c r="C7797" s="1" t="s">
        <v>22871</v>
      </c>
      <c r="D7797" s="1" t="s">
        <v>52</v>
      </c>
      <c r="E7797" s="1" t="s">
        <v>22872</v>
      </c>
      <c r="F7797" s="1" t="str">
        <f>IFERROR(__xludf.DUMMYFUNCTION("GOOGLETRANSLATE(A7797, ""zh-CN"", ""ko"")"),"달콤한")</f>
        <v>달콤한</v>
      </c>
    </row>
    <row r="7798" ht="15.75" customHeight="1">
      <c r="A7798" s="1" t="s">
        <v>22873</v>
      </c>
      <c r="B7798" s="1">
        <v>7.0</v>
      </c>
      <c r="C7798" s="1" t="s">
        <v>22874</v>
      </c>
      <c r="D7798" s="1" t="s">
        <v>52</v>
      </c>
      <c r="E7798" s="1" t="s">
        <v>22875</v>
      </c>
      <c r="F7798" s="1" t="str">
        <f>IFERROR(__xludf.DUMMYFUNCTION("GOOGLETRANSLATE(A7798, ""zh-CN"", ""ko"")"),"달콤한")</f>
        <v>달콤한</v>
      </c>
    </row>
    <row r="7799" ht="15.75" customHeight="1">
      <c r="A7799" s="1" t="s">
        <v>22876</v>
      </c>
      <c r="B7799" s="1">
        <v>7.0</v>
      </c>
      <c r="C7799" s="1" t="s">
        <v>22877</v>
      </c>
      <c r="D7799" s="1" t="s">
        <v>16</v>
      </c>
      <c r="E7799" s="1" t="s">
        <v>22878</v>
      </c>
      <c r="F7799" s="1" t="str">
        <f>IFERROR(__xludf.DUMMYFUNCTION("GOOGLETRANSLATE(A7799, ""zh-CN"", ""ko"")"),"시골의")</f>
        <v>시골의</v>
      </c>
    </row>
    <row r="7800" ht="15.75" customHeight="1">
      <c r="A7800" s="1" t="s">
        <v>22879</v>
      </c>
      <c r="B7800" s="1">
        <v>7.0</v>
      </c>
      <c r="C7800" s="1" t="s">
        <v>22880</v>
      </c>
      <c r="D7800" s="1" t="s">
        <v>8</v>
      </c>
      <c r="E7800" s="1" t="s">
        <v>22881</v>
      </c>
      <c r="F7800" s="1" t="str">
        <f>IFERROR(__xludf.DUMMYFUNCTION("GOOGLETRANSLATE(A7800, ""zh-CN"", ""ko"")"),"선택하다")</f>
        <v>선택하다</v>
      </c>
    </row>
    <row r="7801" ht="15.75" customHeight="1">
      <c r="A7801" s="1" t="s">
        <v>22882</v>
      </c>
      <c r="B7801" s="1">
        <v>7.0</v>
      </c>
      <c r="C7801" s="1" t="s">
        <v>22883</v>
      </c>
      <c r="D7801" s="1" t="s">
        <v>8</v>
      </c>
      <c r="E7801" s="1" t="s">
        <v>22884</v>
      </c>
      <c r="F7801" s="1" t="str">
        <f>IFERROR(__xludf.DUMMYFUNCTION("GOOGLETRANSLATE(A7801, ""zh-CN"", ""ko"")"),"놀리는")</f>
        <v>놀리는</v>
      </c>
    </row>
    <row r="7802" ht="15.75" customHeight="1">
      <c r="A7802" s="1" t="s">
        <v>22885</v>
      </c>
      <c r="B7802" s="1">
        <v>7.0</v>
      </c>
      <c r="C7802" s="1" t="s">
        <v>22886</v>
      </c>
      <c r="D7802" s="1" t="s">
        <v>8</v>
      </c>
      <c r="E7802" s="1" t="s">
        <v>22887</v>
      </c>
      <c r="F7802" s="1" t="str">
        <f>IFERROR(__xludf.DUMMYFUNCTION("GOOGLETRANSLATE(A7802, ""zh-CN"", ""ko"")"),"규제")</f>
        <v>규제</v>
      </c>
    </row>
    <row r="7803" ht="15.75" customHeight="1">
      <c r="A7803" s="1" t="s">
        <v>22888</v>
      </c>
      <c r="B7803" s="1">
        <v>7.0</v>
      </c>
      <c r="C7803" s="1" t="s">
        <v>22889</v>
      </c>
      <c r="D7803" s="1" t="s">
        <v>16</v>
      </c>
      <c r="E7803" s="1" t="s">
        <v>22890</v>
      </c>
      <c r="F7803" s="1" t="str">
        <f>IFERROR(__xludf.DUMMYFUNCTION("GOOGLETRANSLATE(A7803, ""zh-CN"", ""ko"")"),"규정")</f>
        <v>규정</v>
      </c>
    </row>
    <row r="7804" ht="15.75" customHeight="1">
      <c r="A7804" s="1" t="s">
        <v>22891</v>
      </c>
      <c r="B7804" s="1">
        <v>7.0</v>
      </c>
      <c r="C7804" s="1" t="s">
        <v>22892</v>
      </c>
      <c r="D7804" s="1" t="s">
        <v>8</v>
      </c>
      <c r="E7804" s="1" t="s">
        <v>22893</v>
      </c>
      <c r="F7804" s="1" t="str">
        <f>IFERROR(__xludf.DUMMYFUNCTION("GOOGLETRANSLATE(A7804, ""zh-CN"", ""ko"")"),"디버그")</f>
        <v>디버그</v>
      </c>
    </row>
    <row r="7805" ht="15.75" customHeight="1">
      <c r="A7805" s="1" t="s">
        <v>22894</v>
      </c>
      <c r="B7805" s="1">
        <v>7.0</v>
      </c>
      <c r="C7805" s="1" t="s">
        <v>22895</v>
      </c>
      <c r="D7805" s="1" t="s">
        <v>8</v>
      </c>
      <c r="E7805" s="1" t="s">
        <v>22896</v>
      </c>
      <c r="F7805" s="1" t="str">
        <f>IFERROR(__xludf.DUMMYFUNCTION("GOOGLETRANSLATE(A7805, ""zh-CN"", ""ko"")"),"잦은 이직")</f>
        <v>잦은 이직</v>
      </c>
    </row>
    <row r="7806" ht="15.75" customHeight="1">
      <c r="A7806" s="1" t="s">
        <v>22897</v>
      </c>
      <c r="B7806" s="1">
        <v>7.0</v>
      </c>
      <c r="C7806" s="1" t="s">
        <v>22898</v>
      </c>
      <c r="D7806" s="1" t="s">
        <v>8</v>
      </c>
      <c r="E7806" s="1" t="s">
        <v>22899</v>
      </c>
      <c r="F7806" s="1" t="str">
        <f>IFERROR(__xludf.DUMMYFUNCTION("GOOGLETRANSLATE(A7806, ""zh-CN"", ""ko"")"),"이기다")</f>
        <v>이기다</v>
      </c>
    </row>
    <row r="7807" ht="15.75" customHeight="1">
      <c r="A7807" s="1" t="s">
        <v>22900</v>
      </c>
      <c r="B7807" s="1">
        <v>7.0</v>
      </c>
      <c r="C7807" s="1" t="s">
        <v>22901</v>
      </c>
      <c r="D7807" s="1" t="s">
        <v>8</v>
      </c>
      <c r="E7807" s="1" t="s">
        <v>22902</v>
      </c>
      <c r="F7807" s="1" t="str">
        <f>IFERROR(__xludf.DUMMYFUNCTION("GOOGLETRANSLATE(A7807, ""zh-CN"", ""ko"")"),"낙하산")</f>
        <v>낙하산</v>
      </c>
    </row>
    <row r="7808" ht="15.75" customHeight="1">
      <c r="A7808" s="1" t="s">
        <v>22903</v>
      </c>
      <c r="B7808" s="1">
        <v>7.0</v>
      </c>
      <c r="C7808" s="1" t="s">
        <v>22904</v>
      </c>
      <c r="D7808" s="1" t="s">
        <v>8</v>
      </c>
      <c r="E7808" s="1" t="s">
        <v>9110</v>
      </c>
      <c r="F7808" s="1" t="str">
        <f>IFERROR(__xludf.DUMMYFUNCTION("GOOGLETRANSLATE(A7808, ""zh-CN"", ""ko"")"),"밖을 내다보며")</f>
        <v>밖을 내다보며</v>
      </c>
    </row>
    <row r="7809" ht="15.75" customHeight="1">
      <c r="A7809" s="1" t="s">
        <v>22905</v>
      </c>
      <c r="B7809" s="1">
        <v>7.0</v>
      </c>
      <c r="C7809" s="1" t="s">
        <v>22906</v>
      </c>
      <c r="D7809" s="1" t="s">
        <v>52</v>
      </c>
      <c r="E7809" s="1" t="s">
        <v>22907</v>
      </c>
      <c r="F7809" s="1" t="str">
        <f>IFERROR(__xludf.DUMMYFUNCTION("GOOGLETRANSLATE(A7809, ""zh-CN"", ""ko"")"),"적절한")</f>
        <v>적절한</v>
      </c>
    </row>
    <row r="7810" ht="15.75" customHeight="1">
      <c r="A7810" s="1" t="s">
        <v>22908</v>
      </c>
      <c r="B7810" s="1">
        <v>7.0</v>
      </c>
      <c r="C7810" s="1" t="s">
        <v>22909</v>
      </c>
      <c r="D7810" s="1" t="s">
        <v>15011</v>
      </c>
      <c r="E7810" s="1" t="s">
        <v>22910</v>
      </c>
      <c r="F7810" s="1" t="str">
        <f>IFERROR(__xludf.DUMMYFUNCTION("GOOGLETRANSLATE(A7810, ""zh-CN"", ""ko"")"),"철")</f>
        <v>철</v>
      </c>
    </row>
    <row r="7811" ht="15.75" customHeight="1">
      <c r="A7811" s="1" t="s">
        <v>22911</v>
      </c>
      <c r="B7811" s="1">
        <v>7.0</v>
      </c>
      <c r="C7811" s="1" t="s">
        <v>22912</v>
      </c>
      <c r="D7811" s="1" t="s">
        <v>16</v>
      </c>
      <c r="E7811" s="1" t="s">
        <v>22913</v>
      </c>
      <c r="F7811" s="1" t="str">
        <f>IFERROR(__xludf.DUMMYFUNCTION("GOOGLETRANSLATE(A7811, ""zh-CN"", ""ko"")"),"우편")</f>
        <v>우편</v>
      </c>
    </row>
    <row r="7812" ht="15.75" customHeight="1">
      <c r="A7812" s="1" t="s">
        <v>22914</v>
      </c>
      <c r="B7812" s="1">
        <v>7.0</v>
      </c>
      <c r="C7812" s="1" t="s">
        <v>22915</v>
      </c>
      <c r="D7812" s="1" t="s">
        <v>8</v>
      </c>
      <c r="E7812" s="1" t="s">
        <v>22916</v>
      </c>
      <c r="F7812" s="1" t="str">
        <f>IFERROR(__xludf.DUMMYFUNCTION("GOOGLETRANSLATE(A7812, ""zh-CN"", ""ko"")"),"순종하다")</f>
        <v>순종하다</v>
      </c>
    </row>
    <row r="7813" ht="15.75" customHeight="1">
      <c r="A7813" s="1" t="s">
        <v>22917</v>
      </c>
      <c r="B7813" s="1">
        <v>7.0</v>
      </c>
      <c r="C7813" s="1" t="s">
        <v>22918</v>
      </c>
      <c r="D7813" s="1" t="s">
        <v>8</v>
      </c>
      <c r="E7813" s="1" t="s">
        <v>22919</v>
      </c>
      <c r="F7813" s="1" t="str">
        <f>IFERROR(__xludf.DUMMYFUNCTION("GOOGLETRANSLATE(A7813, ""zh-CN"", ""ko"")"),"공원")</f>
        <v>공원</v>
      </c>
    </row>
    <row r="7814" ht="15.75" customHeight="1">
      <c r="A7814" s="1" t="s">
        <v>22920</v>
      </c>
      <c r="B7814" s="1">
        <v>7.0</v>
      </c>
      <c r="C7814" s="1" t="s">
        <v>22921</v>
      </c>
      <c r="D7814" s="1" t="s">
        <v>8</v>
      </c>
      <c r="E7814" s="1" t="s">
        <v>22922</v>
      </c>
      <c r="F7814" s="1" t="str">
        <f>IFERROR(__xludf.DUMMYFUNCTION("GOOGLETRANSLATE(A7814, ""zh-CN"", ""ko"")"),"폐쇄")</f>
        <v>폐쇄</v>
      </c>
    </row>
    <row r="7815" ht="15.75" customHeight="1">
      <c r="A7815" s="1" t="s">
        <v>22923</v>
      </c>
      <c r="B7815" s="1">
        <v>7.0</v>
      </c>
      <c r="C7815" s="1" t="s">
        <v>22924</v>
      </c>
      <c r="D7815" s="1" t="s">
        <v>14870</v>
      </c>
      <c r="E7815" s="1" t="s">
        <v>22925</v>
      </c>
      <c r="F7815" s="1" t="str">
        <f>IFERROR(__xludf.DUMMYFUNCTION("GOOGLETRANSLATE(A7815, ""zh-CN"", ""ko"")"),"공고")</f>
        <v>공고</v>
      </c>
    </row>
    <row r="7816" ht="15.75" customHeight="1">
      <c r="A7816" s="1" t="s">
        <v>22926</v>
      </c>
      <c r="B7816" s="1">
        <v>7.0</v>
      </c>
      <c r="C7816" s="1" t="s">
        <v>22927</v>
      </c>
      <c r="D7816" s="1" t="s">
        <v>52</v>
      </c>
      <c r="E7816" s="1" t="s">
        <v>17672</v>
      </c>
      <c r="F7816" s="1" t="str">
        <f>IFERROR(__xludf.DUMMYFUNCTION("GOOGLETRANSLATE(A7816, ""zh-CN"", ""ko"")"),"방해받지 않는")</f>
        <v>방해받지 않는</v>
      </c>
    </row>
    <row r="7817" ht="15.75" customHeight="1">
      <c r="A7817" s="1" t="s">
        <v>22928</v>
      </c>
      <c r="B7817" s="1">
        <v>7.0</v>
      </c>
      <c r="C7817" s="1" t="s">
        <v>22929</v>
      </c>
      <c r="D7817" s="1" t="s">
        <v>8</v>
      </c>
      <c r="E7817" s="1" t="s">
        <v>22930</v>
      </c>
      <c r="F7817" s="1" t="str">
        <f>IFERROR(__xludf.DUMMYFUNCTION("GOOGLETRANSLATE(A7817, ""zh-CN"", ""ko"")"),"차량 통행 개시")</f>
        <v>차량 통행 개시</v>
      </c>
    </row>
    <row r="7818" ht="15.75" customHeight="1">
      <c r="A7818" s="1" t="s">
        <v>22931</v>
      </c>
      <c r="B7818" s="1">
        <v>7.0</v>
      </c>
      <c r="C7818" s="1" t="s">
        <v>22932</v>
      </c>
      <c r="D7818" s="1" t="s">
        <v>14870</v>
      </c>
      <c r="E7818" s="1" t="s">
        <v>22933</v>
      </c>
      <c r="F7818" s="1" t="str">
        <f>IFERROR(__xludf.DUMMYFUNCTION("GOOGLETRANSLATE(A7818, ""zh-CN"", ""ko"")"),"알아채다")</f>
        <v>알아채다</v>
      </c>
    </row>
    <row r="7819" ht="15.75" customHeight="1">
      <c r="A7819" s="1" t="s">
        <v>22934</v>
      </c>
      <c r="B7819" s="1">
        <v>7.0</v>
      </c>
      <c r="C7819" s="1" t="s">
        <v>22935</v>
      </c>
      <c r="D7819" s="1" t="s">
        <v>52</v>
      </c>
      <c r="E7819" s="1" t="s">
        <v>22936</v>
      </c>
      <c r="F7819" s="1" t="str">
        <f>IFERROR(__xludf.DUMMYFUNCTION("GOOGLETRANSLATE(A7819, ""zh-CN"", ""ko"")"),"매끄러운")</f>
        <v>매끄러운</v>
      </c>
    </row>
    <row r="7820" ht="15.75" customHeight="1">
      <c r="A7820" s="1" t="s">
        <v>22937</v>
      </c>
      <c r="B7820" s="1">
        <v>7.0</v>
      </c>
      <c r="C7820" s="1" t="s">
        <v>22938</v>
      </c>
      <c r="D7820" s="1" t="s">
        <v>33</v>
      </c>
      <c r="E7820" s="1" t="s">
        <v>22939</v>
      </c>
      <c r="F7820" s="1" t="str">
        <f>IFERROR(__xludf.DUMMYFUNCTION("GOOGLETRANSLATE(A7820, ""zh-CN"", ""ko"")"),"모두")</f>
        <v>모두</v>
      </c>
    </row>
    <row r="7821" ht="15.75" customHeight="1">
      <c r="A7821" s="1" t="s">
        <v>22940</v>
      </c>
      <c r="B7821" s="1">
        <v>7.0</v>
      </c>
      <c r="C7821" s="1" t="s">
        <v>22941</v>
      </c>
      <c r="D7821" s="1" t="s">
        <v>16</v>
      </c>
      <c r="E7821" s="1" t="s">
        <v>22942</v>
      </c>
      <c r="F7821" s="1" t="str">
        <f>IFERROR(__xludf.DUMMYFUNCTION("GOOGLETRANSLATE(A7821, ""zh-CN"", ""ko"")"),"밤새")</f>
        <v>밤새</v>
      </c>
    </row>
    <row r="7822" ht="15.75" customHeight="1">
      <c r="A7822" s="1" t="s">
        <v>22943</v>
      </c>
      <c r="B7822" s="1">
        <v>7.0</v>
      </c>
      <c r="C7822" s="1" t="s">
        <v>22944</v>
      </c>
      <c r="D7822" s="1" t="s">
        <v>8</v>
      </c>
      <c r="E7822" s="1" t="s">
        <v>22945</v>
      </c>
      <c r="F7822" s="1" t="str">
        <f>IFERROR(__xludf.DUMMYFUNCTION("GOOGLETRANSLATE(A7822, ""zh-CN"", ""ko"")"),"전년 대비")</f>
        <v>전년 대비</v>
      </c>
    </row>
    <row r="7823" ht="15.75" customHeight="1">
      <c r="A7823" s="1" t="s">
        <v>22946</v>
      </c>
      <c r="B7823" s="1">
        <v>7.0</v>
      </c>
      <c r="C7823" s="1" t="s">
        <v>22947</v>
      </c>
      <c r="D7823" s="1" t="s">
        <v>8</v>
      </c>
      <c r="E7823" s="1" t="s">
        <v>22948</v>
      </c>
      <c r="F7823" s="1" t="str">
        <f>IFERROR(__xludf.DUMMYFUNCTION("GOOGLETRANSLATE(A7823, ""zh-CN"", ""ko"")"),"동기식")</f>
        <v>동기식</v>
      </c>
    </row>
    <row r="7824" ht="15.75" customHeight="1">
      <c r="A7824" s="1" t="s">
        <v>22949</v>
      </c>
      <c r="B7824" s="1">
        <v>7.0</v>
      </c>
      <c r="C7824" s="1" t="s">
        <v>22950</v>
      </c>
      <c r="D7824" s="1" t="s">
        <v>52</v>
      </c>
      <c r="E7824" s="1" t="s">
        <v>22951</v>
      </c>
      <c r="F7824" s="1" t="str">
        <f>IFERROR(__xludf.DUMMYFUNCTION("GOOGLETRANSLATE(A7824, ""zh-CN"", ""ko"")"),"동일한")</f>
        <v>동일한</v>
      </c>
    </row>
    <row r="7825" ht="15.75" customHeight="1">
      <c r="A7825" s="1" t="s">
        <v>22952</v>
      </c>
      <c r="B7825" s="1">
        <v>7.0</v>
      </c>
      <c r="C7825" s="1" t="s">
        <v>22953</v>
      </c>
      <c r="D7825" s="1" t="s">
        <v>16</v>
      </c>
      <c r="E7825" s="1" t="s">
        <v>22954</v>
      </c>
      <c r="F7825" s="1" t="str">
        <f>IFERROR(__xludf.DUMMYFUNCTION("GOOGLETRANSLATE(A7825, ""zh-CN"", ""ko"")"),"동정")</f>
        <v>동정</v>
      </c>
    </row>
    <row r="7826" ht="15.75" customHeight="1">
      <c r="A7826" s="1" t="s">
        <v>22955</v>
      </c>
      <c r="B7826" s="1">
        <v>7.0</v>
      </c>
      <c r="C7826" s="1" t="s">
        <v>22956</v>
      </c>
      <c r="D7826" s="1" t="s">
        <v>14870</v>
      </c>
      <c r="E7826" s="1" t="s">
        <v>22957</v>
      </c>
      <c r="F7826" s="1" t="str">
        <f>IFERROR(__xludf.DUMMYFUNCTION("GOOGLETRANSLATE(A7826, ""zh-CN"", ""ko"")"),"공범들")</f>
        <v>공범들</v>
      </c>
    </row>
    <row r="7827" ht="15.75" customHeight="1">
      <c r="A7827" s="1" t="s">
        <v>22958</v>
      </c>
      <c r="B7827" s="1">
        <v>7.0</v>
      </c>
      <c r="C7827" s="1" t="s">
        <v>22959</v>
      </c>
      <c r="D7827" s="1" t="s">
        <v>14870</v>
      </c>
      <c r="E7827" s="1" t="s">
        <v>22960</v>
      </c>
      <c r="F7827" s="1" t="str">
        <f>IFERROR(__xludf.DUMMYFUNCTION("GOOGLETRANSLATE(A7827, ""zh-CN"", ""ko"")"),"동맹")</f>
        <v>동맹</v>
      </c>
    </row>
    <row r="7828" ht="15.75" customHeight="1">
      <c r="A7828" s="1" t="s">
        <v>22961</v>
      </c>
      <c r="B7828" s="1">
        <v>7.0</v>
      </c>
      <c r="C7828" s="1" t="s">
        <v>22962</v>
      </c>
      <c r="D7828" s="1" t="s">
        <v>16</v>
      </c>
      <c r="E7828" s="1" t="s">
        <v>22963</v>
      </c>
      <c r="F7828" s="1" t="str">
        <f>IFERROR(__xludf.DUMMYFUNCTION("GOOGLETRANSLATE(A7828, ""zh-CN"", ""ko"")"),"같은 기간 동안")</f>
        <v>같은 기간 동안</v>
      </c>
    </row>
    <row r="7829" ht="15.75" customHeight="1">
      <c r="A7829" s="1" t="s">
        <v>22964</v>
      </c>
      <c r="B7829" s="1">
        <v>7.0</v>
      </c>
      <c r="C7829" s="1" t="s">
        <v>22965</v>
      </c>
      <c r="D7829" s="1" t="s">
        <v>16</v>
      </c>
      <c r="E7829" s="1" t="s">
        <v>1557</v>
      </c>
      <c r="F7829" s="1" t="str">
        <f>IFERROR(__xludf.DUMMYFUNCTION("GOOGLETRANSLATE(A7829, ""zh-CN"", ""ko"")"),"동료")</f>
        <v>동료</v>
      </c>
    </row>
    <row r="7830" ht="15.75" customHeight="1">
      <c r="A7830" s="1" t="s">
        <v>22966</v>
      </c>
      <c r="B7830" s="1">
        <v>7.0</v>
      </c>
      <c r="C7830" s="1" t="s">
        <v>22967</v>
      </c>
      <c r="E7830" s="1" t="s">
        <v>22968</v>
      </c>
      <c r="F7830" s="1" t="str">
        <f>IFERROR(__xludf.DUMMYFUNCTION("GOOGLETRANSLATE(A7830, ""zh-CN"", ""ko"")"),"함께 항해하다")</f>
        <v>함께 항해하다</v>
      </c>
    </row>
    <row r="7831" ht="15.75" customHeight="1">
      <c r="A7831" s="1" t="s">
        <v>22969</v>
      </c>
      <c r="B7831" s="1">
        <v>7.0</v>
      </c>
      <c r="C7831" s="1" t="s">
        <v>22970</v>
      </c>
      <c r="D7831" s="1" t="s">
        <v>8</v>
      </c>
      <c r="E7831" s="1" t="s">
        <v>22971</v>
      </c>
      <c r="F7831" s="1" t="str">
        <f>IFERROR(__xludf.DUMMYFUNCTION("GOOGLETRANSLATE(A7831, ""zh-CN"", ""ko"")"),"찌르다")</f>
        <v>찌르다</v>
      </c>
    </row>
    <row r="7832" ht="15.75" customHeight="1">
      <c r="A7832" s="1" t="s">
        <v>22972</v>
      </c>
      <c r="B7832" s="1">
        <v>7.0</v>
      </c>
      <c r="C7832" s="1" t="s">
        <v>22970</v>
      </c>
      <c r="D7832" s="1" t="s">
        <v>16</v>
      </c>
      <c r="E7832" s="1" t="s">
        <v>22973</v>
      </c>
      <c r="F7832" s="1" t="str">
        <f>IFERROR(__xludf.DUMMYFUNCTION("GOOGLETRANSLATE(A7832, ""zh-CN"", ""ko"")"),"실린더")</f>
        <v>실린더</v>
      </c>
    </row>
    <row r="7833" ht="15.75" customHeight="1">
      <c r="A7833" s="1" t="s">
        <v>22974</v>
      </c>
      <c r="B7833" s="1">
        <v>7.0</v>
      </c>
      <c r="C7833" s="1" t="s">
        <v>22975</v>
      </c>
      <c r="D7833" s="1" t="s">
        <v>8</v>
      </c>
      <c r="E7833" s="1" t="s">
        <v>22976</v>
      </c>
      <c r="F7833" s="1" t="str">
        <f>IFERROR(__xludf.DUMMYFUNCTION("GOOGLETRANSLATE(A7833, ""zh-CN"", ""ko"")"),"전반적인 계획")</f>
        <v>전반적인 계획</v>
      </c>
    </row>
    <row r="7834" ht="15.75" customHeight="1">
      <c r="A7834" s="1" t="s">
        <v>22977</v>
      </c>
      <c r="B7834" s="1">
        <v>7.0</v>
      </c>
      <c r="C7834" s="1" t="s">
        <v>22978</v>
      </c>
      <c r="D7834" s="1" t="s">
        <v>52</v>
      </c>
      <c r="E7834" s="1" t="s">
        <v>22979</v>
      </c>
      <c r="F7834" s="1" t="str">
        <f>IFERROR(__xludf.DUMMYFUNCTION("GOOGLETRANSLATE(A7834, ""zh-CN"", ""ko"")"),"밝은 빨간색")</f>
        <v>밝은 빨간색</v>
      </c>
    </row>
    <row r="7835" ht="15.75" customHeight="1">
      <c r="A7835" s="1" t="s">
        <v>22980</v>
      </c>
      <c r="B7835" s="1">
        <v>7.0</v>
      </c>
      <c r="C7835" s="1" t="s">
        <v>22981</v>
      </c>
      <c r="D7835" s="1" t="s">
        <v>52</v>
      </c>
      <c r="E7835" s="1" t="s">
        <v>22982</v>
      </c>
      <c r="F7835" s="1" t="str">
        <f>IFERROR(__xludf.DUMMYFUNCTION("GOOGLETRANSLATE(A7835, ""zh-CN"", ""ko"")"),"가슴 아픈")</f>
        <v>가슴 아픈</v>
      </c>
    </row>
    <row r="7836" ht="15.75" customHeight="1">
      <c r="A7836" s="1" t="s">
        <v>22983</v>
      </c>
      <c r="B7836" s="1">
        <v>7.0</v>
      </c>
      <c r="C7836" s="1" t="s">
        <v>22984</v>
      </c>
      <c r="D7836" s="1" t="s">
        <v>8</v>
      </c>
      <c r="E7836" s="1" t="s">
        <v>22985</v>
      </c>
      <c r="F7836" s="1" t="str">
        <f>IFERROR(__xludf.DUMMYFUNCTION("GOOGLETRANSLATE(A7836, ""zh-CN"", ""ko"")"),"엿보기")</f>
        <v>엿보기</v>
      </c>
    </row>
    <row r="7837" ht="15.75" customHeight="1">
      <c r="A7837" s="1" t="s">
        <v>22986</v>
      </c>
      <c r="B7837" s="1">
        <v>7.0</v>
      </c>
      <c r="C7837" s="1" t="s">
        <v>22987</v>
      </c>
      <c r="D7837" s="1" t="s">
        <v>52</v>
      </c>
      <c r="E7837" s="1" t="s">
        <v>22988</v>
      </c>
      <c r="F7837" s="1" t="str">
        <f>IFERROR(__xludf.DUMMYFUNCTION("GOOGLETRANSLATE(A7837, ""zh-CN"", ""ko"")"),"게으르다")</f>
        <v>게으르다</v>
      </c>
    </row>
    <row r="7838" ht="15.75" customHeight="1">
      <c r="A7838" s="1" t="s">
        <v>22989</v>
      </c>
      <c r="B7838" s="1">
        <v>7.0</v>
      </c>
      <c r="C7838" s="1" t="s">
        <v>22990</v>
      </c>
      <c r="D7838" s="1" t="s">
        <v>8</v>
      </c>
      <c r="E7838" s="1" t="s">
        <v>22991</v>
      </c>
      <c r="F7838" s="1" t="str">
        <f>IFERROR(__xludf.DUMMYFUNCTION("GOOGLETRANSLATE(A7838, ""zh-CN"", ""ko"")"),"피난처를 찾다")</f>
        <v>피난처를 찾다</v>
      </c>
    </row>
    <row r="7839" ht="15.75" customHeight="1">
      <c r="A7839" s="1" t="s">
        <v>22992</v>
      </c>
      <c r="B7839" s="1">
        <v>7.0</v>
      </c>
      <c r="C7839" s="1" t="s">
        <v>22993</v>
      </c>
      <c r="D7839" s="1" t="s">
        <v>8</v>
      </c>
      <c r="E7839" s="1" t="s">
        <v>22994</v>
      </c>
      <c r="F7839" s="1" t="str">
        <f>IFERROR(__xludf.DUMMYFUNCTION("GOOGLETRANSLATE(A7839, ""zh-CN"", ""ko"")"),"전개")</f>
        <v>전개</v>
      </c>
    </row>
    <row r="7840" ht="15.75" customHeight="1">
      <c r="A7840" s="1" t="s">
        <v>22995</v>
      </c>
      <c r="B7840" s="1">
        <v>7.0</v>
      </c>
      <c r="C7840" s="1" t="s">
        <v>22996</v>
      </c>
      <c r="D7840" s="1" t="s">
        <v>8</v>
      </c>
      <c r="E7840" s="1" t="s">
        <v>22997</v>
      </c>
      <c r="F7840" s="1" t="str">
        <f>IFERROR(__xludf.DUMMYFUNCTION("GOOGLETRANSLATE(A7840, ""zh-CN"", ""ko"")"),"기여하다")</f>
        <v>기여하다</v>
      </c>
    </row>
    <row r="7841" ht="15.75" customHeight="1">
      <c r="A7841" s="1" t="s">
        <v>22998</v>
      </c>
      <c r="B7841" s="1">
        <v>7.0</v>
      </c>
      <c r="C7841" s="1" t="s">
        <v>22999</v>
      </c>
      <c r="D7841" s="1" t="s">
        <v>52</v>
      </c>
      <c r="E7841" s="1" t="s">
        <v>23000</v>
      </c>
      <c r="F7841" s="1" t="str">
        <f>IFERROR(__xludf.DUMMYFUNCTION("GOOGLETRANSLATE(A7841, ""zh-CN"", ""ko"")"),"오줌")</f>
        <v>오줌</v>
      </c>
    </row>
    <row r="7842" ht="15.75" customHeight="1">
      <c r="A7842" s="1" t="s">
        <v>23001</v>
      </c>
      <c r="B7842" s="1">
        <v>7.0</v>
      </c>
      <c r="C7842" s="1" t="s">
        <v>23002</v>
      </c>
      <c r="D7842" s="1" t="s">
        <v>8</v>
      </c>
      <c r="E7842" s="1" t="s">
        <v>23003</v>
      </c>
      <c r="F7842" s="1" t="str">
        <f>IFERROR(__xludf.DUMMYFUNCTION("GOOGLETRANSLATE(A7842, ""zh-CN"", ""ko"")"),"투사")</f>
        <v>투사</v>
      </c>
    </row>
    <row r="7843" ht="15.75" customHeight="1">
      <c r="A7843" s="1" t="s">
        <v>23004</v>
      </c>
      <c r="B7843" s="1">
        <v>7.0</v>
      </c>
      <c r="C7843" s="1" t="s">
        <v>23005</v>
      </c>
      <c r="D7843" s="1" t="s">
        <v>8</v>
      </c>
      <c r="E7843" s="1" t="s">
        <v>23006</v>
      </c>
      <c r="F7843" s="1" t="str">
        <f>IFERROR(__xludf.DUMMYFUNCTION("GOOGLETRANSLATE(A7843, ""zh-CN"", ""ko"")"),"전념하다")</f>
        <v>전념하다</v>
      </c>
    </row>
    <row r="7844" ht="15.75" customHeight="1">
      <c r="A7844" s="1" t="s">
        <v>23007</v>
      </c>
      <c r="B7844" s="1">
        <v>7.0</v>
      </c>
      <c r="C7844" s="1" t="s">
        <v>23008</v>
      </c>
      <c r="D7844" s="1" t="s">
        <v>16</v>
      </c>
      <c r="E7844" s="1" t="s">
        <v>23009</v>
      </c>
      <c r="F7844" s="1" t="str">
        <f>IFERROR(__xludf.DUMMYFUNCTION("GOOGLETRANSLATE(A7844, ""zh-CN"", ""ko"")"),"헤드라인")</f>
        <v>헤드라인</v>
      </c>
    </row>
    <row r="7845" ht="15.75" customHeight="1">
      <c r="A7845" s="1" t="s">
        <v>23010</v>
      </c>
      <c r="B7845" s="1">
        <v>7.0</v>
      </c>
      <c r="C7845" s="1" t="s">
        <v>23011</v>
      </c>
      <c r="E7845" s="1" t="s">
        <v>23012</v>
      </c>
      <c r="F7845" s="1" t="str">
        <f>IFERROR(__xludf.DUMMYFUNCTION("GOOGLETRANSLATE(A7845, ""zh-CN"", ""ko"")"),"일리가 있네요.")</f>
        <v>일리가 있네요.</v>
      </c>
    </row>
    <row r="7846" ht="15.75" customHeight="1">
      <c r="A7846" s="1" t="s">
        <v>23013</v>
      </c>
      <c r="B7846" s="1">
        <v>7.0</v>
      </c>
      <c r="C7846" s="1" t="s">
        <v>23014</v>
      </c>
      <c r="D7846" s="1" t="s">
        <v>16</v>
      </c>
      <c r="E7846" s="1" t="s">
        <v>23015</v>
      </c>
      <c r="F7846" s="1" t="str">
        <f>IFERROR(__xludf.DUMMYFUNCTION("GOOGLETRANSLATE(A7846, ""zh-CN"", ""ko"")"),"제목")</f>
        <v>제목</v>
      </c>
    </row>
    <row r="7847" ht="15.75" customHeight="1">
      <c r="A7847" s="1" t="s">
        <v>23016</v>
      </c>
      <c r="B7847" s="1">
        <v>7.0</v>
      </c>
      <c r="C7847" s="1" t="s">
        <v>23017</v>
      </c>
      <c r="D7847" s="1" t="s">
        <v>52</v>
      </c>
      <c r="E7847" s="1" t="s">
        <v>23018</v>
      </c>
      <c r="F7847" s="1" t="str">
        <f>IFERROR(__xludf.DUMMYFUNCTION("GOOGLETRANSLATE(A7847, ""zh-CN"", ""ko"")"),"철저한")</f>
        <v>철저한</v>
      </c>
    </row>
    <row r="7848" ht="15.75" customHeight="1">
      <c r="A7848" s="1" t="s">
        <v>23019</v>
      </c>
      <c r="B7848" s="1">
        <v>7.0</v>
      </c>
      <c r="C7848" s="1" t="s">
        <v>23020</v>
      </c>
      <c r="D7848" s="1" t="s">
        <v>52</v>
      </c>
      <c r="E7848" s="1" t="s">
        <v>23021</v>
      </c>
      <c r="F7848" s="1" t="str">
        <f>IFERROR(__xludf.DUMMYFUNCTION("GOOGLETRANSLATE(A7848, ""zh-CN"", ""ko"")"),"통기성")</f>
        <v>통기성</v>
      </c>
    </row>
    <row r="7849" ht="15.75" customHeight="1">
      <c r="A7849" s="1" t="s">
        <v>23022</v>
      </c>
      <c r="B7849" s="1">
        <v>7.0</v>
      </c>
      <c r="C7849" s="1" t="s">
        <v>23023</v>
      </c>
      <c r="D7849" s="1" t="s">
        <v>8</v>
      </c>
      <c r="E7849" s="1" t="s">
        <v>23024</v>
      </c>
      <c r="F7849" s="1" t="str">
        <f>IFERROR(__xludf.DUMMYFUNCTION("GOOGLETRANSLATE(A7849, ""zh-CN"", ""ko"")"),"당좌 대월")</f>
        <v>당좌 대월</v>
      </c>
    </row>
    <row r="7850" ht="15.75" customHeight="1">
      <c r="A7850" s="1" t="s">
        <v>23025</v>
      </c>
      <c r="B7850" s="1">
        <v>7.0</v>
      </c>
      <c r="C7850" s="1" t="s">
        <v>12716</v>
      </c>
      <c r="D7850" s="1" t="s">
        <v>52</v>
      </c>
      <c r="E7850" s="1" t="s">
        <v>23026</v>
      </c>
      <c r="F7850" s="1" t="str">
        <f>IFERROR(__xludf.DUMMYFUNCTION("GOOGLETRANSLATE(A7850, ""zh-CN"", ""ko"")"),"볼록한")</f>
        <v>볼록한</v>
      </c>
    </row>
    <row r="7851" ht="15.75" customHeight="1">
      <c r="A7851" s="1" t="s">
        <v>23027</v>
      </c>
      <c r="B7851" s="1">
        <v>7.0</v>
      </c>
      <c r="C7851" s="1" t="s">
        <v>23028</v>
      </c>
      <c r="D7851" s="1" t="s">
        <v>8</v>
      </c>
      <c r="E7851" s="1" t="s">
        <v>23029</v>
      </c>
      <c r="F7851" s="1" t="str">
        <f>IFERROR(__xludf.DUMMYFUNCTION("GOOGLETRANSLATE(A7851, ""zh-CN"", ""ko"")"),"폭행")</f>
        <v>폭행</v>
      </c>
    </row>
    <row r="7852" ht="15.75" customHeight="1">
      <c r="A7852" s="1" t="s">
        <v>23030</v>
      </c>
      <c r="B7852" s="1">
        <v>7.0</v>
      </c>
      <c r="C7852" s="1" t="s">
        <v>23031</v>
      </c>
      <c r="D7852" s="1" t="s">
        <v>16</v>
      </c>
      <c r="E7852" s="1" t="s">
        <v>23032</v>
      </c>
      <c r="F7852" s="1" t="str">
        <f>IFERROR(__xludf.DUMMYFUNCTION("GOOGLETRANSLATE(A7852, ""zh-CN"", ""ko"")"),"돌파구")</f>
        <v>돌파구</v>
      </c>
    </row>
    <row r="7853" ht="15.75" customHeight="1">
      <c r="A7853" s="1" t="s">
        <v>23033</v>
      </c>
      <c r="B7853" s="1">
        <v>7.0</v>
      </c>
      <c r="C7853" s="1" t="s">
        <v>23034</v>
      </c>
      <c r="E7853" s="1" t="s">
        <v>23035</v>
      </c>
      <c r="F7853" s="1" t="str">
        <f>IFERROR(__xludf.DUMMYFUNCTION("GOOGLETRANSLATE(A7853, ""zh-CN"", ""ko"")"),"예기치 않은")</f>
        <v>예기치 않은</v>
      </c>
    </row>
    <row r="7854" ht="15.75" customHeight="1">
      <c r="A7854" s="1" t="s">
        <v>23036</v>
      </c>
      <c r="B7854" s="1">
        <v>7.0</v>
      </c>
      <c r="C7854" s="1" t="s">
        <v>23037</v>
      </c>
      <c r="D7854" s="1" t="s">
        <v>52</v>
      </c>
      <c r="E7854" s="1" t="s">
        <v>23038</v>
      </c>
      <c r="F7854" s="1" t="str">
        <f>IFERROR(__xludf.DUMMYFUNCTION("GOOGLETRANSLATE(A7854, ""zh-CN"", ""ko"")"),"예기치 않은")</f>
        <v>예기치 않은</v>
      </c>
    </row>
    <row r="7855" ht="15.75" customHeight="1">
      <c r="A7855" s="1" t="s">
        <v>23039</v>
      </c>
      <c r="B7855" s="1">
        <v>7.0</v>
      </c>
      <c r="C7855" s="1" t="s">
        <v>23040</v>
      </c>
      <c r="D7855" s="1" t="s">
        <v>8</v>
      </c>
      <c r="E7855" s="1" t="s">
        <v>23041</v>
      </c>
      <c r="F7855" s="1" t="str">
        <f>IFERROR(__xludf.DUMMYFUNCTION("GOOGLETRANSLATE(A7855, ""zh-CN"", ""ko"")"),"가장 밝은 부분")</f>
        <v>가장 밝은 부분</v>
      </c>
    </row>
    <row r="7856" ht="15.75" customHeight="1">
      <c r="A7856" s="1" t="s">
        <v>23042</v>
      </c>
      <c r="B7856" s="1">
        <v>7.0</v>
      </c>
      <c r="C7856" s="1" t="s">
        <v>23043</v>
      </c>
      <c r="D7856" s="1" t="s">
        <v>8</v>
      </c>
      <c r="E7856" s="1" t="s">
        <v>23044</v>
      </c>
      <c r="F7856" s="1" t="str">
        <f>IFERROR(__xludf.DUMMYFUNCTION("GOOGLETRANSLATE(A7856, ""zh-CN"", ""ko"")"),"페인트")</f>
        <v>페인트</v>
      </c>
    </row>
    <row r="7857" ht="15.75" customHeight="1">
      <c r="A7857" s="1" t="s">
        <v>23045</v>
      </c>
      <c r="B7857" s="1">
        <v>7.0</v>
      </c>
      <c r="C7857" s="1" t="s">
        <v>23046</v>
      </c>
      <c r="D7857" s="1" t="s">
        <v>33</v>
      </c>
      <c r="E7857" s="1" t="s">
        <v>23047</v>
      </c>
      <c r="F7857" s="1" t="str">
        <f>IFERROR(__xludf.DUMMYFUNCTION("GOOGLETRANSLATE(A7857, ""zh-CN"", ""ko"")"),"걸어서")</f>
        <v>걸어서</v>
      </c>
    </row>
    <row r="7858" ht="15.75" customHeight="1">
      <c r="A7858" s="1" t="s">
        <v>23048</v>
      </c>
      <c r="B7858" s="1">
        <v>7.0</v>
      </c>
      <c r="C7858" s="1" t="s">
        <v>23049</v>
      </c>
      <c r="D7858" s="1" t="s">
        <v>8</v>
      </c>
      <c r="E7858" s="1" t="s">
        <v>23050</v>
      </c>
      <c r="F7858" s="1" t="str">
        <f>IFERROR(__xludf.DUMMYFUNCTION("GOOGLETRANSLATE(A7858, ""zh-CN"", ""ko"")"),"하찮은")</f>
        <v>하찮은</v>
      </c>
    </row>
    <row r="7859" ht="15.75" customHeight="1">
      <c r="A7859" s="1" t="s">
        <v>23051</v>
      </c>
      <c r="B7859" s="1">
        <v>7.0</v>
      </c>
      <c r="C7859" s="1" t="s">
        <v>23052</v>
      </c>
      <c r="D7859" s="1" t="s">
        <v>8</v>
      </c>
      <c r="E7859" s="1" t="s">
        <v>23053</v>
      </c>
      <c r="F7859" s="1" t="str">
        <f>IFERROR(__xludf.DUMMYFUNCTION("GOOGLETRANSLATE(A7859, ""zh-CN"", ""ko"")"),"대학살")</f>
        <v>대학살</v>
      </c>
    </row>
    <row r="7860" ht="15.75" customHeight="1">
      <c r="A7860" s="1" t="s">
        <v>23054</v>
      </c>
      <c r="B7860" s="1">
        <v>7.0</v>
      </c>
      <c r="C7860" s="1" t="s">
        <v>23055</v>
      </c>
      <c r="D7860" s="1" t="s">
        <v>16</v>
      </c>
      <c r="E7860" s="1" t="s">
        <v>23056</v>
      </c>
      <c r="F7860" s="1" t="str">
        <f>IFERROR(__xludf.DUMMYFUNCTION("GOOGLETRANSLATE(A7860, ""zh-CN"", ""ko"")"),"제도법")</f>
        <v>제도법</v>
      </c>
    </row>
    <row r="7861" ht="15.75" customHeight="1">
      <c r="A7861" s="1" t="s">
        <v>23057</v>
      </c>
      <c r="B7861" s="1">
        <v>7.0</v>
      </c>
      <c r="C7861" s="1" t="s">
        <v>23058</v>
      </c>
      <c r="D7861" s="1" t="s">
        <v>16</v>
      </c>
      <c r="E7861" s="1" t="s">
        <v>23059</v>
      </c>
      <c r="F7861" s="1" t="str">
        <f>IFERROR(__xludf.DUMMYFUNCTION("GOOGLETRANSLATE(A7861, ""zh-CN"", ""ko"")"),"그림")</f>
        <v>그림</v>
      </c>
    </row>
    <row r="7862" ht="15.75" customHeight="1">
      <c r="A7862" s="1" t="s">
        <v>23060</v>
      </c>
      <c r="B7862" s="1">
        <v>7.0</v>
      </c>
      <c r="C7862" s="1" t="s">
        <v>23061</v>
      </c>
      <c r="D7862" s="1" t="s">
        <v>8</v>
      </c>
      <c r="E7862" s="1" t="s">
        <v>23062</v>
      </c>
      <c r="F7862" s="1" t="str">
        <f>IFERROR(__xludf.DUMMYFUNCTION("GOOGLETRANSLATE(A7862, ""zh-CN"", ""ko"")"),"불만을 제기하세요")</f>
        <v>불만을 제기하세요</v>
      </c>
    </row>
    <row r="7863" ht="15.75" customHeight="1">
      <c r="A7863" s="1" t="s">
        <v>23063</v>
      </c>
      <c r="B7863" s="1">
        <v>7.0</v>
      </c>
      <c r="C7863" s="1" t="s">
        <v>23064</v>
      </c>
      <c r="E7863" s="1" t="s">
        <v>23065</v>
      </c>
      <c r="F7863" s="1" t="str">
        <f>IFERROR(__xludf.DUMMYFUNCTION("GOOGLETRANSLATE(A7863, ""zh-CN"", ""ko"")"),"토종의")</f>
        <v>토종의</v>
      </c>
    </row>
    <row r="7864" ht="15.75" customHeight="1">
      <c r="A7864" s="1" t="s">
        <v>23066</v>
      </c>
      <c r="B7864" s="1">
        <v>7.0</v>
      </c>
      <c r="C7864" s="1" t="s">
        <v>23067</v>
      </c>
      <c r="D7864" s="1" t="s">
        <v>16</v>
      </c>
      <c r="E7864" s="1" t="s">
        <v>23068</v>
      </c>
      <c r="F7864" s="1" t="str">
        <f>IFERROR(__xludf.DUMMYFUNCTION("GOOGLETRANSLATE(A7864, ""zh-CN"", ""ko"")"),"가다")</f>
        <v>가다</v>
      </c>
    </row>
    <row r="7865" ht="15.75" customHeight="1">
      <c r="A7865" s="1" t="s">
        <v>23069</v>
      </c>
      <c r="B7865" s="1">
        <v>7.0</v>
      </c>
      <c r="C7865" s="1" t="s">
        <v>23070</v>
      </c>
      <c r="D7865" s="1" t="s">
        <v>8</v>
      </c>
      <c r="E7865" s="1" t="s">
        <v>23071</v>
      </c>
      <c r="F7865" s="1" t="str">
        <f>IFERROR(__xludf.DUMMYFUNCTION("GOOGLETRANSLATE(A7865, ""zh-CN"", ""ko"")"),"재결합")</f>
        <v>재결합</v>
      </c>
    </row>
    <row r="7866" ht="15.75" customHeight="1">
      <c r="A7866" s="1" t="s">
        <v>23072</v>
      </c>
      <c r="B7866" s="1">
        <v>7.0</v>
      </c>
      <c r="C7866" s="1" t="s">
        <v>12743</v>
      </c>
      <c r="D7866" s="1" t="s">
        <v>16</v>
      </c>
      <c r="E7866" s="1" t="s">
        <v>23073</v>
      </c>
      <c r="F7866" s="1" t="str">
        <f>IFERROR(__xludf.DUMMYFUNCTION("GOOGLETRANSLATE(A7866, ""zh-CN"", ""ko"")"),"회원")</f>
        <v>회원</v>
      </c>
    </row>
    <row r="7867" ht="15.75" customHeight="1">
      <c r="A7867" s="1" t="s">
        <v>23074</v>
      </c>
      <c r="B7867" s="1">
        <v>7.0</v>
      </c>
      <c r="C7867" s="1" t="s">
        <v>23075</v>
      </c>
      <c r="D7867" s="1" t="s">
        <v>8</v>
      </c>
      <c r="E7867" s="1" t="s">
        <v>23076</v>
      </c>
      <c r="F7867" s="1" t="str">
        <f>IFERROR(__xludf.DUMMYFUNCTION("GOOGLETRANSLATE(A7867, ""zh-CN"", ""ko"")"),"적극 추천합니다")</f>
        <v>적극 추천합니다</v>
      </c>
    </row>
    <row r="7868" ht="15.75" customHeight="1">
      <c r="A7868" s="1" t="s">
        <v>23077</v>
      </c>
      <c r="B7868" s="1">
        <v>7.0</v>
      </c>
      <c r="C7868" s="1" t="s">
        <v>23078</v>
      </c>
      <c r="D7868" s="1" t="s">
        <v>8</v>
      </c>
      <c r="E7868" s="1" t="s">
        <v>23079</v>
      </c>
      <c r="F7868" s="1" t="str">
        <f>IFERROR(__xludf.DUMMYFUNCTION("GOOGLETRANSLATE(A7868, ""zh-CN"", ""ko"")"),"미루다")</f>
        <v>미루다</v>
      </c>
    </row>
    <row r="7869" ht="15.75" customHeight="1">
      <c r="A7869" s="1" t="s">
        <v>23080</v>
      </c>
      <c r="B7869" s="1">
        <v>7.0</v>
      </c>
      <c r="C7869" s="1" t="s">
        <v>23081</v>
      </c>
      <c r="D7869" s="1" t="s">
        <v>8</v>
      </c>
      <c r="E7869" s="1" t="s">
        <v>23082</v>
      </c>
      <c r="F7869" s="1" t="str">
        <f>IFERROR(__xludf.DUMMYFUNCTION("GOOGLETRANSLATE(A7869, ""zh-CN"", ""ko"")"),"숙고")</f>
        <v>숙고</v>
      </c>
    </row>
    <row r="7870" ht="15.75" customHeight="1">
      <c r="A7870" s="1" t="s">
        <v>23083</v>
      </c>
      <c r="B7870" s="1">
        <v>7.0</v>
      </c>
      <c r="C7870" s="1" t="s">
        <v>23084</v>
      </c>
      <c r="D7870" s="1" t="s">
        <v>8</v>
      </c>
      <c r="E7870" s="1" t="s">
        <v>23085</v>
      </c>
      <c r="F7870" s="1" t="str">
        <f>IFERROR(__xludf.DUMMYFUNCTION("GOOGLETRANSLATE(A7870, ""zh-CN"", ""ko"")"),"견적")</f>
        <v>견적</v>
      </c>
    </row>
    <row r="7871" ht="15.75" customHeight="1">
      <c r="A7871" s="1" t="s">
        <v>23086</v>
      </c>
      <c r="B7871" s="1">
        <v>7.0</v>
      </c>
      <c r="C7871" s="1" t="s">
        <v>23087</v>
      </c>
      <c r="D7871" s="1" t="s">
        <v>8</v>
      </c>
      <c r="E7871" s="1" t="s">
        <v>23088</v>
      </c>
      <c r="F7871" s="1" t="str">
        <f>IFERROR(__xludf.DUMMYFUNCTION("GOOGLETRANSLATE(A7871, ""zh-CN"", ""ko"")"),"기피자")</f>
        <v>기피자</v>
      </c>
    </row>
    <row r="7872" ht="15.75" customHeight="1">
      <c r="A7872" s="1" t="s">
        <v>23089</v>
      </c>
      <c r="B7872" s="1">
        <v>7.0</v>
      </c>
      <c r="C7872" s="1" t="s">
        <v>23090</v>
      </c>
      <c r="D7872" s="1" t="s">
        <v>8</v>
      </c>
      <c r="E7872" s="1" t="s">
        <v>23091</v>
      </c>
      <c r="F7872" s="1" t="str">
        <f>IFERROR(__xludf.DUMMYFUNCTION("GOOGLETRANSLATE(A7872, ""zh-CN"", ""ko"")"),"지명")</f>
        <v>지명</v>
      </c>
    </row>
    <row r="7873" ht="15.75" customHeight="1">
      <c r="A7873" s="1" t="s">
        <v>23092</v>
      </c>
      <c r="B7873" s="1">
        <v>7.0</v>
      </c>
      <c r="C7873" s="1" t="s">
        <v>23093</v>
      </c>
      <c r="D7873" s="1" t="s">
        <v>8</v>
      </c>
      <c r="E7873" s="1" t="s">
        <v>23094</v>
      </c>
      <c r="F7873" s="1" t="str">
        <f>IFERROR(__xludf.DUMMYFUNCTION("GOOGLETRANSLATE(A7873, ""zh-CN"", ""ko"")"),"이동하다")</f>
        <v>이동하다</v>
      </c>
    </row>
    <row r="7874" ht="15.75" customHeight="1">
      <c r="A7874" s="1" t="s">
        <v>23095</v>
      </c>
      <c r="B7874" s="1">
        <v>7.0</v>
      </c>
      <c r="C7874" s="1" t="s">
        <v>23096</v>
      </c>
      <c r="D7874" s="1" t="s">
        <v>52</v>
      </c>
      <c r="E7874" s="1" t="s">
        <v>23097</v>
      </c>
      <c r="F7874" s="1" t="str">
        <f>IFERROR(__xludf.DUMMYFUNCTION("GOOGLETRANSLATE(A7874, ""zh-CN"", ""ko"")"),"퇴폐적인")</f>
        <v>퇴폐적인</v>
      </c>
    </row>
    <row r="7875" ht="15.75" customHeight="1">
      <c r="A7875" s="1" t="s">
        <v>23098</v>
      </c>
      <c r="B7875" s="1">
        <v>7.0</v>
      </c>
      <c r="C7875" s="1" t="s">
        <v>23099</v>
      </c>
      <c r="D7875" s="1" t="s">
        <v>8</v>
      </c>
      <c r="E7875" s="1" t="s">
        <v>23100</v>
      </c>
      <c r="F7875" s="1" t="str">
        <f>IFERROR(__xludf.DUMMYFUNCTION("GOOGLETRANSLATE(A7875, ""zh-CN"", ""ko"")"),"퇴화")</f>
        <v>퇴화</v>
      </c>
    </row>
    <row r="7876" ht="15.75" customHeight="1">
      <c r="A7876" s="1" t="s">
        <v>23101</v>
      </c>
      <c r="B7876" s="1">
        <v>7.0</v>
      </c>
      <c r="C7876" s="1" t="s">
        <v>23102</v>
      </c>
      <c r="D7876" s="1" t="s">
        <v>8</v>
      </c>
      <c r="E7876" s="1" t="s">
        <v>16856</v>
      </c>
      <c r="F7876" s="1" t="str">
        <f>IFERROR(__xludf.DUMMYFUNCTION("GOOGLETRANSLATE(A7876, ""zh-CN"", ""ko"")"),"반품")</f>
        <v>반품</v>
      </c>
    </row>
    <row r="7877" ht="15.75" customHeight="1">
      <c r="A7877" s="1" t="s">
        <v>23103</v>
      </c>
      <c r="B7877" s="1">
        <v>7.0</v>
      </c>
      <c r="C7877" s="1" t="s">
        <v>23104</v>
      </c>
      <c r="D7877" s="1" t="s">
        <v>8</v>
      </c>
      <c r="E7877" s="1" t="s">
        <v>23105</v>
      </c>
      <c r="F7877" s="1" t="str">
        <f>IFERROR(__xludf.DUMMYFUNCTION("GOOGLETRANSLATE(A7877, ""zh-CN"", ""ko"")"),"후퇴")</f>
        <v>후퇴</v>
      </c>
    </row>
    <row r="7878" ht="15.75" customHeight="1">
      <c r="A7878" s="1" t="s">
        <v>23106</v>
      </c>
      <c r="B7878" s="1">
        <v>7.0</v>
      </c>
      <c r="C7878" s="1" t="s">
        <v>23107</v>
      </c>
      <c r="D7878" s="1" t="s">
        <v>8</v>
      </c>
      <c r="E7878" s="1" t="s">
        <v>23108</v>
      </c>
      <c r="F7878" s="1" t="str">
        <f>IFERROR(__xludf.DUMMYFUNCTION("GOOGLETRANSLATE(A7878, ""zh-CN"", ""ko"")"),"양보")</f>
        <v>양보</v>
      </c>
    </row>
    <row r="7879" ht="15.75" customHeight="1">
      <c r="A7879" s="1" t="s">
        <v>23109</v>
      </c>
      <c r="B7879" s="1">
        <v>7.0</v>
      </c>
      <c r="C7879" s="1" t="s">
        <v>23110</v>
      </c>
      <c r="D7879" s="1" t="s">
        <v>8</v>
      </c>
      <c r="E7879" s="1" t="s">
        <v>23111</v>
      </c>
      <c r="F7879" s="1" t="str">
        <f>IFERROR(__xludf.DUMMYFUNCTION("GOOGLETRANSLATE(A7879, ""zh-CN"", ""ko"")"),"후퇴")</f>
        <v>후퇴</v>
      </c>
    </row>
    <row r="7880" ht="15.75" customHeight="1">
      <c r="A7880" s="1" t="s">
        <v>23112</v>
      </c>
      <c r="B7880" s="1">
        <v>7.0</v>
      </c>
      <c r="C7880" s="1" t="s">
        <v>23113</v>
      </c>
      <c r="D7880" s="1" t="s">
        <v>8</v>
      </c>
      <c r="E7880" s="1" t="s">
        <v>23114</v>
      </c>
      <c r="F7880" s="1" t="str">
        <f>IFERROR(__xludf.DUMMYFUNCTION("GOOGLETRANSLATE(A7880, ""zh-CN"", ""ko"")"),"퇴직")</f>
        <v>퇴직</v>
      </c>
    </row>
    <row r="7881" ht="15.75" customHeight="1">
      <c r="A7881" s="1" t="s">
        <v>23115</v>
      </c>
      <c r="B7881" s="1">
        <v>7.0</v>
      </c>
      <c r="C7881" s="1" t="s">
        <v>23116</v>
      </c>
      <c r="D7881" s="1" t="s">
        <v>16</v>
      </c>
      <c r="E7881" s="1" t="s">
        <v>23117</v>
      </c>
      <c r="F7881" s="1" t="str">
        <f>IFERROR(__xludf.DUMMYFUNCTION("GOOGLETRANSLATE(A7881, ""zh-CN"", ""ko"")"),"엉덩이")</f>
        <v>엉덩이</v>
      </c>
    </row>
    <row r="7882" ht="15.75" customHeight="1">
      <c r="A7882" s="1" t="s">
        <v>23118</v>
      </c>
      <c r="B7882" s="1">
        <v>7.0</v>
      </c>
      <c r="C7882" s="1" t="s">
        <v>3079</v>
      </c>
      <c r="D7882" s="1" t="s">
        <v>14870</v>
      </c>
      <c r="E7882" s="1" t="s">
        <v>23119</v>
      </c>
      <c r="F7882" s="1" t="str">
        <f>IFERROR(__xludf.DUMMYFUNCTION("GOOGLETRANSLATE(A7882, ""zh-CN"", ""ko"")"),"투오")</f>
        <v>투오</v>
      </c>
    </row>
    <row r="7883" ht="15.75" customHeight="1">
      <c r="A7883" s="1" t="s">
        <v>23120</v>
      </c>
      <c r="B7883" s="1">
        <v>7.0</v>
      </c>
      <c r="C7883" s="1" t="s">
        <v>23121</v>
      </c>
      <c r="D7883" s="1" t="s">
        <v>8</v>
      </c>
      <c r="E7883" s="1" t="s">
        <v>23122</v>
      </c>
      <c r="F7883" s="1" t="str">
        <f>IFERROR(__xludf.DUMMYFUNCTION("GOOGLETRANSLATE(A7883, ""zh-CN"", ""ko"")"),"맡기다")</f>
        <v>맡기다</v>
      </c>
    </row>
    <row r="7884" ht="15.75" customHeight="1">
      <c r="A7884" s="1" t="s">
        <v>23123</v>
      </c>
      <c r="B7884" s="1">
        <v>7.0</v>
      </c>
      <c r="C7884" s="1" t="s">
        <v>23124</v>
      </c>
      <c r="D7884" s="1" t="s">
        <v>8</v>
      </c>
      <c r="E7884" s="1" t="s">
        <v>23125</v>
      </c>
      <c r="F7884" s="1" t="str">
        <f>IFERROR(__xludf.DUMMYFUNCTION("GOOGLETRANSLATE(A7884, ""zh-CN"", ""ko"")"),"단절")</f>
        <v>단절</v>
      </c>
    </row>
    <row r="7885" ht="15.75" customHeight="1">
      <c r="A7885" s="1" t="s">
        <v>23126</v>
      </c>
      <c r="B7885" s="1">
        <v>7.0</v>
      </c>
      <c r="C7885" s="1" t="s">
        <v>23127</v>
      </c>
      <c r="E7885" s="1" t="s">
        <v>23128</v>
      </c>
      <c r="F7885" s="1" t="str">
        <f>IFERROR(__xludf.DUMMYFUNCTION("GOOGLETRANSLATE(A7885, ""zh-CN"", ""ko"")"),"불쑥 말했다")</f>
        <v>불쑥 말했다</v>
      </c>
    </row>
    <row r="7886" ht="15.75" customHeight="1">
      <c r="A7886" s="1" t="s">
        <v>23129</v>
      </c>
      <c r="B7886" s="1">
        <v>7.0</v>
      </c>
      <c r="C7886" s="1" t="s">
        <v>23130</v>
      </c>
      <c r="D7886" s="1" t="s">
        <v>8</v>
      </c>
      <c r="E7886" s="1" t="s">
        <v>23131</v>
      </c>
      <c r="F7886" s="1" t="str">
        <f>IFERROR(__xludf.DUMMYFUNCTION("GOOGLETRANSLATE(A7886, ""zh-CN"", ""ko"")"),"견인")</f>
        <v>견인</v>
      </c>
    </row>
    <row r="7887" ht="15.75" customHeight="1">
      <c r="A7887" s="1" t="s">
        <v>23132</v>
      </c>
      <c r="B7887" s="1">
        <v>7.0</v>
      </c>
      <c r="C7887" s="1" t="s">
        <v>23133</v>
      </c>
      <c r="D7887" s="1" t="s">
        <v>8</v>
      </c>
      <c r="E7887" s="1" t="s">
        <v>23134</v>
      </c>
      <c r="F7887" s="1" t="str">
        <f>IFERROR(__xludf.DUMMYFUNCTION("GOOGLETRANSLATE(A7887, ""zh-CN"", ""ko"")"),"흘리기")</f>
        <v>흘리기</v>
      </c>
    </row>
    <row r="7888" ht="15.75" customHeight="1">
      <c r="A7888" s="1" t="s">
        <v>23135</v>
      </c>
      <c r="B7888" s="1">
        <v>7.0</v>
      </c>
      <c r="C7888" s="1" t="s">
        <v>23136</v>
      </c>
      <c r="D7888" s="1" t="s">
        <v>8</v>
      </c>
      <c r="E7888" s="1" t="s">
        <v>23137</v>
      </c>
      <c r="F7888" s="1" t="str">
        <f>IFERROR(__xludf.DUMMYFUNCTION("GOOGLETRANSLATE(A7888, ""zh-CN"", ""ko"")"),"기한 초과")</f>
        <v>기한 초과</v>
      </c>
    </row>
    <row r="7889" ht="15.75" customHeight="1">
      <c r="A7889" s="1" t="s">
        <v>23138</v>
      </c>
      <c r="B7889" s="1">
        <v>7.0</v>
      </c>
      <c r="C7889" s="1" t="s">
        <v>23139</v>
      </c>
      <c r="D7889" s="1" t="s">
        <v>8</v>
      </c>
      <c r="E7889" s="1" t="s">
        <v>23140</v>
      </c>
      <c r="F7889" s="1" t="str">
        <f>IFERROR(__xludf.DUMMYFUNCTION("GOOGLETRANSLATE(A7889, ""zh-CN"", ""ko"")"),"탈출하다")</f>
        <v>탈출하다</v>
      </c>
    </row>
    <row r="7890" ht="15.75" customHeight="1">
      <c r="A7890" s="1" t="s">
        <v>23141</v>
      </c>
      <c r="B7890" s="1">
        <v>7.0</v>
      </c>
      <c r="C7890" s="1" t="s">
        <v>23142</v>
      </c>
      <c r="E7890" s="1" t="s">
        <v>23143</v>
      </c>
      <c r="F7890" s="1" t="str">
        <f>IFERROR(__xludf.DUMMYFUNCTION("GOOGLETRANSLATE(A7890, ""zh-CN"", ""ko"")"),"눈에 띄다")</f>
        <v>눈에 띄다</v>
      </c>
    </row>
    <row r="7891" ht="15.75" customHeight="1">
      <c r="A7891" s="1" t="s">
        <v>23144</v>
      </c>
      <c r="B7891" s="1">
        <v>7.0</v>
      </c>
      <c r="C7891" s="1" t="s">
        <v>23145</v>
      </c>
      <c r="D7891" s="1" t="s">
        <v>8</v>
      </c>
      <c r="E7891" s="1" t="s">
        <v>23146</v>
      </c>
      <c r="F7891" s="1" t="str">
        <f>IFERROR(__xludf.DUMMYFUNCTION("GOOGLETRANSLATE(A7891, ""zh-CN"", ""ko"")"),"나르다")</f>
        <v>나르다</v>
      </c>
    </row>
    <row r="7892" ht="15.75" customHeight="1">
      <c r="A7892" s="1" t="s">
        <v>23147</v>
      </c>
      <c r="B7892" s="1">
        <v>7.0</v>
      </c>
      <c r="C7892" s="1" t="s">
        <v>23148</v>
      </c>
      <c r="D7892" s="1" t="s">
        <v>52</v>
      </c>
      <c r="E7892" s="1" t="s">
        <v>23149</v>
      </c>
      <c r="F7892" s="1" t="str">
        <f>IFERROR(__xludf.DUMMYFUNCTION("GOOGLETRANSLATE(A7892, ""zh-CN"", ""ko"")"),"투오")</f>
        <v>투오</v>
      </c>
    </row>
    <row r="7893" ht="15.75" customHeight="1">
      <c r="A7893" s="1" t="s">
        <v>23150</v>
      </c>
      <c r="B7893" s="1">
        <v>7.0</v>
      </c>
      <c r="C7893" s="1" t="s">
        <v>23151</v>
      </c>
      <c r="D7893" s="1" t="s">
        <v>8</v>
      </c>
      <c r="E7893" s="1" t="s">
        <v>23152</v>
      </c>
      <c r="F7893" s="1" t="str">
        <f>IFERROR(__xludf.DUMMYFUNCTION("GOOGLETRANSLATE(A7893, ""zh-CN"", ""ko"")"),"확장하다")</f>
        <v>확장하다</v>
      </c>
    </row>
    <row r="7894" ht="15.75" customHeight="1">
      <c r="A7894" s="1" t="s">
        <v>23153</v>
      </c>
      <c r="B7894" s="1">
        <v>7.0</v>
      </c>
      <c r="C7894" s="1" t="s">
        <v>23154</v>
      </c>
      <c r="D7894" s="1" t="s">
        <v>16</v>
      </c>
      <c r="E7894" s="1" t="s">
        <v>19527</v>
      </c>
      <c r="F7894" s="1" t="str">
        <f>IFERROR(__xludf.DUMMYFUNCTION("GOOGLETRANSLATE(A7894, ""zh-CN"", ""ko"")"),"타액")</f>
        <v>타액</v>
      </c>
    </row>
    <row r="7895" ht="15.75" customHeight="1">
      <c r="A7895" s="1" t="s">
        <v>23155</v>
      </c>
      <c r="B7895" s="1">
        <v>7.0</v>
      </c>
      <c r="C7895" s="1" t="s">
        <v>23156</v>
      </c>
      <c r="D7895" s="1" t="s">
        <v>8</v>
      </c>
      <c r="E7895" s="1" t="s">
        <v>23157</v>
      </c>
      <c r="F7895" s="1" t="str">
        <f>IFERROR(__xludf.DUMMYFUNCTION("GOOGLETRANSLATE(A7895, ""zh-CN"", ""ko"")"),"확장하다")</f>
        <v>확장하다</v>
      </c>
    </row>
    <row r="7896" ht="15.75" customHeight="1">
      <c r="A7896" s="1" t="s">
        <v>23158</v>
      </c>
      <c r="B7896" s="1">
        <v>7.0</v>
      </c>
      <c r="C7896" s="1" t="s">
        <v>23159</v>
      </c>
      <c r="D7896" s="1" t="s">
        <v>8</v>
      </c>
      <c r="E7896" s="1" t="s">
        <v>23160</v>
      </c>
      <c r="F7896" s="1" t="str">
        <f>IFERROR(__xludf.DUMMYFUNCTION("GOOGLETRANSLATE(A7896, ""zh-CN"", ""ko"")"),"풍자")</f>
        <v>풍자</v>
      </c>
    </row>
    <row r="7897" ht="15.75" customHeight="1">
      <c r="A7897" s="1" t="s">
        <v>23161</v>
      </c>
      <c r="B7897" s="1">
        <v>7.0</v>
      </c>
      <c r="C7897" s="1" t="s">
        <v>23162</v>
      </c>
      <c r="D7897" s="1" t="s">
        <v>16</v>
      </c>
      <c r="E7897" s="1" t="s">
        <v>23163</v>
      </c>
      <c r="F7897" s="1" t="str">
        <f>IFERROR(__xludf.DUMMYFUNCTION("GOOGLETRANSLATE(A7897, ""zh-CN"", ""ko"")"),"와트")</f>
        <v>와트</v>
      </c>
    </row>
    <row r="7898" ht="15.75" customHeight="1">
      <c r="A7898" s="1" t="s">
        <v>23164</v>
      </c>
      <c r="B7898" s="1">
        <v>7.0</v>
      </c>
      <c r="C7898" s="1" t="s">
        <v>23165</v>
      </c>
      <c r="D7898" s="1" t="s">
        <v>16</v>
      </c>
      <c r="E7898" s="1" t="s">
        <v>23166</v>
      </c>
      <c r="F7898" s="1" t="str">
        <f>IFERROR(__xludf.DUMMYFUNCTION("GOOGLETRANSLATE(A7898, ""zh-CN"", ""ko"")"),"외화 보유")</f>
        <v>외화 보유</v>
      </c>
    </row>
    <row r="7899" ht="15.75" customHeight="1">
      <c r="A7899" s="1" t="s">
        <v>23167</v>
      </c>
      <c r="B7899" s="1">
        <v>7.0</v>
      </c>
      <c r="C7899" s="1" t="s">
        <v>23168</v>
      </c>
      <c r="D7899" s="1" t="s">
        <v>16</v>
      </c>
      <c r="E7899" s="1" t="s">
        <v>23169</v>
      </c>
      <c r="F7899" s="1" t="str">
        <f>IFERROR(__xludf.DUMMYFUNCTION("GOOGLETRANSLATE(A7899, ""zh-CN"", ""ko"")"),"별명")</f>
        <v>별명</v>
      </c>
    </row>
    <row r="7900" ht="15.75" customHeight="1">
      <c r="A7900" s="1" t="s">
        <v>23170</v>
      </c>
      <c r="B7900" s="1">
        <v>7.0</v>
      </c>
      <c r="C7900" s="1" t="s">
        <v>23171</v>
      </c>
      <c r="D7900" s="1" t="s">
        <v>16</v>
      </c>
      <c r="E7900" s="1" t="s">
        <v>23172</v>
      </c>
      <c r="F7900" s="1" t="str">
        <f>IFERROR(__xludf.DUMMYFUNCTION("GOOGLETRANSLATE(A7900, ""zh-CN"", ""ko"")"),"외환")</f>
        <v>외환</v>
      </c>
    </row>
    <row r="7901" ht="15.75" customHeight="1">
      <c r="A7901" s="1" t="s">
        <v>23173</v>
      </c>
      <c r="B7901" s="1">
        <v>7.0</v>
      </c>
      <c r="C7901" s="1" t="s">
        <v>23174</v>
      </c>
      <c r="D7901" s="1" t="s">
        <v>16</v>
      </c>
      <c r="E7901" s="1" t="s">
        <v>23175</v>
      </c>
      <c r="F7901" s="1" t="str">
        <f>IFERROR(__xludf.DUMMYFUNCTION("GOOGLETRANSLATE(A7901, ""zh-CN"", ""ko"")"),"외국인")</f>
        <v>외국인</v>
      </c>
    </row>
    <row r="7902" ht="15.75" customHeight="1">
      <c r="A7902" s="1" t="s">
        <v>23176</v>
      </c>
      <c r="B7902" s="1">
        <v>7.0</v>
      </c>
      <c r="C7902" s="1" t="s">
        <v>23177</v>
      </c>
      <c r="D7902" s="1" t="s">
        <v>16</v>
      </c>
      <c r="E7902" s="1" t="s">
        <v>23178</v>
      </c>
      <c r="F7902" s="1" t="str">
        <f>IFERROR(__xludf.DUMMYFUNCTION("GOOGLETRANSLATE(A7902, ""zh-CN"", ""ko"")"),"모습")</f>
        <v>모습</v>
      </c>
    </row>
    <row r="7903" ht="15.75" customHeight="1">
      <c r="A7903" s="1" t="s">
        <v>23179</v>
      </c>
      <c r="B7903" s="1">
        <v>7.0</v>
      </c>
      <c r="C7903" s="1" t="s">
        <v>23177</v>
      </c>
      <c r="D7903" s="1" t="s">
        <v>16</v>
      </c>
      <c r="E7903" s="1" t="s">
        <v>23180</v>
      </c>
      <c r="F7903" s="1" t="str">
        <f>IFERROR(__xludf.DUMMYFUNCTION("GOOGLETRANSLATE(A7903, ""zh-CN"", ""ko"")"),"대외 무역")</f>
        <v>대외 무역</v>
      </c>
    </row>
    <row r="7904" ht="15.75" customHeight="1">
      <c r="A7904" s="1" t="s">
        <v>23181</v>
      </c>
      <c r="B7904" s="1">
        <v>7.0</v>
      </c>
      <c r="C7904" s="1" t="s">
        <v>23182</v>
      </c>
      <c r="D7904" s="1" t="s">
        <v>16</v>
      </c>
      <c r="E7904" s="1" t="s">
        <v>23183</v>
      </c>
      <c r="F7904" s="1" t="str">
        <f>IFERROR(__xludf.DUMMYFUNCTION("GOOGLETRANSLATE(A7904, ""zh-CN"", ""ko"")"),"외계인")</f>
        <v>외계인</v>
      </c>
    </row>
    <row r="7905" ht="15.75" customHeight="1">
      <c r="A7905" s="1" t="s">
        <v>23184</v>
      </c>
      <c r="B7905" s="1">
        <v>7.0</v>
      </c>
      <c r="C7905" s="1" t="s">
        <v>23185</v>
      </c>
      <c r="D7905" s="1" t="s">
        <v>16</v>
      </c>
      <c r="E7905" s="1" t="s">
        <v>23186</v>
      </c>
      <c r="F7905" s="1" t="str">
        <f>IFERROR(__xludf.DUMMYFUNCTION("GOOGLETRANSLATE(A7905, ""zh-CN"", ""ko"")"),"해외 원조")</f>
        <v>해외 원조</v>
      </c>
    </row>
    <row r="7906" ht="15.75" customHeight="1">
      <c r="A7906" s="1" t="s">
        <v>23187</v>
      </c>
      <c r="B7906" s="1">
        <v>7.0</v>
      </c>
      <c r="C7906" s="1" t="s">
        <v>23188</v>
      </c>
      <c r="D7906" s="1" t="s">
        <v>52</v>
      </c>
      <c r="E7906" s="1" t="s">
        <v>23189</v>
      </c>
      <c r="F7906" s="1" t="str">
        <f>IFERROR(__xludf.DUMMYFUNCTION("GOOGLETRANSLATE(A7906, ""zh-CN"", ""ko"")"),"외부")</f>
        <v>외부</v>
      </c>
    </row>
    <row r="7907" ht="15.75" customHeight="1">
      <c r="A7907" s="1" t="s">
        <v>23190</v>
      </c>
      <c r="B7907" s="1">
        <v>7.0</v>
      </c>
      <c r="C7907" s="1" t="s">
        <v>23191</v>
      </c>
      <c r="D7907" s="1" t="s">
        <v>16</v>
      </c>
      <c r="E7907" s="1" t="s">
        <v>23192</v>
      </c>
      <c r="F7907" s="1" t="str">
        <f>IFERROR(__xludf.DUMMYFUNCTION("GOOGLETRANSLATE(A7907, ""zh-CN"", ""ko"")"),"외국인 투자")</f>
        <v>외국인 투자</v>
      </c>
    </row>
    <row r="7908" ht="15.75" customHeight="1">
      <c r="A7908" s="1" t="s">
        <v>23193</v>
      </c>
      <c r="B7908" s="1">
        <v>7.0</v>
      </c>
      <c r="C7908" s="1" t="s">
        <v>23194</v>
      </c>
      <c r="D7908" s="1" t="s">
        <v>52</v>
      </c>
      <c r="E7908" s="1" t="s">
        <v>23195</v>
      </c>
      <c r="F7908" s="1" t="str">
        <f>IFERROR(__xludf.DUMMYFUNCTION("GOOGLETRANSLATE(A7908, ""zh-CN"", ""ko"")"),"손대지 않은")</f>
        <v>손대지 않은</v>
      </c>
    </row>
    <row r="7909" ht="15.75" customHeight="1">
      <c r="A7909" s="1" t="s">
        <v>23196</v>
      </c>
      <c r="B7909" s="1">
        <v>7.0</v>
      </c>
      <c r="C7909" s="1" t="s">
        <v>23197</v>
      </c>
      <c r="D7909" s="1" t="s">
        <v>52</v>
      </c>
      <c r="E7909" s="1" t="s">
        <v>23198</v>
      </c>
      <c r="F7909" s="1" t="str">
        <f>IFERROR(__xludf.DUMMYFUNCTION("GOOGLETRANSLATE(A7909, ""zh-CN"", ""ko"")"),"못된")</f>
        <v>못된</v>
      </c>
    </row>
    <row r="7910" ht="15.75" customHeight="1">
      <c r="A7910" s="1" t="s">
        <v>23199</v>
      </c>
      <c r="B7910" s="1">
        <v>7.0</v>
      </c>
      <c r="C7910" s="1" t="s">
        <v>23200</v>
      </c>
      <c r="D7910" s="1" t="s">
        <v>8</v>
      </c>
      <c r="E7910" s="1" t="s">
        <v>23201</v>
      </c>
      <c r="F7910" s="1" t="str">
        <f>IFERROR(__xludf.DUMMYFUNCTION("GOOGLETRANSLATE(A7910, ""zh-CN"", ""ko"")"),"놀다")</f>
        <v>놀다</v>
      </c>
    </row>
    <row r="7911" ht="15.75" customHeight="1">
      <c r="A7911" s="1" t="s">
        <v>23202</v>
      </c>
      <c r="B7911" s="1">
        <v>7.0</v>
      </c>
      <c r="C7911" s="1" t="s">
        <v>23203</v>
      </c>
      <c r="D7911" s="1" t="s">
        <v>16</v>
      </c>
      <c r="E7911" s="1" t="s">
        <v>23204</v>
      </c>
      <c r="F7911" s="1" t="str">
        <f>IFERROR(__xludf.DUMMYFUNCTION("GOOGLETRANSLATE(A7911, ""zh-CN"", ""ko"")"),"공")</f>
        <v>공</v>
      </c>
    </row>
    <row r="7912" ht="15.75" customHeight="1">
      <c r="A7912" s="1" t="s">
        <v>23205</v>
      </c>
      <c r="B7912" s="1">
        <v>7.0</v>
      </c>
      <c r="C7912" s="1" t="s">
        <v>1577</v>
      </c>
      <c r="D7912" s="1" t="s">
        <v>8</v>
      </c>
      <c r="E7912" s="1" t="s">
        <v>23206</v>
      </c>
      <c r="F7912" s="1" t="str">
        <f>IFERROR(__xludf.DUMMYFUNCTION("GOOGLETRANSLATE(A7912, ""zh-CN"", ""ko"")"),"당기다")</f>
        <v>당기다</v>
      </c>
    </row>
    <row r="7913" ht="15.75" customHeight="1">
      <c r="A7913" s="1" t="s">
        <v>23207</v>
      </c>
      <c r="B7913" s="1">
        <v>7.0</v>
      </c>
      <c r="C7913" s="1" t="s">
        <v>23208</v>
      </c>
      <c r="D7913" s="1" t="s">
        <v>16</v>
      </c>
      <c r="E7913" s="1" t="s">
        <v>23209</v>
      </c>
      <c r="F7913" s="1" t="str">
        <f>IFERROR(__xludf.DUMMYFUNCTION("GOOGLETRANSLATE(A7913, ""zh-CN"", ""ko"")"),"노령")</f>
        <v>노령</v>
      </c>
    </row>
    <row r="7914" ht="15.75" customHeight="1">
      <c r="A7914" s="1" t="s">
        <v>23210</v>
      </c>
      <c r="B7914" s="1">
        <v>7.0</v>
      </c>
      <c r="C7914" s="1" t="s">
        <v>23211</v>
      </c>
      <c r="D7914" s="1" t="s">
        <v>16</v>
      </c>
      <c r="E7914" s="1" t="s">
        <v>23212</v>
      </c>
      <c r="F7914" s="1" t="str">
        <f>IFERROR(__xludf.DUMMYFUNCTION("GOOGLETRANSLATE(A7914, ""zh-CN"", ""ko"")"),"늦은")</f>
        <v>늦은</v>
      </c>
    </row>
    <row r="7915" ht="15.75" customHeight="1">
      <c r="A7915" s="1" t="s">
        <v>23213</v>
      </c>
      <c r="B7915" s="1">
        <v>7.0</v>
      </c>
      <c r="C7915" s="1" t="s">
        <v>23214</v>
      </c>
      <c r="D7915" s="1" t="s">
        <v>16</v>
      </c>
      <c r="E7915" s="1" t="s">
        <v>23215</v>
      </c>
      <c r="F7915" s="1" t="str">
        <f>IFERROR(__xludf.DUMMYFUNCTION("GOOGLETRANSLATE(A7915, ""zh-CN"", ""ko"")"),"일몰")</f>
        <v>일몰</v>
      </c>
    </row>
    <row r="7916" ht="15.75" customHeight="1">
      <c r="A7916" s="1" t="s">
        <v>23216</v>
      </c>
      <c r="B7916" s="1">
        <v>7.0</v>
      </c>
      <c r="C7916" s="1" t="s">
        <v>23217</v>
      </c>
      <c r="D7916" s="1" t="s">
        <v>52</v>
      </c>
      <c r="E7916" s="1" t="s">
        <v>23218</v>
      </c>
      <c r="F7916" s="1" t="str">
        <f>IFERROR(__xludf.DUMMYFUNCTION("GOOGLETRANSLATE(A7916, ""zh-CN"", ""ko"")"),"만능인")</f>
        <v>만능인</v>
      </c>
    </row>
    <row r="7917" ht="15.75" customHeight="1">
      <c r="A7917" s="1" t="s">
        <v>23219</v>
      </c>
      <c r="B7917" s="1">
        <v>7.0</v>
      </c>
      <c r="C7917" s="1" t="s">
        <v>23220</v>
      </c>
      <c r="D7917" s="1" t="s">
        <v>33</v>
      </c>
      <c r="E7917" s="1" t="s">
        <v>23221</v>
      </c>
      <c r="F7917" s="1" t="str">
        <f>IFERROR(__xludf.DUMMYFUNCTION("GOOGLETRANSLATE(A7917, ""zh-CN"", ""ko"")"),"전적으로")</f>
        <v>전적으로</v>
      </c>
    </row>
    <row r="7918" ht="15.75" customHeight="1">
      <c r="A7918" s="1" t="s">
        <v>23222</v>
      </c>
      <c r="B7918" s="1">
        <v>7.0</v>
      </c>
      <c r="C7918" s="1" t="s">
        <v>23223</v>
      </c>
      <c r="E7918" s="1" t="s">
        <v>23224</v>
      </c>
      <c r="F7918" s="1" t="str">
        <f>IFERROR(__xludf.DUMMYFUNCTION("GOOGLETRANSLATE(A7918, ""zh-CN"", ""ko"")"),"절대적으로 실패할 염려가 없습니다")</f>
        <v>절대적으로 실패할 염려가 없습니다</v>
      </c>
    </row>
    <row r="7919" ht="15.75" customHeight="1">
      <c r="A7919" s="1" t="s">
        <v>23225</v>
      </c>
      <c r="B7919" s="1">
        <v>7.0</v>
      </c>
      <c r="C7919" s="1" t="s">
        <v>23226</v>
      </c>
      <c r="D7919" s="1" t="s">
        <v>52</v>
      </c>
      <c r="E7919" s="1" t="s">
        <v>23227</v>
      </c>
      <c r="F7919" s="1" t="str">
        <f>IFERROR(__xludf.DUMMYFUNCTION("GOOGLETRANSLATE(A7919, ""zh-CN"", ""ko"")"),"왕양")</f>
        <v>왕양</v>
      </c>
    </row>
    <row r="7920" ht="15.75" customHeight="1">
      <c r="A7920" s="1" t="s">
        <v>23228</v>
      </c>
      <c r="B7920" s="1">
        <v>7.0</v>
      </c>
      <c r="C7920" s="1" t="s">
        <v>23229</v>
      </c>
      <c r="D7920" s="1" t="s">
        <v>16</v>
      </c>
      <c r="E7920" s="1" t="s">
        <v>8063</v>
      </c>
      <c r="F7920" s="1" t="str">
        <f>IFERROR(__xludf.DUMMYFUNCTION("GOOGLETRANSLATE(A7920, ""zh-CN"", ""ko"")"),"왕조")</f>
        <v>왕조</v>
      </c>
    </row>
    <row r="7921" ht="15.75" customHeight="1">
      <c r="A7921" s="1" t="s">
        <v>23230</v>
      </c>
      <c r="B7921" s="1">
        <v>7.0</v>
      </c>
      <c r="C7921" s="1" t="s">
        <v>23231</v>
      </c>
      <c r="D7921" s="1" t="s">
        <v>16</v>
      </c>
      <c r="E7921" s="1" t="s">
        <v>23232</v>
      </c>
      <c r="F7921" s="1" t="str">
        <f>IFERROR(__xludf.DUMMYFUNCTION("GOOGLETRANSLATE(A7921, ""zh-CN"", ""ko"")"),"왕국")</f>
        <v>왕국</v>
      </c>
    </row>
    <row r="7922" ht="15.75" customHeight="1">
      <c r="A7922" s="1" t="s">
        <v>23233</v>
      </c>
      <c r="B7922" s="1">
        <v>7.0</v>
      </c>
      <c r="C7922" s="1" t="s">
        <v>23234</v>
      </c>
      <c r="D7922" s="1" t="s">
        <v>16</v>
      </c>
      <c r="E7922" s="1" t="s">
        <v>23235</v>
      </c>
      <c r="F7922" s="1" t="str">
        <f>IFERROR(__xludf.DUMMYFUNCTION("GOOGLETRANSLATE(A7922, ""zh-CN"", ""ko"")"),"비장의 카드")</f>
        <v>비장의 카드</v>
      </c>
    </row>
    <row r="7923" ht="15.75" customHeight="1">
      <c r="A7923" s="1" t="s">
        <v>23236</v>
      </c>
      <c r="B7923" s="1">
        <v>7.0</v>
      </c>
      <c r="C7923" s="1" t="s">
        <v>23237</v>
      </c>
      <c r="E7923" s="1" t="s">
        <v>23238</v>
      </c>
      <c r="F7923" s="1" t="str">
        <f>IFERROR(__xludf.DUMMYFUNCTION("GOOGLETRANSLATE(A7923, ""zh-CN"", ""ko"")"),"양들이 길을 잃은 후 울타리를 고치는 것")</f>
        <v>양들이 길을 잃은 후 울타리를 고치는 것</v>
      </c>
    </row>
    <row r="7924" ht="15.75" customHeight="1">
      <c r="A7924" s="1" t="s">
        <v>23239</v>
      </c>
      <c r="B7924" s="1">
        <v>7.0</v>
      </c>
      <c r="C7924" s="1" t="s">
        <v>23240</v>
      </c>
      <c r="D7924" s="1" t="s">
        <v>16</v>
      </c>
      <c r="E7924" s="1" t="s">
        <v>23241</v>
      </c>
      <c r="F7924" s="1" t="str">
        <f>IFERROR(__xludf.DUMMYFUNCTION("GOOGLETRANSLATE(A7924, ""zh-CN"", ""ko"")"),"콘센트")</f>
        <v>콘센트</v>
      </c>
    </row>
    <row r="7925" ht="15.75" customHeight="1">
      <c r="A7925" s="1" t="s">
        <v>23242</v>
      </c>
      <c r="B7925" s="1">
        <v>7.0</v>
      </c>
      <c r="C7925" s="1" t="s">
        <v>23243</v>
      </c>
      <c r="D7925" s="1" t="s">
        <v>16</v>
      </c>
      <c r="E7925" s="1" t="s">
        <v>23244</v>
      </c>
      <c r="F7925" s="1" t="str">
        <f>IFERROR(__xludf.DUMMYFUNCTION("GOOGLETRANSLATE(A7925, ""zh-CN"", ""ko"")"),"네티즌")</f>
        <v>네티즌</v>
      </c>
    </row>
    <row r="7926" ht="15.75" customHeight="1">
      <c r="A7926" s="1" t="s">
        <v>23245</v>
      </c>
      <c r="B7926" s="1">
        <v>7.0</v>
      </c>
      <c r="C7926" s="1" t="s">
        <v>23246</v>
      </c>
      <c r="D7926" s="1" t="s">
        <v>16</v>
      </c>
      <c r="E7926" s="1" t="s">
        <v>23247</v>
      </c>
      <c r="F7926" s="1" t="str">
        <f>IFERROR(__xludf.DUMMYFUNCTION("GOOGLETRANSLATE(A7926, ""zh-CN"", ""ko"")"),"과거에")</f>
        <v>과거에</v>
      </c>
    </row>
    <row r="7927" ht="15.75" customHeight="1">
      <c r="A7927" s="1" t="s">
        <v>23248</v>
      </c>
      <c r="B7927" s="1">
        <v>7.0</v>
      </c>
      <c r="C7927" s="1" t="s">
        <v>23249</v>
      </c>
      <c r="D7927" s="1" t="s">
        <v>52</v>
      </c>
      <c r="E7927" s="1" t="s">
        <v>23250</v>
      </c>
      <c r="F7927" s="1" t="str">
        <f>IFERROR(__xludf.DUMMYFUNCTION("GOOGLETRANSLATE(A7927, ""zh-CN"", ""ko"")"),"왕")</f>
        <v>왕</v>
      </c>
    </row>
    <row r="7928" ht="15.75" customHeight="1">
      <c r="A7928" s="1" t="s">
        <v>23251</v>
      </c>
      <c r="B7928" s="1">
        <v>7.0</v>
      </c>
      <c r="C7928" s="1" t="s">
        <v>1583</v>
      </c>
      <c r="D7928" s="1" t="s">
        <v>16</v>
      </c>
      <c r="E7928" s="1" t="s">
        <v>23252</v>
      </c>
      <c r="F7928" s="1" t="str">
        <f>IFERROR(__xludf.DUMMYFUNCTION("GOOGLETRANSLATE(A7928, ""zh-CN"", ""ko"")"),"성수기")</f>
        <v>성수기</v>
      </c>
    </row>
    <row r="7929" ht="15.75" customHeight="1">
      <c r="A7929" s="1" t="s">
        <v>23253</v>
      </c>
      <c r="B7929" s="1">
        <v>7.0</v>
      </c>
      <c r="C7929" s="1" t="s">
        <v>23254</v>
      </c>
      <c r="D7929" s="1" t="s">
        <v>52</v>
      </c>
      <c r="E7929" s="1" t="s">
        <v>23255</v>
      </c>
      <c r="F7929" s="1" t="str">
        <f>IFERROR(__xludf.DUMMYFUNCTION("GOOGLETRANSLATE(A7929, ""zh-CN"", ""ko"")"),"무성한")</f>
        <v>무성한</v>
      </c>
    </row>
    <row r="7930" ht="15.75" customHeight="1">
      <c r="A7930" s="1" t="s">
        <v>23256</v>
      </c>
      <c r="B7930" s="1">
        <v>7.0</v>
      </c>
      <c r="C7930" s="1" t="s">
        <v>23257</v>
      </c>
      <c r="D7930" s="1" t="s">
        <v>16</v>
      </c>
      <c r="E7930" s="1" t="s">
        <v>23258</v>
      </c>
      <c r="F7930" s="1" t="str">
        <f>IFERROR(__xludf.DUMMYFUNCTION("GOOGLETRANSLATE(A7930, ""zh-CN"", ""ko"")"),"망원경")</f>
        <v>망원경</v>
      </c>
    </row>
    <row r="7931" ht="15.75" customHeight="1">
      <c r="A7931" s="1" t="s">
        <v>23259</v>
      </c>
      <c r="B7931" s="1">
        <v>7.0</v>
      </c>
      <c r="C7931" s="1" t="s">
        <v>23260</v>
      </c>
      <c r="D7931" s="1" t="s">
        <v>33</v>
      </c>
      <c r="E7931" s="1" t="s">
        <v>23261</v>
      </c>
      <c r="F7931" s="1" t="str">
        <f>IFERROR(__xludf.DUMMYFUNCTION("GOOGLETRANSLATE(A7931, ""zh-CN"", ""ko"")"),"마이크로")</f>
        <v>마이크로</v>
      </c>
    </row>
    <row r="7932" ht="15.75" customHeight="1">
      <c r="A7932" s="1" t="s">
        <v>23262</v>
      </c>
      <c r="B7932" s="1">
        <v>7.0</v>
      </c>
      <c r="C7932" s="1" t="s">
        <v>23263</v>
      </c>
      <c r="D7932" s="1" t="s">
        <v>16</v>
      </c>
      <c r="E7932" s="1" t="s">
        <v>23264</v>
      </c>
      <c r="F7932" s="1" t="str">
        <f>IFERROR(__xludf.DUMMYFUNCTION("GOOGLETRANSLATE(A7932, ""zh-CN"", ""ko"")"),"전자레인지")</f>
        <v>전자레인지</v>
      </c>
    </row>
    <row r="7933" ht="15.75" customHeight="1">
      <c r="A7933" s="1" t="s">
        <v>23265</v>
      </c>
      <c r="B7933" s="1">
        <v>7.0</v>
      </c>
      <c r="C7933" s="1" t="s">
        <v>23266</v>
      </c>
      <c r="D7933" s="1" t="s">
        <v>8</v>
      </c>
      <c r="E7933" s="1" t="s">
        <v>23267</v>
      </c>
      <c r="F7933" s="1" t="str">
        <f>IFERROR(__xludf.DUMMYFUNCTION("GOOGLETRANSLATE(A7933, ""zh-CN"", ""ko"")"),"위험에 빠뜨리다")</f>
        <v>위험에 빠뜨리다</v>
      </c>
    </row>
    <row r="7934" ht="15.75" customHeight="1">
      <c r="A7934" s="1" t="s">
        <v>23268</v>
      </c>
      <c r="B7934" s="1">
        <v>7.0</v>
      </c>
      <c r="C7934" s="1" t="s">
        <v>23266</v>
      </c>
      <c r="D7934" s="1" t="s">
        <v>52</v>
      </c>
      <c r="E7934" s="1" t="s">
        <v>23269</v>
      </c>
      <c r="F7934" s="1" t="str">
        <f>IFERROR(__xludf.DUMMYFUNCTION("GOOGLETRANSLATE(A7934, ""zh-CN"", ""ko"")"),"비판적인")</f>
        <v>비판적인</v>
      </c>
    </row>
    <row r="7935" ht="15.75" customHeight="1">
      <c r="A7935" s="1" t="s">
        <v>23270</v>
      </c>
      <c r="B7935" s="1">
        <v>7.0</v>
      </c>
      <c r="C7935" s="1" t="s">
        <v>23271</v>
      </c>
      <c r="D7935" s="1" t="s">
        <v>52</v>
      </c>
      <c r="E7935" s="1" t="s">
        <v>23272</v>
      </c>
      <c r="F7935" s="1" t="str">
        <f>IFERROR(__xludf.DUMMYFUNCTION("GOOGLETRANSLATE(A7935, ""zh-CN"", ""ko"")"),"미묘한")</f>
        <v>미묘한</v>
      </c>
    </row>
    <row r="7936" ht="15.75" customHeight="1">
      <c r="A7936" s="1" t="s">
        <v>23273</v>
      </c>
      <c r="B7936" s="1">
        <v>7.0</v>
      </c>
      <c r="C7936" s="1" t="s">
        <v>23274</v>
      </c>
      <c r="D7936" s="1" t="s">
        <v>52</v>
      </c>
      <c r="E7936" s="1" t="s">
        <v>23275</v>
      </c>
      <c r="F7936" s="1" t="str">
        <f>IFERROR(__xludf.DUMMYFUNCTION("GOOGLETRANSLATE(A7936, ""zh-CN"", ""ko"")"),"약한")</f>
        <v>약한</v>
      </c>
    </row>
    <row r="7937" ht="15.75" customHeight="1">
      <c r="A7937" s="1" t="s">
        <v>23276</v>
      </c>
      <c r="B7937" s="1">
        <v>7.0</v>
      </c>
      <c r="C7937" s="1" t="s">
        <v>23277</v>
      </c>
      <c r="D7937" s="1" t="s">
        <v>8</v>
      </c>
      <c r="E7937" s="1" t="s">
        <v>23278</v>
      </c>
      <c r="F7937" s="1" t="str">
        <f>IFERROR(__xludf.DUMMYFUNCTION("GOOGLETRANSLATE(A7937, ""zh-CN"", ""ko"")"),"제지")</f>
        <v>제지</v>
      </c>
    </row>
    <row r="7938" ht="15.75" customHeight="1">
      <c r="A7938" s="1" t="s">
        <v>23279</v>
      </c>
      <c r="B7938" s="1">
        <v>7.0</v>
      </c>
      <c r="C7938" s="1" t="s">
        <v>23280</v>
      </c>
      <c r="D7938" s="1" t="s">
        <v>16</v>
      </c>
      <c r="E7938" s="1" t="s">
        <v>23281</v>
      </c>
      <c r="F7938" s="1" t="str">
        <f>IFERROR(__xludf.DUMMYFUNCTION("GOOGLETRANSLATE(A7938, ""zh-CN"", ""ko"")"),"미생물")</f>
        <v>미생물</v>
      </c>
    </row>
    <row r="7939" ht="15.75" customHeight="1">
      <c r="A7939" s="1" t="s">
        <v>23282</v>
      </c>
      <c r="B7939" s="1">
        <v>7.0</v>
      </c>
      <c r="C7939" s="1" t="s">
        <v>23283</v>
      </c>
      <c r="D7939" s="1" t="s">
        <v>15257</v>
      </c>
      <c r="E7939" s="1" t="s">
        <v>23284</v>
      </c>
      <c r="F7939" s="1" t="str">
        <f>IFERROR(__xludf.DUMMYFUNCTION("GOOGLETRANSLATE(A7939, ""zh-CN"", ""ko"")"),"근소한")</f>
        <v>근소한</v>
      </c>
    </row>
    <row r="7940" ht="15.75" customHeight="1">
      <c r="A7940" s="1" t="s">
        <v>23285</v>
      </c>
      <c r="B7940" s="1">
        <v>7.0</v>
      </c>
      <c r="C7940" s="1" t="s">
        <v>23286</v>
      </c>
      <c r="D7940" s="1" t="s">
        <v>52</v>
      </c>
      <c r="E7940" s="1" t="s">
        <v>23287</v>
      </c>
      <c r="F7940" s="1" t="str">
        <f>IFERROR(__xludf.DUMMYFUNCTION("GOOGLETRANSLATE(A7940, ""zh-CN"", ""ko"")"),"세밀화")</f>
        <v>세밀화</v>
      </c>
    </row>
    <row r="7941" ht="15.75" customHeight="1">
      <c r="A7941" s="1" t="s">
        <v>23288</v>
      </c>
      <c r="B7941" s="1">
        <v>7.0</v>
      </c>
      <c r="C7941" s="1" t="s">
        <v>23289</v>
      </c>
      <c r="D7941" s="1" t="s">
        <v>33</v>
      </c>
      <c r="E7941" s="1" t="s">
        <v>23290</v>
      </c>
      <c r="F7941" s="1" t="str">
        <f>IFERROR(__xludf.DUMMYFUNCTION("GOOGLETRANSLATE(A7941, ""zh-CN"", ""ko"")"),"오직")</f>
        <v>오직</v>
      </c>
    </row>
    <row r="7942" ht="15.75" customHeight="1">
      <c r="A7942" s="1" t="s">
        <v>23291</v>
      </c>
      <c r="B7942" s="1">
        <v>7.0</v>
      </c>
      <c r="C7942" s="1" t="s">
        <v>23292</v>
      </c>
      <c r="D7942" s="1" t="s">
        <v>8</v>
      </c>
      <c r="E7942" s="1" t="s">
        <v>23293</v>
      </c>
      <c r="F7942" s="1" t="str">
        <f>IFERROR(__xludf.DUMMYFUNCTION("GOOGLETRANSLATE(A7942, ""zh-CN"", ""ko"")"),"구경꾼들")</f>
        <v>구경꾼들</v>
      </c>
    </row>
    <row r="7943" ht="15.75" customHeight="1">
      <c r="A7943" s="1" t="s">
        <v>23294</v>
      </c>
      <c r="B7943" s="1">
        <v>7.0</v>
      </c>
      <c r="C7943" s="1" t="s">
        <v>23295</v>
      </c>
      <c r="D7943" s="1" t="s">
        <v>16</v>
      </c>
      <c r="E7943" s="1" t="s">
        <v>23296</v>
      </c>
      <c r="F7943" s="1" t="str">
        <f>IFERROR(__xludf.DUMMYFUNCTION("GOOGLETRANSLATE(A7943, ""zh-CN"", ""ko"")"),"벽")</f>
        <v>벽</v>
      </c>
    </row>
    <row r="7944" ht="15.75" customHeight="1">
      <c r="A7944" s="1" t="s">
        <v>23297</v>
      </c>
      <c r="B7944" s="1">
        <v>7.0</v>
      </c>
      <c r="C7944" s="1" t="s">
        <v>23298</v>
      </c>
      <c r="D7944" s="1" t="s">
        <v>8</v>
      </c>
      <c r="E7944" s="1" t="s">
        <v>23299</v>
      </c>
      <c r="F7944" s="1" t="str">
        <f>IFERROR(__xludf.DUMMYFUNCTION("GOOGLETRANSLATE(A7944, ""zh-CN"", ""ko"")"),"권리 보호")</f>
        <v>권리 보호</v>
      </c>
    </row>
    <row r="7945" ht="15.75" customHeight="1">
      <c r="A7945" s="1" t="s">
        <v>23300</v>
      </c>
      <c r="B7945" s="1">
        <v>7.0</v>
      </c>
      <c r="C7945" s="1" t="s">
        <v>23301</v>
      </c>
      <c r="D7945" s="1" t="s">
        <v>14870</v>
      </c>
      <c r="E7945" s="1" t="s">
        <v>23302</v>
      </c>
      <c r="F7945" s="1" t="str">
        <f>IFERROR(__xludf.DUMMYFUNCTION("GOOGLETRANSLATE(A7945, ""zh-CN"", ""ko"")"),"개인으로서")</f>
        <v>개인으로서</v>
      </c>
    </row>
    <row r="7946" ht="15.75" customHeight="1">
      <c r="A7946" s="1" t="s">
        <v>23303</v>
      </c>
      <c r="B7946" s="1">
        <v>7.0</v>
      </c>
      <c r="C7946" s="1" t="s">
        <v>23304</v>
      </c>
      <c r="D7946" s="1" t="s">
        <v>23305</v>
      </c>
      <c r="E7946" s="1" t="s">
        <v>899</v>
      </c>
      <c r="F7946" s="1" t="str">
        <f>IFERROR(__xludf.DUMMYFUNCTION("GOOGLETRANSLATE(A7946, ""zh-CN"", ""ko"")"),"오직")</f>
        <v>오직</v>
      </c>
    </row>
    <row r="7947" ht="15.75" customHeight="1">
      <c r="A7947" s="1" t="s">
        <v>23306</v>
      </c>
      <c r="B7947" s="1">
        <v>7.0</v>
      </c>
      <c r="C7947" s="1" t="s">
        <v>23307</v>
      </c>
      <c r="D7947" s="1" t="s">
        <v>8</v>
      </c>
      <c r="E7947" s="1" t="s">
        <v>23308</v>
      </c>
      <c r="F7947" s="1" t="str">
        <f>IFERROR(__xludf.DUMMYFUNCTION("GOOGLETRANSLATE(A7947, ""zh-CN"", ""ko"")"),"계약 위반")</f>
        <v>계약 위반</v>
      </c>
    </row>
    <row r="7948" ht="15.75" customHeight="1">
      <c r="A7948" s="1" t="s">
        <v>23309</v>
      </c>
      <c r="B7948" s="1">
        <v>7.0</v>
      </c>
      <c r="C7948" s="1" t="s">
        <v>23310</v>
      </c>
      <c r="D7948" s="1" t="s">
        <v>8</v>
      </c>
      <c r="E7948" s="1" t="s">
        <v>23311</v>
      </c>
      <c r="F7948" s="1" t="str">
        <f>IFERROR(__xludf.DUMMYFUNCTION("GOOGLETRANSLATE(A7948, ""zh-CN"", ""ko"")"),"위반")</f>
        <v>위반</v>
      </c>
    </row>
    <row r="7949" ht="15.75" customHeight="1">
      <c r="A7949" s="1" t="s">
        <v>23312</v>
      </c>
      <c r="B7949" s="1">
        <v>7.0</v>
      </c>
      <c r="C7949" s="1" t="s">
        <v>23313</v>
      </c>
      <c r="D7949" s="1" t="s">
        <v>16</v>
      </c>
      <c r="E7949" s="1" t="s">
        <v>23314</v>
      </c>
      <c r="F7949" s="1" t="str">
        <f>IFERROR(__xludf.DUMMYFUNCTION("GOOGLETRANSLATE(A7949, ""zh-CN"", ""ko"")"),"위도")</f>
        <v>위도</v>
      </c>
    </row>
    <row r="7950" ht="15.75" customHeight="1">
      <c r="A7950" s="1" t="s">
        <v>23315</v>
      </c>
      <c r="B7950" s="1">
        <v>7.0</v>
      </c>
      <c r="C7950" s="1" t="s">
        <v>23316</v>
      </c>
      <c r="D7950" s="1" t="s">
        <v>16</v>
      </c>
      <c r="E7950" s="1" t="s">
        <v>23317</v>
      </c>
      <c r="F7950" s="1" t="str">
        <f>IFERROR(__xludf.DUMMYFUNCTION("GOOGLETRANSLATE(A7950, ""zh-CN"", ""ko"")"),"배기가스")</f>
        <v>배기가스</v>
      </c>
    </row>
    <row r="7951" ht="15.75" customHeight="1">
      <c r="A7951" s="1" t="s">
        <v>23318</v>
      </c>
      <c r="B7951" s="1">
        <v>7.0</v>
      </c>
      <c r="C7951" s="1" t="s">
        <v>23319</v>
      </c>
      <c r="D7951" s="1" t="s">
        <v>16</v>
      </c>
      <c r="E7951" s="1" t="s">
        <v>23320</v>
      </c>
      <c r="F7951" s="1" t="str">
        <f>IFERROR(__xludf.DUMMYFUNCTION("GOOGLETRANSLATE(A7951, ""zh-CN"", ""ko"")"),"끝")</f>
        <v>끝</v>
      </c>
    </row>
    <row r="7952" ht="15.75" customHeight="1">
      <c r="A7952" s="1" t="s">
        <v>23321</v>
      </c>
      <c r="B7952" s="1">
        <v>7.0</v>
      </c>
      <c r="C7952" s="1" t="s">
        <v>23322</v>
      </c>
      <c r="D7952" s="1" t="s">
        <v>8</v>
      </c>
      <c r="E7952" s="1" t="s">
        <v>23323</v>
      </c>
      <c r="F7952" s="1" t="str">
        <f>IFERROR(__xludf.DUMMYFUNCTION("GOOGLETRANSLATE(A7952, ""zh-CN"", ""ko"")"),"위축")</f>
        <v>위축</v>
      </c>
    </row>
    <row r="7953" ht="15.75" customHeight="1">
      <c r="A7953" s="1" t="s">
        <v>23324</v>
      </c>
      <c r="B7953" s="1">
        <v>7.0</v>
      </c>
      <c r="C7953" s="1" t="s">
        <v>23325</v>
      </c>
      <c r="D7953" s="1" t="s">
        <v>52</v>
      </c>
      <c r="E7953" s="1" t="s">
        <v>23326</v>
      </c>
      <c r="F7953" s="1" t="str">
        <f>IFERROR(__xludf.DUMMYFUNCTION("GOOGLETRANSLATE(A7953, ""zh-CN"", ""ko"")"),"재치 있는")</f>
        <v>재치 있는</v>
      </c>
    </row>
    <row r="7954" ht="15.75" customHeight="1">
      <c r="A7954" s="1" t="s">
        <v>23327</v>
      </c>
      <c r="B7954" s="1">
        <v>7.0</v>
      </c>
      <c r="C7954" s="1" t="s">
        <v>23328</v>
      </c>
      <c r="D7954" s="1" t="s">
        <v>16</v>
      </c>
      <c r="E7954" s="1" t="s">
        <v>23329</v>
      </c>
      <c r="F7954" s="1" t="str">
        <f>IFERROR(__xludf.DUMMYFUNCTION("GOOGLETRANSLATE(A7954, ""zh-CN"", ""ko"")"),"위원회")</f>
        <v>위원회</v>
      </c>
    </row>
    <row r="7955" ht="15.75" customHeight="1">
      <c r="A7955" s="1" t="s">
        <v>23330</v>
      </c>
      <c r="B7955" s="1">
        <v>7.0</v>
      </c>
      <c r="C7955" s="1" t="s">
        <v>23331</v>
      </c>
      <c r="D7955" s="1" t="s">
        <v>14870</v>
      </c>
      <c r="E7955" s="1" t="s">
        <v>23332</v>
      </c>
      <c r="F7955" s="1" t="str">
        <f>IFERROR(__xludf.DUMMYFUNCTION("GOOGLETRANSLATE(A7955, ""zh-CN"", ""ko"")"),"위장")</f>
        <v>위장</v>
      </c>
    </row>
    <row r="7956" ht="15.75" customHeight="1">
      <c r="A7956" s="1" t="s">
        <v>23333</v>
      </c>
      <c r="B7956" s="1">
        <v>7.0</v>
      </c>
      <c r="C7956" s="1" t="s">
        <v>23334</v>
      </c>
      <c r="D7956" s="1" t="s">
        <v>16</v>
      </c>
      <c r="E7956" s="1" t="s">
        <v>23335</v>
      </c>
      <c r="F7956" s="1" t="str">
        <f>IFERROR(__xludf.DUMMYFUNCTION("GOOGLETRANSLATE(A7956, ""zh-CN"", ""ko"")"),"MSG")</f>
        <v>MSG</v>
      </c>
    </row>
    <row r="7957" ht="15.75" customHeight="1">
      <c r="A7957" s="1" t="s">
        <v>23336</v>
      </c>
      <c r="B7957" s="1">
        <v>7.0</v>
      </c>
      <c r="C7957" s="1" t="s">
        <v>23337</v>
      </c>
      <c r="D7957" s="1" t="s">
        <v>8</v>
      </c>
      <c r="E7957" s="1" t="s">
        <v>23338</v>
      </c>
      <c r="F7957" s="1" t="str">
        <f>IFERROR(__xludf.DUMMYFUNCTION("GOOGLETRANSLATE(A7957, ""zh-CN"", ""ko"")"),"편안")</f>
        <v>편안</v>
      </c>
    </row>
    <row r="7958" ht="15.75" customHeight="1">
      <c r="A7958" s="1" t="s">
        <v>23339</v>
      </c>
      <c r="B7958" s="1">
        <v>7.0</v>
      </c>
      <c r="C7958" s="1" t="s">
        <v>23340</v>
      </c>
      <c r="D7958" s="1" t="s">
        <v>16</v>
      </c>
      <c r="E7958" s="1" t="s">
        <v>23341</v>
      </c>
      <c r="F7958" s="1" t="str">
        <f>IFERROR(__xludf.DUMMYFUNCTION("GOOGLETRANSLATE(A7958, ""zh-CN"", ""ko"")"),"위성 TV")</f>
        <v>위성 TV</v>
      </c>
    </row>
    <row r="7959" ht="15.75" customHeight="1">
      <c r="A7959" s="1" t="s">
        <v>23342</v>
      </c>
      <c r="B7959" s="1">
        <v>7.0</v>
      </c>
      <c r="C7959" s="1" t="s">
        <v>23343</v>
      </c>
      <c r="D7959" s="1" t="s">
        <v>8</v>
      </c>
      <c r="E7959" s="1" t="s">
        <v>23344</v>
      </c>
      <c r="F7959" s="1" t="str">
        <f>IFERROR(__xludf.DUMMYFUNCTION("GOOGLETRANSLATE(A7959, ""zh-CN"", ""ko"")"),"수축")</f>
        <v>수축</v>
      </c>
    </row>
    <row r="7960" ht="15.75" customHeight="1">
      <c r="A7960" s="1" t="s">
        <v>23345</v>
      </c>
      <c r="B7960" s="1">
        <v>7.0</v>
      </c>
      <c r="C7960" s="1" t="s">
        <v>23346</v>
      </c>
      <c r="D7960" s="1" t="s">
        <v>8</v>
      </c>
      <c r="E7960" s="1" t="s">
        <v>23347</v>
      </c>
      <c r="F7960" s="1" t="str">
        <f>IFERROR(__xludf.DUMMYFUNCTION("GOOGLETRANSLATE(A7960, ""zh-CN"", ""ko"")"),"밥을 먹이다")</f>
        <v>밥을 먹이다</v>
      </c>
    </row>
    <row r="7961" ht="15.75" customHeight="1">
      <c r="A7961" s="1" t="s">
        <v>23348</v>
      </c>
      <c r="B7961" s="1">
        <v>7.0</v>
      </c>
      <c r="C7961" s="1" t="s">
        <v>23349</v>
      </c>
      <c r="D7961" s="1" t="s">
        <v>16</v>
      </c>
      <c r="E7961" s="1" t="s">
        <v>23350</v>
      </c>
      <c r="F7961" s="1" t="str">
        <f>IFERROR(__xludf.DUMMYFUNCTION("GOOGLETRANSLATE(A7961, ""zh-CN"", ""ko"")"),"알려지지 않은")</f>
        <v>알려지지 않은</v>
      </c>
    </row>
    <row r="7962" ht="15.75" customHeight="1">
      <c r="A7962" s="1" t="s">
        <v>23351</v>
      </c>
      <c r="B7962" s="1">
        <v>7.0</v>
      </c>
      <c r="C7962" s="1" t="s">
        <v>23352</v>
      </c>
      <c r="D7962" s="1" t="s">
        <v>16</v>
      </c>
      <c r="E7962" s="1" t="s">
        <v>23353</v>
      </c>
      <c r="F7962" s="1" t="str">
        <f>IFERROR(__xludf.DUMMYFUNCTION("GOOGLETRANSLATE(A7962, ""zh-CN"", ""ko"")"),"좌석")</f>
        <v>좌석</v>
      </c>
    </row>
    <row r="7963" ht="15.75" customHeight="1">
      <c r="A7963" s="1" t="s">
        <v>23354</v>
      </c>
      <c r="B7963" s="1">
        <v>7.0</v>
      </c>
      <c r="C7963" s="1" t="s">
        <v>23355</v>
      </c>
      <c r="D7963" s="1" t="s">
        <v>16</v>
      </c>
      <c r="E7963" s="1" t="s">
        <v>23356</v>
      </c>
      <c r="F7963" s="1" t="str">
        <f>IFERROR(__xludf.DUMMYFUNCTION("GOOGLETRANSLATE(A7963, ""zh-CN"", ""ko"")"),"온도 차이")</f>
        <v>온도 차이</v>
      </c>
    </row>
    <row r="7964" ht="15.75" customHeight="1">
      <c r="A7964" s="1" t="s">
        <v>23357</v>
      </c>
      <c r="B7964" s="1">
        <v>7.0</v>
      </c>
      <c r="C7964" s="1" t="s">
        <v>23358</v>
      </c>
      <c r="D7964" s="1" t="s">
        <v>16</v>
      </c>
      <c r="E7964" s="1" t="s">
        <v>23359</v>
      </c>
      <c r="F7964" s="1" t="str">
        <f>IFERROR(__xludf.DUMMYFUNCTION("GOOGLETRANSLATE(A7964, ""zh-CN"", ""ko"")"),"온도계")</f>
        <v>온도계</v>
      </c>
    </row>
    <row r="7965" ht="15.75" customHeight="1">
      <c r="A7965" s="1" t="s">
        <v>23360</v>
      </c>
      <c r="B7965" s="1">
        <v>7.0</v>
      </c>
      <c r="C7965" s="1" t="s">
        <v>23361</v>
      </c>
      <c r="D7965" s="1" t="s">
        <v>16</v>
      </c>
      <c r="E7965" s="1" t="s">
        <v>23362</v>
      </c>
      <c r="F7965" s="1" t="str">
        <f>IFERROR(__xludf.DUMMYFUNCTION("GOOGLETRANSLATE(A7965, ""zh-CN"", ""ko"")"),"온천")</f>
        <v>온천</v>
      </c>
    </row>
    <row r="7966" ht="15.75" customHeight="1">
      <c r="A7966" s="1" t="s">
        <v>23363</v>
      </c>
      <c r="B7966" s="1">
        <v>7.0</v>
      </c>
      <c r="C7966" s="1" t="s">
        <v>23364</v>
      </c>
      <c r="D7966" s="1" t="s">
        <v>16</v>
      </c>
      <c r="E7966" s="1" t="s">
        <v>23365</v>
      </c>
      <c r="F7966" s="1" t="str">
        <f>IFERROR(__xludf.DUMMYFUNCTION("GOOGLETRANSLATE(A7966, ""zh-CN"", ""ko"")"),"온실")</f>
        <v>온실</v>
      </c>
    </row>
    <row r="7967" ht="15.75" customHeight="1">
      <c r="A7967" s="1" t="s">
        <v>23366</v>
      </c>
      <c r="B7967" s="1">
        <v>7.0</v>
      </c>
      <c r="C7967" s="1" t="s">
        <v>23367</v>
      </c>
      <c r="D7967" s="1" t="s">
        <v>8</v>
      </c>
      <c r="E7967" s="1" t="s">
        <v>23368</v>
      </c>
      <c r="F7967" s="1" t="str">
        <f>IFERROR(__xludf.DUMMYFUNCTION("GOOGLETRANSLATE(A7967, ""zh-CN"", ""ko"")"),"검토")</f>
        <v>검토</v>
      </c>
    </row>
    <row r="7968" ht="15.75" customHeight="1">
      <c r="A7968" s="1" t="s">
        <v>23369</v>
      </c>
      <c r="B7968" s="1">
        <v>7.0</v>
      </c>
      <c r="C7968" s="1" t="s">
        <v>23370</v>
      </c>
      <c r="D7968" s="1" t="s">
        <v>52</v>
      </c>
      <c r="E7968" s="1" t="s">
        <v>23371</v>
      </c>
      <c r="F7968" s="1" t="str">
        <f>IFERROR(__xludf.DUMMYFUNCTION("GOOGLETRANSLATE(A7968, ""zh-CN"", ""ko"")"),"따뜻한")</f>
        <v>따뜻한</v>
      </c>
    </row>
    <row r="7969" ht="15.75" customHeight="1">
      <c r="A7969" s="1" t="s">
        <v>23372</v>
      </c>
      <c r="B7969" s="1">
        <v>7.0</v>
      </c>
      <c r="C7969" s="1" t="s">
        <v>23373</v>
      </c>
      <c r="D7969" s="1" t="s">
        <v>16</v>
      </c>
      <c r="E7969" s="1" t="s">
        <v>23374</v>
      </c>
      <c r="F7969" s="1" t="str">
        <f>IFERROR(__xludf.DUMMYFUNCTION("GOOGLETRANSLATE(A7969, ""zh-CN"", ""ko"")"),"역병")</f>
        <v>역병</v>
      </c>
    </row>
    <row r="7970" ht="15.75" customHeight="1">
      <c r="A7970" s="1" t="s">
        <v>23375</v>
      </c>
      <c r="B7970" s="1">
        <v>7.0</v>
      </c>
      <c r="C7970" s="1" t="s">
        <v>6446</v>
      </c>
      <c r="D7970" s="1" t="s">
        <v>16</v>
      </c>
      <c r="E7970" s="1" t="s">
        <v>23376</v>
      </c>
      <c r="F7970" s="1" t="str">
        <f>IFERROR(__xludf.DUMMYFUNCTION("GOOGLETRANSLATE(A7970, ""zh-CN"", ""ko"")"),"기예")</f>
        <v>기예</v>
      </c>
    </row>
    <row r="7971" ht="15.75" customHeight="1">
      <c r="A7971" s="1" t="s">
        <v>23377</v>
      </c>
      <c r="B7971" s="1">
        <v>7.0</v>
      </c>
      <c r="C7971" s="1" t="s">
        <v>23378</v>
      </c>
      <c r="D7971" s="1" t="s">
        <v>16</v>
      </c>
      <c r="E7971" s="1" t="s">
        <v>23379</v>
      </c>
      <c r="F7971" s="1" t="str">
        <f>IFERROR(__xludf.DUMMYFUNCTION("GOOGLETRANSLATE(A7971, ""zh-CN"", ""ko"")"),"무식")</f>
        <v>무식</v>
      </c>
    </row>
    <row r="7972" ht="15.75" customHeight="1">
      <c r="A7972" s="1" t="s">
        <v>23380</v>
      </c>
      <c r="B7972" s="1">
        <v>7.0</v>
      </c>
      <c r="C7972" s="1" t="s">
        <v>23381</v>
      </c>
      <c r="D7972" s="1" t="s">
        <v>16</v>
      </c>
      <c r="E7972" s="1" t="s">
        <v>23382</v>
      </c>
      <c r="F7972" s="1" t="str">
        <f>IFERROR(__xludf.DUMMYFUNCTION("GOOGLETRANSLATE(A7972, ""zh-CN"", ""ko"")"),"문인들")</f>
        <v>문인들</v>
      </c>
    </row>
    <row r="7973" ht="15.75" customHeight="1">
      <c r="A7973" s="1" t="s">
        <v>23383</v>
      </c>
      <c r="B7973" s="1">
        <v>7.0</v>
      </c>
      <c r="C7973" s="1" t="s">
        <v>23384</v>
      </c>
      <c r="D7973" s="1" t="s">
        <v>16</v>
      </c>
      <c r="E7973" s="1" t="s">
        <v>23385</v>
      </c>
      <c r="F7973" s="1" t="str">
        <f>IFERROR(__xludf.DUMMYFUNCTION("GOOGLETRANSLATE(A7973, ""zh-CN"", ""ko"")"),"모기장")</f>
        <v>모기장</v>
      </c>
    </row>
    <row r="7974" ht="15.75" customHeight="1">
      <c r="A7974" s="1" t="s">
        <v>23386</v>
      </c>
      <c r="B7974" s="1">
        <v>7.0</v>
      </c>
      <c r="C7974" s="1" t="s">
        <v>23387</v>
      </c>
      <c r="D7974" s="1" t="s">
        <v>16</v>
      </c>
      <c r="E7974" s="1" t="s">
        <v>23388</v>
      </c>
      <c r="F7974" s="1" t="str">
        <f>IFERROR(__xludf.DUMMYFUNCTION("GOOGLETRANSLATE(A7974, ""zh-CN"", ""ko"")"),"모기")</f>
        <v>모기</v>
      </c>
    </row>
    <row r="7975" ht="15.75" customHeight="1">
      <c r="A7975" s="1" t="s">
        <v>23389</v>
      </c>
      <c r="B7975" s="1">
        <v>7.0</v>
      </c>
      <c r="C7975" s="1" t="s">
        <v>6464</v>
      </c>
      <c r="D7975" s="1" t="s">
        <v>14742</v>
      </c>
      <c r="E7975" s="1" t="s">
        <v>23390</v>
      </c>
      <c r="F7975" s="1" t="str">
        <f>IFERROR(__xludf.DUMMYFUNCTION("GOOGLETRANSLATE(A7975, ""zh-CN"", ""ko"")"),"안정적인")</f>
        <v>안정적인</v>
      </c>
    </row>
    <row r="7976" ht="15.75" customHeight="1">
      <c r="A7976" s="1" t="s">
        <v>23391</v>
      </c>
      <c r="B7976" s="1">
        <v>7.0</v>
      </c>
      <c r="C7976" s="1" t="s">
        <v>23392</v>
      </c>
      <c r="D7976" s="1" t="s">
        <v>14742</v>
      </c>
      <c r="E7976" s="1" t="s">
        <v>23393</v>
      </c>
      <c r="F7976" s="1" t="str">
        <f>IFERROR(__xludf.DUMMYFUNCTION("GOOGLETRANSLATE(A7976, ""zh-CN"", ""ko"")"),"안정적인")</f>
        <v>안정적인</v>
      </c>
    </row>
    <row r="7977" ht="15.75" customHeight="1">
      <c r="A7977" s="1" t="s">
        <v>23394</v>
      </c>
      <c r="B7977" s="1">
        <v>7.0</v>
      </c>
      <c r="C7977" s="1" t="s">
        <v>23395</v>
      </c>
      <c r="D7977" s="1" t="s">
        <v>52</v>
      </c>
      <c r="E7977" s="1" t="s">
        <v>23396</v>
      </c>
      <c r="F7977" s="1" t="str">
        <f>IFERROR(__xludf.DUMMYFUNCTION("GOOGLETRANSLATE(A7977, ""zh-CN"", ""ko"")"),"어울리는")</f>
        <v>어울리는</v>
      </c>
    </row>
    <row r="7978" ht="15.75" customHeight="1">
      <c r="A7978" s="1" t="s">
        <v>23397</v>
      </c>
      <c r="B7978" s="1">
        <v>7.0</v>
      </c>
      <c r="C7978" s="1" t="s">
        <v>23398</v>
      </c>
      <c r="D7978" s="1" t="s">
        <v>52</v>
      </c>
      <c r="E7978" s="1" t="s">
        <v>23399</v>
      </c>
      <c r="F7978" s="1" t="str">
        <f>IFERROR(__xludf.DUMMYFUNCTION("GOOGLETRANSLATE(A7978, ""zh-CN"", ""ko"")"),"꾸준한")</f>
        <v>꾸준한</v>
      </c>
    </row>
    <row r="7979" ht="15.75" customHeight="1">
      <c r="A7979" s="1" t="s">
        <v>23400</v>
      </c>
      <c r="B7979" s="1">
        <v>7.0</v>
      </c>
      <c r="C7979" s="1" t="s">
        <v>23401</v>
      </c>
      <c r="D7979" s="1" t="s">
        <v>52</v>
      </c>
      <c r="E7979" s="1" t="s">
        <v>23402</v>
      </c>
      <c r="F7979" s="1" t="str">
        <f>IFERROR(__xludf.DUMMYFUNCTION("GOOGLETRANSLATE(A7979, ""zh-CN"", ""ko"")"),"무질서")</f>
        <v>무질서</v>
      </c>
    </row>
    <row r="7980" ht="15.75" customHeight="1">
      <c r="A7980" s="1" t="s">
        <v>23403</v>
      </c>
      <c r="B7980" s="1">
        <v>7.0</v>
      </c>
      <c r="C7980" s="1" t="s">
        <v>23404</v>
      </c>
      <c r="D7980" s="1" t="s">
        <v>52</v>
      </c>
      <c r="E7980" s="1" t="s">
        <v>23405</v>
      </c>
      <c r="F7980" s="1" t="str">
        <f>IFERROR(__xludf.DUMMYFUNCTION("GOOGLETRANSLATE(A7980, ""zh-CN"", ""ko"")"),"안전한")</f>
        <v>안전한</v>
      </c>
    </row>
    <row r="7981" ht="15.75" customHeight="1">
      <c r="A7981" s="1" t="s">
        <v>23406</v>
      </c>
      <c r="B7981" s="1">
        <v>7.0</v>
      </c>
      <c r="C7981" s="1" t="s">
        <v>23407</v>
      </c>
      <c r="D7981" s="1" t="s">
        <v>52</v>
      </c>
      <c r="E7981" s="1" t="s">
        <v>23408</v>
      </c>
      <c r="F7981" s="1" t="str">
        <f>IFERROR(__xludf.DUMMYFUNCTION("GOOGLETRANSLATE(A7981, ""zh-CN"", ""ko"")"),"꾸준한")</f>
        <v>꾸준한</v>
      </c>
    </row>
    <row r="7982" ht="15.75" customHeight="1">
      <c r="A7982" s="1" t="s">
        <v>23409</v>
      </c>
      <c r="B7982" s="1">
        <v>7.0</v>
      </c>
      <c r="C7982" s="1" t="s">
        <v>23410</v>
      </c>
      <c r="D7982" s="1" t="s">
        <v>8</v>
      </c>
      <c r="E7982" s="1" t="s">
        <v>23411</v>
      </c>
      <c r="F7982" s="1" t="str">
        <f>IFERROR(__xludf.DUMMYFUNCTION("GOOGLETRANSLATE(A7982, ""zh-CN"", ""ko"")"),"누워서")</f>
        <v>누워서</v>
      </c>
    </row>
    <row r="7983" ht="15.75" customHeight="1">
      <c r="A7983" s="1" t="s">
        <v>23412</v>
      </c>
      <c r="B7983" s="1">
        <v>7.0</v>
      </c>
      <c r="C7983" s="1" t="s">
        <v>23413</v>
      </c>
      <c r="D7983" s="1" t="s">
        <v>16</v>
      </c>
      <c r="E7983" s="1" t="s">
        <v>23414</v>
      </c>
      <c r="F7983" s="1" t="str">
        <f>IFERROR(__xludf.DUMMYFUNCTION("GOOGLETRANSLATE(A7983, ""zh-CN"", ""ko"")"),"침대칸")</f>
        <v>침대칸</v>
      </c>
    </row>
    <row r="7984" ht="15.75" customHeight="1">
      <c r="A7984" s="1" t="s">
        <v>23415</v>
      </c>
      <c r="B7984" s="1">
        <v>7.0</v>
      </c>
      <c r="C7984" s="1" t="s">
        <v>23416</v>
      </c>
      <c r="D7984" s="1" t="s">
        <v>15352</v>
      </c>
      <c r="E7984" s="1" t="s">
        <v>23417</v>
      </c>
      <c r="F7984" s="1" t="str">
        <f>IFERROR(__xludf.DUMMYFUNCTION("GOOGLETRANSLATE(A7984, ""zh-CN"", ""ko"")"),"불결한")</f>
        <v>불결한</v>
      </c>
    </row>
    <row r="7985" ht="15.75" customHeight="1">
      <c r="A7985" s="1" t="s">
        <v>23418</v>
      </c>
      <c r="B7985" s="1">
        <v>7.0</v>
      </c>
      <c r="C7985" s="1" t="s">
        <v>23419</v>
      </c>
      <c r="D7985" s="1" t="s">
        <v>16</v>
      </c>
      <c r="E7985" s="1" t="s">
        <v>23420</v>
      </c>
      <c r="F7985" s="1" t="str">
        <f>IFERROR(__xludf.DUMMYFUNCTION("GOOGLETRANSLATE(A7985, ""zh-CN"", ""ko"")"),"처마")</f>
        <v>처마</v>
      </c>
    </row>
    <row r="7986" ht="15.75" customHeight="1">
      <c r="A7986" s="1" t="s">
        <v>23421</v>
      </c>
      <c r="B7986" s="1">
        <v>7.0</v>
      </c>
      <c r="C7986" s="1" t="s">
        <v>23422</v>
      </c>
      <c r="D7986" s="1" t="s">
        <v>8</v>
      </c>
      <c r="E7986" s="1" t="s">
        <v>23423</v>
      </c>
      <c r="F7986" s="1" t="str">
        <f>IFERROR(__xludf.DUMMYFUNCTION("GOOGLETRANSLATE(A7986, ""zh-CN"", ""ko"")"),"흐느낌")</f>
        <v>흐느낌</v>
      </c>
    </row>
    <row r="7987" ht="15.75" customHeight="1">
      <c r="A7987" s="1" t="s">
        <v>23424</v>
      </c>
      <c r="B7987" s="1">
        <v>7.0</v>
      </c>
      <c r="C7987" s="1" t="s">
        <v>23425</v>
      </c>
      <c r="D7987" s="1" t="s">
        <v>16</v>
      </c>
      <c r="E7987" s="1" t="s">
        <v>23426</v>
      </c>
      <c r="F7987" s="1" t="str">
        <f>IFERROR(__xludf.DUMMYFUNCTION("GOOGLETRANSLATE(A7987, ""zh-CN"", ""ko"")"),"암운")</f>
        <v>암운</v>
      </c>
    </row>
    <row r="7988" ht="15.75" customHeight="1">
      <c r="A7988" s="1" t="s">
        <v>23427</v>
      </c>
      <c r="B7988" s="1">
        <v>7.0</v>
      </c>
      <c r="C7988" s="1" t="s">
        <v>23428</v>
      </c>
      <c r="E7988" s="1" t="s">
        <v>23429</v>
      </c>
      <c r="F7988" s="1" t="str">
        <f>IFERROR(__xludf.DUMMYFUNCTION("GOOGLETRANSLATE(A7988, ""zh-CN"", ""ko"")"),"무한한")</f>
        <v>무한한</v>
      </c>
    </row>
    <row r="7989" ht="15.75" customHeight="1">
      <c r="A7989" s="1" t="s">
        <v>23430</v>
      </c>
      <c r="B7989" s="1">
        <v>7.0</v>
      </c>
      <c r="C7989" s="1" t="s">
        <v>23431</v>
      </c>
      <c r="D7989" s="1" t="s">
        <v>33</v>
      </c>
      <c r="E7989" s="1" t="s">
        <v>23432</v>
      </c>
      <c r="F7989" s="1" t="str">
        <f>IFERROR(__xludf.DUMMYFUNCTION("GOOGLETRANSLATE(A7989, ""zh-CN"", ""ko"")"),"없음")</f>
        <v>없음</v>
      </c>
    </row>
    <row r="7990" ht="15.75" customHeight="1">
      <c r="A7990" s="1" t="s">
        <v>23433</v>
      </c>
      <c r="B7990" s="1">
        <v>7.0</v>
      </c>
      <c r="C7990" s="1" t="s">
        <v>23434</v>
      </c>
      <c r="D7990" s="1" t="s">
        <v>33</v>
      </c>
      <c r="E7990" s="1" t="s">
        <v>23435</v>
      </c>
      <c r="F7990" s="1" t="str">
        <f>IFERROR(__xludf.DUMMYFUNCTION("GOOGLETRANSLATE(A7990, ""zh-CN"", ""ko"")"),"안 돼요")</f>
        <v>안 돼요</v>
      </c>
    </row>
    <row r="7991" ht="15.75" customHeight="1">
      <c r="A7991" s="1" t="s">
        <v>23436</v>
      </c>
      <c r="B7991" s="1">
        <v>7.0</v>
      </c>
      <c r="C7991" s="1" t="s">
        <v>23437</v>
      </c>
      <c r="D7991" s="1" t="s">
        <v>8</v>
      </c>
      <c r="E7991" s="1" t="s">
        <v>23438</v>
      </c>
      <c r="F7991" s="1" t="str">
        <f>IFERROR(__xludf.DUMMYFUNCTION("GOOGLETRANSLATE(A7991, ""zh-CN"", ""ko"")"),"무적의")</f>
        <v>무적의</v>
      </c>
    </row>
    <row r="7992" ht="15.75" customHeight="1">
      <c r="A7992" s="1" t="s">
        <v>23439</v>
      </c>
      <c r="B7992" s="1">
        <v>7.0</v>
      </c>
      <c r="C7992" s="1" t="s">
        <v>23440</v>
      </c>
      <c r="D7992" s="1" t="s">
        <v>33</v>
      </c>
      <c r="E7992" s="1" t="s">
        <v>23441</v>
      </c>
      <c r="F7992" s="1" t="str">
        <f>IFERROR(__xludf.DUMMYFUNCTION("GOOGLETRANSLATE(A7992, ""zh-CN"", ""ko"")"),"이유 없이")</f>
        <v>이유 없이</v>
      </c>
    </row>
    <row r="7993" ht="15.75" customHeight="1">
      <c r="A7993" s="1" t="s">
        <v>23442</v>
      </c>
      <c r="B7993" s="1">
        <v>7.0</v>
      </c>
      <c r="C7993" s="1" t="s">
        <v>23443</v>
      </c>
      <c r="E7993" s="1" t="s">
        <v>23444</v>
      </c>
      <c r="F7993" s="1" t="str">
        <f>IFERROR(__xludf.DUMMYFUNCTION("GOOGLETRANSLATE(A7993, ""zh-CN"", ""ko"")"),"상관없어요")</f>
        <v>상관없어요</v>
      </c>
    </row>
    <row r="7994" ht="15.75" customHeight="1">
      <c r="A7994" s="1" t="s">
        <v>23445</v>
      </c>
      <c r="B7994" s="1">
        <v>7.0</v>
      </c>
      <c r="C7994" s="1" t="s">
        <v>23446</v>
      </c>
      <c r="E7994" s="1" t="s">
        <v>23447</v>
      </c>
      <c r="F7994" s="1" t="str">
        <f>IFERROR(__xludf.DUMMYFUNCTION("GOOGLETRANSLATE(A7994, ""zh-CN"", ""ko"")"),"말 못하는")</f>
        <v>말 못하는</v>
      </c>
    </row>
    <row r="7995" ht="15.75" customHeight="1">
      <c r="A7995" s="1" t="s">
        <v>23448</v>
      </c>
      <c r="B7995" s="1">
        <v>7.0</v>
      </c>
      <c r="C7995" s="1" t="s">
        <v>23449</v>
      </c>
      <c r="E7995" s="1" t="s">
        <v>23450</v>
      </c>
      <c r="F7995" s="1" t="str">
        <f>IFERROR(__xludf.DUMMYFUNCTION("GOOGLETRANSLATE(A7995, ""zh-CN"", ""ko"")"),"소용없었어요.")</f>
        <v>소용없었어요.</v>
      </c>
    </row>
    <row r="7996" ht="15.75" customHeight="1">
      <c r="A7996" s="1" t="s">
        <v>23451</v>
      </c>
      <c r="B7996" s="1">
        <v>7.0</v>
      </c>
      <c r="C7996" s="1" t="s">
        <v>23452</v>
      </c>
      <c r="E7996" s="1" t="s">
        <v>23453</v>
      </c>
      <c r="F7996" s="1" t="str">
        <f>IFERROR(__xludf.DUMMYFUNCTION("GOOGLETRANSLATE(A7996, ""zh-CN"", ""ko"")"),"노숙자")</f>
        <v>노숙자</v>
      </c>
    </row>
    <row r="7997" ht="15.75" customHeight="1">
      <c r="A7997" s="1" t="s">
        <v>23454</v>
      </c>
      <c r="B7997" s="1">
        <v>7.0</v>
      </c>
      <c r="C7997" s="1" t="s">
        <v>23455</v>
      </c>
      <c r="E7997" s="1" t="s">
        <v>23456</v>
      </c>
      <c r="F7997" s="1" t="str">
        <f>IFERROR(__xludf.DUMMYFUNCTION("GOOGLETRANSLATE(A7997, ""zh-CN"", ""ko"")"),"값비싼 보물")</f>
        <v>값비싼 보물</v>
      </c>
    </row>
    <row r="7998" ht="15.75" customHeight="1">
      <c r="A7998" s="1" t="s">
        <v>23457</v>
      </c>
      <c r="B7998" s="1">
        <v>7.0</v>
      </c>
      <c r="C7998" s="1" t="s">
        <v>23458</v>
      </c>
      <c r="E7998" s="1" t="s">
        <v>23459</v>
      </c>
      <c r="F7998" s="1" t="str">
        <f>IFERROR(__xludf.DUMMYFUNCTION("GOOGLETRANSLATE(A7998, ""zh-CN"", ""ko"")"),"부인할 수 없이")</f>
        <v>부인할 수 없이</v>
      </c>
    </row>
    <row r="7999" ht="15.75" customHeight="1">
      <c r="A7999" s="1" t="s">
        <v>23460</v>
      </c>
      <c r="B7999" s="1">
        <v>7.0</v>
      </c>
      <c r="C7999" s="1" t="s">
        <v>23461</v>
      </c>
      <c r="E7999" s="1" t="s">
        <v>23462</v>
      </c>
      <c r="F7999" s="1" t="str">
        <f>IFERROR(__xludf.DUMMYFUNCTION("GOOGLETRANSLATE(A7999, ""zh-CN"", ""ko"")"),"어찌할 수 없는")</f>
        <v>어찌할 수 없는</v>
      </c>
    </row>
    <row r="8000" ht="15.75" customHeight="1">
      <c r="A8000" s="1" t="s">
        <v>23463</v>
      </c>
      <c r="B8000" s="1">
        <v>7.0</v>
      </c>
      <c r="C8000" s="1" t="s">
        <v>23464</v>
      </c>
      <c r="D8000" s="1" t="s">
        <v>8</v>
      </c>
      <c r="E8000" s="1" t="s">
        <v>23465</v>
      </c>
      <c r="F8000" s="1" t="str">
        <f>IFERROR(__xludf.DUMMYFUNCTION("GOOGLETRANSLATE(A8000, ""zh-CN"", ""ko"")"),"무모한")</f>
        <v>무모한</v>
      </c>
    </row>
    <row r="8001" ht="15.75" customHeight="1">
      <c r="A8001" s="1" t="s">
        <v>23466</v>
      </c>
      <c r="B8001" s="1">
        <v>7.0</v>
      </c>
      <c r="C8001" s="1" t="s">
        <v>23467</v>
      </c>
      <c r="D8001" s="1" t="s">
        <v>8</v>
      </c>
      <c r="E8001" s="1" t="s">
        <v>23468</v>
      </c>
      <c r="F8001" s="1" t="str">
        <f>IFERROR(__xludf.DUMMYFUNCTION("GOOGLETRANSLATE(A8001, ""zh-CN"", ""ko"")"),"무력한")</f>
        <v>무력한</v>
      </c>
    </row>
    <row r="8002" ht="15.75" customHeight="1">
      <c r="A8002" s="1" t="s">
        <v>23469</v>
      </c>
      <c r="B8002" s="1">
        <v>7.0</v>
      </c>
      <c r="C8002" s="1" t="s">
        <v>23470</v>
      </c>
      <c r="E8002" s="1" t="s">
        <v>23471</v>
      </c>
      <c r="F8002" s="1" t="str">
        <f>IFERROR(__xludf.DUMMYFUNCTION("GOOGLETRANSLATE(A8002, ""zh-CN"", ""ko"")"),"그래도")</f>
        <v>그래도</v>
      </c>
    </row>
    <row r="8003" ht="15.75" customHeight="1">
      <c r="A8003" s="1" t="s">
        <v>23472</v>
      </c>
      <c r="B8003" s="1">
        <v>7.0</v>
      </c>
      <c r="C8003" s="1" t="s">
        <v>23473</v>
      </c>
      <c r="D8003" s="1" t="s">
        <v>52</v>
      </c>
      <c r="E8003" s="1" t="s">
        <v>23474</v>
      </c>
      <c r="F8003" s="1" t="str">
        <f>IFERROR(__xludf.DUMMYFUNCTION("GOOGLETRANSLATE(A8003, ""zh-CN"", ""ko"")"),"할 수 없음")</f>
        <v>할 수 없음</v>
      </c>
    </row>
    <row r="8004" ht="15.75" customHeight="1">
      <c r="A8004" s="1" t="s">
        <v>23475</v>
      </c>
      <c r="B8004" s="1">
        <v>7.0</v>
      </c>
      <c r="C8004" s="1" t="s">
        <v>23476</v>
      </c>
      <c r="D8004" s="1" t="s">
        <v>52</v>
      </c>
      <c r="E8004" s="1" t="s">
        <v>23477</v>
      </c>
      <c r="F8004" s="1" t="str">
        <f>IFERROR(__xludf.DUMMYFUNCTION("GOOGLETRANSLATE(A8004, ""zh-CN"", ""ko"")"),"무자비한")</f>
        <v>무자비한</v>
      </c>
    </row>
    <row r="8005" ht="15.75" customHeight="1">
      <c r="A8005" s="1" t="s">
        <v>23478</v>
      </c>
      <c r="B8005" s="1">
        <v>7.0</v>
      </c>
      <c r="C8005" s="1" t="s">
        <v>23479</v>
      </c>
      <c r="D8005" s="1" t="s">
        <v>8</v>
      </c>
      <c r="E8005" s="1" t="s">
        <v>23480</v>
      </c>
      <c r="F8005" s="1" t="str">
        <f>IFERROR(__xludf.DUMMYFUNCTION("GOOGLETRANSLATE(A8005, ""zh-CN"", ""ko"")"),"끝없는")</f>
        <v>끝없는</v>
      </c>
    </row>
    <row r="8006" ht="15.75" customHeight="1">
      <c r="A8006" s="1" t="s">
        <v>23481</v>
      </c>
      <c r="B8006" s="1">
        <v>7.0</v>
      </c>
      <c r="C8006" s="1" t="s">
        <v>23482</v>
      </c>
      <c r="D8006" s="1" t="s">
        <v>52</v>
      </c>
      <c r="E8006" s="1" t="s">
        <v>23483</v>
      </c>
      <c r="F8006" s="1" t="str">
        <f>IFERROR(__xludf.DUMMYFUNCTION("GOOGLETRANSLATE(A8006, ""zh-CN"", ""ko"")"),"사심 없는")</f>
        <v>사심 없는</v>
      </c>
    </row>
    <row r="8007" ht="15.75" customHeight="1">
      <c r="A8007" s="1" t="s">
        <v>23484</v>
      </c>
      <c r="B8007" s="1">
        <v>7.0</v>
      </c>
      <c r="C8007" s="1" t="s">
        <v>23485</v>
      </c>
      <c r="E8007" s="1" t="s">
        <v>23486</v>
      </c>
      <c r="F8007" s="1" t="str">
        <f>IFERROR(__xludf.DUMMYFUNCTION("GOOGLETRANSLATE(A8007, ""zh-CN"", ""ko"")"),"아무것도 하지 않음")</f>
        <v>아무것도 하지 않음</v>
      </c>
    </row>
    <row r="8008" ht="15.75" customHeight="1">
      <c r="A8008" s="1" t="s">
        <v>23487</v>
      </c>
      <c r="B8008" s="1">
        <v>7.0</v>
      </c>
      <c r="C8008" s="1" t="s">
        <v>23488</v>
      </c>
      <c r="E8008" s="1" t="s">
        <v>23489</v>
      </c>
      <c r="F8008" s="1" t="str">
        <f>IFERROR(__xludf.DUMMYFUNCTION("GOOGLETRANSLATE(A8008, ""zh-CN"", ""ko"")"),"무활동")</f>
        <v>무활동</v>
      </c>
    </row>
    <row r="8009" ht="15.75" customHeight="1">
      <c r="A8009" s="1" t="s">
        <v>23490</v>
      </c>
      <c r="B8009" s="1">
        <v>7.0</v>
      </c>
      <c r="C8009" s="1" t="s">
        <v>23491</v>
      </c>
      <c r="D8009" s="1" t="s">
        <v>8</v>
      </c>
      <c r="E8009" s="1" t="s">
        <v>23492</v>
      </c>
      <c r="F8009" s="1" t="str">
        <f>IFERROR(__xludf.DUMMYFUNCTION("GOOGLETRANSLATE(A8009, ""zh-CN"", ""ko"")"),"무조건적인")</f>
        <v>무조건적인</v>
      </c>
    </row>
    <row r="8010" ht="15.75" customHeight="1">
      <c r="A8010" s="1" t="s">
        <v>23493</v>
      </c>
      <c r="B8010" s="1">
        <v>7.0</v>
      </c>
      <c r="C8010" s="1" t="s">
        <v>23494</v>
      </c>
      <c r="D8010" s="1" t="s">
        <v>52</v>
      </c>
      <c r="E8010" s="1" t="s">
        <v>23495</v>
      </c>
      <c r="F8010" s="1" t="str">
        <f>IFERROR(__xludf.DUMMYFUNCTION("GOOGLETRANSLATE(A8010, ""zh-CN"", ""ko"")"),"무선 전화")</f>
        <v>무선 전화</v>
      </c>
    </row>
    <row r="8011" ht="15.75" customHeight="1">
      <c r="A8011" s="1" t="s">
        <v>23496</v>
      </c>
      <c r="B8011" s="1">
        <v>7.0</v>
      </c>
      <c r="C8011" s="1" t="s">
        <v>23497</v>
      </c>
      <c r="D8011" s="1" t="s">
        <v>52</v>
      </c>
      <c r="E8011" s="1" t="s">
        <v>23498</v>
      </c>
      <c r="F8011" s="1" t="str">
        <f>IFERROR(__xludf.DUMMYFUNCTION("GOOGLETRANSLATE(A8011, ""zh-CN"", ""ko"")"),"보이지 않는")</f>
        <v>보이지 않는</v>
      </c>
    </row>
    <row r="8012" ht="15.75" customHeight="1">
      <c r="A8012" s="1" t="s">
        <v>23499</v>
      </c>
      <c r="B8012" s="1">
        <v>7.0</v>
      </c>
      <c r="C8012" s="1" t="s">
        <v>23500</v>
      </c>
      <c r="D8012" s="1" t="s">
        <v>33</v>
      </c>
      <c r="E8012" s="1" t="s">
        <v>23501</v>
      </c>
      <c r="F8012" s="1" t="str">
        <f>IFERROR(__xludf.DUMMYFUNCTION("GOOGLETRANSLATE(A8012, ""zh-CN"", ""ko"")"),"필요 없습니다")</f>
        <v>필요 없습니다</v>
      </c>
    </row>
    <row r="8013" ht="15.75" customHeight="1">
      <c r="A8013" s="1" t="s">
        <v>23502</v>
      </c>
      <c r="B8013" s="1">
        <v>7.0</v>
      </c>
      <c r="C8013" s="1" t="s">
        <v>23503</v>
      </c>
      <c r="D8013" s="1" t="s">
        <v>14992</v>
      </c>
      <c r="E8013" s="1" t="s">
        <v>23504</v>
      </c>
      <c r="F8013" s="1" t="str">
        <f>IFERROR(__xludf.DUMMYFUNCTION("GOOGLETRANSLATE(A8013, ""zh-CN"", ""ko"")"),"의도치 않게")</f>
        <v>의도치 않게</v>
      </c>
    </row>
    <row r="8014" ht="15.75" customHeight="1">
      <c r="A8014" s="1" t="s">
        <v>23505</v>
      </c>
      <c r="B8014" s="1">
        <v>7.0</v>
      </c>
      <c r="C8014" s="1" t="s">
        <v>23506</v>
      </c>
      <c r="D8014" s="1" t="s">
        <v>14992</v>
      </c>
      <c r="E8014" s="1" t="s">
        <v>23507</v>
      </c>
      <c r="F8014" s="1" t="str">
        <f>IFERROR(__xludf.DUMMYFUNCTION("GOOGLETRANSLATE(A8014, ""zh-CN"", ""ko"")"),"가능성 전혀 없음")</f>
        <v>가능성 전혀 없음</v>
      </c>
    </row>
    <row r="8015" ht="15.75" customHeight="1">
      <c r="A8015" s="1" t="s">
        <v>23508</v>
      </c>
      <c r="B8015" s="1">
        <v>7.0</v>
      </c>
      <c r="C8015" s="1" t="s">
        <v>355</v>
      </c>
      <c r="D8015" s="1" t="s">
        <v>14917</v>
      </c>
      <c r="E8015" s="1" t="s">
        <v>13000</v>
      </c>
      <c r="F8015" s="1" t="str">
        <f>IFERROR(__xludf.DUMMYFUNCTION("GOOGLETRANSLATE(A8015, ""zh-CN"", ""ko"")"),"춤")</f>
        <v>춤</v>
      </c>
    </row>
    <row r="8016" ht="15.75" customHeight="1">
      <c r="A8016" s="1" t="s">
        <v>23509</v>
      </c>
      <c r="B8016" s="1">
        <v>7.0</v>
      </c>
      <c r="C8016" s="1" t="s">
        <v>355</v>
      </c>
      <c r="D8016" s="1" t="s">
        <v>8</v>
      </c>
      <c r="E8016" s="1" t="s">
        <v>23510</v>
      </c>
      <c r="F8016" s="1" t="str">
        <f>IFERROR(__xludf.DUMMYFUNCTION("GOOGLETRANSLATE(A8016, ""zh-CN"", ""ko"")"),"씌우다")</f>
        <v>씌우다</v>
      </c>
    </row>
    <row r="8017" ht="15.75" customHeight="1">
      <c r="A8017" s="1" t="s">
        <v>23511</v>
      </c>
      <c r="B8017" s="1">
        <v>7.0</v>
      </c>
      <c r="C8017" s="1" t="s">
        <v>23512</v>
      </c>
      <c r="D8017" s="1" t="s">
        <v>16</v>
      </c>
      <c r="E8017" s="1" t="s">
        <v>23513</v>
      </c>
      <c r="F8017" s="1" t="str">
        <f>IFERROR(__xludf.DUMMYFUNCTION("GOOGLETRANSLATE(A8017, ""zh-CN"", ""ko"")"),"얼굴 특징")</f>
        <v>얼굴 특징</v>
      </c>
    </row>
    <row r="8018" ht="15.75" customHeight="1">
      <c r="A8018" s="1" t="s">
        <v>23514</v>
      </c>
      <c r="B8018" s="1">
        <v>7.0</v>
      </c>
      <c r="C8018" s="1" t="s">
        <v>23515</v>
      </c>
      <c r="E8018" s="1" t="s">
        <v>23516</v>
      </c>
      <c r="F8018" s="1" t="str">
        <f>IFERROR(__xludf.DUMMYFUNCTION("GOOGLETRANSLATE(A8018, ""zh-CN"", ""ko"")"),"다섯 개의 호수와 네 개의 바다")</f>
        <v>다섯 개의 호수와 네 개의 바다</v>
      </c>
    </row>
    <row r="8019" ht="15.75" customHeight="1">
      <c r="A8019" s="1" t="s">
        <v>23517</v>
      </c>
      <c r="B8019" s="1">
        <v>7.0</v>
      </c>
      <c r="C8019" s="1" t="s">
        <v>23518</v>
      </c>
      <c r="E8019" s="1" t="s">
        <v>23519</v>
      </c>
      <c r="F8019" s="1" t="str">
        <f>IFERROR(__xludf.DUMMYFUNCTION("GOOGLETRANSLATE(A8019, ""zh-CN"", ""ko"")"),"다양한")</f>
        <v>다양한</v>
      </c>
    </row>
    <row r="8020" ht="15.75" customHeight="1">
      <c r="A8020" s="1" t="s">
        <v>23520</v>
      </c>
      <c r="B8020" s="1">
        <v>7.0</v>
      </c>
      <c r="C8020" s="1" t="s">
        <v>23521</v>
      </c>
      <c r="D8020" s="1" t="s">
        <v>16</v>
      </c>
      <c r="E8020" s="1" t="s">
        <v>23522</v>
      </c>
      <c r="F8020" s="1" t="str">
        <f>IFERROR(__xludf.DUMMYFUNCTION("GOOGLETRANSLATE(A8020, ""zh-CN"", ""ko"")"),"힘")</f>
        <v>힘</v>
      </c>
    </row>
    <row r="8021" ht="15.75" customHeight="1">
      <c r="A8021" s="1" t="s">
        <v>23523</v>
      </c>
      <c r="B8021" s="1">
        <v>7.0</v>
      </c>
      <c r="C8021" s="1" t="s">
        <v>23524</v>
      </c>
      <c r="D8021" s="1" t="s">
        <v>8</v>
      </c>
      <c r="E8021" s="1" t="s">
        <v>23525</v>
      </c>
      <c r="F8021" s="1" t="str">
        <f>IFERROR(__xludf.DUMMYFUNCTION("GOOGLETRANSLATE(A8021, ""zh-CN"", ""ko"")"),"오해의 소지가 있는")</f>
        <v>오해의 소지가 있는</v>
      </c>
    </row>
    <row r="8022" ht="15.75" customHeight="1">
      <c r="A8022" s="1" t="s">
        <v>23526</v>
      </c>
      <c r="B8022" s="1">
        <v>7.0</v>
      </c>
      <c r="C8022" s="1" t="s">
        <v>23527</v>
      </c>
      <c r="D8022" s="1" t="s">
        <v>8</v>
      </c>
      <c r="E8022" s="1" t="s">
        <v>23528</v>
      </c>
      <c r="F8022" s="1" t="str">
        <f>IFERROR(__xludf.DUMMYFUNCTION("GOOGLETRANSLATE(A8022, ""zh-CN"", ""ko"")"),"이주 노동자")</f>
        <v>이주 노동자</v>
      </c>
    </row>
    <row r="8023" ht="15.75" customHeight="1">
      <c r="A8023" s="1" t="s">
        <v>23529</v>
      </c>
      <c r="B8023" s="1">
        <v>7.0</v>
      </c>
      <c r="C8023" s="1" t="s">
        <v>23530</v>
      </c>
      <c r="D8023" s="1" t="s">
        <v>16</v>
      </c>
      <c r="E8023" s="1" t="s">
        <v>23531</v>
      </c>
      <c r="F8023" s="1" t="str">
        <f>IFERROR(__xludf.DUMMYFUNCTION("GOOGLETRANSLATE(A8023, ""zh-CN"", ""ko"")"),"물질적 자원")</f>
        <v>물질적 자원</v>
      </c>
    </row>
    <row r="8024" ht="15.75" customHeight="1">
      <c r="A8024" s="1" t="s">
        <v>23532</v>
      </c>
      <c r="B8024" s="1">
        <v>7.0</v>
      </c>
      <c r="C8024" s="1" t="s">
        <v>23533</v>
      </c>
      <c r="D8024" s="1" t="s">
        <v>16</v>
      </c>
      <c r="E8024" s="1" t="s">
        <v>9653</v>
      </c>
      <c r="F8024" s="1" t="str">
        <f>IFERROR(__xludf.DUMMYFUNCTION("GOOGLETRANSLATE(A8024, ""zh-CN"", ""ko"")"),"기호 논리학")</f>
        <v>기호 논리학</v>
      </c>
    </row>
    <row r="8025" ht="15.75" customHeight="1">
      <c r="A8025" s="1" t="s">
        <v>23534</v>
      </c>
      <c r="B8025" s="1">
        <v>7.0</v>
      </c>
      <c r="C8025" s="1" t="s">
        <v>23535</v>
      </c>
      <c r="D8025" s="1" t="s">
        <v>16</v>
      </c>
      <c r="E8025" s="1" t="s">
        <v>23536</v>
      </c>
      <c r="F8025" s="1" t="str">
        <f>IFERROR(__xludf.DUMMYFUNCTION("GOOGLETRANSLATE(A8025, ""zh-CN"", ""ko"")"),"오인")</f>
        <v>오인</v>
      </c>
    </row>
    <row r="8026" ht="15.75" customHeight="1">
      <c r="A8026" s="1" t="s">
        <v>23537</v>
      </c>
      <c r="B8026" s="1">
        <v>7.0</v>
      </c>
      <c r="C8026" s="1" t="s">
        <v>23538</v>
      </c>
      <c r="D8026" s="1" t="s">
        <v>8</v>
      </c>
      <c r="E8026" s="1" t="s">
        <v>23539</v>
      </c>
      <c r="F8026" s="1" t="str">
        <f>IFERROR(__xludf.DUMMYFUNCTION("GOOGLETRANSLATE(A8026, ""zh-CN"", ""ko"")"),"찾아보세요")</f>
        <v>찾아보세요</v>
      </c>
    </row>
    <row r="8027" ht="15.75" customHeight="1">
      <c r="A8027" s="1" t="s">
        <v>23540</v>
      </c>
      <c r="B8027" s="1">
        <v>7.0</v>
      </c>
      <c r="C8027" s="1" t="s">
        <v>23541</v>
      </c>
      <c r="D8027" s="1" t="s">
        <v>52</v>
      </c>
      <c r="E8027" s="1" t="s">
        <v>23542</v>
      </c>
      <c r="F8027" s="1" t="str">
        <f>IFERROR(__xludf.DUMMYFUNCTION("GOOGLETRANSLATE(A8027, ""zh-CN"", ""ko"")"),"바쁜")</f>
        <v>바쁜</v>
      </c>
    </row>
    <row r="8028" ht="15.75" customHeight="1">
      <c r="A8028" s="1" t="s">
        <v>23543</v>
      </c>
      <c r="B8028" s="1">
        <v>7.0</v>
      </c>
      <c r="C8028" s="1" t="s">
        <v>23544</v>
      </c>
      <c r="D8028" s="1" t="s">
        <v>16</v>
      </c>
      <c r="E8028" s="1" t="s">
        <v>23545</v>
      </c>
      <c r="F8028" s="1" t="str">
        <f>IFERROR(__xludf.DUMMYFUNCTION("GOOGLETRANSLATE(A8028, ""zh-CN"", ""ko"")"),"물리적 증거")</f>
        <v>물리적 증거</v>
      </c>
    </row>
    <row r="8029" ht="15.75" customHeight="1">
      <c r="A8029" s="1" t="s">
        <v>23546</v>
      </c>
      <c r="B8029" s="1">
        <v>7.0</v>
      </c>
      <c r="C8029" s="1" t="s">
        <v>23547</v>
      </c>
      <c r="D8029" s="1" t="s">
        <v>16</v>
      </c>
      <c r="E8029" s="1" t="s">
        <v>23548</v>
      </c>
      <c r="F8029" s="1" t="str">
        <f>IFERROR(__xludf.DUMMYFUNCTION("GOOGLETRANSLATE(A8029, ""zh-CN"", ""ko"")"),"종")</f>
        <v>종</v>
      </c>
    </row>
    <row r="8030" ht="15.75" customHeight="1">
      <c r="A8030" s="1" t="s">
        <v>23549</v>
      </c>
      <c r="B8030" s="1">
        <v>7.0</v>
      </c>
      <c r="C8030" s="1" t="s">
        <v>1596</v>
      </c>
      <c r="D8030" s="1" t="s">
        <v>52</v>
      </c>
      <c r="E8030" s="1" t="s">
        <v>23550</v>
      </c>
      <c r="F8030" s="1" t="str">
        <f>IFERROR(__xludf.DUMMYFUNCTION("GOOGLETRANSLATE(A8030, ""zh-CN"", ""ko"")"),"묽게 한")</f>
        <v>묽게 한</v>
      </c>
    </row>
    <row r="8031" ht="15.75" customHeight="1">
      <c r="A8031" s="1" t="s">
        <v>23551</v>
      </c>
      <c r="B8031" s="1">
        <v>7.0</v>
      </c>
      <c r="C8031" s="1" t="s">
        <v>23552</v>
      </c>
      <c r="D8031" s="1" t="s">
        <v>8</v>
      </c>
      <c r="E8031" s="1" t="s">
        <v>23553</v>
      </c>
      <c r="F8031" s="1" t="str">
        <f>IFERROR(__xludf.DUMMYFUNCTION("GOOGLETRANSLATE(A8031, ""zh-CN"", ""ko"")"),"의약품")</f>
        <v>의약품</v>
      </c>
    </row>
    <row r="8032" ht="15.75" customHeight="1">
      <c r="A8032" s="1" t="s">
        <v>23554</v>
      </c>
      <c r="B8032" s="1">
        <v>7.0</v>
      </c>
      <c r="C8032" s="1" t="s">
        <v>23555</v>
      </c>
      <c r="D8032" s="1" t="s">
        <v>14742</v>
      </c>
      <c r="E8032" s="1" t="s">
        <v>23556</v>
      </c>
      <c r="F8032" s="1" t="str">
        <f>IFERROR(__xludf.DUMMYFUNCTION("GOOGLETRANSLATE(A8032, ""zh-CN"", ""ko"")"),"희귀한")</f>
        <v>희귀한</v>
      </c>
    </row>
    <row r="8033" ht="15.75" customHeight="1">
      <c r="A8033" s="1" t="s">
        <v>23557</v>
      </c>
      <c r="B8033" s="1">
        <v>7.0</v>
      </c>
      <c r="C8033" s="1" t="s">
        <v>23558</v>
      </c>
      <c r="D8033" s="1" t="s">
        <v>8</v>
      </c>
      <c r="E8033" s="1" t="s">
        <v>23559</v>
      </c>
      <c r="F8033" s="1" t="str">
        <f>IFERROR(__xludf.DUMMYFUNCTION("GOOGLETRANSLATE(A8033, ""zh-CN"", ""ko"")"),"엔진 꺼짐")</f>
        <v>엔진 꺼짐</v>
      </c>
    </row>
    <row r="8034" ht="15.75" customHeight="1">
      <c r="A8034" s="1" t="s">
        <v>23560</v>
      </c>
      <c r="B8034" s="1">
        <v>7.0</v>
      </c>
      <c r="C8034" s="1" t="s">
        <v>23561</v>
      </c>
      <c r="D8034" s="1" t="s">
        <v>52</v>
      </c>
      <c r="E8034" s="1" t="s">
        <v>23562</v>
      </c>
      <c r="F8034" s="1" t="str">
        <f>IFERROR(__xludf.DUMMYFUNCTION("GOOGLETRANSLATE(A8034, ""zh-CN"", ""ko"")"),"날카로운")</f>
        <v>날카로운</v>
      </c>
    </row>
    <row r="8035" ht="15.75" customHeight="1">
      <c r="A8035" s="1" t="s">
        <v>23563</v>
      </c>
      <c r="B8035" s="1">
        <v>7.0</v>
      </c>
      <c r="C8035" s="1" t="s">
        <v>23564</v>
      </c>
      <c r="D8035" s="1" t="s">
        <v>8</v>
      </c>
      <c r="E8035" s="1" t="s">
        <v>23565</v>
      </c>
      <c r="F8035" s="1" t="str">
        <f>IFERROR(__xludf.DUMMYFUNCTION("GOOGLETRANSLATE(A8035, ""zh-CN"", ""ko"")"),"조소")</f>
        <v>조소</v>
      </c>
    </row>
    <row r="8036" ht="15.75" customHeight="1">
      <c r="A8036" s="1" t="s">
        <v>23566</v>
      </c>
      <c r="B8036" s="1">
        <v>7.0</v>
      </c>
      <c r="C8036" s="1" t="s">
        <v>23567</v>
      </c>
      <c r="D8036" s="1" t="s">
        <v>8</v>
      </c>
      <c r="E8036" s="1" t="s">
        <v>23568</v>
      </c>
      <c r="F8036" s="1" t="str">
        <f>IFERROR(__xludf.DUMMYFUNCTION("GOOGLETRANSLATE(A8036, ""zh-CN"", ""ko"")"),"흡수하다")</f>
        <v>흡수하다</v>
      </c>
    </row>
    <row r="8037" ht="15.75" customHeight="1">
      <c r="A8037" s="1" t="s">
        <v>23569</v>
      </c>
      <c r="B8037" s="1">
        <v>7.0</v>
      </c>
      <c r="C8037" s="1" t="s">
        <v>23570</v>
      </c>
      <c r="D8037" s="1" t="s">
        <v>52</v>
      </c>
      <c r="E8037" s="1" t="s">
        <v>23571</v>
      </c>
      <c r="F8037" s="1" t="str">
        <f>IFERROR(__xludf.DUMMYFUNCTION("GOOGLETRANSLATE(A8037, ""zh-CN"", ""ko"")"),"이상한")</f>
        <v>이상한</v>
      </c>
    </row>
    <row r="8038" ht="15.75" customHeight="1">
      <c r="A8038" s="1" t="s">
        <v>23572</v>
      </c>
      <c r="B8038" s="1">
        <v>7.0</v>
      </c>
      <c r="C8038" s="1" t="s">
        <v>23573</v>
      </c>
      <c r="D8038" s="1" t="s">
        <v>52</v>
      </c>
      <c r="E8038" s="1" t="s">
        <v>23574</v>
      </c>
      <c r="F8038" s="1" t="str">
        <f>IFERROR(__xludf.DUMMYFUNCTION("GOOGLETRANSLATE(A8038, ""zh-CN"", ""ko"")"),"희귀한")</f>
        <v>희귀한</v>
      </c>
    </row>
    <row r="8039" ht="15.75" customHeight="1">
      <c r="A8039" s="1" t="s">
        <v>23575</v>
      </c>
      <c r="B8039" s="1">
        <v>7.0</v>
      </c>
      <c r="C8039" s="1" t="s">
        <v>23576</v>
      </c>
      <c r="D8039" s="1" t="s">
        <v>52</v>
      </c>
      <c r="E8039" s="1" t="s">
        <v>23577</v>
      </c>
      <c r="F8039" s="1" t="str">
        <f>IFERROR(__xludf.DUMMYFUNCTION("GOOGLETRANSLATE(A8039, ""zh-CN"", ""ko"")"),"북적이는")</f>
        <v>북적이는</v>
      </c>
    </row>
    <row r="8040" ht="15.75" customHeight="1">
      <c r="A8040" s="1" t="s">
        <v>23578</v>
      </c>
      <c r="B8040" s="1">
        <v>7.0</v>
      </c>
      <c r="C8040" s="1" t="s">
        <v>23579</v>
      </c>
      <c r="E8040" s="1" t="s">
        <v>23580</v>
      </c>
      <c r="F8040" s="1" t="str">
        <f>IFERROR(__xludf.DUMMYFUNCTION("GOOGLETRANSLATE(A8040, ""zh-CN"", ""ko"")"),"밀접하게 관련된")</f>
        <v>밀접하게 관련된</v>
      </c>
    </row>
    <row r="8041" ht="15.75" customHeight="1">
      <c r="A8041" s="1" t="s">
        <v>23581</v>
      </c>
      <c r="B8041" s="1">
        <v>7.0</v>
      </c>
      <c r="C8041" s="1" t="s">
        <v>23582</v>
      </c>
      <c r="D8041" s="1" t="s">
        <v>8</v>
      </c>
      <c r="E8041" s="1" t="s">
        <v>23583</v>
      </c>
      <c r="F8041" s="1" t="str">
        <f>IFERROR(__xludf.DUMMYFUNCTION("GOOGLETRANSLATE(A8041, ""zh-CN"", ""ko"")"),"웃음")</f>
        <v>웃음</v>
      </c>
    </row>
    <row r="8042" ht="15.75" customHeight="1">
      <c r="A8042" s="1" t="s">
        <v>23584</v>
      </c>
      <c r="B8042" s="1">
        <v>7.0</v>
      </c>
      <c r="C8042" s="1" t="s">
        <v>23585</v>
      </c>
      <c r="D8042" s="1" t="s">
        <v>52</v>
      </c>
      <c r="E8042" s="1" t="s">
        <v>23586</v>
      </c>
      <c r="F8042" s="1" t="str">
        <f>IFERROR(__xludf.DUMMYFUNCTION("GOOGLETRANSLATE(A8042, ""zh-CN"", ""ko"")"),"희귀한")</f>
        <v>희귀한</v>
      </c>
    </row>
    <row r="8043" ht="15.75" customHeight="1">
      <c r="A8043" s="1" t="s">
        <v>23587</v>
      </c>
      <c r="B8043" s="1">
        <v>7.0</v>
      </c>
      <c r="C8043" s="1" t="s">
        <v>23588</v>
      </c>
      <c r="D8043" s="1" t="s">
        <v>16</v>
      </c>
      <c r="E8043" s="1" t="s">
        <v>23589</v>
      </c>
      <c r="F8043" s="1" t="str">
        <f>IFERROR(__xludf.DUMMYFUNCTION("GOOGLETRANSLATE(A8043, ""zh-CN"", ""ko"")"),"알루미늄 호일")</f>
        <v>알루미늄 호일</v>
      </c>
    </row>
    <row r="8044" ht="15.75" customHeight="1">
      <c r="A8044" s="1" t="s">
        <v>23590</v>
      </c>
      <c r="B8044" s="1">
        <v>7.0</v>
      </c>
      <c r="C8044" s="1" t="s">
        <v>23591</v>
      </c>
      <c r="D8044" s="1" t="s">
        <v>16</v>
      </c>
      <c r="E8044" s="1" t="s">
        <v>23592</v>
      </c>
      <c r="F8044" s="1" t="str">
        <f>IFERROR(__xludf.DUMMYFUNCTION("GOOGLETRANSLATE(A8044, ""zh-CN"", ""ko"")"),"좌석")</f>
        <v>좌석</v>
      </c>
    </row>
    <row r="8045" ht="15.75" customHeight="1">
      <c r="A8045" s="1" t="s">
        <v>23593</v>
      </c>
      <c r="B8045" s="1">
        <v>7.0</v>
      </c>
      <c r="C8045" s="1" t="s">
        <v>23594</v>
      </c>
      <c r="D8045" s="1" t="s">
        <v>16</v>
      </c>
      <c r="E8045" s="1" t="s">
        <v>23595</v>
      </c>
      <c r="F8045" s="1" t="str">
        <f>IFERROR(__xludf.DUMMYFUNCTION("GOOGLETRANSLATE(A8045, ""zh-CN"", ""ko"")"),"좌석")</f>
        <v>좌석</v>
      </c>
    </row>
    <row r="8046" ht="15.75" customHeight="1">
      <c r="A8046" s="1" t="s">
        <v>23596</v>
      </c>
      <c r="B8046" s="1">
        <v>7.0</v>
      </c>
      <c r="C8046" s="1" t="s">
        <v>23597</v>
      </c>
      <c r="E8046" s="1" t="s">
        <v>23598</v>
      </c>
      <c r="F8046" s="1" t="str">
        <f>IFERROR(__xludf.DUMMYFUNCTION("GOOGLETRANSLATE(A8046, ""zh-CN"", ""ko"")"),"너무 기뻐요")</f>
        <v>너무 기뻐요</v>
      </c>
    </row>
    <row r="8047" ht="15.75" customHeight="1">
      <c r="A8047" s="1" t="s">
        <v>23599</v>
      </c>
      <c r="B8047" s="1">
        <v>7.0</v>
      </c>
      <c r="C8047" s="1" t="s">
        <v>23600</v>
      </c>
      <c r="D8047" s="1" t="s">
        <v>8</v>
      </c>
      <c r="E8047" s="1" t="s">
        <v>23601</v>
      </c>
      <c r="F8047" s="1" t="str">
        <f>IFERROR(__xludf.DUMMYFUNCTION("GOOGLETRANSLATE(A8047, ""zh-CN"", ""ko"")"),"세탁")</f>
        <v>세탁</v>
      </c>
    </row>
    <row r="8048" ht="15.75" customHeight="1">
      <c r="A8048" s="1" t="s">
        <v>23602</v>
      </c>
      <c r="B8048" s="1">
        <v>7.0</v>
      </c>
      <c r="C8048" s="1" t="s">
        <v>23603</v>
      </c>
      <c r="D8048" s="1" t="s">
        <v>14870</v>
      </c>
      <c r="E8048" s="1" t="s">
        <v>23604</v>
      </c>
      <c r="F8048" s="1" t="str">
        <f>IFERROR(__xludf.DUMMYFUNCTION("GOOGLETRANSLATE(A8048, ""zh-CN"", ""ko"")"),"좋아요")</f>
        <v>좋아요</v>
      </c>
    </row>
    <row r="8049" ht="15.75" customHeight="1">
      <c r="A8049" s="1" t="s">
        <v>23605</v>
      </c>
      <c r="B8049" s="1">
        <v>7.0</v>
      </c>
      <c r="C8049" s="1" t="s">
        <v>23606</v>
      </c>
      <c r="D8049" s="1" t="s">
        <v>16</v>
      </c>
      <c r="E8049" s="1" t="s">
        <v>23607</v>
      </c>
      <c r="F8049" s="1" t="str">
        <f>IFERROR(__xludf.DUMMYFUNCTION("GOOGLETRANSLATE(A8049, ""zh-CN"", ""ko"")"),"결혼 연회")</f>
        <v>결혼 연회</v>
      </c>
    </row>
    <row r="8050" ht="15.75" customHeight="1">
      <c r="A8050" s="1" t="s">
        <v>23608</v>
      </c>
      <c r="B8050" s="1">
        <v>7.0</v>
      </c>
      <c r="C8050" s="1" t="s">
        <v>23609</v>
      </c>
      <c r="D8050" s="1" t="s">
        <v>16</v>
      </c>
      <c r="E8050" s="1" t="s">
        <v>23610</v>
      </c>
      <c r="F8050" s="1" t="str">
        <f>IFERROR(__xludf.DUMMYFUNCTION("GOOGLETRANSLATE(A8050, ""zh-CN"", ""ko"")"),"세례")</f>
        <v>세례</v>
      </c>
    </row>
    <row r="8051" ht="15.75" customHeight="1">
      <c r="A8051" s="1" t="s">
        <v>23611</v>
      </c>
      <c r="B8051" s="1">
        <v>7.0</v>
      </c>
      <c r="C8051" s="1" t="s">
        <v>23612</v>
      </c>
      <c r="E8051" s="1" t="s">
        <v>23613</v>
      </c>
      <c r="F8051" s="1" t="str">
        <f>IFERROR(__xludf.DUMMYFUNCTION("GOOGLETRANSLATE(A8051, ""zh-CN"", ""ko"")"),"기쁨, 분노, 슬픔 그리고 행복")</f>
        <v>기쁨, 분노, 슬픔 그리고 행복</v>
      </c>
    </row>
    <row r="8052" ht="15.75" customHeight="1">
      <c r="A8052" s="1" t="s">
        <v>23614</v>
      </c>
      <c r="B8052" s="1">
        <v>7.0</v>
      </c>
      <c r="C8052" s="1" t="s">
        <v>23615</v>
      </c>
      <c r="D8052" s="1" t="s">
        <v>15352</v>
      </c>
      <c r="E8052" s="1" t="s">
        <v>23616</v>
      </c>
      <c r="F8052" s="1" t="str">
        <f>IFERROR(__xludf.DUMMYFUNCTION("GOOGLETRANSLATE(A8052, ""zh-CN"", ""ko"")"),"축제")</f>
        <v>축제</v>
      </c>
    </row>
    <row r="8053" ht="15.75" customHeight="1">
      <c r="A8053" s="1" t="s">
        <v>23617</v>
      </c>
      <c r="B8053" s="1">
        <v>7.0</v>
      </c>
      <c r="C8053" s="1" t="s">
        <v>23618</v>
      </c>
      <c r="D8053" s="1" t="s">
        <v>16</v>
      </c>
      <c r="E8053" s="1" t="s">
        <v>23619</v>
      </c>
      <c r="F8053" s="1" t="str">
        <f>IFERROR(__xludf.DUMMYFUNCTION("GOOGLETRANSLATE(A8053, ""zh-CN"", ""ko"")"),"결혼식 사탕")</f>
        <v>결혼식 사탕</v>
      </c>
    </row>
    <row r="8054" ht="15.75" customHeight="1">
      <c r="A8054" s="1" t="s">
        <v>23620</v>
      </c>
      <c r="B8054" s="1">
        <v>7.0</v>
      </c>
      <c r="C8054" s="1" t="s">
        <v>23621</v>
      </c>
      <c r="D8054" s="1" t="s">
        <v>52</v>
      </c>
      <c r="E8054" s="1" t="s">
        <v>23622</v>
      </c>
      <c r="F8054" s="1" t="str">
        <f>IFERROR(__xludf.DUMMYFUNCTION("GOOGLETRANSLATE(A8054, ""zh-CN"", ""ko"")"),"행복한 양")</f>
        <v>행복한 양</v>
      </c>
    </row>
    <row r="8055" ht="15.75" customHeight="1">
      <c r="A8055" s="1" t="s">
        <v>23623</v>
      </c>
      <c r="B8055" s="1">
        <v>7.0</v>
      </c>
      <c r="C8055" s="1" t="s">
        <v>23624</v>
      </c>
      <c r="D8055" s="1" t="s">
        <v>52</v>
      </c>
      <c r="E8055" s="1" t="s">
        <v>23625</v>
      </c>
      <c r="F8055" s="1" t="str">
        <f>IFERROR(__xludf.DUMMYFUNCTION("GOOGLETRANSLATE(A8055, ""zh-CN"", ""ko"")"),"절묘한")</f>
        <v>절묘한</v>
      </c>
    </row>
    <row r="8056" ht="15.75" customHeight="1">
      <c r="A8056" s="1" t="s">
        <v>23626</v>
      </c>
      <c r="B8056" s="1">
        <v>7.0</v>
      </c>
      <c r="C8056" s="1" t="s">
        <v>23627</v>
      </c>
      <c r="D8056" s="1" t="s">
        <v>52</v>
      </c>
      <c r="E8056" s="1" t="s">
        <v>23628</v>
      </c>
      <c r="F8056" s="1" t="str">
        <f>IFERROR(__xludf.DUMMYFUNCTION("GOOGLETRANSLATE(A8056, ""zh-CN"", ""ko"")"),"미묘한")</f>
        <v>미묘한</v>
      </c>
    </row>
    <row r="8057" ht="15.75" customHeight="1">
      <c r="A8057" s="1" t="s">
        <v>23629</v>
      </c>
      <c r="B8057" s="1">
        <v>7.0</v>
      </c>
      <c r="C8057" s="1" t="s">
        <v>6522</v>
      </c>
      <c r="D8057" s="1" t="s">
        <v>16</v>
      </c>
      <c r="E8057" s="1" t="s">
        <v>23630</v>
      </c>
      <c r="F8057" s="1" t="str">
        <f>IFERROR(__xludf.DUMMYFUNCTION("GOOGLETRANSLATE(A8057, ""zh-CN"", ""ko"")"),"새우")</f>
        <v>새우</v>
      </c>
    </row>
    <row r="8058" ht="15.75" customHeight="1">
      <c r="A8058" s="1" t="s">
        <v>23631</v>
      </c>
      <c r="B8058" s="1">
        <v>7.0</v>
      </c>
      <c r="C8058" s="1" t="s">
        <v>23632</v>
      </c>
      <c r="D8058" s="1" t="s">
        <v>16</v>
      </c>
      <c r="E8058" s="1" t="s">
        <v>23633</v>
      </c>
      <c r="F8058" s="1" t="str">
        <f>IFERROR(__xludf.DUMMYFUNCTION("GOOGLETRANSLATE(A8058, ""zh-CN"", ""ko"")"),"결함")</f>
        <v>결함</v>
      </c>
    </row>
    <row r="8059" ht="15.75" customHeight="1">
      <c r="A8059" s="1" t="s">
        <v>23634</v>
      </c>
      <c r="B8059" s="1">
        <v>7.0</v>
      </c>
      <c r="C8059" s="1" t="s">
        <v>23635</v>
      </c>
      <c r="D8059" s="1" t="s">
        <v>16</v>
      </c>
      <c r="E8059" s="1" t="s">
        <v>23636</v>
      </c>
      <c r="F8059" s="1" t="str">
        <f>IFERROR(__xludf.DUMMYFUNCTION("GOOGLETRANSLATE(A8059, ""zh-CN"", ""ko"")"),"관할권")</f>
        <v>관할권</v>
      </c>
    </row>
    <row r="8060" ht="15.75" customHeight="1">
      <c r="A8060" s="1" t="s">
        <v>23637</v>
      </c>
      <c r="B8060" s="1">
        <v>7.0</v>
      </c>
      <c r="C8060" s="1" t="s">
        <v>23638</v>
      </c>
      <c r="D8060" s="1" t="s">
        <v>52</v>
      </c>
      <c r="E8060" s="1" t="s">
        <v>23639</v>
      </c>
      <c r="F8060" s="1" t="str">
        <f>IFERROR(__xludf.DUMMYFUNCTION("GOOGLETRANSLATE(A8060, ""zh-CN"", ""ko"")"),"좁은")</f>
        <v>좁은</v>
      </c>
    </row>
    <row r="8061" ht="15.75" customHeight="1">
      <c r="A8061" s="1" t="s">
        <v>23640</v>
      </c>
      <c r="B8061" s="1">
        <v>7.0</v>
      </c>
      <c r="C8061" s="1" t="s">
        <v>23641</v>
      </c>
      <c r="D8061" s="1" t="s">
        <v>16</v>
      </c>
      <c r="E8061" s="1" t="s">
        <v>23642</v>
      </c>
      <c r="F8061" s="1" t="str">
        <f>IFERROR(__xludf.DUMMYFUNCTION("GOOGLETRANSLATE(A8061, ""zh-CN"", ""ko"")"),"협의")</f>
        <v>협의</v>
      </c>
    </row>
    <row r="8062" ht="15.75" customHeight="1">
      <c r="A8062" s="1" t="s">
        <v>23643</v>
      </c>
      <c r="B8062" s="1">
        <v>7.0</v>
      </c>
      <c r="C8062" s="1" t="s">
        <v>23644</v>
      </c>
      <c r="D8062" s="1" t="s">
        <v>16</v>
      </c>
      <c r="E8062" s="1" t="s">
        <v>23645</v>
      </c>
      <c r="F8062" s="1" t="str">
        <f>IFERROR(__xludf.DUMMYFUNCTION("GOOGLETRANSLATE(A8062, ""zh-CN"", ""ko"")"),"후반전")</f>
        <v>후반전</v>
      </c>
    </row>
    <row r="8063" ht="15.75" customHeight="1">
      <c r="A8063" s="1" t="s">
        <v>23646</v>
      </c>
      <c r="B8063" s="1">
        <v>7.0</v>
      </c>
      <c r="C8063" s="1" t="s">
        <v>23647</v>
      </c>
      <c r="D8063" s="1" t="s">
        <v>16</v>
      </c>
      <c r="E8063" s="1" t="s">
        <v>23648</v>
      </c>
      <c r="F8063" s="1" t="str">
        <f>IFERROR(__xludf.DUMMYFUNCTION("GOOGLETRANSLATE(A8063, ""zh-CN"", ""ko"")"),"다음")</f>
        <v>다음</v>
      </c>
    </row>
    <row r="8064" ht="15.75" customHeight="1">
      <c r="A8064" s="1" t="s">
        <v>23649</v>
      </c>
      <c r="B8064" s="1">
        <v>7.0</v>
      </c>
      <c r="C8064" s="1" t="s">
        <v>23650</v>
      </c>
      <c r="D8064" s="1" t="s">
        <v>8</v>
      </c>
      <c r="E8064" s="1" t="s">
        <v>23651</v>
      </c>
      <c r="F8064" s="1" t="str">
        <f>IFERROR(__xludf.DUMMYFUNCTION("GOOGLETRANSLATE(A8064, ""zh-CN"", ""ko"")"),"문제")</f>
        <v>문제</v>
      </c>
    </row>
    <row r="8065" ht="15.75" customHeight="1">
      <c r="A8065" s="1" t="s">
        <v>23652</v>
      </c>
      <c r="B8065" s="1">
        <v>7.0</v>
      </c>
      <c r="C8065" s="1" t="s">
        <v>23653</v>
      </c>
      <c r="D8065" s="1" t="s">
        <v>8</v>
      </c>
      <c r="E8065" s="1" t="s">
        <v>23654</v>
      </c>
      <c r="F8065" s="1" t="str">
        <f>IFERROR(__xludf.DUMMYFUNCTION("GOOGLETRANSLATE(A8065, ""zh-CN"", ""ko"")"),"감소")</f>
        <v>감소</v>
      </c>
    </row>
    <row r="8066" ht="15.75" customHeight="1">
      <c r="A8066" s="1" t="s">
        <v>23655</v>
      </c>
      <c r="B8066" s="1">
        <v>7.0</v>
      </c>
      <c r="C8066" s="1" t="s">
        <v>23656</v>
      </c>
      <c r="D8066" s="1" t="s">
        <v>8</v>
      </c>
      <c r="E8066" s="1" t="s">
        <v>23657</v>
      </c>
      <c r="F8066" s="1" t="str">
        <f>IFERROR(__xludf.DUMMYFUNCTION("GOOGLETRANSLATE(A8066, ""zh-CN"", ""ko"")"),"놀라다")</f>
        <v>놀라다</v>
      </c>
    </row>
    <row r="8067" ht="15.75" customHeight="1">
      <c r="A8067" s="1" t="s">
        <v>23658</v>
      </c>
      <c r="B8067" s="1">
        <v>7.0</v>
      </c>
      <c r="C8067" s="1" t="s">
        <v>23659</v>
      </c>
      <c r="D8067" s="1" t="s">
        <v>8</v>
      </c>
      <c r="E8067" s="1" t="s">
        <v>6342</v>
      </c>
      <c r="F8067" s="1" t="str">
        <f>IFERROR(__xludf.DUMMYFUNCTION("GOOGLETRANSLATE(A8067, ""zh-CN"", ""ko"")"),"감소")</f>
        <v>감소</v>
      </c>
    </row>
    <row r="8068" ht="15.75" customHeight="1">
      <c r="A8068" s="1" t="s">
        <v>23660</v>
      </c>
      <c r="B8068" s="1">
        <v>7.0</v>
      </c>
      <c r="C8068" s="1" t="s">
        <v>23661</v>
      </c>
      <c r="D8068" s="1" t="s">
        <v>16</v>
      </c>
      <c r="E8068" s="1" t="s">
        <v>23662</v>
      </c>
      <c r="F8068" s="1" t="str">
        <f>IFERROR(__xludf.DUMMYFUNCTION("GOOGLETRANSLATE(A8068, ""zh-CN"", ""ko"")"),"부하")</f>
        <v>부하</v>
      </c>
    </row>
    <row r="8069" ht="15.75" customHeight="1">
      <c r="A8069" s="1" t="s">
        <v>23663</v>
      </c>
      <c r="B8069" s="1">
        <v>7.0</v>
      </c>
      <c r="C8069" s="1" t="s">
        <v>23664</v>
      </c>
      <c r="D8069" s="1" t="s">
        <v>8</v>
      </c>
      <c r="E8069" s="1" t="s">
        <v>23665</v>
      </c>
      <c r="F8069" s="1" t="str">
        <f>IFERROR(__xludf.DUMMYFUNCTION("GOOGLETRANSLATE(A8069, ""zh-CN"", ""ko"")"),"주문하다")</f>
        <v>주문하다</v>
      </c>
    </row>
    <row r="8070" ht="15.75" customHeight="1">
      <c r="A8070" s="1" t="s">
        <v>23666</v>
      </c>
      <c r="B8070" s="1">
        <v>7.0</v>
      </c>
      <c r="C8070" s="1" t="s">
        <v>23667</v>
      </c>
      <c r="D8070" s="1" t="s">
        <v>16</v>
      </c>
      <c r="E8070" s="1" t="s">
        <v>23668</v>
      </c>
      <c r="F8070" s="1" t="str">
        <f>IFERROR(__xludf.DUMMYFUNCTION("GOOGLETRANSLATE(A8070, ""zh-CN"", ""ko"")"),"소재")</f>
        <v>소재</v>
      </c>
    </row>
    <row r="8071" ht="15.75" customHeight="1">
      <c r="A8071" s="1" t="s">
        <v>23669</v>
      </c>
      <c r="B8071" s="1">
        <v>7.0</v>
      </c>
      <c r="C8071" s="1" t="s">
        <v>23670</v>
      </c>
      <c r="D8071" s="1" t="s">
        <v>8</v>
      </c>
      <c r="E8071" s="1" t="s">
        <v>23671</v>
      </c>
      <c r="F8071" s="1" t="str">
        <f>IFERROR(__xludf.DUMMYFUNCTION("GOOGLETRANSLATE(A8071, ""zh-CN"", ""ko"")"),"무서운")</f>
        <v>무서운</v>
      </c>
    </row>
    <row r="8072" ht="15.75" customHeight="1">
      <c r="A8072" s="1" t="s">
        <v>23672</v>
      </c>
      <c r="B8072" s="1">
        <v>7.0</v>
      </c>
      <c r="C8072" s="1" t="s">
        <v>23673</v>
      </c>
      <c r="D8072" s="1" t="s">
        <v>8</v>
      </c>
      <c r="E8072" s="1" t="s">
        <v>23674</v>
      </c>
      <c r="F8072" s="1" t="str">
        <f>IFERROR(__xludf.DUMMYFUNCTION("GOOGLETRANSLATE(A8072, ""zh-CN"", ""ko"")"),"시작")</f>
        <v>시작</v>
      </c>
    </row>
    <row r="8073" ht="15.75" customHeight="1">
      <c r="A8073" s="1" t="s">
        <v>23675</v>
      </c>
      <c r="B8073" s="1">
        <v>7.0</v>
      </c>
      <c r="C8073" s="1" t="s">
        <v>23676</v>
      </c>
      <c r="D8073" s="1" t="s">
        <v>8</v>
      </c>
      <c r="E8073" s="1" t="s">
        <v>23677</v>
      </c>
      <c r="F8073" s="1" t="str">
        <f>IFERROR(__xludf.DUMMYFUNCTION("GOOGLETRANSLATE(A8073, ""zh-CN"", ""ko"")"),"계단 내려가기")</f>
        <v>계단 내려가기</v>
      </c>
    </row>
    <row r="8074" ht="15.75" customHeight="1">
      <c r="A8074" s="1" t="s">
        <v>23678</v>
      </c>
      <c r="B8074" s="1">
        <v>7.0</v>
      </c>
      <c r="C8074" s="1" t="s">
        <v>23679</v>
      </c>
      <c r="D8074" s="1" t="s">
        <v>8</v>
      </c>
      <c r="E8074" s="1" t="s">
        <v>23680</v>
      </c>
      <c r="F8074" s="1" t="str">
        <f>IFERROR(__xludf.DUMMYFUNCTION("GOOGLETRANSLATE(A8074, ""zh-CN"", ""ko"")"),"낮추다")</f>
        <v>낮추다</v>
      </c>
    </row>
    <row r="8075" ht="15.75" customHeight="1">
      <c r="A8075" s="1" t="s">
        <v>23681</v>
      </c>
      <c r="B8075" s="1">
        <v>7.0</v>
      </c>
      <c r="C8075" s="1" t="s">
        <v>23682</v>
      </c>
      <c r="D8075" s="1" t="s">
        <v>8</v>
      </c>
      <c r="E8075" s="1" t="s">
        <v>23683</v>
      </c>
      <c r="F8075" s="1" t="str">
        <f>IFERROR(__xludf.DUMMYFUNCTION("GOOGLETRANSLATE(A8075, ""zh-CN"", ""ko"")"),"하향의")</f>
        <v>하향의</v>
      </c>
    </row>
    <row r="8076" ht="15.75" customHeight="1">
      <c r="A8076" s="1" t="s">
        <v>23684</v>
      </c>
      <c r="B8076" s="1">
        <v>7.0</v>
      </c>
      <c r="C8076" s="1" t="s">
        <v>23685</v>
      </c>
      <c r="D8076" s="1" t="s">
        <v>17886</v>
      </c>
      <c r="E8076" s="1" t="s">
        <v>23686</v>
      </c>
      <c r="F8076" s="1" t="str">
        <f>IFERROR(__xludf.DUMMYFUNCTION("GOOGLETRANSLATE(A8076, ""zh-CN"", ""ko"")"),"잠재의식")</f>
        <v>잠재의식</v>
      </c>
    </row>
    <row r="8077" ht="15.75" customHeight="1">
      <c r="A8077" s="1" t="s">
        <v>23687</v>
      </c>
      <c r="B8077" s="1">
        <v>7.0</v>
      </c>
      <c r="C8077" s="1" t="s">
        <v>23688</v>
      </c>
      <c r="D8077" s="1" t="s">
        <v>16</v>
      </c>
      <c r="E8077" s="1" t="s">
        <v>23689</v>
      </c>
      <c r="F8077" s="1" t="str">
        <f>IFERROR(__xludf.DUMMYFUNCTION("GOOGLETRANSLATE(A8077, ""zh-CN"", ""ko"")"),"하류")</f>
        <v>하류</v>
      </c>
    </row>
    <row r="8078" ht="15.75" customHeight="1">
      <c r="A8078" s="1" t="s">
        <v>23690</v>
      </c>
      <c r="B8078" s="1">
        <v>7.0</v>
      </c>
      <c r="C8078" s="1" t="s">
        <v>23691</v>
      </c>
      <c r="D8078" s="1" t="s">
        <v>8</v>
      </c>
      <c r="E8078" s="1" t="s">
        <v>23692</v>
      </c>
      <c r="F8078" s="1" t="str">
        <f>IFERROR(__xludf.DUMMYFUNCTION("GOOGLETRANSLATE(A8078, ""zh-CN"", ""ko"")"),"떨어지는")</f>
        <v>떨어지는</v>
      </c>
    </row>
    <row r="8079" ht="15.75" customHeight="1">
      <c r="A8079" s="1" t="s">
        <v>23693</v>
      </c>
      <c r="B8079" s="1">
        <v>7.0</v>
      </c>
      <c r="C8079" s="1" t="s">
        <v>1610</v>
      </c>
      <c r="D8079" s="1" t="s">
        <v>8</v>
      </c>
      <c r="E8079" s="1" t="s">
        <v>23694</v>
      </c>
      <c r="F8079" s="1" t="str">
        <f>IFERROR(__xludf.DUMMYFUNCTION("GOOGLETRANSLATE(A8079, ""zh-CN"", ""ko"")"),"승강기")</f>
        <v>승강기</v>
      </c>
    </row>
    <row r="8080" ht="15.75" customHeight="1">
      <c r="A8080" s="1" t="s">
        <v>23695</v>
      </c>
      <c r="B8080" s="1">
        <v>7.0</v>
      </c>
      <c r="C8080" s="1" t="s">
        <v>23696</v>
      </c>
      <c r="D8080" s="1" t="s">
        <v>16</v>
      </c>
      <c r="E8080" s="1" t="s">
        <v>23697</v>
      </c>
      <c r="F8080" s="1" t="str">
        <f>IFERROR(__xludf.DUMMYFUNCTION("GOOGLETRANSLATE(A8080, ""zh-CN"", ""ko"")"),"개척자")</f>
        <v>개척자</v>
      </c>
    </row>
    <row r="8081" ht="15.75" customHeight="1">
      <c r="A8081" s="1" t="s">
        <v>23698</v>
      </c>
      <c r="B8081" s="1">
        <v>7.0</v>
      </c>
      <c r="C8081" s="1" t="s">
        <v>23699</v>
      </c>
      <c r="D8081" s="1" t="s">
        <v>16</v>
      </c>
      <c r="E8081" s="1" t="s">
        <v>23700</v>
      </c>
      <c r="F8081" s="1" t="str">
        <f>IFERROR(__xludf.DUMMYFUNCTION("GOOGLETRANSLATE(A8081, ""zh-CN"", ""ko"")"),"기중기")</f>
        <v>기중기</v>
      </c>
    </row>
    <row r="8082" ht="15.75" customHeight="1">
      <c r="A8082" s="1" t="s">
        <v>23701</v>
      </c>
      <c r="B8082" s="1">
        <v>7.0</v>
      </c>
      <c r="C8082" s="1" t="s">
        <v>23702</v>
      </c>
      <c r="D8082" s="1" t="s">
        <v>52</v>
      </c>
      <c r="E8082" s="1" t="s">
        <v>23703</v>
      </c>
      <c r="F8082" s="1" t="str">
        <f>IFERROR(__xludf.DUMMYFUNCTION("GOOGLETRANSLATE(A8082, ""zh-CN"", ""ko"")"),"신선한")</f>
        <v>신선한</v>
      </c>
    </row>
    <row r="8083" ht="15.75" customHeight="1">
      <c r="A8083" s="1" t="s">
        <v>23704</v>
      </c>
      <c r="B8083" s="1">
        <v>7.0</v>
      </c>
      <c r="C8083" s="1" t="s">
        <v>23705</v>
      </c>
      <c r="D8083" s="1" t="s">
        <v>16</v>
      </c>
      <c r="E8083" s="1" t="s">
        <v>23706</v>
      </c>
      <c r="F8083" s="1" t="str">
        <f>IFERROR(__xludf.DUMMYFUNCTION("GOOGLETRANSLATE(A8083, ""zh-CN"", ""ko"")"),"전례")</f>
        <v>전례</v>
      </c>
    </row>
    <row r="8084" ht="15.75" customHeight="1">
      <c r="A8084" s="1" t="s">
        <v>23707</v>
      </c>
      <c r="B8084" s="1">
        <v>7.0</v>
      </c>
      <c r="C8084" s="1" t="s">
        <v>23708</v>
      </c>
      <c r="D8084" s="1" t="s">
        <v>52</v>
      </c>
      <c r="E8084" s="1" t="s">
        <v>23709</v>
      </c>
      <c r="F8084" s="1" t="str">
        <f>IFERROR(__xludf.DUMMYFUNCTION("GOOGLETRANSLATE(A8084, ""zh-CN"", ""ko"")"),"맛있는")</f>
        <v>맛있는</v>
      </c>
    </row>
    <row r="8085" ht="15.75" customHeight="1">
      <c r="A8085" s="1" t="s">
        <v>23710</v>
      </c>
      <c r="B8085" s="1">
        <v>7.0</v>
      </c>
      <c r="C8085" s="1" t="s">
        <v>23711</v>
      </c>
      <c r="D8085" s="1" t="s">
        <v>16</v>
      </c>
      <c r="E8085" s="1" t="s">
        <v>23712</v>
      </c>
      <c r="F8085" s="1" t="str">
        <f>IFERROR(__xludf.DUMMYFUNCTION("GOOGLETRANSLATE(A8085, ""zh-CN"", ""ko"")"),"요정")</f>
        <v>요정</v>
      </c>
    </row>
    <row r="8086" ht="15.75" customHeight="1">
      <c r="A8086" s="1" t="s">
        <v>23713</v>
      </c>
      <c r="B8086" s="1">
        <v>7.0</v>
      </c>
      <c r="C8086" s="1" t="s">
        <v>23714</v>
      </c>
      <c r="D8086" s="1" t="s">
        <v>16</v>
      </c>
      <c r="E8086" s="1" t="s">
        <v>23715</v>
      </c>
      <c r="F8086" s="1" t="str">
        <f>IFERROR(__xludf.DUMMYFUNCTION("GOOGLETRANSLATE(A8086, ""zh-CN"", ""ko"")"),"타고난")</f>
        <v>타고난</v>
      </c>
    </row>
    <row r="8087" ht="15.75" customHeight="1">
      <c r="A8087" s="1" t="s">
        <v>23716</v>
      </c>
      <c r="B8087" s="1">
        <v>7.0</v>
      </c>
      <c r="C8087" s="1" t="s">
        <v>23717</v>
      </c>
      <c r="D8087" s="1" t="s">
        <v>16</v>
      </c>
      <c r="E8087" s="1" t="s">
        <v>23718</v>
      </c>
      <c r="F8087" s="1" t="str">
        <f>IFERROR(__xludf.DUMMYFUNCTION("GOOGLETRANSLATE(A8087, ""zh-CN"", ""ko"")"),"신선한 피")</f>
        <v>신선한 피</v>
      </c>
    </row>
    <row r="8088" ht="15.75" customHeight="1">
      <c r="A8088" s="1" t="s">
        <v>23719</v>
      </c>
      <c r="B8088" s="1">
        <v>7.0</v>
      </c>
      <c r="C8088" s="1" t="s">
        <v>23720</v>
      </c>
      <c r="D8088" s="1" t="s">
        <v>8</v>
      </c>
      <c r="E8088" s="1" t="s">
        <v>23721</v>
      </c>
      <c r="F8088" s="1" t="str">
        <f>IFERROR(__xludf.DUMMYFUNCTION("GOOGLETRANSLATE(A8088, ""zh-CN"", ""ko"")"),"싫어함")</f>
        <v>싫어함</v>
      </c>
    </row>
    <row r="8089" ht="15.75" customHeight="1">
      <c r="A8089" s="1" t="s">
        <v>23722</v>
      </c>
      <c r="B8089" s="1">
        <v>7.0</v>
      </c>
      <c r="C8089" s="1" t="s">
        <v>23723</v>
      </c>
      <c r="D8089" s="1" t="s">
        <v>8</v>
      </c>
      <c r="E8089" s="1" t="s">
        <v>23724</v>
      </c>
      <c r="F8089" s="1" t="str">
        <f>IFERROR(__xludf.DUMMYFUNCTION("GOOGLETRANSLATE(A8089, ""zh-CN"", ""ko"")"),"게으른")</f>
        <v>게으른</v>
      </c>
    </row>
    <row r="8090" ht="15.75" customHeight="1">
      <c r="A8090" s="1" t="s">
        <v>23725</v>
      </c>
      <c r="B8090" s="1">
        <v>7.0</v>
      </c>
      <c r="C8090" s="1" t="s">
        <v>23726</v>
      </c>
      <c r="E8090" s="1" t="s">
        <v>23727</v>
      </c>
      <c r="F8090" s="1" t="str">
        <f>IFERROR(__xludf.DUMMYFUNCTION("GOOGLETRANSLATE(A8090, ""zh-CN"", ""ko"")"),"확실히")</f>
        <v>확실히</v>
      </c>
    </row>
    <row r="8091" ht="15.75" customHeight="1">
      <c r="A8091" s="1" t="s">
        <v>23728</v>
      </c>
      <c r="B8091" s="1">
        <v>7.0</v>
      </c>
      <c r="C8091" s="1" t="s">
        <v>23729</v>
      </c>
      <c r="D8091" s="1" t="s">
        <v>52</v>
      </c>
      <c r="E8091" s="1" t="s">
        <v>23730</v>
      </c>
      <c r="F8091" s="1" t="str">
        <f>IFERROR(__xludf.DUMMYFUNCTION("GOOGLETRANSLATE(A8091, ""zh-CN"", ""ko"")"),"중요한")</f>
        <v>중요한</v>
      </c>
    </row>
    <row r="8092" ht="15.75" customHeight="1">
      <c r="A8092" s="1" t="s">
        <v>23731</v>
      </c>
      <c r="B8092" s="1">
        <v>7.0</v>
      </c>
      <c r="C8092" s="1" t="s">
        <v>23732</v>
      </c>
      <c r="D8092" s="1" t="s">
        <v>8</v>
      </c>
      <c r="E8092" s="1" t="s">
        <v>23733</v>
      </c>
      <c r="F8092" s="1" t="str">
        <f>IFERROR(__xludf.DUMMYFUNCTION("GOOGLETRANSLATE(A8092, ""zh-CN"", ""ko"")"),"드러내다")</f>
        <v>드러내다</v>
      </c>
    </row>
    <row r="8093" ht="15.75" customHeight="1">
      <c r="A8093" s="1" t="s">
        <v>23734</v>
      </c>
      <c r="B8093" s="1">
        <v>7.0</v>
      </c>
      <c r="C8093" s="1" t="s">
        <v>23735</v>
      </c>
      <c r="D8093" s="1" t="s">
        <v>16</v>
      </c>
      <c r="E8093" s="1" t="s">
        <v>23736</v>
      </c>
      <c r="F8093" s="1" t="str">
        <f>IFERROR(__xludf.DUMMYFUNCTION("GOOGLETRANSLATE(A8093, ""zh-CN"", ""ko"")"),"감시 장치")</f>
        <v>감시 장치</v>
      </c>
    </row>
    <row r="8094" ht="15.75" customHeight="1">
      <c r="A8094" s="1" t="s">
        <v>23737</v>
      </c>
      <c r="B8094" s="1">
        <v>7.0</v>
      </c>
      <c r="C8094" s="1" t="s">
        <v>23738</v>
      </c>
      <c r="D8094" s="1" t="s">
        <v>16</v>
      </c>
      <c r="E8094" s="1" t="s">
        <v>23739</v>
      </c>
      <c r="F8094" s="1" t="str">
        <f>IFERROR(__xludf.DUMMYFUNCTION("GOOGLETRANSLATE(A8094, ""zh-CN"", ""ko"")"),"현미경")</f>
        <v>현미경</v>
      </c>
    </row>
    <row r="8095" ht="15.75" customHeight="1">
      <c r="A8095" s="1" t="s">
        <v>23740</v>
      </c>
      <c r="B8095" s="1">
        <v>7.0</v>
      </c>
      <c r="C8095" s="1" t="s">
        <v>23741</v>
      </c>
      <c r="E8095" s="1" t="s">
        <v>23742</v>
      </c>
      <c r="F8095" s="1" t="str">
        <f>IFERROR(__xludf.DUMMYFUNCTION("GOOGLETRANSLATE(A8095, ""zh-CN"", ""ko"")"),"잘 알려지지 않은")</f>
        <v>잘 알려지지 않은</v>
      </c>
    </row>
    <row r="8096" ht="15.75" customHeight="1">
      <c r="A8096" s="1" t="s">
        <v>23743</v>
      </c>
      <c r="B8096" s="1">
        <v>7.0</v>
      </c>
      <c r="C8096" s="1" t="s">
        <v>23744</v>
      </c>
      <c r="D8096" s="1" t="s">
        <v>8</v>
      </c>
      <c r="E8096" s="1" t="s">
        <v>23745</v>
      </c>
      <c r="F8096" s="1" t="str">
        <f>IFERROR(__xludf.DUMMYFUNCTION("GOOGLETRANSLATE(A8096, ""zh-CN"", ""ko"")"),"나타나다")</f>
        <v>나타나다</v>
      </c>
    </row>
    <row r="8097" ht="15.75" customHeight="1">
      <c r="A8097" s="1" t="s">
        <v>23746</v>
      </c>
      <c r="B8097" s="1">
        <v>7.0</v>
      </c>
      <c r="C8097" s="1" t="s">
        <v>23747</v>
      </c>
      <c r="D8097" s="1" t="s">
        <v>52</v>
      </c>
      <c r="E8097" s="1" t="s">
        <v>23748</v>
      </c>
      <c r="F8097" s="1" t="str">
        <f>IFERROR(__xludf.DUMMYFUNCTION("GOOGLETRANSLATE(A8097, ""zh-CN"", ""ko"")"),"우성")</f>
        <v>우성</v>
      </c>
    </row>
    <row r="8098" ht="15.75" customHeight="1">
      <c r="A8098" s="1" t="s">
        <v>23749</v>
      </c>
      <c r="B8098" s="1">
        <v>7.0</v>
      </c>
      <c r="C8098" s="1" t="s">
        <v>23750</v>
      </c>
      <c r="D8098" s="1" t="s">
        <v>52</v>
      </c>
      <c r="E8098" s="1" t="s">
        <v>23751</v>
      </c>
      <c r="F8098" s="1" t="str">
        <f>IFERROR(__xludf.DUMMYFUNCTION("GOOGLETRANSLATE(A8098, ""zh-CN"", ""ko"")"),"확실히 보이는")</f>
        <v>확실히 보이는</v>
      </c>
    </row>
    <row r="8099" ht="15.75" customHeight="1">
      <c r="A8099" s="1" t="s">
        <v>23752</v>
      </c>
      <c r="B8099" s="1">
        <v>7.0</v>
      </c>
      <c r="C8099" s="1" t="s">
        <v>6545</v>
      </c>
      <c r="D8099" s="1" t="s">
        <v>8</v>
      </c>
      <c r="E8099" s="1" t="s">
        <v>23753</v>
      </c>
      <c r="F8099" s="1" t="str">
        <f>IFERROR(__xludf.DUMMYFUNCTION("GOOGLETRANSLATE(A8099, ""zh-CN"", ""ko"")"),"덫")</f>
        <v>덫</v>
      </c>
    </row>
    <row r="8100" ht="15.75" customHeight="1">
      <c r="A8100" s="1" t="s">
        <v>23754</v>
      </c>
      <c r="B8100" s="1">
        <v>7.0</v>
      </c>
      <c r="C8100" s="1" t="s">
        <v>6545</v>
      </c>
      <c r="D8100" s="1" t="s">
        <v>16</v>
      </c>
      <c r="E8100" s="1" t="s">
        <v>13132</v>
      </c>
      <c r="F8100" s="1" t="str">
        <f>IFERROR(__xludf.DUMMYFUNCTION("GOOGLETRANSLATE(A8100, ""zh-CN"", ""ko"")"),"충전재")</f>
        <v>충전재</v>
      </c>
    </row>
    <row r="8101" ht="15.75" customHeight="1">
      <c r="A8101" s="1" t="s">
        <v>23755</v>
      </c>
      <c r="B8101" s="1">
        <v>7.0</v>
      </c>
      <c r="C8101" s="1" t="s">
        <v>6545</v>
      </c>
      <c r="D8101" s="1" t="s">
        <v>8</v>
      </c>
      <c r="E8101" s="1" t="s">
        <v>23756</v>
      </c>
      <c r="F8101" s="1" t="str">
        <f>IFERROR(__xludf.DUMMYFUNCTION("GOOGLETRANSLATE(A8101, ""zh-CN"", ""ko"")"),"권하다")</f>
        <v>권하다</v>
      </c>
    </row>
    <row r="8102" ht="15.75" customHeight="1">
      <c r="A8102" s="1" t="s">
        <v>23757</v>
      </c>
      <c r="B8102" s="1">
        <v>7.0</v>
      </c>
      <c r="C8102" s="1" t="s">
        <v>23758</v>
      </c>
      <c r="D8102" s="1" t="s">
        <v>8</v>
      </c>
      <c r="E8102" s="1" t="s">
        <v>23759</v>
      </c>
      <c r="F8102" s="1" t="str">
        <f>IFERROR(__xludf.DUMMYFUNCTION("GOOGLETRANSLATE(A8102, ""zh-CN"", ""ko"")"),"제한된")</f>
        <v>제한된</v>
      </c>
    </row>
    <row r="8103" ht="15.75" customHeight="1">
      <c r="A8103" s="1" t="s">
        <v>23760</v>
      </c>
      <c r="B8103" s="1">
        <v>7.0</v>
      </c>
      <c r="C8103" s="1" t="s">
        <v>23761</v>
      </c>
      <c r="D8103" s="1" t="s">
        <v>14735</v>
      </c>
      <c r="E8103" s="1" t="s">
        <v>23762</v>
      </c>
      <c r="F8103" s="1" t="str">
        <f>IFERROR(__xludf.DUMMYFUNCTION("GOOGLETRANSLATE(A8103, ""zh-CN"", ""ko"")"),"현재의")</f>
        <v>현재의</v>
      </c>
    </row>
    <row r="8104" ht="15.75" customHeight="1">
      <c r="A8104" s="1" t="s">
        <v>23763</v>
      </c>
      <c r="B8104" s="1">
        <v>7.0</v>
      </c>
      <c r="C8104" s="1" t="s">
        <v>23764</v>
      </c>
      <c r="D8104" s="1" t="s">
        <v>16</v>
      </c>
      <c r="E8104" s="1" t="s">
        <v>23765</v>
      </c>
      <c r="F8104" s="1" t="str">
        <f>IFERROR(__xludf.DUMMYFUNCTION("GOOGLETRANSLATE(A8104, ""zh-CN"", ""ko"")"),"선")</f>
        <v>선</v>
      </c>
    </row>
    <row r="8105" ht="15.75" customHeight="1">
      <c r="A8105" s="1" t="s">
        <v>23766</v>
      </c>
      <c r="B8105" s="1">
        <v>7.0</v>
      </c>
      <c r="C8105" s="1" t="s">
        <v>23767</v>
      </c>
      <c r="D8105" s="1" t="s">
        <v>52</v>
      </c>
      <c r="E8105" s="1" t="s">
        <v>23768</v>
      </c>
      <c r="F8105" s="1" t="str">
        <f>IFERROR(__xludf.DUMMYFUNCTION("GOOGLETRANSLATE(A8105, ""zh-CN"", ""ko"")"),"효력을 발휘하는")</f>
        <v>효력을 발휘하는</v>
      </c>
    </row>
    <row r="8106" ht="15.75" customHeight="1">
      <c r="A8106" s="1" t="s">
        <v>23769</v>
      </c>
      <c r="B8106" s="1">
        <v>7.0</v>
      </c>
      <c r="C8106" s="1" t="s">
        <v>3141</v>
      </c>
      <c r="D8106" s="1" t="s">
        <v>8</v>
      </c>
      <c r="E8106" s="1" t="s">
        <v>23770</v>
      </c>
      <c r="F8106" s="1" t="str">
        <f>IFERROR(__xludf.DUMMYFUNCTION("GOOGLETRANSLATE(A8106, ""zh-CN"", ""ko"")"),"세트")</f>
        <v>세트</v>
      </c>
    </row>
    <row r="8107" ht="15.75" customHeight="1">
      <c r="A8107" s="1" t="s">
        <v>23771</v>
      </c>
      <c r="B8107" s="1">
        <v>7.0</v>
      </c>
      <c r="C8107" s="1" t="s">
        <v>23772</v>
      </c>
      <c r="D8107" s="1" t="s">
        <v>8</v>
      </c>
      <c r="E8107" s="1" t="s">
        <v>23773</v>
      </c>
      <c r="F8107" s="1" t="str">
        <f>IFERROR(__xludf.DUMMYFUNCTION("GOOGLETRANSLATE(A8107, ""zh-CN"", ""ko"")"),"동반자")</f>
        <v>동반자</v>
      </c>
    </row>
    <row r="8108" ht="15.75" customHeight="1">
      <c r="A8108" s="1" t="s">
        <v>23774</v>
      </c>
      <c r="B8108" s="1">
        <v>7.0</v>
      </c>
      <c r="C8108" s="1" t="s">
        <v>23775</v>
      </c>
      <c r="D8108" s="1" t="s">
        <v>33</v>
      </c>
      <c r="E8108" s="1" t="s">
        <v>23776</v>
      </c>
      <c r="F8108" s="1" t="str">
        <f>IFERROR(__xludf.DUMMYFUNCTION("GOOGLETRANSLATE(A8108, ""zh-CN"", ""ko"")"),"연속적인")</f>
        <v>연속적인</v>
      </c>
    </row>
    <row r="8109" ht="15.75" customHeight="1">
      <c r="A8109" s="1" t="s">
        <v>23777</v>
      </c>
      <c r="B8109" s="1">
        <v>7.0</v>
      </c>
      <c r="C8109" s="1" t="s">
        <v>23778</v>
      </c>
      <c r="D8109" s="1" t="s">
        <v>52</v>
      </c>
      <c r="E8109" s="1" t="s">
        <v>23779</v>
      </c>
      <c r="F8109" s="1" t="str">
        <f>IFERROR(__xludf.DUMMYFUNCTION("GOOGLETRANSLATE(A8109, ""zh-CN"", ""ko"")"),"비슷한")</f>
        <v>비슷한</v>
      </c>
    </row>
    <row r="8110" ht="15.75" customHeight="1">
      <c r="A8110" s="1" t="s">
        <v>23780</v>
      </c>
      <c r="B8110" s="1">
        <v>7.0</v>
      </c>
      <c r="C8110" s="1" t="s">
        <v>23781</v>
      </c>
      <c r="D8110" s="1" t="s">
        <v>16</v>
      </c>
      <c r="E8110" s="1" t="s">
        <v>23782</v>
      </c>
      <c r="F8110" s="1" t="str">
        <f>IFERROR(__xludf.DUMMYFUNCTION("GOOGLETRANSLATE(A8110, ""zh-CN"", ""ko"")"),"향료")</f>
        <v>향료</v>
      </c>
    </row>
    <row r="8111" ht="15.75" customHeight="1">
      <c r="A8111" s="1" t="s">
        <v>23783</v>
      </c>
      <c r="B8111" s="1">
        <v>7.0</v>
      </c>
      <c r="C8111" s="1" t="s">
        <v>23784</v>
      </c>
      <c r="D8111" s="1" t="s">
        <v>16</v>
      </c>
      <c r="E8111" s="1" t="s">
        <v>23785</v>
      </c>
      <c r="F8111" s="1" t="str">
        <f>IFERROR(__xludf.DUMMYFUNCTION("GOOGLETRANSLATE(A8111, ""zh-CN"", ""ko"")"),"마을 사람들")</f>
        <v>마을 사람들</v>
      </c>
    </row>
    <row r="8112" ht="15.75" customHeight="1">
      <c r="A8112" s="1" t="s">
        <v>23786</v>
      </c>
      <c r="B8112" s="1">
        <v>7.0</v>
      </c>
      <c r="C8112" s="1" t="s">
        <v>23787</v>
      </c>
      <c r="D8112" s="1" t="s">
        <v>8</v>
      </c>
      <c r="E8112" s="1" t="s">
        <v>23788</v>
      </c>
      <c r="F8112" s="1" t="str">
        <f>IFERROR(__xludf.DUMMYFUNCTION("GOOGLETRANSLATE(A8112, ""zh-CN"", ""ko"")"),"아는 사람")</f>
        <v>아는 사람</v>
      </c>
    </row>
    <row r="8113" ht="15.75" customHeight="1">
      <c r="A8113" s="1" t="s">
        <v>23789</v>
      </c>
      <c r="B8113" s="1">
        <v>7.0</v>
      </c>
      <c r="C8113" s="1" t="s">
        <v>23790</v>
      </c>
      <c r="E8113" s="1" t="s">
        <v>23791</v>
      </c>
      <c r="F8113" s="1" t="str">
        <f>IFERROR(__xludf.DUMMYFUNCTION("GOOGLETRANSLATE(A8113, ""zh-CN"", ""ko"")"),"유사한")</f>
        <v>유사한</v>
      </c>
    </row>
    <row r="8114" ht="15.75" customHeight="1">
      <c r="A8114" s="1" t="s">
        <v>23792</v>
      </c>
      <c r="B8114" s="1">
        <v>7.0</v>
      </c>
      <c r="C8114" s="1" t="s">
        <v>23793</v>
      </c>
      <c r="D8114" s="1" t="s">
        <v>8</v>
      </c>
      <c r="E8114" s="1" t="s">
        <v>23794</v>
      </c>
      <c r="F8114" s="1" t="str">
        <f>IFERROR(__xludf.DUMMYFUNCTION("GOOGLETRANSLATE(A8114, ""zh-CN"", ""ko"")"),"상호 연결된")</f>
        <v>상호 연결된</v>
      </c>
    </row>
    <row r="8115" ht="15.75" customHeight="1">
      <c r="A8115" s="1" t="s">
        <v>23795</v>
      </c>
      <c r="B8115" s="1">
        <v>7.0</v>
      </c>
      <c r="C8115" s="1" t="s">
        <v>23796</v>
      </c>
      <c r="D8115" s="1" t="s">
        <v>16</v>
      </c>
      <c r="E8115" s="1" t="s">
        <v>23797</v>
      </c>
      <c r="F8115" s="1" t="str">
        <f>IFERROR(__xludf.DUMMYFUNCTION("GOOGLETRANSLATE(A8115, ""zh-CN"", ""ko"")"),"한 지방")</f>
        <v>한 지방</v>
      </c>
    </row>
    <row r="8116" ht="15.75" customHeight="1">
      <c r="A8116" s="1" t="s">
        <v>23798</v>
      </c>
      <c r="B8116" s="1">
        <v>7.0</v>
      </c>
      <c r="C8116" s="1" t="s">
        <v>23799</v>
      </c>
      <c r="D8116" s="1" t="s">
        <v>16</v>
      </c>
      <c r="E8116" s="1" t="s">
        <v>23800</v>
      </c>
      <c r="F8116" s="1" t="str">
        <f>IFERROR(__xludf.DUMMYFUNCTION("GOOGLETRANSLATE(A8116, ""zh-CN"", ""ko"")"),"참기름")</f>
        <v>참기름</v>
      </c>
    </row>
    <row r="8117" ht="15.75" customHeight="1">
      <c r="A8117" s="1" t="s">
        <v>23801</v>
      </c>
      <c r="B8117" s="1">
        <v>7.0</v>
      </c>
      <c r="C8117" s="1" t="s">
        <v>23802</v>
      </c>
      <c r="D8117" s="1" t="s">
        <v>8</v>
      </c>
      <c r="E8117" s="1" t="s">
        <v>23803</v>
      </c>
      <c r="F8117" s="1" t="str">
        <f>IFERROR(__xludf.DUMMYFUNCTION("GOOGLETRANSLATE(A8117, ""zh-CN"", ""ko"")"),"맞닥뜨리다")</f>
        <v>맞닥뜨리다</v>
      </c>
    </row>
    <row r="8118" ht="15.75" customHeight="1">
      <c r="A8118" s="1" t="s">
        <v>23804</v>
      </c>
      <c r="B8118" s="1">
        <v>7.0</v>
      </c>
      <c r="C8118" s="1" t="s">
        <v>23805</v>
      </c>
      <c r="D8118" s="1" t="s">
        <v>8</v>
      </c>
      <c r="E8118" s="1" t="s">
        <v>23806</v>
      </c>
      <c r="F8118" s="1" t="str">
        <f>IFERROR(__xludf.DUMMYFUNCTION("GOOGLETRANSLATE(A8118, ""zh-CN"", ""ko"")"),"만나요")</f>
        <v>만나요</v>
      </c>
    </row>
    <row r="8119" ht="15.75" customHeight="1">
      <c r="A8119" s="1" t="s">
        <v>23807</v>
      </c>
      <c r="B8119" s="1">
        <v>7.0</v>
      </c>
      <c r="C8119" s="1" t="s">
        <v>23808</v>
      </c>
      <c r="D8119" s="1" t="s">
        <v>52</v>
      </c>
      <c r="E8119" s="1" t="s">
        <v>23809</v>
      </c>
      <c r="F8119" s="1" t="str">
        <f>IFERROR(__xludf.DUMMYFUNCTION("GOOGLETRANSLATE(A8119, ""zh-CN"", ""ko"")"),"평화")</f>
        <v>평화</v>
      </c>
    </row>
    <row r="8120" ht="15.75" customHeight="1">
      <c r="A8120" s="1" t="s">
        <v>23810</v>
      </c>
      <c r="B8120" s="1">
        <v>7.0</v>
      </c>
      <c r="C8120" s="1" t="s">
        <v>23811</v>
      </c>
      <c r="D8120" s="1" t="s">
        <v>52</v>
      </c>
      <c r="E8120" s="1" t="s">
        <v>23812</v>
      </c>
      <c r="F8120" s="1" t="str">
        <f>IFERROR(__xludf.DUMMYFUNCTION("GOOGLETRANSLATE(A8120, ""zh-CN"", ""ko"")"),"상세한")</f>
        <v>상세한</v>
      </c>
    </row>
    <row r="8121" ht="15.75" customHeight="1">
      <c r="A8121" s="1" t="s">
        <v>23813</v>
      </c>
      <c r="B8121" s="1">
        <v>7.0</v>
      </c>
      <c r="C8121" s="1" t="s">
        <v>376</v>
      </c>
      <c r="D8121" s="1" t="s">
        <v>8</v>
      </c>
      <c r="E8121" s="1" t="s">
        <v>23814</v>
      </c>
      <c r="F8121" s="1" t="str">
        <f>IFERROR(__xludf.DUMMYFUNCTION("GOOGLETRANSLATE(A8121, ""zh-CN"", ""ko"")"),"즐기다")</f>
        <v>즐기다</v>
      </c>
    </row>
    <row r="8122" ht="15.75" customHeight="1">
      <c r="A8122" s="1" t="s">
        <v>23815</v>
      </c>
      <c r="B8122" s="1">
        <v>7.0</v>
      </c>
      <c r="C8122" s="1" t="s">
        <v>23816</v>
      </c>
      <c r="D8122" s="1" t="s">
        <v>8</v>
      </c>
      <c r="E8122" s="1" t="s">
        <v>6582</v>
      </c>
      <c r="F8122" s="1" t="str">
        <f>IFERROR(__xludf.DUMMYFUNCTION("GOOGLETRANSLATE(A8122, ""zh-CN"", ""ko"")"),"즐기다")</f>
        <v>즐기다</v>
      </c>
    </row>
    <row r="8123" ht="15.75" customHeight="1">
      <c r="A8123" s="1" t="s">
        <v>23817</v>
      </c>
      <c r="B8123" s="1">
        <v>7.0</v>
      </c>
      <c r="C8123" s="1" t="s">
        <v>23818</v>
      </c>
      <c r="D8123" s="1" t="s">
        <v>8</v>
      </c>
      <c r="E8123" s="1" t="s">
        <v>23819</v>
      </c>
      <c r="F8123" s="1" t="str">
        <f>IFERROR(__xludf.DUMMYFUNCTION("GOOGLETRANSLATE(A8123, ""zh-CN"", ""ko"")"),"즐기다")</f>
        <v>즐기다</v>
      </c>
    </row>
    <row r="8124" ht="15.75" customHeight="1">
      <c r="A8124" s="1" t="s">
        <v>23820</v>
      </c>
      <c r="B8124" s="1">
        <v>7.0</v>
      </c>
      <c r="C8124" s="1" t="s">
        <v>23821</v>
      </c>
      <c r="D8124" s="1" t="s">
        <v>16</v>
      </c>
      <c r="E8124" s="1" t="s">
        <v>23822</v>
      </c>
      <c r="F8124" s="1" t="str">
        <f>IFERROR(__xludf.DUMMYFUNCTION("GOOGLETRANSLATE(A8124, ""zh-CN"", ""ko"")"),"고무")</f>
        <v>고무</v>
      </c>
    </row>
    <row r="8125" ht="15.75" customHeight="1">
      <c r="A8125" s="1" t="s">
        <v>23823</v>
      </c>
      <c r="B8125" s="1">
        <v>7.0</v>
      </c>
      <c r="C8125" s="1" t="s">
        <v>23824</v>
      </c>
      <c r="D8125" s="1" t="s">
        <v>16</v>
      </c>
      <c r="E8125" s="1" t="s">
        <v>3255</v>
      </c>
      <c r="F8125" s="1" t="str">
        <f>IFERROR(__xludf.DUMMYFUNCTION("GOOGLETRANSLATE(A8125, ""zh-CN"", ""ko"")"),"모습")</f>
        <v>모습</v>
      </c>
    </row>
    <row r="8126" ht="15.75" customHeight="1">
      <c r="A8126" s="1" t="s">
        <v>23825</v>
      </c>
      <c r="B8126" s="1">
        <v>7.0</v>
      </c>
      <c r="C8126" s="1" t="s">
        <v>23826</v>
      </c>
      <c r="D8126" s="1" t="s">
        <v>52</v>
      </c>
      <c r="E8126" s="1" t="s">
        <v>23827</v>
      </c>
      <c r="F8126" s="1" t="str">
        <f>IFERROR(__xludf.DUMMYFUNCTION("GOOGLETRANSLATE(A8126, ""zh-CN"", ""ko"")"),"품위 있는")</f>
        <v>품위 있는</v>
      </c>
    </row>
    <row r="8127" ht="15.75" customHeight="1">
      <c r="A8127" s="1" t="s">
        <v>23828</v>
      </c>
      <c r="B8127" s="1">
        <v>7.0</v>
      </c>
      <c r="C8127" s="1" t="s">
        <v>13192</v>
      </c>
      <c r="D8127" s="1" t="s">
        <v>8</v>
      </c>
      <c r="E8127" s="1" t="s">
        <v>23829</v>
      </c>
      <c r="F8127" s="1" t="str">
        <f>IFERROR(__xludf.DUMMYFUNCTION("GOOGLETRANSLATE(A8127, ""zh-CN"", ""ko"")"),"제거하다")</f>
        <v>제거하다</v>
      </c>
    </row>
    <row r="8128" ht="15.75" customHeight="1">
      <c r="A8128" s="1" t="s">
        <v>23830</v>
      </c>
      <c r="B8128" s="1">
        <v>7.0</v>
      </c>
      <c r="C8128" s="1" t="s">
        <v>13192</v>
      </c>
      <c r="D8128" s="1" t="s">
        <v>8</v>
      </c>
      <c r="E8128" s="1" t="s">
        <v>23831</v>
      </c>
      <c r="F8128" s="1" t="str">
        <f>IFERROR(__xludf.DUMMYFUNCTION("GOOGLETRANSLATE(A8128, ""zh-CN"", ""ko"")"),"핀")</f>
        <v>핀</v>
      </c>
    </row>
    <row r="8129" ht="15.75" customHeight="1">
      <c r="A8129" s="1" t="s">
        <v>23832</v>
      </c>
      <c r="B8129" s="1">
        <v>7.0</v>
      </c>
      <c r="C8129" s="1" t="s">
        <v>23833</v>
      </c>
      <c r="D8129" s="1" t="s">
        <v>52</v>
      </c>
      <c r="E8129" s="1" t="s">
        <v>23834</v>
      </c>
      <c r="F8129" s="1" t="str">
        <f>IFERROR(__xludf.DUMMYFUNCTION("GOOGLETRANSLATE(A8129, ""zh-CN"", ""ko"")"),"우울한")</f>
        <v>우울한</v>
      </c>
    </row>
    <row r="8130" ht="15.75" customHeight="1">
      <c r="A8130" s="1" t="s">
        <v>23835</v>
      </c>
      <c r="B8130" s="1">
        <v>7.0</v>
      </c>
      <c r="C8130" s="1" t="s">
        <v>23836</v>
      </c>
      <c r="D8130" s="1" t="s">
        <v>8</v>
      </c>
      <c r="E8130" s="1" t="s">
        <v>1202</v>
      </c>
      <c r="F8130" s="1" t="str">
        <f>IFERROR(__xludf.DUMMYFUNCTION("GOOGLETRANSLATE(A8130, ""zh-CN"", ""ko"")"),"입다")</f>
        <v>입다</v>
      </c>
    </row>
    <row r="8131" ht="15.75" customHeight="1">
      <c r="A8131" s="1" t="s">
        <v>23837</v>
      </c>
      <c r="B8131" s="1">
        <v>7.0</v>
      </c>
      <c r="C8131" s="1" t="s">
        <v>23838</v>
      </c>
      <c r="D8131" s="1" t="s">
        <v>8</v>
      </c>
      <c r="E8131" s="1" t="s">
        <v>23839</v>
      </c>
      <c r="F8131" s="1" t="str">
        <f>IFERROR(__xludf.DUMMYFUNCTION("GOOGLETRANSLATE(A8131, ""zh-CN"", ""ko"")"),"오락")</f>
        <v>오락</v>
      </c>
    </row>
    <row r="8132" ht="15.75" customHeight="1">
      <c r="A8132" s="1" t="s">
        <v>23840</v>
      </c>
      <c r="B8132" s="1">
        <v>7.0</v>
      </c>
      <c r="C8132" s="1" t="s">
        <v>23841</v>
      </c>
      <c r="D8132" s="1" t="s">
        <v>52</v>
      </c>
      <c r="E8132" s="1" t="s">
        <v>23842</v>
      </c>
      <c r="F8132" s="1" t="str">
        <f>IFERROR(__xludf.DUMMYFUNCTION("GOOGLETRANSLATE(A8132, ""zh-CN"", ""ko"")"),"우울증")</f>
        <v>우울증</v>
      </c>
    </row>
    <row r="8133" ht="15.75" customHeight="1">
      <c r="A8133" s="1" t="s">
        <v>23843</v>
      </c>
      <c r="B8133" s="1">
        <v>7.0</v>
      </c>
      <c r="C8133" s="1" t="s">
        <v>23844</v>
      </c>
      <c r="D8133" s="1" t="s">
        <v>52</v>
      </c>
      <c r="E8133" s="1" t="s">
        <v>23845</v>
      </c>
      <c r="F8133" s="1" t="str">
        <f>IFERROR(__xludf.DUMMYFUNCTION("GOOGLETRANSLATE(A8133, ""zh-CN"", ""ko"")"),"오만한")</f>
        <v>오만한</v>
      </c>
    </row>
    <row r="8134" ht="15.75" customHeight="1">
      <c r="A8134" s="1" t="s">
        <v>23846</v>
      </c>
      <c r="B8134" s="1">
        <v>7.0</v>
      </c>
      <c r="C8134" s="1" t="s">
        <v>23847</v>
      </c>
      <c r="E8134" s="1" t="s">
        <v>23848</v>
      </c>
      <c r="F8134" s="1" t="str">
        <f>IFERROR(__xludf.DUMMYFUNCTION("GOOGLETRANSLATE(A8134, ""zh-CN"", ""ko"")"),"식은 죽 먹기")</f>
        <v>식은 죽 먹기</v>
      </c>
    </row>
    <row r="8135" ht="15.75" customHeight="1">
      <c r="A8135" s="1" t="s">
        <v>23849</v>
      </c>
      <c r="B8135" s="1">
        <v>7.0</v>
      </c>
      <c r="C8135" s="1" t="s">
        <v>23850</v>
      </c>
      <c r="D8135" s="1" t="s">
        <v>16</v>
      </c>
      <c r="E8135" s="1" t="s">
        <v>23851</v>
      </c>
      <c r="F8135" s="1" t="str">
        <f>IFERROR(__xludf.DUMMYFUNCTION("GOOGLETRANSLATE(A8135, ""zh-CN"", ""ko"")"),"시골뜨기")</f>
        <v>시골뜨기</v>
      </c>
    </row>
    <row r="8136" ht="15.75" customHeight="1">
      <c r="A8136" s="1" t="s">
        <v>23852</v>
      </c>
      <c r="B8136" s="1">
        <v>7.0</v>
      </c>
      <c r="C8136" s="1" t="s">
        <v>23853</v>
      </c>
      <c r="D8136" s="1" t="s">
        <v>16</v>
      </c>
      <c r="E8136" s="1" t="s">
        <v>23854</v>
      </c>
      <c r="F8136" s="1" t="str">
        <f>IFERROR(__xludf.DUMMYFUNCTION("GOOGLETRANSLATE(A8136, ""zh-CN"", ""ko"")"),"팁")</f>
        <v>팁</v>
      </c>
    </row>
    <row r="8137" ht="15.75" customHeight="1">
      <c r="A8137" s="1" t="s">
        <v>23855</v>
      </c>
      <c r="B8137" s="1">
        <v>7.0</v>
      </c>
      <c r="C8137" s="1" t="s">
        <v>23856</v>
      </c>
      <c r="D8137" s="1" t="s">
        <v>8</v>
      </c>
      <c r="E8137" s="1" t="s">
        <v>23857</v>
      </c>
      <c r="F8137" s="1" t="str">
        <f>IFERROR(__xludf.DUMMYFUNCTION("GOOGLETRANSLATE(A8137, ""zh-CN"", ""ko"")"),"과소평가하다")</f>
        <v>과소평가하다</v>
      </c>
    </row>
    <row r="8138" ht="15.75" customHeight="1">
      <c r="A8138" s="1" t="s">
        <v>23858</v>
      </c>
      <c r="B8138" s="1">
        <v>7.0</v>
      </c>
      <c r="C8138" s="1" t="s">
        <v>23859</v>
      </c>
      <c r="D8138" s="1" t="s">
        <v>52</v>
      </c>
      <c r="E8138" s="1" t="s">
        <v>23860</v>
      </c>
      <c r="F8138" s="1" t="str">
        <f>IFERROR(__xludf.DUMMYFUNCTION("GOOGLETRANSLATE(A8138, ""zh-CN"", ""ko"")"),"부유한")</f>
        <v>부유한</v>
      </c>
    </row>
    <row r="8139" ht="15.75" customHeight="1">
      <c r="A8139" s="1" t="s">
        <v>23861</v>
      </c>
      <c r="B8139" s="1">
        <v>7.0</v>
      </c>
      <c r="C8139" s="1" t="s">
        <v>23862</v>
      </c>
      <c r="D8139" s="1" t="s">
        <v>16</v>
      </c>
      <c r="E8139" s="1" t="s">
        <v>23863</v>
      </c>
      <c r="F8139" s="1" t="str">
        <f>IFERROR(__xludf.DUMMYFUNCTION("GOOGLETRANSLATE(A8139, ""zh-CN"", ""ko"")"),"촌극")</f>
        <v>촌극</v>
      </c>
    </row>
    <row r="8140" ht="15.75" customHeight="1">
      <c r="A8140" s="1" t="s">
        <v>23864</v>
      </c>
      <c r="B8140" s="1">
        <v>7.0</v>
      </c>
      <c r="C8140" s="1" t="s">
        <v>23865</v>
      </c>
      <c r="D8140" s="1" t="s">
        <v>16</v>
      </c>
      <c r="E8140" s="1" t="s">
        <v>23866</v>
      </c>
      <c r="F8140" s="1" t="str">
        <f>IFERROR(__xludf.DUMMYFUNCTION("GOOGLETRANSLATE(A8140, ""zh-CN"", ""ko"")"),"사소한 사람")</f>
        <v>사소한 사람</v>
      </c>
    </row>
    <row r="8141" ht="15.75" customHeight="1">
      <c r="A8141" s="1" t="s">
        <v>23867</v>
      </c>
      <c r="B8141" s="1">
        <v>7.0</v>
      </c>
      <c r="C8141" s="1" t="s">
        <v>23868</v>
      </c>
      <c r="D8141" s="1" t="s">
        <v>16</v>
      </c>
      <c r="E8141" s="1" t="s">
        <v>23869</v>
      </c>
      <c r="F8141" s="1" t="str">
        <f>IFERROR(__xludf.DUMMYFUNCTION("GOOGLETRANSLATE(A8141, ""zh-CN"", ""ko"")"),"바이올린")</f>
        <v>바이올린</v>
      </c>
    </row>
    <row r="8142" ht="15.75" customHeight="1">
      <c r="A8142" s="1" t="s">
        <v>23870</v>
      </c>
      <c r="B8142" s="1">
        <v>7.0</v>
      </c>
      <c r="C8142" s="1" t="s">
        <v>23871</v>
      </c>
      <c r="D8142" s="1" t="s">
        <v>8</v>
      </c>
      <c r="E8142" s="1" t="s">
        <v>23872</v>
      </c>
      <c r="F8142" s="1" t="str">
        <f>IFERROR(__xludf.DUMMYFUNCTION("GOOGLETRANSLATE(A8142, ""zh-CN"", ""ko"")"),"본뜨다")</f>
        <v>본뜨다</v>
      </c>
    </row>
    <row r="8143" ht="15.75" customHeight="1">
      <c r="A8143" s="1" t="s">
        <v>23873</v>
      </c>
      <c r="B8143" s="1">
        <v>7.0</v>
      </c>
      <c r="C8143" s="1" t="s">
        <v>23874</v>
      </c>
      <c r="D8143" s="1" t="s">
        <v>8</v>
      </c>
      <c r="E8143" s="1" t="s">
        <v>23875</v>
      </c>
      <c r="F8143" s="1" t="str">
        <f>IFERROR(__xludf.DUMMYFUNCTION("GOOGLETRANSLATE(A8143, ""zh-CN"", ""ko"")"),"효행")</f>
        <v>효행</v>
      </c>
    </row>
    <row r="8144" ht="15.75" customHeight="1">
      <c r="A8144" s="1" t="s">
        <v>23876</v>
      </c>
      <c r="B8144" s="1">
        <v>7.0</v>
      </c>
      <c r="C8144" s="1" t="s">
        <v>23877</v>
      </c>
      <c r="D8144" s="1" t="s">
        <v>16</v>
      </c>
      <c r="E8144" s="1" t="s">
        <v>23878</v>
      </c>
      <c r="F8144" s="1" t="str">
        <f>IFERROR(__xludf.DUMMYFUNCTION("GOOGLETRANSLATE(A8144, ""zh-CN"", ""ko"")"),"효능")</f>
        <v>효능</v>
      </c>
    </row>
    <row r="8145" ht="15.75" customHeight="1">
      <c r="A8145" s="1" t="s">
        <v>23879</v>
      </c>
      <c r="B8145" s="1">
        <v>7.0</v>
      </c>
      <c r="C8145" s="1" t="s">
        <v>6630</v>
      </c>
      <c r="D8145" s="1" t="s">
        <v>52</v>
      </c>
      <c r="E8145" s="1" t="s">
        <v>23880</v>
      </c>
      <c r="F8145" s="1" t="str">
        <f>IFERROR(__xludf.DUMMYFUNCTION("GOOGLETRANSLATE(A8145, ""zh-CN"", ""ko"")"),"사악한")</f>
        <v>사악한</v>
      </c>
    </row>
    <row r="8146" ht="15.75" customHeight="1">
      <c r="A8146" s="1" t="s">
        <v>23881</v>
      </c>
      <c r="B8146" s="1">
        <v>7.0</v>
      </c>
      <c r="C8146" s="1" t="s">
        <v>23882</v>
      </c>
      <c r="D8146" s="1" t="s">
        <v>8</v>
      </c>
      <c r="E8146" s="1" t="s">
        <v>23883</v>
      </c>
      <c r="F8146" s="1" t="str">
        <f>IFERROR(__xludf.DUMMYFUNCTION("GOOGLETRANSLATE(A8146, ""zh-CN"", ""ko"")"),"유괴")</f>
        <v>유괴</v>
      </c>
    </row>
    <row r="8147" ht="15.75" customHeight="1">
      <c r="A8147" s="1" t="s">
        <v>23884</v>
      </c>
      <c r="B8147" s="1">
        <v>7.0</v>
      </c>
      <c r="C8147" s="1" t="s">
        <v>23885</v>
      </c>
      <c r="D8147" s="1" t="s">
        <v>14917</v>
      </c>
      <c r="E8147" s="1" t="s">
        <v>23886</v>
      </c>
      <c r="F8147" s="1" t="str">
        <f>IFERROR(__xludf.DUMMYFUNCTION("GOOGLETRANSLATE(A8147, ""zh-CN"", ""ko"")"),"합의")</f>
        <v>합의</v>
      </c>
    </row>
    <row r="8148" ht="15.75" customHeight="1">
      <c r="A8148" s="1" t="s">
        <v>23887</v>
      </c>
      <c r="B8148" s="1">
        <v>7.0</v>
      </c>
      <c r="C8148" s="1" t="s">
        <v>23888</v>
      </c>
      <c r="D8148" s="1" t="s">
        <v>52</v>
      </c>
      <c r="E8148" s="1" t="s">
        <v>23889</v>
      </c>
      <c r="F8148" s="1" t="str">
        <f>IFERROR(__xludf.DUMMYFUNCTION("GOOGLETRANSLATE(A8148, ""zh-CN"", ""ko"")"),"사악한")</f>
        <v>사악한</v>
      </c>
    </row>
    <row r="8149" ht="15.75" customHeight="1">
      <c r="A8149" s="1" t="s">
        <v>23890</v>
      </c>
      <c r="B8149" s="1">
        <v>7.0</v>
      </c>
      <c r="C8149" s="1" t="s">
        <v>23891</v>
      </c>
      <c r="D8149" s="1" t="s">
        <v>8</v>
      </c>
      <c r="E8149" s="1" t="s">
        <v>23892</v>
      </c>
      <c r="F8149" s="1" t="str">
        <f>IFERROR(__xludf.DUMMYFUNCTION("GOOGLETRANSLATE(A8149, ""zh-CN"", ""ko"")"),"손을 맞잡으세요")</f>
        <v>손을 맞잡으세요</v>
      </c>
    </row>
    <row r="8150" ht="15.75" customHeight="1">
      <c r="A8150" s="1" t="s">
        <v>23893</v>
      </c>
      <c r="B8150" s="1">
        <v>7.0</v>
      </c>
      <c r="C8150" s="1" t="s">
        <v>23894</v>
      </c>
      <c r="D8150" s="1" t="s">
        <v>8</v>
      </c>
      <c r="E8150" s="1" t="s">
        <v>23895</v>
      </c>
      <c r="F8150" s="1" t="str">
        <f>IFERROR(__xludf.DUMMYFUNCTION("GOOGLETRANSLATE(A8150, ""zh-CN"", ""ko"")"),"협동")</f>
        <v>협동</v>
      </c>
    </row>
    <row r="8151" ht="15.75" customHeight="1">
      <c r="A8151" s="1" t="s">
        <v>23896</v>
      </c>
      <c r="B8151" s="1">
        <v>7.0</v>
      </c>
      <c r="C8151" s="1" t="s">
        <v>23897</v>
      </c>
      <c r="D8151" s="1" t="s">
        <v>8</v>
      </c>
      <c r="E8151" s="1" t="s">
        <v>23895</v>
      </c>
      <c r="F8151" s="1" t="str">
        <f>IFERROR(__xludf.DUMMYFUNCTION("GOOGLETRANSLATE(A8151, ""zh-CN"", ""ko"")"),"협력")</f>
        <v>협력</v>
      </c>
    </row>
    <row r="8152" ht="15.75" customHeight="1">
      <c r="A8152" s="1" t="s">
        <v>23898</v>
      </c>
      <c r="B8152" s="1">
        <v>7.0</v>
      </c>
      <c r="C8152" s="1" t="s">
        <v>23899</v>
      </c>
      <c r="D8152" s="1" t="s">
        <v>14870</v>
      </c>
      <c r="E8152" s="1" t="s">
        <v>23900</v>
      </c>
      <c r="F8152" s="1" t="str">
        <f>IFERROR(__xludf.DUMMYFUNCTION("GOOGLETRANSLATE(A8152, ""zh-CN"", ""ko"")"),"초상화")</f>
        <v>초상화</v>
      </c>
    </row>
    <row r="8153" ht="15.75" customHeight="1">
      <c r="A8153" s="1" t="s">
        <v>23901</v>
      </c>
      <c r="B8153" s="1">
        <v>7.0</v>
      </c>
      <c r="C8153" s="1" t="s">
        <v>13246</v>
      </c>
      <c r="D8153" s="1" t="s">
        <v>8</v>
      </c>
      <c r="E8153" s="1" t="s">
        <v>23902</v>
      </c>
      <c r="F8153" s="1" t="str">
        <f>IFERROR(__xludf.DUMMYFUNCTION("GOOGLETRANSLATE(A8153, ""zh-CN"", ""ko"")"),"부리다")</f>
        <v>부리다</v>
      </c>
    </row>
    <row r="8154" ht="15.75" customHeight="1">
      <c r="A8154" s="1" t="s">
        <v>23903</v>
      </c>
      <c r="B8154" s="1">
        <v>7.0</v>
      </c>
      <c r="C8154" s="1" t="s">
        <v>13246</v>
      </c>
      <c r="D8154" s="1" t="s">
        <v>8</v>
      </c>
      <c r="E8154" s="1" t="s">
        <v>23904</v>
      </c>
      <c r="F8154" s="1" t="str">
        <f>IFERROR(__xludf.DUMMYFUNCTION("GOOGLETRANSLATE(A8154, ""zh-CN"", ""ko"")"),"벤트")</f>
        <v>벤트</v>
      </c>
    </row>
    <row r="8155" ht="15.75" customHeight="1">
      <c r="A8155" s="1" t="s">
        <v>23905</v>
      </c>
      <c r="B8155" s="1">
        <v>7.0</v>
      </c>
      <c r="C8155" s="1" t="s">
        <v>13246</v>
      </c>
      <c r="D8155" s="1" t="s">
        <v>8</v>
      </c>
      <c r="E8155" s="1" t="s">
        <v>23906</v>
      </c>
      <c r="F8155" s="1" t="str">
        <f>IFERROR(__xludf.DUMMYFUNCTION("GOOGLETRANSLATE(A8155, ""zh-CN"", ""ko"")"),"설사")</f>
        <v>설사</v>
      </c>
    </row>
    <row r="8156" ht="15.75" customHeight="1">
      <c r="A8156" s="1" t="s">
        <v>23907</v>
      </c>
      <c r="B8156" s="1">
        <v>7.0</v>
      </c>
      <c r="C8156" s="1" t="s">
        <v>23908</v>
      </c>
      <c r="D8156" s="1" t="s">
        <v>8</v>
      </c>
      <c r="E8156" s="1" t="s">
        <v>23909</v>
      </c>
      <c r="F8156" s="1" t="str">
        <f>IFERROR(__xludf.DUMMYFUNCTION("GOOGLETRANSLATE(A8156, ""zh-CN"", ""ko"")"),"누출")</f>
        <v>누출</v>
      </c>
    </row>
    <row r="8157" ht="15.75" customHeight="1">
      <c r="A8157" s="1" t="s">
        <v>23910</v>
      </c>
      <c r="B8157" s="1">
        <v>7.0</v>
      </c>
      <c r="C8157" s="1" t="s">
        <v>23911</v>
      </c>
      <c r="E8157" s="1" t="s">
        <v>23912</v>
      </c>
      <c r="F8157" s="1" t="str">
        <f>IFERROR(__xludf.DUMMYFUNCTION("GOOGLETRANSLATE(A8157, ""zh-CN"", ""ko"")"),"새다")</f>
        <v>새다</v>
      </c>
    </row>
    <row r="8158" ht="15.75" customHeight="1">
      <c r="A8158" s="1" t="s">
        <v>23913</v>
      </c>
      <c r="B8158" s="1">
        <v>7.0</v>
      </c>
      <c r="C8158" s="1" t="s">
        <v>23914</v>
      </c>
      <c r="D8158" s="1" t="s">
        <v>8</v>
      </c>
      <c r="E8158" s="1" t="s">
        <v>23915</v>
      </c>
      <c r="F8158" s="1" t="str">
        <f>IFERROR(__xludf.DUMMYFUNCTION("GOOGLETRANSLATE(A8158, ""zh-CN"", ""ko"")"),"사임하다")</f>
        <v>사임하다</v>
      </c>
    </row>
    <row r="8159" ht="15.75" customHeight="1">
      <c r="A8159" s="1" t="s">
        <v>23916</v>
      </c>
      <c r="B8159" s="1">
        <v>7.0</v>
      </c>
      <c r="C8159" s="1" t="s">
        <v>23917</v>
      </c>
      <c r="D8159" s="1" t="s">
        <v>8</v>
      </c>
      <c r="E8159" s="1" t="s">
        <v>23918</v>
      </c>
      <c r="F8159" s="1" t="str">
        <f>IFERROR(__xludf.DUMMYFUNCTION("GOOGLETRANSLATE(A8159, ""zh-CN"", ""ko"")"),"제거")</f>
        <v>제거</v>
      </c>
    </row>
    <row r="8160" ht="15.75" customHeight="1">
      <c r="A8160" s="1" t="s">
        <v>23919</v>
      </c>
      <c r="B8160" s="1">
        <v>7.0</v>
      </c>
      <c r="C8160" s="1" t="s">
        <v>23920</v>
      </c>
      <c r="E8160" s="1" t="s">
        <v>23921</v>
      </c>
      <c r="F8160" s="1" t="str">
        <f>IFERROR(__xludf.DUMMYFUNCTION("GOOGLETRANSLATE(A8160, ""zh-CN"", ""ko"")"),"편안하게 지내세요")</f>
        <v>편안하게 지내세요</v>
      </c>
    </row>
    <row r="8161" ht="15.75" customHeight="1">
      <c r="A8161" s="1" t="s">
        <v>23922</v>
      </c>
      <c r="B8161" s="1">
        <v>7.0</v>
      </c>
      <c r="C8161" s="1" t="s">
        <v>23923</v>
      </c>
      <c r="D8161" s="1" t="s">
        <v>16</v>
      </c>
      <c r="E8161" s="1" t="s">
        <v>23924</v>
      </c>
      <c r="F8161" s="1" t="str">
        <f>IFERROR(__xludf.DUMMYFUNCTION("GOOGLETRANSLATE(A8161, ""zh-CN"", ""ko"")"),"심장 질환")</f>
        <v>심장 질환</v>
      </c>
    </row>
    <row r="8162" ht="15.75" customHeight="1">
      <c r="A8162" s="1" t="s">
        <v>23925</v>
      </c>
      <c r="B8162" s="1">
        <v>7.0</v>
      </c>
      <c r="C8162" s="1" t="s">
        <v>23926</v>
      </c>
      <c r="D8162" s="1" t="s">
        <v>16</v>
      </c>
      <c r="E8162" s="1" t="s">
        <v>23927</v>
      </c>
      <c r="F8162" s="1" t="str">
        <f>IFERROR(__xludf.DUMMYFUNCTION("GOOGLETRANSLATE(A8162, ""zh-CN"", ""ko"")"),"마음")</f>
        <v>마음</v>
      </c>
    </row>
    <row r="8163" ht="15.75" customHeight="1">
      <c r="A8163" s="1" t="s">
        <v>23928</v>
      </c>
      <c r="B8163" s="1">
        <v>7.0</v>
      </c>
      <c r="C8163" s="1" t="s">
        <v>23929</v>
      </c>
      <c r="D8163" s="1" t="s">
        <v>15011</v>
      </c>
      <c r="E8163" s="1" t="s">
        <v>23930</v>
      </c>
      <c r="F8163" s="1" t="str">
        <f>IFERROR(__xludf.DUMMYFUNCTION("GOOGLETRANSLATE(A8163, ""zh-CN"", ""ko"")"),"트렌디한")</f>
        <v>트렌디한</v>
      </c>
    </row>
    <row r="8164" ht="15.75" customHeight="1">
      <c r="A8164" s="1" t="s">
        <v>23931</v>
      </c>
      <c r="B8164" s="1">
        <v>7.0</v>
      </c>
      <c r="C8164" s="1" t="s">
        <v>23932</v>
      </c>
      <c r="D8164" s="1" t="s">
        <v>16</v>
      </c>
      <c r="E8164" s="1" t="s">
        <v>23933</v>
      </c>
      <c r="F8164" s="1" t="str">
        <f>IFERROR(__xludf.DUMMYFUNCTION("GOOGLETRANSLATE(A8164, ""zh-CN"", ""ko"")"),"샐러리")</f>
        <v>샐러리</v>
      </c>
    </row>
    <row r="8165" ht="15.75" customHeight="1">
      <c r="A8165" s="1" t="s">
        <v>23934</v>
      </c>
      <c r="B8165" s="1">
        <v>7.0</v>
      </c>
      <c r="C8165" s="1" t="s">
        <v>23935</v>
      </c>
      <c r="D8165" s="1" t="s">
        <v>16</v>
      </c>
      <c r="E8165" s="1" t="s">
        <v>23936</v>
      </c>
      <c r="F8165" s="1" t="str">
        <f>IFERROR(__xludf.DUMMYFUNCTION("GOOGLETRANSLATE(A8165, ""zh-CN"", ""ko"")"),"새해")</f>
        <v>새해</v>
      </c>
    </row>
    <row r="8166" ht="15.75" customHeight="1">
      <c r="A8166" s="1" t="s">
        <v>23937</v>
      </c>
      <c r="B8166" s="1">
        <v>7.0</v>
      </c>
      <c r="C8166" s="1" t="s">
        <v>23938</v>
      </c>
      <c r="D8166" s="1" t="s">
        <v>8</v>
      </c>
      <c r="E8166" s="1" t="s">
        <v>23939</v>
      </c>
      <c r="F8166" s="1" t="str">
        <f>IFERROR(__xludf.DUMMYFUNCTION("GOOGLETRANSLATE(A8166, ""zh-CN"", ""ko"")"),"심계항진")</f>
        <v>심계항진</v>
      </c>
    </row>
    <row r="8167" ht="15.75" customHeight="1">
      <c r="A8167" s="1" t="s">
        <v>23940</v>
      </c>
      <c r="B8167" s="1">
        <v>7.0</v>
      </c>
      <c r="C8167" s="1" t="s">
        <v>23941</v>
      </c>
      <c r="E8167" s="1" t="s">
        <v>23942</v>
      </c>
      <c r="F8167" s="1" t="str">
        <f>IFERROR(__xludf.DUMMYFUNCTION("GOOGLETRANSLATE(A8167, ""zh-CN"", ""ko"")"),"불안해하는")</f>
        <v>불안해하는</v>
      </c>
    </row>
    <row r="8168" ht="15.75" customHeight="1">
      <c r="A8168" s="1" t="s">
        <v>23943</v>
      </c>
      <c r="B8168" s="1">
        <v>7.0</v>
      </c>
      <c r="C8168" s="1" t="s">
        <v>23944</v>
      </c>
      <c r="E8168" s="1" t="s">
        <v>23945</v>
      </c>
      <c r="F8168" s="1" t="str">
        <f>IFERROR(__xludf.DUMMYFUNCTION("GOOGLETRANSLATE(A8168, ""zh-CN"", ""ko"")"),"잘 만들어진")</f>
        <v>잘 만들어진</v>
      </c>
    </row>
    <row r="8169" ht="15.75" customHeight="1">
      <c r="A8169" s="1" t="s">
        <v>23946</v>
      </c>
      <c r="B8169" s="1">
        <v>7.0</v>
      </c>
      <c r="C8169" s="1" t="s">
        <v>23947</v>
      </c>
      <c r="D8169" s="1" t="s">
        <v>16</v>
      </c>
      <c r="E8169" s="1" t="s">
        <v>23948</v>
      </c>
      <c r="F8169" s="1" t="str">
        <f>IFERROR(__xludf.DUMMYFUNCTION("GOOGLETRANSLATE(A8169, ""zh-CN"", ""ko"")"),"칩")</f>
        <v>칩</v>
      </c>
    </row>
    <row r="8170" ht="15.75" customHeight="1">
      <c r="A8170" s="1" t="s">
        <v>23949</v>
      </c>
      <c r="B8170" s="1">
        <v>7.0</v>
      </c>
      <c r="C8170" s="1" t="s">
        <v>23950</v>
      </c>
      <c r="D8170" s="1" t="s">
        <v>52</v>
      </c>
      <c r="E8170" s="1" t="s">
        <v>23951</v>
      </c>
      <c r="F8170" s="1" t="str">
        <f>IFERROR(__xludf.DUMMYFUNCTION("GOOGLETRANSLATE(A8170, ""zh-CN"", ""ko"")"),"소설")</f>
        <v>소설</v>
      </c>
    </row>
    <row r="8171" ht="15.75" customHeight="1">
      <c r="A8171" s="1" t="s">
        <v>23952</v>
      </c>
      <c r="B8171" s="1">
        <v>7.0</v>
      </c>
      <c r="C8171" s="1" t="s">
        <v>23953</v>
      </c>
      <c r="D8171" s="1" t="s">
        <v>16</v>
      </c>
      <c r="E8171" s="1" t="s">
        <v>23954</v>
      </c>
      <c r="F8171" s="1" t="str">
        <f>IFERROR(__xludf.DUMMYFUNCTION("GOOGLETRANSLATE(A8171, ""zh-CN"", ""ko"")"),"진심 어린 말")</f>
        <v>진심 어린 말</v>
      </c>
    </row>
    <row r="8172" ht="15.75" customHeight="1">
      <c r="A8172" s="1" t="s">
        <v>23955</v>
      </c>
      <c r="B8172" s="1">
        <v>7.0</v>
      </c>
      <c r="C8172" s="1" t="s">
        <v>23953</v>
      </c>
      <c r="D8172" s="1" t="s">
        <v>15352</v>
      </c>
      <c r="E8172" s="1" t="s">
        <v>23956</v>
      </c>
      <c r="F8172" s="1" t="str">
        <f>IFERROR(__xludf.DUMMYFUNCTION("GOOGLETRANSLATE(A8172, ""zh-CN"", ""ko"")"),"신생아")</f>
        <v>신생아</v>
      </c>
    </row>
    <row r="8173" ht="15.75" customHeight="1">
      <c r="A8173" s="1" t="s">
        <v>23957</v>
      </c>
      <c r="B8173" s="1">
        <v>7.0</v>
      </c>
      <c r="C8173" s="1" t="s">
        <v>23958</v>
      </c>
      <c r="D8173" s="1" t="s">
        <v>16</v>
      </c>
      <c r="E8173" s="1" t="s">
        <v>23959</v>
      </c>
      <c r="F8173" s="1" t="str">
        <f>IFERROR(__xludf.DUMMYFUNCTION("GOOGLETRANSLATE(A8173, ""zh-CN"", ""ko"")"),"심통")</f>
        <v>심통</v>
      </c>
    </row>
    <row r="8174" ht="15.75" customHeight="1">
      <c r="A8174" s="1" t="s">
        <v>23960</v>
      </c>
      <c r="B8174" s="1">
        <v>7.0</v>
      </c>
      <c r="C8174" s="1" t="s">
        <v>23958</v>
      </c>
      <c r="D8174" s="1" t="s">
        <v>52</v>
      </c>
      <c r="E8174" s="1" t="s">
        <v>23961</v>
      </c>
      <c r="F8174" s="1" t="str">
        <f>IFERROR(__xludf.DUMMYFUNCTION("GOOGLETRANSLATE(A8174, ""zh-CN"", ""ko"")"),"새로운")</f>
        <v>새로운</v>
      </c>
    </row>
    <row r="8175" ht="15.75" customHeight="1">
      <c r="A8175" s="1" t="s">
        <v>23962</v>
      </c>
      <c r="B8175" s="1">
        <v>7.0</v>
      </c>
      <c r="C8175" s="1" t="s">
        <v>23963</v>
      </c>
      <c r="D8175" s="1" t="s">
        <v>16</v>
      </c>
      <c r="E8175" s="1" t="s">
        <v>23964</v>
      </c>
      <c r="F8175" s="1" t="str">
        <f>IFERROR(__xludf.DUMMYFUNCTION("GOOGLETRANSLATE(A8175, ""zh-CN"", ""ko"")"),"초보자")</f>
        <v>초보자</v>
      </c>
    </row>
    <row r="8176" ht="15.75" customHeight="1">
      <c r="A8176" s="1" t="s">
        <v>23965</v>
      </c>
      <c r="B8176" s="1">
        <v>7.0</v>
      </c>
      <c r="C8176" s="1" t="s">
        <v>23966</v>
      </c>
      <c r="D8176" s="1" t="s">
        <v>16</v>
      </c>
      <c r="E8176" s="1" t="s">
        <v>20687</v>
      </c>
      <c r="F8176" s="1" t="str">
        <f>IFERROR(__xludf.DUMMYFUNCTION("GOOGLETRANSLATE(A8176, ""zh-CN"", ""ko"")"),"생각")</f>
        <v>생각</v>
      </c>
    </row>
    <row r="8177" ht="15.75" customHeight="1">
      <c r="A8177" s="1" t="s">
        <v>23967</v>
      </c>
      <c r="B8177" s="1">
        <v>7.0</v>
      </c>
      <c r="C8177" s="1" t="s">
        <v>23968</v>
      </c>
      <c r="D8177" s="1" t="s">
        <v>52</v>
      </c>
      <c r="E8177" s="1" t="s">
        <v>23969</v>
      </c>
      <c r="F8177" s="1" t="str">
        <f>IFERROR(__xludf.DUMMYFUNCTION("GOOGLETRANSLATE(A8177, ""zh-CN"", ""ko"")"),"가슴 아픈")</f>
        <v>가슴 아픈</v>
      </c>
    </row>
    <row r="8178" ht="15.75" customHeight="1">
      <c r="A8178" s="1" t="s">
        <v>23970</v>
      </c>
      <c r="B8178" s="1">
        <v>7.0</v>
      </c>
      <c r="C8178" s="1" t="s">
        <v>23968</v>
      </c>
      <c r="D8178" s="1" t="s">
        <v>52</v>
      </c>
      <c r="E8178" s="1" t="s">
        <v>23971</v>
      </c>
      <c r="F8178" s="1" t="str">
        <f>IFERROR(__xludf.DUMMYFUNCTION("GOOGLETRANSLATE(A8178, ""zh-CN"", ""ko"")"),"격렬한")</f>
        <v>격렬한</v>
      </c>
    </row>
    <row r="8179" ht="15.75" customHeight="1">
      <c r="A8179" s="1" t="s">
        <v>23972</v>
      </c>
      <c r="B8179" s="1">
        <v>7.0</v>
      </c>
      <c r="C8179" s="1" t="s">
        <v>23973</v>
      </c>
      <c r="D8179" s="1" t="s">
        <v>52</v>
      </c>
      <c r="E8179" s="1" t="s">
        <v>23974</v>
      </c>
      <c r="F8179" s="1" t="str">
        <f>IFERROR(__xludf.DUMMYFUNCTION("GOOGLETRANSLATE(A8179, ""zh-CN"", ""ko"")"),"행복하다")</f>
        <v>행복하다</v>
      </c>
    </row>
    <row r="8180" ht="15.75" customHeight="1">
      <c r="A8180" s="1" t="s">
        <v>23975</v>
      </c>
      <c r="B8180" s="1">
        <v>7.0</v>
      </c>
      <c r="C8180" s="1" t="s">
        <v>23976</v>
      </c>
      <c r="E8180" s="1" t="s">
        <v>23977</v>
      </c>
      <c r="F8180" s="1" t="str">
        <f>IFERROR(__xludf.DUMMYFUNCTION("GOOGLETRANSLATE(A8180, ""zh-CN"", ""ko"")"),"당신의 모든 소원이 이루어지길 바랍니다")</f>
        <v>당신의 모든 소원이 이루어지길 바랍니다</v>
      </c>
    </row>
    <row r="8181" ht="15.75" customHeight="1">
      <c r="A8181" s="1" t="s">
        <v>23978</v>
      </c>
      <c r="B8181" s="1">
        <v>7.0</v>
      </c>
      <c r="C8181" s="1" t="s">
        <v>23979</v>
      </c>
      <c r="D8181" s="1" t="s">
        <v>16</v>
      </c>
      <c r="E8181" s="1" t="s">
        <v>23980</v>
      </c>
      <c r="F8181" s="1" t="str">
        <f>IFERROR(__xludf.DUMMYFUNCTION("GOOGLETRANSLATE(A8181, ""zh-CN"", ""ko"")"),"관대함")</f>
        <v>관대함</v>
      </c>
    </row>
    <row r="8182" ht="15.75" customHeight="1">
      <c r="A8182" s="1" t="s">
        <v>23981</v>
      </c>
      <c r="B8182" s="1">
        <v>7.0</v>
      </c>
      <c r="C8182" s="1" t="s">
        <v>23982</v>
      </c>
      <c r="D8182" s="1" t="s">
        <v>16</v>
      </c>
      <c r="E8182" s="1" t="s">
        <v>23983</v>
      </c>
      <c r="F8182" s="1" t="str">
        <f>IFERROR(__xludf.DUMMYFUNCTION("GOOGLETRANSLATE(A8182, ""zh-CN"", ""ko"")"),"진심 어린 소망을 담아")</f>
        <v>진심 어린 소망을 담아</v>
      </c>
    </row>
    <row r="8183" ht="15.75" customHeight="1">
      <c r="A8183" s="1" t="s">
        <v>23984</v>
      </c>
      <c r="B8183" s="1">
        <v>7.0</v>
      </c>
      <c r="C8183" s="1" t="s">
        <v>23985</v>
      </c>
      <c r="D8183" s="1" t="s">
        <v>16</v>
      </c>
      <c r="E8183" s="1" t="s">
        <v>23986</v>
      </c>
      <c r="F8183" s="1" t="str">
        <f>IFERROR(__xludf.DUMMYFUNCTION("GOOGLETRANSLATE(A8183, ""zh-CN"", ""ko"")"),"신용 거래")</f>
        <v>신용 거래</v>
      </c>
    </row>
    <row r="8184" ht="15.75" customHeight="1">
      <c r="A8184" s="1" t="s">
        <v>23987</v>
      </c>
      <c r="B8184" s="1">
        <v>7.0</v>
      </c>
      <c r="C8184" s="1" t="s">
        <v>23988</v>
      </c>
      <c r="D8184" s="1" t="s">
        <v>16</v>
      </c>
      <c r="E8184" s="1" t="s">
        <v>23989</v>
      </c>
      <c r="F8184" s="1" t="str">
        <f>IFERROR(__xludf.DUMMYFUNCTION("GOOGLETRANSLATE(A8184, ""zh-CN"", ""ko"")"),"편지")</f>
        <v>편지</v>
      </c>
    </row>
    <row r="8185" ht="15.75" customHeight="1">
      <c r="A8185" s="1" t="s">
        <v>23990</v>
      </c>
      <c r="B8185" s="1">
        <v>7.0</v>
      </c>
      <c r="C8185" s="1" t="s">
        <v>23991</v>
      </c>
      <c r="D8185" s="1" t="s">
        <v>16</v>
      </c>
      <c r="E8185" s="1" t="s">
        <v>23992</v>
      </c>
      <c r="F8185" s="1" t="str">
        <f>IFERROR(__xludf.DUMMYFUNCTION("GOOGLETRANSLATE(A8185, ""zh-CN"", ""ko"")"),"도핑")</f>
        <v>도핑</v>
      </c>
    </row>
    <row r="8186" ht="15.75" customHeight="1">
      <c r="A8186" s="1" t="s">
        <v>23993</v>
      </c>
      <c r="B8186" s="1">
        <v>7.0</v>
      </c>
      <c r="C8186" s="1" t="s">
        <v>23994</v>
      </c>
      <c r="D8186" s="1" t="s">
        <v>15011</v>
      </c>
      <c r="E8186" s="1" t="s">
        <v>23995</v>
      </c>
      <c r="F8186" s="1" t="str">
        <f>IFERROR(__xludf.DUMMYFUNCTION("GOOGLETRANSLATE(A8186, ""zh-CN"", ""ko"")"),"별점")</f>
        <v>별점</v>
      </c>
    </row>
    <row r="8187" ht="15.75" customHeight="1">
      <c r="A8187" s="1" t="s">
        <v>23996</v>
      </c>
      <c r="B8187" s="1">
        <v>7.0</v>
      </c>
      <c r="C8187" s="1" t="s">
        <v>23997</v>
      </c>
      <c r="D8187" s="1" t="s">
        <v>8</v>
      </c>
      <c r="E8187" s="1" t="s">
        <v>23998</v>
      </c>
      <c r="F8187" s="1" t="str">
        <f>IFERROR(__xludf.DUMMYFUNCTION("GOOGLETRANSLATE(A8187, ""zh-CN"", ""ko"")"),"짓다")</f>
        <v>짓다</v>
      </c>
    </row>
    <row r="8188" ht="15.75" customHeight="1">
      <c r="A8188" s="1" t="s">
        <v>23999</v>
      </c>
      <c r="B8188" s="1">
        <v>7.0</v>
      </c>
      <c r="C8188" s="1" t="s">
        <v>24000</v>
      </c>
      <c r="D8188" s="1" t="s">
        <v>16</v>
      </c>
      <c r="E8188" s="1" t="s">
        <v>24001</v>
      </c>
      <c r="F8188" s="1" t="str">
        <f>IFERROR(__xludf.DUMMYFUNCTION("GOOGLETRANSLATE(A8188, ""zh-CN"", ""ko"")"),"행성")</f>
        <v>행성</v>
      </c>
    </row>
    <row r="8189" ht="15.75" customHeight="1">
      <c r="A8189" s="1" t="s">
        <v>24002</v>
      </c>
      <c r="B8189" s="1">
        <v>7.0</v>
      </c>
      <c r="C8189" s="1" t="s">
        <v>24003</v>
      </c>
      <c r="D8189" s="1" t="s">
        <v>52</v>
      </c>
      <c r="E8189" s="1" t="s">
        <v>24004</v>
      </c>
      <c r="F8189" s="1" t="str">
        <f>IFERROR(__xludf.DUMMYFUNCTION("GOOGLETRANSLATE(A8189, ""zh-CN"", ""ko"")"),"번영")</f>
        <v>번영</v>
      </c>
    </row>
    <row r="8190" ht="15.75" customHeight="1">
      <c r="A8190" s="1" t="s">
        <v>24005</v>
      </c>
      <c r="B8190" s="1">
        <v>7.0</v>
      </c>
      <c r="C8190" s="1" t="s">
        <v>24006</v>
      </c>
      <c r="D8190" s="1" t="s">
        <v>16</v>
      </c>
      <c r="E8190" s="1" t="s">
        <v>24007</v>
      </c>
      <c r="F8190" s="1" t="str">
        <f>IFERROR(__xludf.DUMMYFUNCTION("GOOGLETRANSLATE(A8190, ""zh-CN"", ""ko"")"),"은하")</f>
        <v>은하</v>
      </c>
    </row>
    <row r="8191" ht="15.75" customHeight="1">
      <c r="A8191" s="1" t="s">
        <v>24008</v>
      </c>
      <c r="B8191" s="1">
        <v>7.0</v>
      </c>
      <c r="C8191" s="1" t="s">
        <v>24009</v>
      </c>
      <c r="D8191" s="1" t="s">
        <v>16</v>
      </c>
      <c r="E8191" s="1" t="s">
        <v>24010</v>
      </c>
      <c r="F8191" s="1" t="str">
        <f>IFERROR(__xludf.DUMMYFUNCTION("GOOGLETRANSLATE(A8191, ""zh-CN"", ""ko"")"),"침팬지")</f>
        <v>침팬지</v>
      </c>
    </row>
    <row r="8192" ht="15.75" customHeight="1">
      <c r="A8192" s="1" t="s">
        <v>24011</v>
      </c>
      <c r="B8192" s="1">
        <v>7.0</v>
      </c>
      <c r="C8192" s="1" t="s">
        <v>24012</v>
      </c>
      <c r="D8192" s="1" t="s">
        <v>16</v>
      </c>
      <c r="E8192" s="1" t="s">
        <v>24013</v>
      </c>
      <c r="F8192" s="1" t="str">
        <f>IFERROR(__xludf.DUMMYFUNCTION("GOOGLETRANSLATE(A8192, ""zh-CN"", ""ko"")"),"별자리")</f>
        <v>별자리</v>
      </c>
    </row>
    <row r="8193" ht="15.75" customHeight="1">
      <c r="A8193" s="1" t="s">
        <v>24014</v>
      </c>
      <c r="B8193" s="1">
        <v>7.0</v>
      </c>
      <c r="C8193" s="1" t="s">
        <v>24015</v>
      </c>
      <c r="D8193" s="1" t="s">
        <v>16</v>
      </c>
      <c r="E8193" s="1" t="s">
        <v>24016</v>
      </c>
      <c r="F8193" s="1" t="str">
        <f>IFERROR(__xludf.DUMMYFUNCTION("GOOGLETRANSLATE(A8193, ""zh-CN"", ""ko"")"),"형법")</f>
        <v>형법</v>
      </c>
    </row>
    <row r="8194" ht="15.75" customHeight="1">
      <c r="A8194" s="1" t="s">
        <v>24017</v>
      </c>
      <c r="B8194" s="1">
        <v>7.0</v>
      </c>
      <c r="C8194" s="1" t="s">
        <v>24018</v>
      </c>
      <c r="D8194" s="1" t="s">
        <v>8</v>
      </c>
      <c r="E8194" s="1" t="s">
        <v>24019</v>
      </c>
      <c r="F8194" s="1" t="str">
        <f>IFERROR(__xludf.DUMMYFUNCTION("GOOGLETRANSLATE(A8194, ""zh-CN"", ""ko"")"),"운동")</f>
        <v>운동</v>
      </c>
    </row>
    <row r="8195" ht="15.75" customHeight="1">
      <c r="A8195" s="1" t="s">
        <v>24020</v>
      </c>
      <c r="B8195" s="1">
        <v>7.0</v>
      </c>
      <c r="C8195" s="1" t="s">
        <v>24021</v>
      </c>
      <c r="D8195" s="1" t="s">
        <v>16</v>
      </c>
      <c r="E8195" s="1" t="s">
        <v>24001</v>
      </c>
      <c r="F8195" s="1" t="str">
        <f>IFERROR(__xludf.DUMMYFUNCTION("GOOGLETRANSLATE(A8195, ""zh-CN"", ""ko"")"),"행성")</f>
        <v>행성</v>
      </c>
    </row>
    <row r="8196" ht="15.75" customHeight="1">
      <c r="A8196" s="1" t="s">
        <v>24022</v>
      </c>
      <c r="B8196" s="1">
        <v>7.0</v>
      </c>
      <c r="C8196" s="1" t="s">
        <v>24023</v>
      </c>
      <c r="D8196" s="1" t="s">
        <v>52</v>
      </c>
      <c r="E8196" s="1" t="s">
        <v>24024</v>
      </c>
      <c r="F8196" s="1" t="str">
        <f>IFERROR(__xludf.DUMMYFUNCTION("GOOGLETRANSLATE(A8196, ""zh-CN"", ""ko"")"),"모든 종류")</f>
        <v>모든 종류</v>
      </c>
    </row>
    <row r="8197" ht="15.75" customHeight="1">
      <c r="A8197" s="1" t="s">
        <v>24025</v>
      </c>
      <c r="B8197" s="1">
        <v>7.0</v>
      </c>
      <c r="C8197" s="1" t="s">
        <v>24026</v>
      </c>
      <c r="E8197" s="1" t="s">
        <v>24027</v>
      </c>
      <c r="F8197" s="1" t="str">
        <f>IFERROR(__xludf.DUMMYFUNCTION("GOOGLETRANSLATE(A8197, ""zh-CN"", ""ko"")"),"나눌 수 없는")</f>
        <v>나눌 수 없는</v>
      </c>
    </row>
    <row r="8198" ht="15.75" customHeight="1">
      <c r="A8198" s="1" t="s">
        <v>24028</v>
      </c>
      <c r="B8198" s="1">
        <v>7.0</v>
      </c>
      <c r="C8198" s="1" t="s">
        <v>24029</v>
      </c>
      <c r="D8198" s="1" t="s">
        <v>52</v>
      </c>
      <c r="E8198" s="1" t="s">
        <v>24030</v>
      </c>
      <c r="F8198" s="1" t="str">
        <f>IFERROR(__xludf.DUMMYFUNCTION("GOOGLETRANSLATE(A8198, ""zh-CN"", ""ko"")"),"눈길을 사로잡는")</f>
        <v>눈길을 사로잡는</v>
      </c>
    </row>
    <row r="8199" ht="15.75" customHeight="1">
      <c r="A8199" s="1" t="s">
        <v>24031</v>
      </c>
      <c r="B8199" s="1">
        <v>7.0</v>
      </c>
      <c r="C8199" s="1" t="s">
        <v>24032</v>
      </c>
      <c r="D8199" s="1" t="s">
        <v>8</v>
      </c>
      <c r="E8199" s="1" t="s">
        <v>24033</v>
      </c>
      <c r="F8199" s="1" t="str">
        <f>IFERROR(__xludf.DUMMYFUNCTION("GOOGLETRANSLATE(A8199, ""zh-CN"", ""ko"")"),"각성")</f>
        <v>각성</v>
      </c>
    </row>
    <row r="8200" ht="15.75" customHeight="1">
      <c r="A8200" s="1" t="s">
        <v>24034</v>
      </c>
      <c r="B8200" s="1">
        <v>7.0</v>
      </c>
      <c r="C8200" s="1" t="s">
        <v>24035</v>
      </c>
      <c r="D8200" s="1" t="s">
        <v>8</v>
      </c>
      <c r="E8200" s="1" t="s">
        <v>24036</v>
      </c>
      <c r="F8200" s="1" t="str">
        <f>IFERROR(__xludf.DUMMYFUNCTION("GOOGLETRANSLATE(A8200, ""zh-CN"", ""ko"")"),"살아남은 사람")</f>
        <v>살아남은 사람</v>
      </c>
    </row>
    <row r="8201" ht="15.75" customHeight="1">
      <c r="A8201" s="1" t="s">
        <v>24037</v>
      </c>
      <c r="B8201" s="1">
        <v>7.0</v>
      </c>
      <c r="C8201" s="1" t="s">
        <v>24038</v>
      </c>
      <c r="D8201" s="1" t="s">
        <v>33</v>
      </c>
      <c r="E8201" s="1" t="s">
        <v>24039</v>
      </c>
      <c r="F8201" s="1" t="str">
        <f>IFERROR(__xludf.DUMMYFUNCTION("GOOGLETRANSLATE(A8201, ""zh-CN"", ""ko"")"),"다행스럽게도")</f>
        <v>다행스럽게도</v>
      </c>
    </row>
    <row r="8202" ht="15.75" customHeight="1">
      <c r="A8202" s="1" t="s">
        <v>24040</v>
      </c>
      <c r="B8202" s="1">
        <v>7.0</v>
      </c>
      <c r="C8202" s="1" t="s">
        <v>24041</v>
      </c>
      <c r="D8202" s="1" t="s">
        <v>8</v>
      </c>
      <c r="E8202" s="1" t="s">
        <v>24042</v>
      </c>
      <c r="F8202" s="1" t="str">
        <f>IFERROR(__xludf.DUMMYFUNCTION("GOOGLETRANSLATE(A8202, ""zh-CN"", ""ko"")"),"살아남았다")</f>
        <v>살아남았다</v>
      </c>
    </row>
    <row r="8203" ht="15.75" customHeight="1">
      <c r="A8203" s="1" t="s">
        <v>24043</v>
      </c>
      <c r="B8203" s="1">
        <v>7.0</v>
      </c>
      <c r="C8203" s="1" t="s">
        <v>24044</v>
      </c>
      <c r="D8203" s="1" t="s">
        <v>16</v>
      </c>
      <c r="E8203" s="1" t="s">
        <v>24045</v>
      </c>
      <c r="F8203" s="1" t="str">
        <f>IFERROR(__xludf.DUMMYFUNCTION("GOOGLETRANSLATE(A8203, ""zh-CN"", ""ko"")"),"기질")</f>
        <v>기질</v>
      </c>
    </row>
    <row r="8204" ht="15.75" customHeight="1">
      <c r="A8204" s="1" t="s">
        <v>24046</v>
      </c>
      <c r="B8204" s="1">
        <v>7.0</v>
      </c>
      <c r="C8204" s="1" t="s">
        <v>24047</v>
      </c>
      <c r="D8204" s="1" t="s">
        <v>16</v>
      </c>
      <c r="E8204" s="1" t="s">
        <v>24048</v>
      </c>
      <c r="F8204" s="1" t="str">
        <f>IFERROR(__xludf.DUMMYFUNCTION("GOOGLETRANSLATE(A8204, ""zh-CN"", ""ko"")"),"성")</f>
        <v>성</v>
      </c>
    </row>
    <row r="8205" ht="15.75" customHeight="1">
      <c r="A8205" s="1" t="s">
        <v>24049</v>
      </c>
      <c r="B8205" s="1">
        <v>7.0</v>
      </c>
      <c r="C8205" s="1" t="s">
        <v>6683</v>
      </c>
      <c r="D8205" s="1" t="s">
        <v>16</v>
      </c>
      <c r="E8205" s="1" t="s">
        <v>24050</v>
      </c>
      <c r="F8205" s="1" t="str">
        <f>IFERROR(__xludf.DUMMYFUNCTION("GOOGLETRANSLATE(A8205, ""zh-CN"", ""ko"")"),"관심")</f>
        <v>관심</v>
      </c>
    </row>
    <row r="8206" ht="15.75" customHeight="1">
      <c r="A8206" s="1" t="s">
        <v>24051</v>
      </c>
      <c r="B8206" s="1">
        <v>7.0</v>
      </c>
      <c r="C8206" s="1" t="s">
        <v>6686</v>
      </c>
      <c r="D8206" s="1" t="s">
        <v>52</v>
      </c>
      <c r="E8206" s="1" t="s">
        <v>20309</v>
      </c>
      <c r="F8206" s="1" t="str">
        <f>IFERROR(__xludf.DUMMYFUNCTION("GOOGLETRANSLATE(A8206, ""zh-CN"", ""ko"")"),"사나운")</f>
        <v>사나운</v>
      </c>
    </row>
    <row r="8207" ht="15.75" customHeight="1">
      <c r="A8207" s="1" t="s">
        <v>24052</v>
      </c>
      <c r="B8207" s="1">
        <v>7.0</v>
      </c>
      <c r="C8207" s="1" t="s">
        <v>24053</v>
      </c>
      <c r="D8207" s="1" t="s">
        <v>52</v>
      </c>
      <c r="E8207" s="1" t="s">
        <v>24054</v>
      </c>
      <c r="F8207" s="1" t="str">
        <f>IFERROR(__xludf.DUMMYFUNCTION("GOOGLETRANSLATE(A8207, ""zh-CN"", ""ko"")"),"야만성")</f>
        <v>야만성</v>
      </c>
    </row>
    <row r="8208" ht="15.75" customHeight="1">
      <c r="A8208" s="1" t="s">
        <v>24055</v>
      </c>
      <c r="B8208" s="1">
        <v>7.0</v>
      </c>
      <c r="C8208" s="1" t="s">
        <v>24056</v>
      </c>
      <c r="D8208" s="1" t="s">
        <v>52</v>
      </c>
      <c r="E8208" s="1" t="s">
        <v>24057</v>
      </c>
      <c r="F8208" s="1" t="str">
        <f>IFERROR(__xludf.DUMMYFUNCTION("GOOGLETRANSLATE(A8208, ""zh-CN"", ""ko"")"),"사나운")</f>
        <v>사나운</v>
      </c>
    </row>
    <row r="8209" ht="15.75" customHeight="1">
      <c r="A8209" s="1" t="s">
        <v>24058</v>
      </c>
      <c r="B8209" s="1">
        <v>7.0</v>
      </c>
      <c r="C8209" s="1" t="s">
        <v>24059</v>
      </c>
      <c r="D8209" s="1" t="s">
        <v>52</v>
      </c>
      <c r="E8209" s="1" t="s">
        <v>24060</v>
      </c>
      <c r="F8209" s="1" t="str">
        <f>IFERROR(__xludf.DUMMYFUNCTION("GOOGLETRANSLATE(A8209, ""zh-CN"", ""ko"")"),"사나운")</f>
        <v>사나운</v>
      </c>
    </row>
    <row r="8210" ht="15.75" customHeight="1">
      <c r="A8210" s="1" t="s">
        <v>24061</v>
      </c>
      <c r="B8210" s="1">
        <v>7.0</v>
      </c>
      <c r="C8210" s="1" t="s">
        <v>24062</v>
      </c>
      <c r="E8210" s="1" t="s">
        <v>24063</v>
      </c>
      <c r="F8210" s="1" t="str">
        <f>IFERROR(__xludf.DUMMYFUNCTION("GOOGLETRANSLATE(A8210, ""zh-CN"", ""ko"")"),"자신감")</f>
        <v>자신감</v>
      </c>
    </row>
    <row r="8211" ht="15.75" customHeight="1">
      <c r="A8211" s="1" t="s">
        <v>24064</v>
      </c>
      <c r="B8211" s="1">
        <v>7.0</v>
      </c>
      <c r="C8211" s="1" t="s">
        <v>24065</v>
      </c>
      <c r="D8211" s="1" t="s">
        <v>16</v>
      </c>
      <c r="E8211" s="1" t="s">
        <v>687</v>
      </c>
      <c r="F8211" s="1" t="str">
        <f>IFERROR(__xludf.DUMMYFUNCTION("GOOGLETRANSLATE(A8211, ""zh-CN"", ""ko"")"),"남성")</f>
        <v>남성</v>
      </c>
    </row>
    <row r="8212" ht="15.75" customHeight="1">
      <c r="A8212" s="1" t="s">
        <v>24066</v>
      </c>
      <c r="B8212" s="1">
        <v>7.0</v>
      </c>
      <c r="C8212" s="1" t="s">
        <v>24067</v>
      </c>
      <c r="D8212" s="1" t="s">
        <v>8</v>
      </c>
      <c r="E8212" s="1" t="s">
        <v>24068</v>
      </c>
      <c r="F8212" s="1" t="str">
        <f>IFERROR(__xludf.DUMMYFUNCTION("GOOGLETRANSLATE(A8212, ""zh-CN"", ""ko"")"),"수리하다")</f>
        <v>수리하다</v>
      </c>
    </row>
    <row r="8213" ht="15.75" customHeight="1">
      <c r="A8213" s="1" t="s">
        <v>24069</v>
      </c>
      <c r="B8213" s="1">
        <v>7.0</v>
      </c>
      <c r="C8213" s="1" t="s">
        <v>24070</v>
      </c>
      <c r="D8213" s="1" t="s">
        <v>52</v>
      </c>
      <c r="E8213" s="1" t="s">
        <v>24071</v>
      </c>
      <c r="F8213" s="1" t="str">
        <f>IFERROR(__xludf.DUMMYFUNCTION("GOOGLETRANSLATE(A8213, ""zh-CN"", ""ko"")"),"날씬한")</f>
        <v>날씬한</v>
      </c>
    </row>
    <row r="8214" ht="15.75" customHeight="1">
      <c r="A8214" s="1" t="s">
        <v>24072</v>
      </c>
      <c r="B8214" s="1">
        <v>7.0</v>
      </c>
      <c r="C8214" s="1" t="s">
        <v>24073</v>
      </c>
      <c r="D8214" s="1" t="s">
        <v>8</v>
      </c>
      <c r="E8214" s="1" t="s">
        <v>24074</v>
      </c>
      <c r="F8214" s="1" t="str">
        <f>IFERROR(__xludf.DUMMYFUNCTION("GOOGLETRANSLATE(A8214, ""zh-CN"", ""ko"")"),"충격")</f>
        <v>충격</v>
      </c>
    </row>
    <row r="8215" ht="15.75" customHeight="1">
      <c r="A8215" s="1" t="s">
        <v>24075</v>
      </c>
      <c r="B8215" s="1">
        <v>7.0</v>
      </c>
      <c r="C8215" s="1" t="s">
        <v>24076</v>
      </c>
      <c r="D8215" s="1" t="s">
        <v>52</v>
      </c>
      <c r="E8215" s="1" t="s">
        <v>24077</v>
      </c>
      <c r="F8215" s="1" t="str">
        <f>IFERROR(__xludf.DUMMYFUNCTION("GOOGLETRANSLATE(A8215, ""zh-CN"", ""ko"")"),"부끄러운")</f>
        <v>부끄러운</v>
      </c>
    </row>
    <row r="8216" ht="15.75" customHeight="1">
      <c r="A8216" s="1" t="s">
        <v>24078</v>
      </c>
      <c r="B8216" s="1">
        <v>7.0</v>
      </c>
      <c r="C8216" s="1" t="s">
        <v>24079</v>
      </c>
      <c r="D8216" s="1" t="s">
        <v>8</v>
      </c>
      <c r="E8216" s="1" t="s">
        <v>24080</v>
      </c>
      <c r="F8216" s="1" t="str">
        <f>IFERROR(__xludf.DUMMYFUNCTION("GOOGLETRANSLATE(A8216, ""zh-CN"", ""ko"")"),"동면")</f>
        <v>동면</v>
      </c>
    </row>
    <row r="8217" ht="15.75" customHeight="1">
      <c r="A8217" s="1" t="s">
        <v>24081</v>
      </c>
      <c r="B8217" s="1">
        <v>7.0</v>
      </c>
      <c r="C8217" s="1" t="s">
        <v>24082</v>
      </c>
      <c r="D8217" s="1" t="s">
        <v>8</v>
      </c>
      <c r="E8217" s="1" t="s">
        <v>24083</v>
      </c>
      <c r="F8217" s="1" t="str">
        <f>IFERROR(__xludf.DUMMYFUNCTION("GOOGLETRANSLATE(A8217, ""zh-CN"", ""ko"")"),"절대 생각조차 하지 마세요.")</f>
        <v>절대 생각조차 하지 마세요.</v>
      </c>
    </row>
    <row r="8218" ht="15.75" customHeight="1">
      <c r="A8218" s="1" t="s">
        <v>24084</v>
      </c>
      <c r="B8218" s="1">
        <v>7.0</v>
      </c>
      <c r="C8218" s="1" t="s">
        <v>13373</v>
      </c>
      <c r="D8218" s="1" t="s">
        <v>8</v>
      </c>
      <c r="E8218" s="1" t="s">
        <v>24085</v>
      </c>
      <c r="F8218" s="1" t="str">
        <f>IFERROR(__xludf.DUMMYFUNCTION("GOOGLETRANSLATE(A8218, ""zh-CN"", ""ko"")"),"회복")</f>
        <v>회복</v>
      </c>
    </row>
    <row r="8219" ht="15.75" customHeight="1">
      <c r="A8219" s="1" t="s">
        <v>24086</v>
      </c>
      <c r="B8219" s="1">
        <v>7.0</v>
      </c>
      <c r="C8219" s="1" t="s">
        <v>24087</v>
      </c>
      <c r="D8219" s="1" t="s">
        <v>8</v>
      </c>
      <c r="E8219" s="1" t="s">
        <v>24088</v>
      </c>
      <c r="F8219" s="1" t="str">
        <f>IFERROR(__xludf.DUMMYFUNCTION("GOOGLETRANSLATE(A8219, ""zh-CN"", ""ko"")"),"보정")</f>
        <v>보정</v>
      </c>
    </row>
    <row r="8220" ht="15.75" customHeight="1">
      <c r="A8220" s="1" t="s">
        <v>24089</v>
      </c>
      <c r="B8220" s="1">
        <v>7.0</v>
      </c>
      <c r="C8220" s="1" t="s">
        <v>13376</v>
      </c>
      <c r="D8220" s="1" t="s">
        <v>14917</v>
      </c>
      <c r="E8220" s="1" t="s">
        <v>24090</v>
      </c>
      <c r="F8220" s="1" t="str">
        <f>IFERROR(__xludf.DUMMYFUNCTION("GOOGLETRANSLATE(A8220, ""zh-CN"", ""ko"")"),"녹")</f>
        <v>녹</v>
      </c>
    </row>
    <row r="8221" ht="15.75" customHeight="1">
      <c r="A8221" s="1" t="s">
        <v>24091</v>
      </c>
      <c r="B8221" s="1">
        <v>7.0</v>
      </c>
      <c r="C8221" s="1" t="s">
        <v>13376</v>
      </c>
      <c r="D8221" s="1" t="s">
        <v>8</v>
      </c>
      <c r="E8221" s="1" t="s">
        <v>24092</v>
      </c>
      <c r="F8221" s="1" t="str">
        <f>IFERROR(__xludf.DUMMYFUNCTION("GOOGLETRANSLATE(A8221, ""zh-CN"", ""ko"")"),"냄새가 나다")</f>
        <v>냄새가 나다</v>
      </c>
    </row>
    <row r="8222" ht="15.75" customHeight="1">
      <c r="A8222" s="1" t="s">
        <v>24093</v>
      </c>
      <c r="B8222" s="1">
        <v>7.0</v>
      </c>
      <c r="C8222" s="1" t="s">
        <v>24094</v>
      </c>
      <c r="D8222" s="1" t="s">
        <v>52</v>
      </c>
      <c r="E8222" s="1" t="s">
        <v>24095</v>
      </c>
      <c r="F8222" s="1" t="str">
        <f>IFERROR(__xludf.DUMMYFUNCTION("GOOGLETRANSLATE(A8222, ""zh-CN"", ""ko"")"),"아름다운")</f>
        <v>아름다운</v>
      </c>
    </row>
    <row r="8223" ht="15.75" customHeight="1">
      <c r="A8223" s="1" t="s">
        <v>24096</v>
      </c>
      <c r="B8223" s="1">
        <v>7.0</v>
      </c>
      <c r="C8223" s="1" t="s">
        <v>24097</v>
      </c>
      <c r="D8223" s="1" t="s">
        <v>52</v>
      </c>
      <c r="E8223" s="1" t="s">
        <v>24098</v>
      </c>
      <c r="F8223" s="1" t="str">
        <f>IFERROR(__xludf.DUMMYFUNCTION("GOOGLETRANSLATE(A8223, ""zh-CN"", ""ko"")"),"아름다운")</f>
        <v>아름다운</v>
      </c>
    </row>
    <row r="8224" ht="15.75" customHeight="1">
      <c r="A8224" s="1" t="s">
        <v>24099</v>
      </c>
      <c r="B8224" s="1">
        <v>7.0</v>
      </c>
      <c r="C8224" s="1" t="s">
        <v>24100</v>
      </c>
      <c r="E8224" s="1" t="s">
        <v>24101</v>
      </c>
      <c r="F8224" s="1" t="str">
        <f>IFERROR(__xludf.DUMMYFUNCTION("GOOGLETRANSLATE(A8224, ""zh-CN"", ""ko"")"),"가만히 서 있다")</f>
        <v>가만히 서 있다</v>
      </c>
    </row>
    <row r="8225" ht="15.75" customHeight="1">
      <c r="A8225" s="1" t="s">
        <v>24102</v>
      </c>
      <c r="B8225" s="1">
        <v>7.0</v>
      </c>
      <c r="C8225" s="1" t="s">
        <v>24103</v>
      </c>
      <c r="D8225" s="1" t="s">
        <v>52</v>
      </c>
      <c r="E8225" s="1" t="s">
        <v>24104</v>
      </c>
      <c r="F8225" s="1" t="str">
        <f>IFERROR(__xludf.DUMMYFUNCTION("GOOGLETRANSLATE(A8225, ""zh-CN"", ""ko"")"),"포켓")</f>
        <v>포켓</v>
      </c>
    </row>
    <row r="8226" ht="15.75" customHeight="1">
      <c r="A8226" s="1" t="s">
        <v>24105</v>
      </c>
      <c r="B8226" s="1">
        <v>7.0</v>
      </c>
      <c r="C8226" s="1" t="s">
        <v>24106</v>
      </c>
      <c r="D8226" s="1" t="s">
        <v>15257</v>
      </c>
      <c r="E8226" s="1" t="s">
        <v>24107</v>
      </c>
      <c r="F8226" s="1" t="str">
        <f>IFERROR(__xludf.DUMMYFUNCTION("GOOGLETRANSLATE(A8226, ""zh-CN"", ""ko"")"),"가상")</f>
        <v>가상</v>
      </c>
    </row>
    <row r="8227" ht="15.75" customHeight="1">
      <c r="A8227" s="1" t="s">
        <v>24108</v>
      </c>
      <c r="B8227" s="1">
        <v>7.0</v>
      </c>
      <c r="C8227" s="1" t="s">
        <v>24106</v>
      </c>
      <c r="D8227" s="1" t="s">
        <v>8</v>
      </c>
      <c r="E8227" s="1" t="s">
        <v>24109</v>
      </c>
      <c r="F8227" s="1" t="str">
        <f>IFERROR(__xludf.DUMMYFUNCTION("GOOGLETRANSLATE(A8227, ""zh-CN"", ""ko"")"),"해야 하다")</f>
        <v>해야 하다</v>
      </c>
    </row>
    <row r="8228" ht="15.75" customHeight="1">
      <c r="A8228" s="1" t="s">
        <v>24110</v>
      </c>
      <c r="B8228" s="1">
        <v>7.0</v>
      </c>
      <c r="C8228" s="1" t="s">
        <v>24111</v>
      </c>
      <c r="D8228" s="1" t="s">
        <v>8</v>
      </c>
      <c r="E8228" s="1" t="s">
        <v>15101</v>
      </c>
      <c r="F8228" s="1" t="str">
        <f>IFERROR(__xludf.DUMMYFUNCTION("GOOGLETRANSLATE(A8228, ""zh-CN"", ""ko"")"),"상상의")</f>
        <v>상상의</v>
      </c>
    </row>
    <row r="8229" ht="15.75" customHeight="1">
      <c r="A8229" s="1" t="s">
        <v>24112</v>
      </c>
      <c r="B8229" s="1">
        <v>7.0</v>
      </c>
      <c r="C8229" s="1" t="s">
        <v>24113</v>
      </c>
      <c r="D8229" s="1" t="s">
        <v>52</v>
      </c>
      <c r="E8229" s="1" t="s">
        <v>24114</v>
      </c>
      <c r="F8229" s="1" t="str">
        <f>IFERROR(__xludf.DUMMYFUNCTION("GOOGLETRANSLATE(A8229, ""zh-CN"", ""ko"")"),"환상의")</f>
        <v>환상의</v>
      </c>
    </row>
    <row r="8230" ht="15.75" customHeight="1">
      <c r="A8230" s="1" t="s">
        <v>24115</v>
      </c>
      <c r="B8230" s="1">
        <v>7.0</v>
      </c>
      <c r="C8230" s="1" t="s">
        <v>24116</v>
      </c>
      <c r="D8230" s="1" t="s">
        <v>14735</v>
      </c>
      <c r="E8230" s="1" t="s">
        <v>24117</v>
      </c>
      <c r="F8230" s="1" t="str">
        <f>IFERROR(__xludf.DUMMYFUNCTION("GOOGLETRANSLATE(A8230, ""zh-CN"", ""ko"")"),"가상")</f>
        <v>가상</v>
      </c>
    </row>
    <row r="8231" ht="15.75" customHeight="1">
      <c r="A8231" s="1" t="s">
        <v>24118</v>
      </c>
      <c r="B8231" s="1">
        <v>7.0</v>
      </c>
      <c r="C8231" s="1" t="s">
        <v>24119</v>
      </c>
      <c r="D8231" s="1" t="s">
        <v>52</v>
      </c>
      <c r="E8231" s="1" t="s">
        <v>21666</v>
      </c>
      <c r="F8231" s="1" t="str">
        <f>IFERROR(__xludf.DUMMYFUNCTION("GOOGLETRANSLATE(A8231, ""zh-CN"", ""ko"")"),"약한")</f>
        <v>약한</v>
      </c>
    </row>
    <row r="8232" ht="15.75" customHeight="1">
      <c r="A8232" s="1" t="s">
        <v>24120</v>
      </c>
      <c r="B8232" s="1">
        <v>7.0</v>
      </c>
      <c r="C8232" s="1" t="s">
        <v>24121</v>
      </c>
      <c r="D8232" s="1" t="s">
        <v>52</v>
      </c>
      <c r="E8232" s="1" t="s">
        <v>24122</v>
      </c>
      <c r="F8232" s="1" t="str">
        <f>IFERROR(__xludf.DUMMYFUNCTION("GOOGLETRANSLATE(A8232, ""zh-CN"", ""ko"")"),"느리게")</f>
        <v>느리게</v>
      </c>
    </row>
    <row r="8233" ht="15.75" customHeight="1">
      <c r="A8233" s="1" t="s">
        <v>24123</v>
      </c>
      <c r="B8233" s="1">
        <v>7.0</v>
      </c>
      <c r="C8233" s="1" t="s">
        <v>24124</v>
      </c>
      <c r="D8233" s="1" t="s">
        <v>14992</v>
      </c>
      <c r="E8233" s="1" t="s">
        <v>24125</v>
      </c>
      <c r="F8233" s="1" t="str">
        <f>IFERROR(__xludf.DUMMYFUNCTION("GOOGLETRANSLATE(A8233, ""zh-CN"", ""ko"")"),"5월")</f>
        <v>5월</v>
      </c>
    </row>
    <row r="8234" ht="15.75" customHeight="1">
      <c r="A8234" s="1" t="s">
        <v>24126</v>
      </c>
      <c r="B8234" s="1">
        <v>7.0</v>
      </c>
      <c r="C8234" s="1" t="s">
        <v>24127</v>
      </c>
      <c r="D8234" s="1" t="s">
        <v>8</v>
      </c>
      <c r="E8234" s="1" t="s">
        <v>24128</v>
      </c>
      <c r="F8234" s="1" t="str">
        <f>IFERROR(__xludf.DUMMYFUNCTION("GOOGLETRANSLATE(A8234, ""zh-CN"", ""ko"")"),"소원을 빌어보세요")</f>
        <v>소원을 빌어보세요</v>
      </c>
    </row>
    <row r="8235" ht="15.75" customHeight="1">
      <c r="A8235" s="1" t="s">
        <v>24129</v>
      </c>
      <c r="B8235" s="1">
        <v>7.0</v>
      </c>
      <c r="C8235" s="1" t="s">
        <v>24130</v>
      </c>
      <c r="D8235" s="1" t="s">
        <v>16</v>
      </c>
      <c r="E8235" s="1" t="s">
        <v>24131</v>
      </c>
      <c r="F8235" s="1" t="str">
        <f>IFERROR(__xludf.DUMMYFUNCTION("GOOGLETRANSLATE(A8235, ""zh-CN"", ""ko"")"),"순서")</f>
        <v>순서</v>
      </c>
    </row>
    <row r="8236" ht="15.75" customHeight="1">
      <c r="A8236" s="1" t="s">
        <v>24132</v>
      </c>
      <c r="B8236" s="1">
        <v>7.0</v>
      </c>
      <c r="C8236" s="1" t="s">
        <v>24130</v>
      </c>
      <c r="D8236" s="1" t="s">
        <v>8</v>
      </c>
      <c r="E8236" s="1" t="s">
        <v>24133</v>
      </c>
      <c r="F8236" s="1" t="str">
        <f>IFERROR(__xludf.DUMMYFUNCTION("GOOGLETRANSLATE(A8236, ""zh-CN"", ""ko"")"),"계속되는")</f>
        <v>계속되는</v>
      </c>
    </row>
    <row r="8237" ht="15.75" customHeight="1">
      <c r="A8237" s="1" t="s">
        <v>24134</v>
      </c>
      <c r="B8237" s="1">
        <v>7.0</v>
      </c>
      <c r="C8237" s="1" t="s">
        <v>24135</v>
      </c>
      <c r="D8237" s="1" t="s">
        <v>52</v>
      </c>
      <c r="E8237" s="1" t="s">
        <v>24136</v>
      </c>
      <c r="F8237" s="1" t="str">
        <f>IFERROR(__xludf.DUMMYFUNCTION("GOOGLETRANSLATE(A8237, ""zh-CN"", ""ko"")"),"두서없이")</f>
        <v>두서없이</v>
      </c>
    </row>
    <row r="8238" ht="15.75" customHeight="1">
      <c r="A8238" s="1" t="s">
        <v>24137</v>
      </c>
      <c r="B8238" s="1">
        <v>7.0</v>
      </c>
      <c r="C8238" s="1" t="s">
        <v>24138</v>
      </c>
      <c r="D8238" s="1" t="s">
        <v>8</v>
      </c>
      <c r="E8238" s="1" t="s">
        <v>24139</v>
      </c>
      <c r="F8238" s="1" t="str">
        <f>IFERROR(__xludf.DUMMYFUNCTION("GOOGLETRANSLATE(A8238, ""zh-CN"", ""ko"")"),"배터리 수명")</f>
        <v>배터리 수명</v>
      </c>
    </row>
    <row r="8239" ht="15.75" customHeight="1">
      <c r="A8239" s="1" t="s">
        <v>24140</v>
      </c>
      <c r="B8239" s="1">
        <v>7.0</v>
      </c>
      <c r="C8239" s="1" t="s">
        <v>24141</v>
      </c>
      <c r="D8239" s="1" t="s">
        <v>16</v>
      </c>
      <c r="E8239" s="1" t="s">
        <v>2971</v>
      </c>
      <c r="F8239" s="1" t="str">
        <f>IFERROR(__xludf.DUMMYFUNCTION("GOOGLETRANSLATE(A8239, ""zh-CN"", ""ko"")"),"순서")</f>
        <v>순서</v>
      </c>
    </row>
    <row r="8240" ht="15.75" customHeight="1">
      <c r="A8240" s="1" t="s">
        <v>24142</v>
      </c>
      <c r="B8240" s="1">
        <v>7.0</v>
      </c>
      <c r="C8240" s="1" t="s">
        <v>13403</v>
      </c>
      <c r="D8240" s="1" t="s">
        <v>16</v>
      </c>
      <c r="E8240" s="1" t="s">
        <v>24143</v>
      </c>
      <c r="F8240" s="1" t="str">
        <f>IFERROR(__xludf.DUMMYFUNCTION("GOOGLETRANSLATE(A8240, ""zh-CN"", ""ko"")"),"전주곡")</f>
        <v>전주곡</v>
      </c>
    </row>
    <row r="8241" ht="15.75" customHeight="1">
      <c r="A8241" s="1" t="s">
        <v>24144</v>
      </c>
      <c r="B8241" s="1">
        <v>7.0</v>
      </c>
      <c r="C8241" s="1" t="s">
        <v>24145</v>
      </c>
      <c r="D8241" s="1" t="s">
        <v>16</v>
      </c>
      <c r="E8241" s="1" t="s">
        <v>24146</v>
      </c>
      <c r="F8241" s="1" t="str">
        <f>IFERROR(__xludf.DUMMYFUNCTION("GOOGLETRANSLATE(A8241, ""zh-CN"", ""ko"")"),"떠오르는 태양")</f>
        <v>떠오르는 태양</v>
      </c>
    </row>
    <row r="8242" ht="15.75" customHeight="1">
      <c r="A8242" s="1" t="s">
        <v>24147</v>
      </c>
      <c r="B8242" s="1">
        <v>7.0</v>
      </c>
      <c r="C8242" s="1" t="s">
        <v>24148</v>
      </c>
      <c r="D8242" s="1" t="s">
        <v>8</v>
      </c>
      <c r="E8242" s="1" t="s">
        <v>24149</v>
      </c>
      <c r="F8242" s="1" t="str">
        <f>IFERROR(__xludf.DUMMYFUNCTION("GOOGLETRANSLATE(A8242, ""zh-CN"", ""ko"")"),"주장하다")</f>
        <v>주장하다</v>
      </c>
    </row>
    <row r="8243" ht="15.75" customHeight="1">
      <c r="A8243" s="1" t="s">
        <v>24150</v>
      </c>
      <c r="B8243" s="1">
        <v>7.0</v>
      </c>
      <c r="C8243" s="1" t="s">
        <v>24151</v>
      </c>
      <c r="D8243" s="1" t="s">
        <v>8</v>
      </c>
      <c r="E8243" s="1" t="s">
        <v>24152</v>
      </c>
      <c r="F8243" s="1" t="str">
        <f>IFERROR(__xludf.DUMMYFUNCTION("GOOGLETRANSLATE(A8243, ""zh-CN"", ""ko"")"),"소리내어 읽으세요")</f>
        <v>소리내어 읽으세요</v>
      </c>
    </row>
    <row r="8244" ht="15.75" customHeight="1">
      <c r="A8244" s="1" t="s">
        <v>24153</v>
      </c>
      <c r="B8244" s="1">
        <v>7.0</v>
      </c>
      <c r="C8244" s="1" t="s">
        <v>24154</v>
      </c>
      <c r="D8244" s="1" t="s">
        <v>8</v>
      </c>
      <c r="E8244" s="1" t="s">
        <v>24155</v>
      </c>
      <c r="F8244" s="1" t="str">
        <f>IFERROR(__xludf.DUMMYFUNCTION("GOOGLETRANSLATE(A8244, ""zh-CN"", ""ko"")"),"발표")</f>
        <v>발표</v>
      </c>
    </row>
    <row r="8245" ht="15.75" customHeight="1">
      <c r="A8245" s="1" t="s">
        <v>24156</v>
      </c>
      <c r="B8245" s="1">
        <v>7.0</v>
      </c>
      <c r="C8245" s="1" t="s">
        <v>24157</v>
      </c>
      <c r="D8245" s="1" t="s">
        <v>52</v>
      </c>
      <c r="E8245" s="1" t="s">
        <v>24158</v>
      </c>
      <c r="F8245" s="1" t="str">
        <f>IFERROR(__xludf.DUMMYFUNCTION("GOOGLETRANSLATE(A8245, ""zh-CN"", ""ko"")"),"시끄러운")</f>
        <v>시끄러운</v>
      </c>
    </row>
    <row r="8246" ht="15.75" customHeight="1">
      <c r="A8246" s="1" t="s">
        <v>24159</v>
      </c>
      <c r="B8246" s="1">
        <v>7.0</v>
      </c>
      <c r="C8246" s="1" t="s">
        <v>24160</v>
      </c>
      <c r="D8246" s="1" t="s">
        <v>8</v>
      </c>
      <c r="E8246" s="1" t="s">
        <v>24161</v>
      </c>
      <c r="F8246" s="1" t="str">
        <f>IFERROR(__xludf.DUMMYFUNCTION("GOOGLETRANSLATE(A8246, ""zh-CN"", ""ko"")"),"환기")</f>
        <v>환기</v>
      </c>
    </row>
    <row r="8247" ht="15.75" customHeight="1">
      <c r="A8247" s="1" t="s">
        <v>24162</v>
      </c>
      <c r="B8247" s="1">
        <v>7.0</v>
      </c>
      <c r="C8247" s="1" t="s">
        <v>24163</v>
      </c>
      <c r="D8247" s="1" t="s">
        <v>16</v>
      </c>
      <c r="E8247" s="1" t="s">
        <v>24164</v>
      </c>
      <c r="F8247" s="1" t="str">
        <f>IFERROR(__xludf.DUMMYFUNCTION("GOOGLETRANSLATE(A8247, ""zh-CN"", ""ko"")"),"선언")</f>
        <v>선언</v>
      </c>
    </row>
    <row r="8248" ht="15.75" customHeight="1">
      <c r="A8248" s="1" t="s">
        <v>24165</v>
      </c>
      <c r="B8248" s="1">
        <v>7.0</v>
      </c>
      <c r="C8248" s="1" t="s">
        <v>24166</v>
      </c>
      <c r="D8248" s="1" t="s">
        <v>52</v>
      </c>
      <c r="E8248" s="1" t="s">
        <v>24167</v>
      </c>
      <c r="F8248" s="1" t="str">
        <f>IFERROR(__xludf.DUMMYFUNCTION("GOOGLETRANSLATE(A8248, ""zh-CN"", ""ko"")"),"신비로운")</f>
        <v>신비로운</v>
      </c>
    </row>
    <row r="8249" ht="15.75" customHeight="1">
      <c r="A8249" s="1" t="s">
        <v>24168</v>
      </c>
      <c r="B8249" s="1">
        <v>7.0</v>
      </c>
      <c r="C8249" s="1" t="s">
        <v>24166</v>
      </c>
      <c r="D8249" s="1" t="s">
        <v>8</v>
      </c>
      <c r="E8249" s="1" t="s">
        <v>24169</v>
      </c>
      <c r="F8249" s="1" t="str">
        <f>IFERROR(__xludf.DUMMYFUNCTION("GOOGLETRANSLATE(A8249, ""zh-CN"", ""ko"")"),"정지된")</f>
        <v>정지된</v>
      </c>
    </row>
    <row r="8250" ht="15.75" customHeight="1">
      <c r="A8250" s="1" t="s">
        <v>24170</v>
      </c>
      <c r="B8250" s="1">
        <v>7.0</v>
      </c>
      <c r="C8250" s="1" t="s">
        <v>24171</v>
      </c>
      <c r="D8250" s="1" t="s">
        <v>16</v>
      </c>
      <c r="E8250" s="1" t="s">
        <v>24172</v>
      </c>
      <c r="F8250" s="1" t="str">
        <f>IFERROR(__xludf.DUMMYFUNCTION("GOOGLETRANSLATE(A8250, ""zh-CN"", ""ko"")"),"신비")</f>
        <v>신비</v>
      </c>
    </row>
    <row r="8251" ht="15.75" customHeight="1">
      <c r="A8251" s="1" t="s">
        <v>24173</v>
      </c>
      <c r="B8251" s="1">
        <v>7.0</v>
      </c>
      <c r="C8251" s="1" t="s">
        <v>24174</v>
      </c>
      <c r="D8251" s="1" t="s">
        <v>16</v>
      </c>
      <c r="E8251" s="1" t="s">
        <v>24175</v>
      </c>
      <c r="F8251" s="1" t="str">
        <f>IFERROR(__xludf.DUMMYFUNCTION("GOOGLETRANSLATE(A8251, ""zh-CN"", ""ko"")"),"와동")</f>
        <v>와동</v>
      </c>
    </row>
    <row r="8252" ht="15.75" customHeight="1">
      <c r="A8252" s="1" t="s">
        <v>24176</v>
      </c>
      <c r="B8252" s="1">
        <v>7.0</v>
      </c>
      <c r="C8252" s="1" t="s">
        <v>24177</v>
      </c>
      <c r="D8252" s="1" t="s">
        <v>16</v>
      </c>
      <c r="E8252" s="1" t="s">
        <v>24178</v>
      </c>
      <c r="F8252" s="1" t="str">
        <f>IFERROR(__xludf.DUMMYFUNCTION("GOOGLETRANSLATE(A8252, ""zh-CN"", ""ko"")"),"낭떠러지")</f>
        <v>낭떠러지</v>
      </c>
    </row>
    <row r="8253" ht="15.75" customHeight="1">
      <c r="A8253" s="1" t="s">
        <v>24179</v>
      </c>
      <c r="B8253" s="1">
        <v>7.0</v>
      </c>
      <c r="C8253" s="1" t="s">
        <v>24180</v>
      </c>
      <c r="D8253" s="1" t="s">
        <v>16</v>
      </c>
      <c r="E8253" s="1" t="s">
        <v>24181</v>
      </c>
      <c r="F8253" s="1" t="str">
        <f>IFERROR(__xludf.DUMMYFUNCTION("GOOGLETRANSLATE(A8253, ""zh-CN"", ""ko"")"),"유권자")</f>
        <v>유권자</v>
      </c>
    </row>
    <row r="8254" ht="15.75" customHeight="1">
      <c r="A8254" s="1" t="s">
        <v>24182</v>
      </c>
      <c r="B8254" s="1">
        <v>7.0</v>
      </c>
      <c r="C8254" s="1" t="s">
        <v>24183</v>
      </c>
      <c r="D8254" s="1" t="s">
        <v>16</v>
      </c>
      <c r="E8254" s="1" t="s">
        <v>24184</v>
      </c>
      <c r="F8254" s="1" t="str">
        <f>IFERROR(__xludf.DUMMYFUNCTION("GOOGLETRANSLATE(A8254, ""zh-CN"", ""ko"")"),"옵션")</f>
        <v>옵션</v>
      </c>
    </row>
    <row r="8255" ht="15.75" customHeight="1">
      <c r="A8255" s="1" t="s">
        <v>24185</v>
      </c>
      <c r="B8255" s="1">
        <v>7.0</v>
      </c>
      <c r="C8255" s="1" t="s">
        <v>24186</v>
      </c>
      <c r="D8255" s="1" t="s">
        <v>8</v>
      </c>
      <c r="E8255" s="1" t="s">
        <v>24187</v>
      </c>
      <c r="F8255" s="1" t="str">
        <f>IFERROR(__xludf.DUMMYFUNCTION("GOOGLETRANSLATE(A8255, ""zh-CN"", ""ko"")"),"선택하다")</f>
        <v>선택하다</v>
      </c>
    </row>
    <row r="8256" ht="15.75" customHeight="1">
      <c r="A8256" s="1" t="s">
        <v>24188</v>
      </c>
      <c r="B8256" s="1">
        <v>7.0</v>
      </c>
      <c r="C8256" s="1" t="s">
        <v>24189</v>
      </c>
      <c r="D8256" s="1" t="s">
        <v>8</v>
      </c>
      <c r="E8256" s="1" t="s">
        <v>22646</v>
      </c>
      <c r="F8256" s="1" t="str">
        <f>IFERROR(__xludf.DUMMYFUNCTION("GOOGLETRANSLATE(A8256, ""zh-CN"", ""ko"")"),"줄이다")</f>
        <v>줄이다</v>
      </c>
    </row>
    <row r="8257" ht="15.75" customHeight="1">
      <c r="A8257" s="1" t="s">
        <v>24190</v>
      </c>
      <c r="B8257" s="1">
        <v>7.0</v>
      </c>
      <c r="C8257" s="1" t="s">
        <v>24191</v>
      </c>
      <c r="D8257" s="1" t="s">
        <v>16</v>
      </c>
      <c r="E8257" s="1" t="s">
        <v>24192</v>
      </c>
      <c r="F8257" s="1" t="str">
        <f>IFERROR(__xludf.DUMMYFUNCTION("GOOGLETRANSLATE(A8257, ""zh-CN"", ""ko"")"),"부츠")</f>
        <v>부츠</v>
      </c>
    </row>
    <row r="8258" ht="15.75" customHeight="1">
      <c r="A8258" s="1" t="s">
        <v>24193</v>
      </c>
      <c r="B8258" s="1">
        <v>7.0</v>
      </c>
      <c r="C8258" s="1" t="s">
        <v>24194</v>
      </c>
      <c r="D8258" s="1" t="s">
        <v>16</v>
      </c>
      <c r="E8258" s="1" t="s">
        <v>3436</v>
      </c>
      <c r="F8258" s="1" t="str">
        <f>IFERROR(__xludf.DUMMYFUNCTION("GOOGLETRANSLATE(A8258, ""zh-CN"", ""ko"")"),"지식")</f>
        <v>지식</v>
      </c>
    </row>
    <row r="8259" ht="15.75" customHeight="1">
      <c r="A8259" s="1" t="s">
        <v>24195</v>
      </c>
      <c r="B8259" s="1">
        <v>7.0</v>
      </c>
      <c r="C8259" s="1" t="s">
        <v>24196</v>
      </c>
      <c r="D8259" s="1" t="s">
        <v>16</v>
      </c>
      <c r="E8259" s="1" t="s">
        <v>24197</v>
      </c>
      <c r="F8259" s="1" t="str">
        <f>IFERROR(__xludf.DUMMYFUNCTION("GOOGLETRANSLATE(A8259, ""zh-CN"", ""ko"")"),"미혼 남자")</f>
        <v>미혼 남자</v>
      </c>
    </row>
    <row r="8260" ht="15.75" customHeight="1">
      <c r="A8260" s="1" t="s">
        <v>24198</v>
      </c>
      <c r="B8260" s="1">
        <v>7.0</v>
      </c>
      <c r="C8260" s="1" t="s">
        <v>13454</v>
      </c>
      <c r="D8260" s="1" t="s">
        <v>16</v>
      </c>
      <c r="E8260" s="1" t="s">
        <v>24199</v>
      </c>
      <c r="F8260" s="1" t="str">
        <f>IFERROR(__xludf.DUMMYFUNCTION("GOOGLETRANSLATE(A8260, ""zh-CN"", ""ko"")"),"혈자리")</f>
        <v>혈자리</v>
      </c>
    </row>
    <row r="8261" ht="15.75" customHeight="1">
      <c r="A8261" s="1" t="s">
        <v>24200</v>
      </c>
      <c r="B8261" s="1">
        <v>7.0</v>
      </c>
      <c r="C8261" s="1" t="s">
        <v>24201</v>
      </c>
      <c r="D8261" s="1" t="s">
        <v>16</v>
      </c>
      <c r="E8261" s="1" t="s">
        <v>24202</v>
      </c>
      <c r="F8261" s="1" t="str">
        <f>IFERROR(__xludf.DUMMYFUNCTION("GOOGLETRANSLATE(A8261, ""zh-CN"", ""ko"")"),"학생")</f>
        <v>학생</v>
      </c>
    </row>
    <row r="8262" ht="15.75" customHeight="1">
      <c r="A8262" s="1" t="s">
        <v>24203</v>
      </c>
      <c r="B8262" s="1">
        <v>7.0</v>
      </c>
      <c r="C8262" s="1" t="s">
        <v>24204</v>
      </c>
      <c r="D8262" s="1" t="s">
        <v>16</v>
      </c>
      <c r="E8262" s="1" t="s">
        <v>24205</v>
      </c>
      <c r="F8262" s="1" t="str">
        <f>IFERROR(__xludf.DUMMYFUNCTION("GOOGLETRANSLATE(A8262, ""zh-CN"", ""ko"")"),"재학생")</f>
        <v>재학생</v>
      </c>
    </row>
    <row r="8263" ht="15.75" customHeight="1">
      <c r="A8263" s="1" t="s">
        <v>24206</v>
      </c>
      <c r="B8263" s="1">
        <v>7.0</v>
      </c>
      <c r="C8263" s="1" t="s">
        <v>24207</v>
      </c>
      <c r="D8263" s="1" t="s">
        <v>16</v>
      </c>
      <c r="E8263" s="1" t="s">
        <v>24208</v>
      </c>
      <c r="F8263" s="1" t="str">
        <f>IFERROR(__xludf.DUMMYFUNCTION("GOOGLETRANSLATE(A8263, ""zh-CN"", ""ko"")"),"설산")</f>
        <v>설산</v>
      </c>
    </row>
    <row r="8264" ht="15.75" customHeight="1">
      <c r="A8264" s="1" t="s">
        <v>24209</v>
      </c>
      <c r="B8264" s="1">
        <v>7.0</v>
      </c>
      <c r="C8264" s="1" t="s">
        <v>24210</v>
      </c>
      <c r="D8264" s="1" t="s">
        <v>16</v>
      </c>
      <c r="E8264" s="1" t="s">
        <v>24211</v>
      </c>
      <c r="F8264" s="1" t="str">
        <f>IFERROR(__xludf.DUMMYFUNCTION("GOOGLETRANSLATE(A8264, ""zh-CN"", ""ko"")"),"혈통")</f>
        <v>혈통</v>
      </c>
    </row>
    <row r="8265" ht="15.75" customHeight="1">
      <c r="A8265" s="1" t="s">
        <v>24212</v>
      </c>
      <c r="B8265" s="1">
        <v>7.0</v>
      </c>
      <c r="C8265" s="1" t="s">
        <v>24213</v>
      </c>
      <c r="D8265" s="1" t="s">
        <v>16</v>
      </c>
      <c r="E8265" s="1" t="s">
        <v>24214</v>
      </c>
      <c r="F8265" s="1" t="str">
        <f>IFERROR(__xludf.DUMMYFUNCTION("GOOGLETRANSLATE(A8265, ""zh-CN"", ""ko"")"),"혈통")</f>
        <v>혈통</v>
      </c>
    </row>
    <row r="8266" ht="15.75" customHeight="1">
      <c r="A8266" s="1" t="s">
        <v>24215</v>
      </c>
      <c r="B8266" s="1">
        <v>7.0</v>
      </c>
      <c r="C8266" s="1" t="s">
        <v>24216</v>
      </c>
      <c r="D8266" s="1" t="s">
        <v>8</v>
      </c>
      <c r="E8266" s="1" t="s">
        <v>24217</v>
      </c>
      <c r="F8266" s="1" t="str">
        <f>IFERROR(__xludf.DUMMYFUNCTION("GOOGLETRANSLATE(A8266, ""zh-CN"", ""ko"")"),"연기")</f>
        <v>연기</v>
      </c>
    </row>
    <row r="8267" ht="15.75" customHeight="1">
      <c r="A8267" s="1" t="s">
        <v>24218</v>
      </c>
      <c r="B8267" s="1">
        <v>7.0</v>
      </c>
      <c r="C8267" s="1" t="s">
        <v>24219</v>
      </c>
      <c r="D8267" s="1" t="s">
        <v>16</v>
      </c>
      <c r="E8267" s="1" t="s">
        <v>24220</v>
      </c>
      <c r="F8267" s="1" t="str">
        <f>IFERROR(__xludf.DUMMYFUNCTION("GOOGLETRANSLATE(A8267, ""zh-CN"", ""ko"")"),"메달")</f>
        <v>메달</v>
      </c>
    </row>
    <row r="8268" ht="15.75" customHeight="1">
      <c r="A8268" s="1" t="s">
        <v>24221</v>
      </c>
      <c r="B8268" s="1">
        <v>7.0</v>
      </c>
      <c r="C8268" s="1" t="s">
        <v>24222</v>
      </c>
      <c r="D8268" s="1" t="s">
        <v>8</v>
      </c>
      <c r="E8268" s="1" t="s">
        <v>24223</v>
      </c>
      <c r="F8268" s="1" t="str">
        <f>IFERROR(__xludf.DUMMYFUNCTION("GOOGLETRANSLATE(A8268, ""zh-CN"", ""ko"")"),"구함")</f>
        <v>구함</v>
      </c>
    </row>
    <row r="8269" ht="15.75" customHeight="1">
      <c r="A8269" s="1" t="s">
        <v>24224</v>
      </c>
      <c r="B8269" s="1">
        <v>7.0</v>
      </c>
      <c r="C8269" s="1" t="s">
        <v>24222</v>
      </c>
      <c r="D8269" s="1" t="s">
        <v>26</v>
      </c>
      <c r="E8269" s="1" t="s">
        <v>24225</v>
      </c>
      <c r="F8269" s="1" t="str">
        <f>IFERROR(__xludf.DUMMYFUNCTION("GOOGLETRANSLATE(A8269, ""zh-CN"", ""ko"")"),"일순")</f>
        <v>일순</v>
      </c>
    </row>
    <row r="8270" ht="15.75" customHeight="1">
      <c r="A8270" s="1" t="s">
        <v>24226</v>
      </c>
      <c r="B8270" s="1">
        <v>7.0</v>
      </c>
      <c r="C8270" s="1" t="s">
        <v>24227</v>
      </c>
      <c r="D8270" s="1" t="s">
        <v>52</v>
      </c>
      <c r="E8270" s="1" t="s">
        <v>24228</v>
      </c>
      <c r="F8270" s="1" t="str">
        <f>IFERROR(__xludf.DUMMYFUNCTION("GOOGLETRANSLATE(A8270, ""zh-CN"", ""ko"")"),"평범한")</f>
        <v>평범한</v>
      </c>
    </row>
    <row r="8271" ht="15.75" customHeight="1">
      <c r="A8271" s="1" t="s">
        <v>24229</v>
      </c>
      <c r="B8271" s="1">
        <v>7.0</v>
      </c>
      <c r="C8271" s="1" t="s">
        <v>24230</v>
      </c>
      <c r="D8271" s="1" t="s">
        <v>8</v>
      </c>
      <c r="E8271" s="1" t="s">
        <v>24231</v>
      </c>
      <c r="F8271" s="1" t="str">
        <f>IFERROR(__xludf.DUMMYFUNCTION("GOOGLETRANSLATE(A8271, ""zh-CN"", ""ko"")"),"관광")</f>
        <v>관광</v>
      </c>
    </row>
    <row r="8272" ht="15.75" customHeight="1">
      <c r="A8272" s="1" t="s">
        <v>24232</v>
      </c>
      <c r="B8272" s="1">
        <v>7.0</v>
      </c>
      <c r="C8272" s="1" t="s">
        <v>24233</v>
      </c>
      <c r="D8272" s="1" t="s">
        <v>8</v>
      </c>
      <c r="E8272" s="1" t="s">
        <v>24234</v>
      </c>
      <c r="F8272" s="1" t="str">
        <f>IFERROR(__xludf.DUMMYFUNCTION("GOOGLETRANSLATE(A8272, ""zh-CN"", ""ko"")"),"점검")</f>
        <v>점검</v>
      </c>
    </row>
    <row r="8273" ht="15.75" customHeight="1">
      <c r="A8273" s="1" t="s">
        <v>24235</v>
      </c>
      <c r="B8273" s="1">
        <v>7.0</v>
      </c>
      <c r="C8273" s="1" t="s">
        <v>24236</v>
      </c>
      <c r="D8273" s="1" t="s">
        <v>8</v>
      </c>
      <c r="E8273" s="1" t="s">
        <v>24237</v>
      </c>
      <c r="F8273" s="1" t="str">
        <f>IFERROR(__xludf.DUMMYFUNCTION("GOOGLETRANSLATE(A8273, ""zh-CN"", ""ko"")"),"훈련")</f>
        <v>훈련</v>
      </c>
    </row>
    <row r="8274" ht="15.75" customHeight="1">
      <c r="A8274" s="1" t="s">
        <v>24238</v>
      </c>
      <c r="B8274" s="1">
        <v>7.0</v>
      </c>
      <c r="C8274" s="1" t="s">
        <v>24236</v>
      </c>
      <c r="D8274" s="1" t="s">
        <v>8</v>
      </c>
      <c r="E8274" s="1" t="s">
        <v>24239</v>
      </c>
      <c r="F8274" s="1" t="str">
        <f>IFERROR(__xludf.DUMMYFUNCTION("GOOGLETRANSLATE(A8274, ""zh-CN"", ""ko"")"),"길들인")</f>
        <v>길들인</v>
      </c>
    </row>
    <row r="8275" ht="15.75" customHeight="1">
      <c r="A8275" s="1" t="s">
        <v>24240</v>
      </c>
      <c r="B8275" s="1">
        <v>7.0</v>
      </c>
      <c r="C8275" s="1" t="s">
        <v>24241</v>
      </c>
      <c r="D8275" s="1" t="s">
        <v>52</v>
      </c>
      <c r="E8275" s="1" t="s">
        <v>24242</v>
      </c>
      <c r="F8275" s="1" t="str">
        <f>IFERROR(__xludf.DUMMYFUNCTION("GOOGLETRANSLATE(A8275, ""zh-CN"", ""ko"")"),"스위프트")</f>
        <v>스위프트</v>
      </c>
    </row>
    <row r="8276" ht="15.75" customHeight="1">
      <c r="A8276" s="1" t="s">
        <v>24243</v>
      </c>
      <c r="B8276" s="1">
        <v>7.0</v>
      </c>
      <c r="C8276" s="1" t="s">
        <v>24244</v>
      </c>
      <c r="D8276" s="1" t="s">
        <v>15011</v>
      </c>
      <c r="E8276" s="1" t="s">
        <v>24245</v>
      </c>
      <c r="F8276" s="1" t="str">
        <f>IFERROR(__xludf.DUMMYFUNCTION("GOOGLETRANSLATE(A8276, ""zh-CN"", ""ko"")"),"밑에 붙이는")</f>
        <v>밑에 붙이는</v>
      </c>
    </row>
    <row r="8277" ht="15.75" customHeight="1">
      <c r="A8277" s="1" t="s">
        <v>24246</v>
      </c>
      <c r="B8277" s="1">
        <v>7.0</v>
      </c>
      <c r="C8277" s="1" t="s">
        <v>24247</v>
      </c>
      <c r="D8277" s="1" t="s">
        <v>8</v>
      </c>
      <c r="E8277" s="1" t="s">
        <v>24248</v>
      </c>
      <c r="F8277" s="1" t="str">
        <f>IFERROR(__xludf.DUMMYFUNCTION("GOOGLETRANSLATE(A8277, ""zh-CN"", ""ko"")"),"누르다")</f>
        <v>누르다</v>
      </c>
    </row>
    <row r="8278" ht="15.75" customHeight="1">
      <c r="A8278" s="1" t="s">
        <v>24249</v>
      </c>
      <c r="B8278" s="1">
        <v>7.0</v>
      </c>
      <c r="C8278" s="1" t="s">
        <v>24250</v>
      </c>
      <c r="D8278" s="1" t="s">
        <v>8</v>
      </c>
      <c r="E8278" s="1" t="s">
        <v>24251</v>
      </c>
      <c r="F8278" s="1" t="str">
        <f>IFERROR(__xludf.DUMMYFUNCTION("GOOGLETRANSLATE(A8278, ""zh-CN"", ""ko"")"),"압도적인")</f>
        <v>압도적인</v>
      </c>
    </row>
    <row r="8279" ht="15.75" customHeight="1">
      <c r="A8279" s="1" t="s">
        <v>24252</v>
      </c>
      <c r="B8279" s="1">
        <v>7.0</v>
      </c>
      <c r="C8279" s="1" t="s">
        <v>24253</v>
      </c>
      <c r="D8279" s="1" t="s">
        <v>16</v>
      </c>
      <c r="E8279" s="1" t="s">
        <v>24254</v>
      </c>
      <c r="F8279" s="1" t="str">
        <f>IFERROR(__xludf.DUMMYFUNCTION("GOOGLETRANSLATE(A8279, ""zh-CN"", ""ko"")"),"소녀")</f>
        <v>소녀</v>
      </c>
    </row>
    <row r="8280" ht="15.75" customHeight="1">
      <c r="A8280" s="1" t="s">
        <v>24255</v>
      </c>
      <c r="B8280" s="1">
        <v>7.0</v>
      </c>
      <c r="C8280" s="1" t="s">
        <v>24256</v>
      </c>
      <c r="D8280" s="1" t="s">
        <v>14870</v>
      </c>
      <c r="E8280" s="1" t="s">
        <v>24257</v>
      </c>
      <c r="F8280" s="1" t="str">
        <f>IFERROR(__xludf.DUMMYFUNCTION("GOOGLETRANSLATE(A8280, ""zh-CN"", ""ko"")"),"최종 샤프트")</f>
        <v>최종 샤프트</v>
      </c>
    </row>
    <row r="8281" ht="15.75" customHeight="1">
      <c r="A8281" s="1" t="s">
        <v>24258</v>
      </c>
      <c r="B8281" s="1">
        <v>7.0</v>
      </c>
      <c r="C8281" s="1" t="s">
        <v>24259</v>
      </c>
      <c r="D8281" s="1" t="s">
        <v>16</v>
      </c>
      <c r="E8281" s="1" t="s">
        <v>16775</v>
      </c>
      <c r="F8281" s="1" t="str">
        <f>IFERROR(__xludf.DUMMYFUNCTION("GOOGLETRANSLATE(A8281, ""zh-CN"", ""ko"")"),"싹")</f>
        <v>싹</v>
      </c>
    </row>
    <row r="8282" ht="15.75" customHeight="1">
      <c r="A8282" s="1" t="s">
        <v>24260</v>
      </c>
      <c r="B8282" s="1">
        <v>7.0</v>
      </c>
      <c r="C8282" s="1" t="s">
        <v>24261</v>
      </c>
      <c r="D8282" s="1" t="s">
        <v>52</v>
      </c>
      <c r="E8282" s="1" t="s">
        <v>24262</v>
      </c>
      <c r="F8282" s="1" t="str">
        <f>IFERROR(__xludf.DUMMYFUNCTION("GOOGLETRANSLATE(A8282, ""zh-CN"", ""ko"")"),"멍청한")</f>
        <v>멍청한</v>
      </c>
    </row>
    <row r="8283" ht="15.75" customHeight="1">
      <c r="A8283" s="1" t="s">
        <v>24263</v>
      </c>
      <c r="B8283" s="1">
        <v>7.0</v>
      </c>
      <c r="C8283" s="1" t="s">
        <v>24264</v>
      </c>
      <c r="E8283" s="1" t="s">
        <v>24265</v>
      </c>
      <c r="F8283" s="1" t="str">
        <f>IFERROR(__xludf.DUMMYFUNCTION("GOOGLETRANSLATE(A8283, ""zh-CN"", ""ko"")"),"새싹을 뽑아 올려주면 새싹이 잘 자라는 데 도움이 됩니다.")</f>
        <v>새싹을 뽑아 올려주면 새싹이 잘 자라는 데 도움이 됩니다.</v>
      </c>
    </row>
    <row r="8284" ht="15.75" customHeight="1">
      <c r="A8284" s="1" t="s">
        <v>24266</v>
      </c>
      <c r="B8284" s="1">
        <v>7.0</v>
      </c>
      <c r="C8284" s="1" t="s">
        <v>24267</v>
      </c>
      <c r="D8284" s="1" t="s">
        <v>16</v>
      </c>
      <c r="E8284" s="1" t="s">
        <v>24268</v>
      </c>
      <c r="F8284" s="1" t="str">
        <f>IFERROR(__xludf.DUMMYFUNCTION("GOOGLETRANSLATE(A8284, ""zh-CN"", ""ko"")"),"굴뚝")</f>
        <v>굴뚝</v>
      </c>
    </row>
    <row r="8285" ht="15.75" customHeight="1">
      <c r="A8285" s="1" t="s">
        <v>24269</v>
      </c>
      <c r="B8285" s="1">
        <v>7.0</v>
      </c>
      <c r="C8285" s="1" t="s">
        <v>24270</v>
      </c>
      <c r="D8285" s="1" t="s">
        <v>16</v>
      </c>
      <c r="E8285" s="1" t="s">
        <v>24271</v>
      </c>
      <c r="F8285" s="1" t="str">
        <f>IFERROR(__xludf.DUMMYFUNCTION("GOOGLETRANSLATE(A8285, ""zh-CN"", ""ko"")"),"목")</f>
        <v>목</v>
      </c>
    </row>
    <row r="8286" ht="15.75" customHeight="1">
      <c r="A8286" s="1" t="s">
        <v>24272</v>
      </c>
      <c r="B8286" s="1">
        <v>7.0</v>
      </c>
      <c r="C8286" s="1" t="s">
        <v>24273</v>
      </c>
      <c r="D8286" s="1" t="s">
        <v>16</v>
      </c>
      <c r="E8286" s="1" t="s">
        <v>13506</v>
      </c>
      <c r="F8286" s="1" t="str">
        <f>IFERROR(__xludf.DUMMYFUNCTION("GOOGLETRANSLATE(A8286, ""zh-CN"", ""ko"")"),"불꽃")</f>
        <v>불꽃</v>
      </c>
    </row>
    <row r="8287" ht="15.75" customHeight="1">
      <c r="A8287" s="1" t="s">
        <v>24274</v>
      </c>
      <c r="B8287" s="1">
        <v>7.0</v>
      </c>
      <c r="C8287" s="1" t="s">
        <v>24275</v>
      </c>
      <c r="D8287" s="1" t="s">
        <v>16</v>
      </c>
      <c r="E8287" s="1" t="s">
        <v>24276</v>
      </c>
      <c r="F8287" s="1" t="str">
        <f>IFERROR(__xludf.DUMMYFUNCTION("GOOGLETRANSLATE(A8287, ""zh-CN"", ""ko"")"),"불꽃")</f>
        <v>불꽃</v>
      </c>
    </row>
    <row r="8288" ht="15.75" customHeight="1">
      <c r="A8288" s="1" t="s">
        <v>24277</v>
      </c>
      <c r="B8288" s="1">
        <v>7.0</v>
      </c>
      <c r="C8288" s="1" t="s">
        <v>3228</v>
      </c>
      <c r="D8288" s="1" t="s">
        <v>8</v>
      </c>
      <c r="E8288" s="1" t="s">
        <v>24278</v>
      </c>
      <c r="F8288" s="1" t="str">
        <f>IFERROR(__xludf.DUMMYFUNCTION("GOOGLETRANSLATE(A8288, ""zh-CN"", ""ko"")"),"얀")</f>
        <v>얀</v>
      </c>
    </row>
    <row r="8289" ht="15.75" customHeight="1">
      <c r="A8289" s="1" t="s">
        <v>24279</v>
      </c>
      <c r="B8289" s="1">
        <v>7.0</v>
      </c>
      <c r="C8289" s="1" t="s">
        <v>24280</v>
      </c>
      <c r="D8289" s="1" t="s">
        <v>16</v>
      </c>
      <c r="E8289" s="1" t="s">
        <v>24281</v>
      </c>
      <c r="F8289" s="1" t="str">
        <f>IFERROR(__xludf.DUMMYFUNCTION("GOOGLETRANSLATE(A8289, ""zh-CN"", ""ko"")"),"연안")</f>
        <v>연안</v>
      </c>
    </row>
    <row r="8290" ht="15.75" customHeight="1">
      <c r="A8290" s="1" t="s">
        <v>24282</v>
      </c>
      <c r="B8290" s="1">
        <v>7.0</v>
      </c>
      <c r="C8290" s="1" t="s">
        <v>24283</v>
      </c>
      <c r="D8290" s="1" t="s">
        <v>16</v>
      </c>
      <c r="E8290" s="1" t="s">
        <v>24284</v>
      </c>
      <c r="F8290" s="1" t="str">
        <f>IFERROR(__xludf.DUMMYFUNCTION("GOOGLETRANSLATE(A8290, ""zh-CN"", ""ko"")"),"단어")</f>
        <v>단어</v>
      </c>
    </row>
    <row r="8291" ht="15.75" customHeight="1">
      <c r="A8291" s="1" t="s">
        <v>24285</v>
      </c>
      <c r="B8291" s="1">
        <v>7.0</v>
      </c>
      <c r="C8291" s="1" t="s">
        <v>24286</v>
      </c>
      <c r="D8291" s="1" t="s">
        <v>8</v>
      </c>
      <c r="E8291" s="1" t="s">
        <v>24287</v>
      </c>
      <c r="F8291" s="1" t="str">
        <f>IFERROR(__xludf.DUMMYFUNCTION("GOOGLETRANSLATE(A8291, ""zh-CN"", ""ko"")"),"지연")</f>
        <v>지연</v>
      </c>
    </row>
    <row r="8292" ht="15.75" customHeight="1">
      <c r="A8292" s="1" t="s">
        <v>24288</v>
      </c>
      <c r="B8292" s="1">
        <v>7.0</v>
      </c>
      <c r="C8292" s="1" t="s">
        <v>24289</v>
      </c>
      <c r="D8292" s="1" t="s">
        <v>52</v>
      </c>
      <c r="E8292" s="1" t="s">
        <v>24290</v>
      </c>
      <c r="F8292" s="1" t="str">
        <f>IFERROR(__xludf.DUMMYFUNCTION("GOOGLETRANSLATE(A8292, ""zh-CN"", ""ko"")"),"엄밀한")</f>
        <v>엄밀한</v>
      </c>
    </row>
    <row r="8293" ht="15.75" customHeight="1">
      <c r="A8293" s="1" t="s">
        <v>24291</v>
      </c>
      <c r="B8293" s="1">
        <v>7.0</v>
      </c>
      <c r="C8293" s="1" t="s">
        <v>24292</v>
      </c>
      <c r="D8293" s="1" t="s">
        <v>17886</v>
      </c>
      <c r="E8293" s="1" t="s">
        <v>24293</v>
      </c>
      <c r="F8293" s="1" t="str">
        <f>IFERROR(__xludf.DUMMYFUNCTION("GOOGLETRANSLATE(A8293, ""zh-CN"", ""ko"")"),"가는 길에")</f>
        <v>가는 길에</v>
      </c>
    </row>
    <row r="8294" ht="15.75" customHeight="1">
      <c r="A8294" s="1" t="s">
        <v>24294</v>
      </c>
      <c r="B8294" s="1">
        <v>7.0</v>
      </c>
      <c r="C8294" s="1" t="s">
        <v>24295</v>
      </c>
      <c r="D8294" s="1" t="s">
        <v>16</v>
      </c>
      <c r="E8294" s="1" t="s">
        <v>24296</v>
      </c>
      <c r="F8294" s="1" t="str">
        <f>IFERROR(__xludf.DUMMYFUNCTION("GOOGLETRANSLATE(A8294, ""zh-CN"", ""ko"")"),"야마")</f>
        <v>야마</v>
      </c>
    </row>
    <row r="8295" ht="15.75" customHeight="1">
      <c r="A8295" s="1" t="s">
        <v>24297</v>
      </c>
      <c r="B8295" s="1">
        <v>7.0</v>
      </c>
      <c r="C8295" s="1" t="s">
        <v>24298</v>
      </c>
      <c r="D8295" s="1" t="s">
        <v>8</v>
      </c>
      <c r="E8295" s="1" t="s">
        <v>24287</v>
      </c>
      <c r="F8295" s="1" t="str">
        <f>IFERROR(__xludf.DUMMYFUNCTION("GOOGLETRANSLATE(A8295, ""zh-CN"", ""ko"")"),"지연")</f>
        <v>지연</v>
      </c>
    </row>
    <row r="8296" ht="15.75" customHeight="1">
      <c r="A8296" s="1" t="s">
        <v>24299</v>
      </c>
      <c r="B8296" s="1">
        <v>7.0</v>
      </c>
      <c r="C8296" s="1" t="s">
        <v>24300</v>
      </c>
      <c r="D8296" s="1" t="s">
        <v>16</v>
      </c>
      <c r="E8296" s="1" t="s">
        <v>24301</v>
      </c>
      <c r="F8296" s="1" t="str">
        <f>IFERROR(__xludf.DUMMYFUNCTION("GOOGLETRANSLATE(A8296, ""zh-CN"", ""ko"")"),"그 선을 따라")</f>
        <v>그 선을 따라</v>
      </c>
    </row>
    <row r="8297" ht="15.75" customHeight="1">
      <c r="A8297" s="1" t="s">
        <v>24302</v>
      </c>
      <c r="B8297" s="1">
        <v>7.0</v>
      </c>
      <c r="C8297" s="1" t="s">
        <v>24303</v>
      </c>
      <c r="D8297" s="1" t="s">
        <v>16</v>
      </c>
      <c r="E8297" s="1" t="s">
        <v>24304</v>
      </c>
      <c r="F8297" s="1" t="str">
        <f>IFERROR(__xludf.DUMMYFUNCTION("GOOGLETRANSLATE(A8297, ""zh-CN"", ""ko"")"),"말과 행동")</f>
        <v>말과 행동</v>
      </c>
    </row>
    <row r="8298" ht="15.75" customHeight="1">
      <c r="A8298" s="1" t="s">
        <v>24305</v>
      </c>
      <c r="B8298" s="1">
        <v>7.0</v>
      </c>
      <c r="C8298" s="1" t="s">
        <v>24306</v>
      </c>
      <c r="D8298" s="1" t="s">
        <v>8</v>
      </c>
      <c r="E8298" s="1" t="s">
        <v>24307</v>
      </c>
      <c r="F8298" s="1" t="str">
        <f>IFERROR(__xludf.DUMMYFUNCTION("GOOGLETRANSLATE(A8298, ""zh-CN"", ""ko"")"),"계속하다")</f>
        <v>계속하다</v>
      </c>
    </row>
    <row r="8299" ht="15.75" customHeight="1">
      <c r="A8299" s="1" t="s">
        <v>24308</v>
      </c>
      <c r="B8299" s="1">
        <v>7.0</v>
      </c>
      <c r="C8299" s="1" t="s">
        <v>24309</v>
      </c>
      <c r="E8299" s="1" t="s">
        <v>24310</v>
      </c>
      <c r="F8299" s="1" t="str">
        <f>IFERROR(__xludf.DUMMYFUNCTION("GOOGLETRANSLATE(A8299, ""zh-CN"", ""ko"")"),"종을 훔치면서 귀를 막는 행위")</f>
        <v>종을 훔치면서 귀를 막는 행위</v>
      </c>
    </row>
    <row r="8300" ht="15.75" customHeight="1">
      <c r="A8300" s="1" t="s">
        <v>24311</v>
      </c>
      <c r="B8300" s="1">
        <v>7.0</v>
      </c>
      <c r="C8300" s="1" t="s">
        <v>24312</v>
      </c>
      <c r="D8300" s="1" t="s">
        <v>52</v>
      </c>
      <c r="E8300" s="1" t="s">
        <v>24313</v>
      </c>
      <c r="F8300" s="1" t="str">
        <f>IFERROR(__xludf.DUMMYFUNCTION("GOOGLETRANSLATE(A8300, ""zh-CN"", ""ko"")"),"부러움")</f>
        <v>부러움</v>
      </c>
    </row>
    <row r="8301" ht="15.75" customHeight="1">
      <c r="A8301" s="1" t="s">
        <v>24314</v>
      </c>
      <c r="B8301" s="1">
        <v>7.0</v>
      </c>
      <c r="C8301" s="1" t="s">
        <v>24315</v>
      </c>
      <c r="D8301" s="1" t="s">
        <v>8</v>
      </c>
      <c r="E8301" s="1" t="s">
        <v>24316</v>
      </c>
      <c r="F8301" s="1" t="str">
        <f>IFERROR(__xludf.DUMMYFUNCTION("GOOGLETRANSLATE(A8301, ""zh-CN"", ""ko"")"),"진화")</f>
        <v>진화</v>
      </c>
    </row>
    <row r="8302" ht="15.75" customHeight="1">
      <c r="A8302" s="1" t="s">
        <v>24317</v>
      </c>
      <c r="B8302" s="1">
        <v>7.0</v>
      </c>
      <c r="C8302" s="1" t="s">
        <v>24318</v>
      </c>
      <c r="D8302" s="1" t="s">
        <v>16</v>
      </c>
      <c r="E8302" s="1" t="s">
        <v>24319</v>
      </c>
      <c r="F8302" s="1" t="str">
        <f>IFERROR(__xludf.DUMMYFUNCTION("GOOGLETRANSLATE(A8302, ""zh-CN"", ""ko"")"),"연기")</f>
        <v>연기</v>
      </c>
    </row>
    <row r="8303" ht="15.75" customHeight="1">
      <c r="A8303" s="1" t="s">
        <v>24320</v>
      </c>
      <c r="B8303" s="1">
        <v>7.0</v>
      </c>
      <c r="C8303" s="1" t="s">
        <v>24321</v>
      </c>
      <c r="D8303" s="1" t="s">
        <v>16</v>
      </c>
      <c r="E8303" s="1" t="s">
        <v>24322</v>
      </c>
      <c r="F8303" s="1" t="str">
        <f>IFERROR(__xludf.DUMMYFUNCTION("GOOGLETRANSLATE(A8303, ""zh-CN"", ""ko"")"),"비전")</f>
        <v>비전</v>
      </c>
    </row>
    <row r="8304" ht="15.75" customHeight="1">
      <c r="A8304" s="1" t="s">
        <v>24323</v>
      </c>
      <c r="B8304" s="1">
        <v>7.0</v>
      </c>
      <c r="C8304" s="1" t="s">
        <v>24324</v>
      </c>
      <c r="D8304" s="1" t="s">
        <v>8</v>
      </c>
      <c r="E8304" s="1" t="s">
        <v>24325</v>
      </c>
      <c r="F8304" s="1" t="str">
        <f>IFERROR(__xludf.DUMMYFUNCTION("GOOGLETRANSLATE(A8304, ""zh-CN"", ""ko"")"),"송곳")</f>
        <v>송곳</v>
      </c>
    </row>
    <row r="8305" ht="15.75" customHeight="1">
      <c r="A8305" s="1" t="s">
        <v>24326</v>
      </c>
      <c r="B8305" s="1">
        <v>7.0</v>
      </c>
      <c r="C8305" s="1" t="s">
        <v>24327</v>
      </c>
      <c r="D8305" s="1" t="s">
        <v>8</v>
      </c>
      <c r="E8305" s="1" t="s">
        <v>24328</v>
      </c>
      <c r="F8305" s="1" t="str">
        <f>IFERROR(__xludf.DUMMYFUNCTION("GOOGLETRANSLATE(A8305, ""zh-CN"", ""ko"")"),"유도체")</f>
        <v>유도체</v>
      </c>
    </row>
    <row r="8306" ht="15.75" customHeight="1">
      <c r="A8306" s="1" t="s">
        <v>24329</v>
      </c>
      <c r="B8306" s="1">
        <v>7.0</v>
      </c>
      <c r="C8306" s="1" t="s">
        <v>13565</v>
      </c>
      <c r="D8306" s="1" t="s">
        <v>8</v>
      </c>
      <c r="E8306" s="1" t="s">
        <v>24330</v>
      </c>
      <c r="F8306" s="1" t="str">
        <f>IFERROR(__xludf.DUMMYFUNCTION("GOOGLETRANSLATE(A8306, ""zh-CN"", ""ko"")"),"데모")</f>
        <v>데모</v>
      </c>
    </row>
    <row r="8307" ht="15.75" customHeight="1">
      <c r="A8307" s="1" t="s">
        <v>24331</v>
      </c>
      <c r="B8307" s="1">
        <v>7.0</v>
      </c>
      <c r="C8307" s="1" t="s">
        <v>24332</v>
      </c>
      <c r="D8307" s="1" t="s">
        <v>14870</v>
      </c>
      <c r="E8307" s="1" t="s">
        <v>24333</v>
      </c>
      <c r="F8307" s="1" t="str">
        <f>IFERROR(__xludf.DUMMYFUNCTION("GOOGLETRANSLATE(A8307, ""zh-CN"", ""ko"")"),"연설")</f>
        <v>연설</v>
      </c>
    </row>
    <row r="8308" ht="15.75" customHeight="1">
      <c r="A8308" s="1" t="s">
        <v>24334</v>
      </c>
      <c r="B8308" s="1">
        <v>7.0</v>
      </c>
      <c r="C8308" s="1" t="s">
        <v>24335</v>
      </c>
      <c r="D8308" s="1" t="s">
        <v>16</v>
      </c>
      <c r="E8308" s="1" t="s">
        <v>24336</v>
      </c>
      <c r="F8308" s="1" t="str">
        <f>IFERROR(__xludf.DUMMYFUNCTION("GOOGLETRANSLATE(A8308, ""zh-CN"", ""ko"")"),"현재")</f>
        <v>현재</v>
      </c>
    </row>
    <row r="8309" ht="15.75" customHeight="1">
      <c r="A8309" s="1" t="s">
        <v>24337</v>
      </c>
      <c r="B8309" s="1">
        <v>7.0</v>
      </c>
      <c r="C8309" s="1" t="s">
        <v>24338</v>
      </c>
      <c r="D8309" s="1" t="s">
        <v>8</v>
      </c>
      <c r="E8309" s="1" t="s">
        <v>24339</v>
      </c>
      <c r="F8309" s="1" t="str">
        <f>IFERROR(__xludf.DUMMYFUNCTION("GOOGLETRANSLATE(A8309, ""zh-CN"", ""ko"")"),"인두")</f>
        <v>인두</v>
      </c>
    </row>
    <row r="8310" ht="15.75" customHeight="1">
      <c r="A8310" s="1" t="s">
        <v>24340</v>
      </c>
      <c r="B8310" s="1">
        <v>7.0</v>
      </c>
      <c r="C8310" s="1" t="s">
        <v>24338</v>
      </c>
      <c r="D8310" s="1" t="s">
        <v>8</v>
      </c>
      <c r="E8310" s="1" t="s">
        <v>24341</v>
      </c>
      <c r="F8310" s="1" t="str">
        <f>IFERROR(__xludf.DUMMYFUNCTION("GOOGLETRANSLATE(A8310, ""zh-CN"", ""ko"")"),"시험")</f>
        <v>시험</v>
      </c>
    </row>
    <row r="8311" ht="15.75" customHeight="1">
      <c r="A8311" s="1" t="s">
        <v>24342</v>
      </c>
      <c r="B8311" s="1">
        <v>7.0</v>
      </c>
      <c r="C8311" s="1" t="s">
        <v>24343</v>
      </c>
      <c r="D8311" s="1" t="s">
        <v>8</v>
      </c>
      <c r="E8311" s="1" t="s">
        <v>24344</v>
      </c>
      <c r="F8311" s="1" t="str">
        <f>IFERROR(__xludf.DUMMYFUNCTION("GOOGLETRANSLATE(A8311, ""zh-CN"", ""ko"")"),"지루한")</f>
        <v>지루한</v>
      </c>
    </row>
    <row r="8312" ht="15.75" customHeight="1">
      <c r="A8312" s="1" t="s">
        <v>24345</v>
      </c>
      <c r="B8312" s="1">
        <v>7.0</v>
      </c>
      <c r="C8312" s="1" t="s">
        <v>24346</v>
      </c>
      <c r="D8312" s="1" t="s">
        <v>8</v>
      </c>
      <c r="E8312" s="1" t="s">
        <v>24347</v>
      </c>
      <c r="F8312" s="1" t="str">
        <f>IFERROR(__xludf.DUMMYFUNCTION("GOOGLETRANSLATE(A8312, ""zh-CN"", ""ko"")"),"지루한")</f>
        <v>지루한</v>
      </c>
    </row>
    <row r="8313" ht="15.75" customHeight="1">
      <c r="A8313" s="1" t="s">
        <v>24348</v>
      </c>
      <c r="B8313" s="1">
        <v>7.0</v>
      </c>
      <c r="C8313" s="1" t="s">
        <v>24349</v>
      </c>
      <c r="D8313" s="1" t="s">
        <v>52</v>
      </c>
      <c r="E8313" s="1" t="s">
        <v>24350</v>
      </c>
      <c r="F8313" s="1" t="str">
        <f>IFERROR(__xludf.DUMMYFUNCTION("GOOGLETRANSLATE(A8313, ""zh-CN"", ""ko"")"),"아주 멋진")</f>
        <v>아주 멋진</v>
      </c>
    </row>
    <row r="8314" ht="15.75" customHeight="1">
      <c r="A8314" s="1" t="s">
        <v>24351</v>
      </c>
      <c r="B8314" s="1">
        <v>7.0</v>
      </c>
      <c r="C8314" s="1" t="s">
        <v>24352</v>
      </c>
      <c r="D8314" s="1" t="s">
        <v>16</v>
      </c>
      <c r="E8314" s="1" t="s">
        <v>24353</v>
      </c>
      <c r="F8314" s="1" t="str">
        <f>IFERROR(__xludf.DUMMYFUNCTION("GOOGLETRANSLATE(A8314, ""zh-CN"", ""ko"")"),"삼키다")</f>
        <v>삼키다</v>
      </c>
    </row>
    <row r="8315" ht="15.75" customHeight="1">
      <c r="A8315" s="1" t="s">
        <v>24354</v>
      </c>
      <c r="B8315" s="1">
        <v>7.0</v>
      </c>
      <c r="C8315" s="1" t="s">
        <v>24355</v>
      </c>
      <c r="D8315" s="1" t="s">
        <v>16</v>
      </c>
      <c r="E8315" s="1" t="s">
        <v>24356</v>
      </c>
      <c r="F8315" s="1" t="str">
        <f>IFERROR(__xludf.DUMMYFUNCTION("GOOGLETRANSLATE(A8315, ""zh-CN"", ""ko"")"),"양코")</f>
        <v>양코</v>
      </c>
    </row>
    <row r="8316" ht="15.75" customHeight="1">
      <c r="A8316" s="1" t="s">
        <v>24357</v>
      </c>
      <c r="B8316" s="1">
        <v>7.0</v>
      </c>
      <c r="C8316" s="1" t="s">
        <v>24358</v>
      </c>
      <c r="D8316" s="1" t="s">
        <v>8</v>
      </c>
      <c r="E8316" s="1" t="s">
        <v>24359</v>
      </c>
      <c r="F8316" s="1" t="str">
        <f>IFERROR(__xludf.DUMMYFUNCTION("GOOGLETRANSLATE(A8316, ""zh-CN"", ""ko"")"),"양")</f>
        <v>양</v>
      </c>
    </row>
    <row r="8317" ht="15.75" customHeight="1">
      <c r="A8317" s="1" t="s">
        <v>24360</v>
      </c>
      <c r="B8317" s="1">
        <v>7.0</v>
      </c>
      <c r="C8317" s="1" t="s">
        <v>24361</v>
      </c>
      <c r="D8317" s="1" t="s">
        <v>16</v>
      </c>
      <c r="E8317" s="1" t="s">
        <v>24362</v>
      </c>
      <c r="F8317" s="1" t="str">
        <f>IFERROR(__xludf.DUMMYFUNCTION("GOOGLETRANSLATE(A8317, ""zh-CN"", ""ko"")"),"신력")</f>
        <v>신력</v>
      </c>
    </row>
    <row r="8318" ht="15.75" customHeight="1">
      <c r="A8318" s="1" t="s">
        <v>24363</v>
      </c>
      <c r="B8318" s="1">
        <v>7.0</v>
      </c>
      <c r="C8318" s="1" t="s">
        <v>24364</v>
      </c>
      <c r="D8318" s="1" t="s">
        <v>16</v>
      </c>
      <c r="E8318" s="1" t="s">
        <v>24365</v>
      </c>
      <c r="F8318" s="1" t="str">
        <f>IFERROR(__xludf.DUMMYFUNCTION("GOOGLETRANSLATE(A8318, ""zh-CN"", ""ko"")"),"포플러")</f>
        <v>포플러</v>
      </c>
    </row>
    <row r="8319" ht="15.75" customHeight="1">
      <c r="A8319" s="1" t="s">
        <v>24366</v>
      </c>
      <c r="B8319" s="1">
        <v>7.0</v>
      </c>
      <c r="C8319" s="1" t="s">
        <v>24367</v>
      </c>
      <c r="D8319" s="1" t="s">
        <v>16</v>
      </c>
      <c r="E8319" s="1" t="s">
        <v>24368</v>
      </c>
      <c r="F8319" s="1" t="str">
        <f>IFERROR(__xludf.DUMMYFUNCTION("GOOGLETRANSLATE(A8319, ""zh-CN"", ""ko"")"),"긍정적인")</f>
        <v>긍정적인</v>
      </c>
    </row>
    <row r="8320" ht="15.75" customHeight="1">
      <c r="A8320" s="1" t="s">
        <v>24369</v>
      </c>
      <c r="B8320" s="1">
        <v>7.0</v>
      </c>
      <c r="C8320" s="1" t="s">
        <v>24370</v>
      </c>
      <c r="D8320" s="1" t="s">
        <v>8</v>
      </c>
      <c r="E8320" s="1" t="s">
        <v>24371</v>
      </c>
      <c r="F8320" s="1" t="str">
        <f>IFERROR(__xludf.DUMMYFUNCTION("GOOGLETRANSLATE(A8320, ""zh-CN"", ""ko"")"),"범람")</f>
        <v>범람</v>
      </c>
    </row>
    <row r="8321" ht="15.75" customHeight="1">
      <c r="A8321" s="1" t="s">
        <v>24372</v>
      </c>
      <c r="B8321" s="1">
        <v>7.0</v>
      </c>
      <c r="C8321" s="1" t="s">
        <v>24373</v>
      </c>
      <c r="D8321" s="1" t="s">
        <v>8</v>
      </c>
      <c r="E8321" s="1" t="s">
        <v>17467</v>
      </c>
      <c r="F8321" s="1" t="str">
        <f>IFERROR(__xludf.DUMMYFUNCTION("GOOGLETRANSLATE(A8321, ""zh-CN"", ""ko"")"),"밥을 먹이다")</f>
        <v>밥을 먹이다</v>
      </c>
    </row>
    <row r="8322" ht="15.75" customHeight="1">
      <c r="A8322" s="1" t="s">
        <v>24374</v>
      </c>
      <c r="B8322" s="1">
        <v>7.0</v>
      </c>
      <c r="C8322" s="1" t="s">
        <v>24375</v>
      </c>
      <c r="D8322" s="1" t="s">
        <v>8</v>
      </c>
      <c r="E8322" s="1" t="s">
        <v>24376</v>
      </c>
      <c r="F8322" s="1" t="str">
        <f>IFERROR(__xludf.DUMMYFUNCTION("GOOGLETRANSLATE(A8322, ""zh-CN"", ""ko"")"),"건강 유지")</f>
        <v>건강 유지</v>
      </c>
    </row>
    <row r="8323" ht="15.75" customHeight="1">
      <c r="A8323" s="1" t="s">
        <v>24377</v>
      </c>
      <c r="B8323" s="1">
        <v>7.0</v>
      </c>
      <c r="C8323" s="1" t="s">
        <v>24378</v>
      </c>
      <c r="D8323" s="1" t="s">
        <v>8</v>
      </c>
      <c r="E8323" s="1" t="s">
        <v>24379</v>
      </c>
      <c r="F8323" s="1" t="str">
        <f>IFERROR(__xludf.DUMMYFUNCTION("GOOGLETRANSLATE(A8323, ""zh-CN"", ""ko"")"),"위를 올려다보며")</f>
        <v>위를 올려다보며</v>
      </c>
    </row>
    <row r="8324" ht="15.75" customHeight="1">
      <c r="A8324" s="1" t="s">
        <v>24380</v>
      </c>
      <c r="B8324" s="1">
        <v>7.0</v>
      </c>
      <c r="C8324" s="1" t="s">
        <v>24381</v>
      </c>
      <c r="D8324" s="1" t="s">
        <v>8</v>
      </c>
      <c r="E8324" s="1" t="s">
        <v>1545</v>
      </c>
      <c r="F8324" s="1" t="str">
        <f>IFERROR(__xludf.DUMMYFUNCTION("GOOGLETRANSLATE(A8324, ""zh-CN"", ""ko"")"),"인상")</f>
        <v>인상</v>
      </c>
    </row>
    <row r="8325" ht="15.75" customHeight="1">
      <c r="A8325" s="1" t="s">
        <v>24382</v>
      </c>
      <c r="B8325" s="1">
        <v>7.0</v>
      </c>
      <c r="C8325" s="1" t="s">
        <v>24383</v>
      </c>
      <c r="D8325" s="1" t="s">
        <v>8</v>
      </c>
      <c r="E8325" s="1" t="s">
        <v>24384</v>
      </c>
      <c r="F8325" s="1" t="str">
        <f>IFERROR(__xludf.DUMMYFUNCTION("GOOGLETRANSLATE(A8325, ""zh-CN"", ""ko"")"),"양식")</f>
        <v>양식</v>
      </c>
    </row>
    <row r="8326" ht="15.75" customHeight="1">
      <c r="A8326" s="1" t="s">
        <v>24385</v>
      </c>
      <c r="B8326" s="1">
        <v>7.0</v>
      </c>
      <c r="C8326" s="1" t="s">
        <v>24386</v>
      </c>
      <c r="D8326" s="1" t="s">
        <v>16</v>
      </c>
      <c r="E8326" s="1" t="s">
        <v>24387</v>
      </c>
      <c r="F8326" s="1" t="str">
        <f>IFERROR(__xludf.DUMMYFUNCTION("GOOGLETRANSLATE(A8326, ""zh-CN"", ""ko"")"),"견본")</f>
        <v>견본</v>
      </c>
    </row>
    <row r="8327" ht="15.75" customHeight="1">
      <c r="A8327" s="1" t="s">
        <v>24388</v>
      </c>
      <c r="B8327" s="1">
        <v>7.0</v>
      </c>
      <c r="C8327" s="1" t="s">
        <v>6764</v>
      </c>
      <c r="D8327" s="1" t="s">
        <v>8</v>
      </c>
      <c r="E8327" s="1" t="s">
        <v>24389</v>
      </c>
      <c r="F8327" s="1" t="str">
        <f>IFERROR(__xludf.DUMMYFUNCTION("GOOGLETRANSLATE(A8327, ""zh-CN"", ""ko"")"),"초대하다")</f>
        <v>초대하다</v>
      </c>
    </row>
    <row r="8328" ht="15.75" customHeight="1">
      <c r="A8328" s="1" t="s">
        <v>24390</v>
      </c>
      <c r="B8328" s="1">
        <v>7.0</v>
      </c>
      <c r="C8328" s="1" t="s">
        <v>24391</v>
      </c>
      <c r="D8328" s="1" t="s">
        <v>16</v>
      </c>
      <c r="E8328" s="1" t="s">
        <v>24392</v>
      </c>
      <c r="F8328" s="1" t="str">
        <f>IFERROR(__xludf.DUMMYFUNCTION("GOOGLETRANSLATE(A8328, ""zh-CN"", ""ko"")"),"괴물")</f>
        <v>괴물</v>
      </c>
    </row>
    <row r="8329" ht="15.75" customHeight="1">
      <c r="A8329" s="1" t="s">
        <v>24393</v>
      </c>
      <c r="B8329" s="1">
        <v>7.0</v>
      </c>
      <c r="C8329" s="1" t="s">
        <v>24394</v>
      </c>
      <c r="D8329" s="1" t="s">
        <v>52</v>
      </c>
      <c r="E8329" s="1" t="s">
        <v>24395</v>
      </c>
      <c r="F8329" s="1" t="str">
        <f>IFERROR(__xludf.DUMMYFUNCTION("GOOGLETRANSLATE(A8329, ""zh-CN"", ""ko"")"),"좋은")</f>
        <v>좋은</v>
      </c>
    </row>
    <row r="8330" ht="15.75" customHeight="1">
      <c r="A8330" s="1" t="s">
        <v>24396</v>
      </c>
      <c r="B8330" s="1">
        <v>7.0</v>
      </c>
      <c r="C8330" s="1" t="s">
        <v>6767</v>
      </c>
      <c r="D8330" s="1" t="s">
        <v>16</v>
      </c>
      <c r="E8330" s="1" t="s">
        <v>24397</v>
      </c>
      <c r="F8330" s="1" t="str">
        <f>IFERROR(__xludf.DUMMYFUNCTION("GOOGLETRANSLATE(A8330, ""zh-CN"", ""ko"")"),"가마")</f>
        <v>가마</v>
      </c>
    </row>
    <row r="8331" ht="15.75" customHeight="1">
      <c r="A8331" s="1" t="s">
        <v>24398</v>
      </c>
      <c r="B8331" s="1">
        <v>7.0</v>
      </c>
      <c r="C8331" s="1" t="s">
        <v>24399</v>
      </c>
      <c r="D8331" s="1" t="s">
        <v>8</v>
      </c>
      <c r="E8331" s="1" t="s">
        <v>24400</v>
      </c>
      <c r="F8331" s="1" t="str">
        <f>IFERROR(__xludf.DUMMYFUNCTION("GOOGLETRANSLATE(A8331, ""zh-CN"", ""ko"")"),"떨림")</f>
        <v>떨림</v>
      </c>
    </row>
    <row r="8332" ht="15.75" customHeight="1">
      <c r="A8332" s="1" t="s">
        <v>24401</v>
      </c>
      <c r="B8332" s="1">
        <v>7.0</v>
      </c>
      <c r="C8332" s="1" t="s">
        <v>24402</v>
      </c>
      <c r="D8332" s="1" t="s">
        <v>16</v>
      </c>
      <c r="E8332" s="1" t="s">
        <v>24403</v>
      </c>
      <c r="F8332" s="1" t="str">
        <f>IFERROR(__xludf.DUMMYFUNCTION("GOOGLETRANSLATE(A8332, ""zh-CN"", ""ko"")"),"요람")</f>
        <v>요람</v>
      </c>
    </row>
    <row r="8333" ht="15.75" customHeight="1">
      <c r="A8333" s="1" t="s">
        <v>24404</v>
      </c>
      <c r="B8333" s="1">
        <v>7.0</v>
      </c>
      <c r="C8333" s="1" t="s">
        <v>24405</v>
      </c>
      <c r="E8333" s="1" t="s">
        <v>24406</v>
      </c>
      <c r="F8333" s="1" t="str">
        <f>IFERROR(__xludf.DUMMYFUNCTION("GOOGLETRANSLATE(A8333, ""zh-CN"", ""ko"")"),"믿을 수 없는")</f>
        <v>믿을 수 없는</v>
      </c>
    </row>
    <row r="8334" ht="15.75" customHeight="1">
      <c r="A8334" s="1" t="s">
        <v>24407</v>
      </c>
      <c r="B8334" s="1">
        <v>7.0</v>
      </c>
      <c r="C8334" s="1" t="s">
        <v>24408</v>
      </c>
      <c r="D8334" s="1" t="s">
        <v>16</v>
      </c>
      <c r="E8334" s="1" t="s">
        <v>24409</v>
      </c>
      <c r="F8334" s="1" t="str">
        <f>IFERROR(__xludf.DUMMYFUNCTION("GOOGLETRANSLATE(A8334, ""zh-CN"", ""ko"")"),"약초")</f>
        <v>약초</v>
      </c>
    </row>
    <row r="8335" ht="15.75" customHeight="1">
      <c r="A8335" s="1" t="s">
        <v>24410</v>
      </c>
      <c r="B8335" s="1">
        <v>7.0</v>
      </c>
      <c r="C8335" s="1" t="s">
        <v>24411</v>
      </c>
      <c r="D8335" s="1" t="s">
        <v>16</v>
      </c>
      <c r="E8335" s="1" t="s">
        <v>24412</v>
      </c>
      <c r="F8335" s="1" t="str">
        <f>IFERROR(__xludf.DUMMYFUNCTION("GOOGLETRANSLATE(A8335, ""zh-CN"", ""ko"")"),"처방")</f>
        <v>처방</v>
      </c>
    </row>
    <row r="8336" ht="15.75" customHeight="1">
      <c r="A8336" s="1" t="s">
        <v>24413</v>
      </c>
      <c r="B8336" s="1">
        <v>7.0</v>
      </c>
      <c r="C8336" s="1" t="s">
        <v>24414</v>
      </c>
      <c r="D8336" s="1" t="s">
        <v>16</v>
      </c>
      <c r="E8336" s="1" t="s">
        <v>24415</v>
      </c>
      <c r="F8336" s="1" t="str">
        <f>IFERROR(__xludf.DUMMYFUNCTION("GOOGLETRANSLATE(A8336, ""zh-CN"", ""ko"")"),"필수적인")</f>
        <v>필수적인</v>
      </c>
    </row>
    <row r="8337" ht="15.75" customHeight="1">
      <c r="A8337" s="1" t="s">
        <v>24416</v>
      </c>
      <c r="B8337" s="1">
        <v>7.0</v>
      </c>
      <c r="C8337" s="1" t="s">
        <v>24417</v>
      </c>
      <c r="D8337" s="1" t="s">
        <v>52</v>
      </c>
      <c r="E8337" s="1" t="s">
        <v>24418</v>
      </c>
      <c r="F8337" s="1" t="str">
        <f>IFERROR(__xludf.DUMMYFUNCTION("GOOGLETRANSLATE(A8337, ""zh-CN"", ""ko"")"),"중요한")</f>
        <v>중요한</v>
      </c>
    </row>
    <row r="8338" ht="15.75" customHeight="1">
      <c r="A8338" s="1" t="s">
        <v>24419</v>
      </c>
      <c r="B8338" s="1">
        <v>7.0</v>
      </c>
      <c r="C8338" s="1" t="s">
        <v>24420</v>
      </c>
      <c r="D8338" s="1" t="s">
        <v>16</v>
      </c>
      <c r="E8338" s="1" t="s">
        <v>24421</v>
      </c>
      <c r="F8338" s="1" t="str">
        <f>IFERROR(__xludf.DUMMYFUNCTION("GOOGLETRANSLATE(A8338, ""zh-CN"", ""ko"")"),"핵심 사항")</f>
        <v>핵심 사항</v>
      </c>
    </row>
    <row r="8339" ht="15.75" customHeight="1">
      <c r="A8339" s="1" t="s">
        <v>24422</v>
      </c>
      <c r="B8339" s="1">
        <v>7.0</v>
      </c>
      <c r="C8339" s="1" t="s">
        <v>24423</v>
      </c>
      <c r="D8339" s="1" t="s">
        <v>52</v>
      </c>
      <c r="E8339" s="1" t="s">
        <v>24424</v>
      </c>
      <c r="F8339" s="1" t="str">
        <f>IFERROR(__xludf.DUMMYFUNCTION("GOOGLETRANSLATE(A8339, ""zh-CN"", ""ko"")"),"강한")</f>
        <v>강한</v>
      </c>
    </row>
    <row r="8340" ht="15.75" customHeight="1">
      <c r="A8340" s="1" t="s">
        <v>24425</v>
      </c>
      <c r="B8340" s="1">
        <v>7.0</v>
      </c>
      <c r="C8340" s="1" t="s">
        <v>24426</v>
      </c>
      <c r="D8340" s="1" t="s">
        <v>16</v>
      </c>
      <c r="E8340" s="1" t="s">
        <v>24427</v>
      </c>
      <c r="F8340" s="1" t="str">
        <f>IFERROR(__xludf.DUMMYFUNCTION("GOOGLETRANSLATE(A8340, ""zh-CN"", ""ko"")"),"코코넛")</f>
        <v>코코넛</v>
      </c>
    </row>
    <row r="8341" ht="15.75" customHeight="1">
      <c r="A8341" s="1" t="s">
        <v>24428</v>
      </c>
      <c r="B8341" s="1">
        <v>7.0</v>
      </c>
      <c r="C8341" s="1" t="s">
        <v>24429</v>
      </c>
      <c r="D8341" s="1" t="s">
        <v>8</v>
      </c>
      <c r="E8341" s="1" t="s">
        <v>24430</v>
      </c>
      <c r="F8341" s="1" t="str">
        <f>IFERROR(__xludf.DUMMYFUNCTION("GOOGLETRANSLATE(A8341, ""zh-CN"", ""ko"")"),"피크닉")</f>
        <v>피크닉</v>
      </c>
    </row>
    <row r="8342" ht="15.75" customHeight="1">
      <c r="A8342" s="1" t="s">
        <v>24431</v>
      </c>
      <c r="B8342" s="1">
        <v>7.0</v>
      </c>
      <c r="C8342" s="1" t="s">
        <v>24432</v>
      </c>
      <c r="D8342" s="1" t="s">
        <v>16</v>
      </c>
      <c r="E8342" s="1" t="s">
        <v>24433</v>
      </c>
      <c r="F8342" s="1" t="str">
        <f>IFERROR(__xludf.DUMMYFUNCTION("GOOGLETRANSLATE(A8342, ""zh-CN"", ""ko"")"),"짐승")</f>
        <v>짐승</v>
      </c>
    </row>
    <row r="8343" ht="15.75" customHeight="1">
      <c r="A8343" s="1" t="s">
        <v>24434</v>
      </c>
      <c r="B8343" s="1">
        <v>7.0</v>
      </c>
      <c r="C8343" s="1" t="s">
        <v>24435</v>
      </c>
      <c r="D8343" s="1" t="s">
        <v>16</v>
      </c>
      <c r="E8343" s="1" t="s">
        <v>24436</v>
      </c>
      <c r="F8343" s="1" t="str">
        <f>IFERROR(__xludf.DUMMYFUNCTION("GOOGLETRANSLATE(A8343, ""zh-CN"", ""ko"")"),"야간 근무")</f>
        <v>야간 근무</v>
      </c>
    </row>
    <row r="8344" ht="15.75" customHeight="1">
      <c r="A8344" s="1" t="s">
        <v>24437</v>
      </c>
      <c r="B8344" s="1">
        <v>7.0</v>
      </c>
      <c r="C8344" s="1" t="s">
        <v>24438</v>
      </c>
      <c r="D8344" s="1" t="s">
        <v>16</v>
      </c>
      <c r="E8344" s="1" t="s">
        <v>24439</v>
      </c>
      <c r="F8344" s="1" t="str">
        <f>IFERROR(__xludf.DUMMYFUNCTION("GOOGLETRANSLATE(A8344, ""zh-CN"", ""ko"")"),"성능")</f>
        <v>성능</v>
      </c>
    </row>
    <row r="8345" ht="15.75" customHeight="1">
      <c r="A8345" s="1" t="s">
        <v>24440</v>
      </c>
      <c r="B8345" s="1">
        <v>7.0</v>
      </c>
      <c r="C8345" s="1" t="s">
        <v>24441</v>
      </c>
      <c r="D8345" s="1" t="s">
        <v>16</v>
      </c>
      <c r="E8345" s="1" t="s">
        <v>24442</v>
      </c>
      <c r="F8345" s="1" t="str">
        <f>IFERROR(__xludf.DUMMYFUNCTION("GOOGLETRANSLATE(A8345, ""zh-CN"", ""ko"")"),"액정")</f>
        <v>액정</v>
      </c>
    </row>
    <row r="8346" ht="15.75" customHeight="1">
      <c r="A8346" s="1" t="s">
        <v>24443</v>
      </c>
      <c r="B8346" s="1">
        <v>7.0</v>
      </c>
      <c r="C8346" s="1" t="s">
        <v>24444</v>
      </c>
      <c r="D8346" s="1" t="s">
        <v>16</v>
      </c>
      <c r="E8346" s="1" t="s">
        <v>24445</v>
      </c>
      <c r="F8346" s="1" t="str">
        <f>IFERROR(__xludf.DUMMYFUNCTION("GOOGLETRANSLATE(A8346, ""zh-CN"", ""ko"")"),"야식")</f>
        <v>야식</v>
      </c>
    </row>
    <row r="8347" ht="15.75" customHeight="1">
      <c r="A8347" s="1" t="s">
        <v>24446</v>
      </c>
      <c r="B8347" s="1">
        <v>7.0</v>
      </c>
      <c r="C8347" s="1" t="s">
        <v>24447</v>
      </c>
      <c r="D8347" s="1" t="s">
        <v>16</v>
      </c>
      <c r="E8347" s="1" t="s">
        <v>24448</v>
      </c>
      <c r="F8347" s="1" t="str">
        <f>IFERROR(__xludf.DUMMYFUNCTION("GOOGLETRANSLATE(A8347, ""zh-CN"", ""ko"")"),"야간 학교")</f>
        <v>야간 학교</v>
      </c>
    </row>
    <row r="8348" ht="15.75" customHeight="1">
      <c r="A8348" s="1" t="s">
        <v>24449</v>
      </c>
      <c r="B8348" s="1">
        <v>7.0</v>
      </c>
      <c r="C8348" s="1" t="s">
        <v>24450</v>
      </c>
      <c r="E8348" s="1" t="s">
        <v>24451</v>
      </c>
      <c r="F8348" s="1" t="str">
        <f>IFERROR(__xludf.DUMMYFUNCTION("GOOGLETRANSLATE(A8348, ""zh-CN"", ""ko"")"),"밤낮으로 일하다")</f>
        <v>밤낮으로 일하다</v>
      </c>
    </row>
    <row r="8349" ht="15.75" customHeight="1">
      <c r="A8349" s="1" t="s">
        <v>24452</v>
      </c>
      <c r="B8349" s="1">
        <v>7.0</v>
      </c>
      <c r="C8349" s="1" t="s">
        <v>406</v>
      </c>
      <c r="D8349" s="1" t="s">
        <v>15865</v>
      </c>
      <c r="E8349" s="1" t="s">
        <v>24453</v>
      </c>
      <c r="F8349" s="1" t="str">
        <f>IFERROR(__xludf.DUMMYFUNCTION("GOOGLETRANSLATE(A8349, ""zh-CN"", ""ko"")"),"~에 따르면")</f>
        <v>~에 따르면</v>
      </c>
    </row>
    <row r="8350" ht="15.75" customHeight="1">
      <c r="A8350" s="1" t="s">
        <v>24454</v>
      </c>
      <c r="B8350" s="1">
        <v>7.0</v>
      </c>
      <c r="C8350" s="1" t="s">
        <v>24455</v>
      </c>
      <c r="D8350" s="1" t="s">
        <v>33</v>
      </c>
      <c r="E8350" s="1" t="s">
        <v>851</v>
      </c>
      <c r="F8350" s="1" t="str">
        <f>IFERROR(__xludf.DUMMYFUNCTION("GOOGLETRANSLATE(A8350, ""zh-CN"", ""ko"")"),"함께")</f>
        <v>함께</v>
      </c>
    </row>
    <row r="8351" ht="15.75" customHeight="1">
      <c r="A8351" s="1" t="s">
        <v>24456</v>
      </c>
      <c r="B8351" s="1">
        <v>7.0</v>
      </c>
      <c r="C8351" s="1" t="s">
        <v>24457</v>
      </c>
      <c r="D8351" s="1" t="s">
        <v>33</v>
      </c>
      <c r="E8351" s="1" t="s">
        <v>24458</v>
      </c>
      <c r="F8351" s="1" t="str">
        <f>IFERROR(__xludf.DUMMYFUNCTION("GOOGLETRANSLATE(A8351, ""zh-CN"", ""ko"")"),"차례로")</f>
        <v>차례로</v>
      </c>
    </row>
    <row r="8352" ht="15.75" customHeight="1">
      <c r="A8352" s="1" t="s">
        <v>24459</v>
      </c>
      <c r="B8352" s="1">
        <v>7.0</v>
      </c>
      <c r="C8352" s="1" t="s">
        <v>24460</v>
      </c>
      <c r="D8352" s="1" t="s">
        <v>33</v>
      </c>
      <c r="E8352" s="1" t="s">
        <v>24461</v>
      </c>
      <c r="F8352" s="1" t="str">
        <f>IFERROR(__xludf.DUMMYFUNCTION("GOOGLETRANSLATE(A8352, ""zh-CN"", ""ko"")"),"법에 따르면")</f>
        <v>법에 따르면</v>
      </c>
    </row>
    <row r="8353" ht="15.75" customHeight="1">
      <c r="A8353" s="1" t="s">
        <v>24462</v>
      </c>
      <c r="B8353" s="1">
        <v>7.0</v>
      </c>
      <c r="C8353" s="1" t="s">
        <v>24463</v>
      </c>
      <c r="D8353" s="1" t="s">
        <v>8</v>
      </c>
      <c r="E8353" s="1" t="s">
        <v>24464</v>
      </c>
      <c r="F8353" s="1" t="str">
        <f>IFERROR(__xludf.DUMMYFUNCTION("GOOGLETRANSLATE(A8353, ""zh-CN"", ""ko"")"),"의존")</f>
        <v>의존</v>
      </c>
    </row>
    <row r="8354" ht="15.75" customHeight="1">
      <c r="A8354" s="1" t="s">
        <v>24465</v>
      </c>
      <c r="B8354" s="1">
        <v>7.0</v>
      </c>
      <c r="C8354" s="1" t="s">
        <v>24466</v>
      </c>
      <c r="D8354" s="1" t="s">
        <v>33</v>
      </c>
      <c r="E8354" s="1" t="s">
        <v>24467</v>
      </c>
      <c r="F8354" s="1" t="str">
        <f>IFERROR(__xludf.DUMMYFUNCTION("GOOGLETRANSLATE(A8354, ""zh-CN"", ""ko"")"),"함께")</f>
        <v>함께</v>
      </c>
    </row>
    <row r="8355" ht="15.75" customHeight="1">
      <c r="A8355" s="1" t="s">
        <v>24468</v>
      </c>
      <c r="B8355" s="1">
        <v>7.0</v>
      </c>
      <c r="C8355" s="1" t="s">
        <v>24469</v>
      </c>
      <c r="D8355" s="1" t="s">
        <v>16</v>
      </c>
      <c r="E8355" s="1" t="s">
        <v>24470</v>
      </c>
      <c r="F8355" s="1" t="str">
        <f>IFERROR(__xludf.DUMMYFUNCTION("GOOGLETRANSLATE(A8355, ""zh-CN"", ""ko"")"),"의원")</f>
        <v>의원</v>
      </c>
    </row>
    <row r="8356" ht="15.75" customHeight="1">
      <c r="A8356" s="1" t="s">
        <v>24471</v>
      </c>
      <c r="B8356" s="1">
        <v>7.0</v>
      </c>
      <c r="C8356" s="1" t="s">
        <v>24472</v>
      </c>
      <c r="D8356" s="1" t="s">
        <v>16</v>
      </c>
      <c r="E8356" s="1" t="s">
        <v>24473</v>
      </c>
      <c r="F8356" s="1" t="str">
        <f>IFERROR(__xludf.DUMMYFUNCTION("GOOGLETRANSLATE(A8356, ""zh-CN"", ""ko"")"),"첫 번째 줄")</f>
        <v>첫 번째 줄</v>
      </c>
    </row>
    <row r="8357" ht="15.75" customHeight="1">
      <c r="A8357" s="1" t="s">
        <v>24474</v>
      </c>
      <c r="B8357" s="1">
        <v>7.0</v>
      </c>
      <c r="C8357" s="1" t="s">
        <v>24475</v>
      </c>
      <c r="D8357" s="1" t="s">
        <v>16</v>
      </c>
      <c r="E8357" s="1" t="s">
        <v>24476</v>
      </c>
      <c r="F8357" s="1" t="str">
        <f>IFERROR(__xludf.DUMMYFUNCTION("GOOGLETRANSLATE(A8357, ""zh-CN"", ""ko"")"),"한 줄")</f>
        <v>한 줄</v>
      </c>
    </row>
    <row r="8358" ht="15.75" customHeight="1">
      <c r="A8358" s="1" t="s">
        <v>24477</v>
      </c>
      <c r="B8358" s="1">
        <v>7.0</v>
      </c>
      <c r="C8358" s="1" t="s">
        <v>24478</v>
      </c>
      <c r="E8358" s="1" t="s">
        <v>24479</v>
      </c>
      <c r="F8358" s="1" t="str">
        <f>IFERROR(__xludf.DUMMYFUNCTION("GOOGLETRANSLATE(A8358, ""zh-CN"", ""ko"")"),"헤어지기 싫어")</f>
        <v>헤어지기 싫어</v>
      </c>
    </row>
    <row r="8359" ht="15.75" customHeight="1">
      <c r="A8359" s="1" t="s">
        <v>24480</v>
      </c>
      <c r="B8359" s="1">
        <v>7.0</v>
      </c>
      <c r="C8359" s="1" t="s">
        <v>24481</v>
      </c>
      <c r="D8359" s="1" t="s">
        <v>15865</v>
      </c>
      <c r="E8359" s="1" t="s">
        <v>24482</v>
      </c>
      <c r="F8359" s="1" t="str">
        <f>IFERROR(__xludf.DUMMYFUNCTION("GOOGLETRANSLATE(A8359, ""zh-CN"", ""ko"")"),"~에 따르면")</f>
        <v>~에 따르면</v>
      </c>
    </row>
    <row r="8360" ht="15.75" customHeight="1">
      <c r="A8360" s="1" t="s">
        <v>24483</v>
      </c>
      <c r="B8360" s="1">
        <v>7.0</v>
      </c>
      <c r="C8360" s="1" t="s">
        <v>24484</v>
      </c>
      <c r="E8360" s="1" t="s">
        <v>24485</v>
      </c>
      <c r="F8360" s="1" t="str">
        <f>IFERROR(__xludf.DUMMYFUNCTION("GOOGLETRANSLATE(A8360, ""zh-CN"", ""ko"")"),"예리한")</f>
        <v>예리한</v>
      </c>
    </row>
    <row r="8361" ht="15.75" customHeight="1">
      <c r="A8361" s="1" t="s">
        <v>24486</v>
      </c>
      <c r="B8361" s="1">
        <v>7.0</v>
      </c>
      <c r="C8361" s="1" t="s">
        <v>24487</v>
      </c>
      <c r="D8361" s="1" t="s">
        <v>16</v>
      </c>
      <c r="E8361" s="1" t="s">
        <v>24488</v>
      </c>
      <c r="F8361" s="1" t="str">
        <f>IFERROR(__xludf.DUMMYFUNCTION("GOOGLETRANSLATE(A8361, ""zh-CN"", ""ko"")"),"미터")</f>
        <v>미터</v>
      </c>
    </row>
    <row r="8362" ht="15.75" customHeight="1">
      <c r="A8362" s="1" t="s">
        <v>24489</v>
      </c>
      <c r="B8362" s="1">
        <v>7.0</v>
      </c>
      <c r="C8362" s="1" t="s">
        <v>24490</v>
      </c>
      <c r="D8362" s="1" t="s">
        <v>16</v>
      </c>
      <c r="E8362" s="1" t="s">
        <v>24491</v>
      </c>
      <c r="F8362" s="1" t="str">
        <f>IFERROR(__xludf.DUMMYFUNCTION("GOOGLETRANSLATE(A8362, ""zh-CN"", ""ko"")"),"의심스러운 점들")</f>
        <v>의심스러운 점들</v>
      </c>
    </row>
    <row r="8363" ht="15.75" customHeight="1">
      <c r="A8363" s="1" t="s">
        <v>24492</v>
      </c>
      <c r="B8363" s="1">
        <v>7.0</v>
      </c>
      <c r="C8363" s="1" t="s">
        <v>24493</v>
      </c>
      <c r="E8363" s="1" t="s">
        <v>24494</v>
      </c>
      <c r="F8363" s="1" t="str">
        <f>IFERROR(__xludf.DUMMYFUNCTION("GOOGLETRANSLATE(A8363, ""zh-CN"", ""ko"")"),"움직이지 않는")</f>
        <v>움직이지 않는</v>
      </c>
    </row>
    <row r="8364" ht="15.75" customHeight="1">
      <c r="A8364" s="1" t="s">
        <v>24495</v>
      </c>
      <c r="B8364" s="1">
        <v>7.0</v>
      </c>
      <c r="C8364" s="1" t="s">
        <v>24496</v>
      </c>
      <c r="D8364" s="1" t="s">
        <v>33</v>
      </c>
      <c r="E8364" s="1" t="s">
        <v>24497</v>
      </c>
      <c r="F8364" s="1" t="str">
        <f>IFERROR(__xludf.DUMMYFUNCTION("GOOGLETRANSLATE(A8364, ""zh-CN"", ""ko"")"),"모두")</f>
        <v>모두</v>
      </c>
    </row>
    <row r="8365" ht="15.75" customHeight="1">
      <c r="A8365" s="1" t="s">
        <v>24498</v>
      </c>
      <c r="B8365" s="1">
        <v>7.0</v>
      </c>
      <c r="C8365" s="1" t="s">
        <v>24499</v>
      </c>
      <c r="E8365" s="1" t="s">
        <v>24500</v>
      </c>
      <c r="F8365" s="1" t="str">
        <f>IFERROR(__xludf.DUMMYFUNCTION("GOOGLETRANSLATE(A8365, ""zh-CN"", ""ko"")"),"일반화하기 위해")</f>
        <v>일반화하기 위해</v>
      </c>
    </row>
    <row r="8366" ht="15.75" customHeight="1">
      <c r="A8366" s="1" t="s">
        <v>24501</v>
      </c>
      <c r="B8366" s="1">
        <v>7.0</v>
      </c>
      <c r="C8366" s="1" t="s">
        <v>24502</v>
      </c>
      <c r="D8366" s="1" t="s">
        <v>8</v>
      </c>
      <c r="E8366" s="1" t="s">
        <v>24503</v>
      </c>
      <c r="F8366" s="1" t="str">
        <f>IFERROR(__xludf.DUMMYFUNCTION("GOOGLETRANSLATE(A8366, ""zh-CN"", ""ko"")"),"순식간에")</f>
        <v>순식간에</v>
      </c>
    </row>
    <row r="8367" ht="15.75" customHeight="1">
      <c r="A8367" s="1" t="s">
        <v>24504</v>
      </c>
      <c r="B8367" s="1">
        <v>7.0</v>
      </c>
      <c r="C8367" s="1" t="s">
        <v>24505</v>
      </c>
      <c r="E8367" s="1" t="s">
        <v>24506</v>
      </c>
      <c r="F8367" s="1" t="str">
        <f>IFERROR(__xludf.DUMMYFUNCTION("GOOGLETRANSLATE(A8367, ""zh-CN"", ""ko"")"),"기술")</f>
        <v>기술</v>
      </c>
    </row>
    <row r="8368" ht="15.75" customHeight="1">
      <c r="A8368" s="1" t="s">
        <v>24507</v>
      </c>
      <c r="B8368" s="1">
        <v>7.0</v>
      </c>
      <c r="C8368" s="1" t="s">
        <v>24508</v>
      </c>
      <c r="D8368" s="1" t="s">
        <v>8</v>
      </c>
      <c r="E8368" s="1" t="s">
        <v>24509</v>
      </c>
      <c r="F8368" s="1" t="str">
        <f>IFERROR(__xludf.DUMMYFUNCTION("GOOGLETRANSLATE(A8368, ""zh-CN"", ""ko"")"),"옮기다")</f>
        <v>옮기다</v>
      </c>
    </row>
    <row r="8369" ht="15.75" customHeight="1">
      <c r="A8369" s="1" t="s">
        <v>24510</v>
      </c>
      <c r="B8369" s="1">
        <v>7.0</v>
      </c>
      <c r="C8369" s="1" t="s">
        <v>24511</v>
      </c>
      <c r="D8369" s="1" t="s">
        <v>52</v>
      </c>
      <c r="E8369" s="1" t="s">
        <v>24512</v>
      </c>
      <c r="F8369" s="1" t="str">
        <f>IFERROR(__xludf.DUMMYFUNCTION("GOOGLETRANSLATE(A8369, ""zh-CN"", ""ko"")"),"살기 좋은")</f>
        <v>살기 좋은</v>
      </c>
    </row>
    <row r="8370" ht="15.75" customHeight="1">
      <c r="A8370" s="1" t="s">
        <v>24513</v>
      </c>
      <c r="B8370" s="1">
        <v>7.0</v>
      </c>
      <c r="C8370" s="1" t="s">
        <v>24514</v>
      </c>
      <c r="D8370" s="1" t="s">
        <v>8</v>
      </c>
      <c r="E8370" s="1" t="s">
        <v>24515</v>
      </c>
      <c r="F8370" s="1" t="str">
        <f>IFERROR(__xludf.DUMMYFUNCTION("GOOGLETRANSLATE(A8370, ""zh-CN"", ""ko"")"),"생략")</f>
        <v>생략</v>
      </c>
    </row>
    <row r="8371" ht="15.75" customHeight="1">
      <c r="A8371" s="1" t="s">
        <v>24516</v>
      </c>
      <c r="B8371" s="1">
        <v>7.0</v>
      </c>
      <c r="C8371" s="1" t="s">
        <v>6799</v>
      </c>
      <c r="D8371" s="1" t="s">
        <v>8</v>
      </c>
      <c r="E8371" s="1" t="s">
        <v>24517</v>
      </c>
      <c r="F8371" s="1" t="str">
        <f>IFERROR(__xludf.DUMMYFUNCTION("GOOGLETRANSLATE(A8371, ""zh-CN"", ""ko"")"),"의심")</f>
        <v>의심</v>
      </c>
    </row>
    <row r="8372" ht="15.75" customHeight="1">
      <c r="A8372" s="1" t="s">
        <v>24518</v>
      </c>
      <c r="B8372" s="1">
        <v>7.0</v>
      </c>
      <c r="C8372" s="1" t="s">
        <v>24519</v>
      </c>
      <c r="D8372" s="1" t="s">
        <v>17886</v>
      </c>
      <c r="E8372" s="1" t="s">
        <v>24520</v>
      </c>
      <c r="F8372" s="1" t="str">
        <f>IFERROR(__xludf.DUMMYFUNCTION("GOOGLETRANSLATE(A8372, ""zh-CN"", ""ko"")"),"한편")</f>
        <v>한편</v>
      </c>
    </row>
    <row r="8373" ht="15.75" customHeight="1">
      <c r="A8373" s="1" t="s">
        <v>24521</v>
      </c>
      <c r="B8373" s="1">
        <v>7.0</v>
      </c>
      <c r="C8373" s="1" t="s">
        <v>13673</v>
      </c>
      <c r="D8373" s="1" t="s">
        <v>8</v>
      </c>
      <c r="E8373" s="1" t="s">
        <v>24522</v>
      </c>
      <c r="F8373" s="1" t="str">
        <f>IFERROR(__xludf.DUMMYFUNCTION("GOOGLETRANSLATE(A8373, ""zh-CN"", ""ko"")"),"포기")</f>
        <v>포기</v>
      </c>
    </row>
    <row r="8374" ht="15.75" customHeight="1">
      <c r="A8374" s="1" t="s">
        <v>24523</v>
      </c>
      <c r="B8374" s="1">
        <v>7.0</v>
      </c>
      <c r="C8374" s="1" t="s">
        <v>24524</v>
      </c>
      <c r="E8374" s="1" t="s">
        <v>24525</v>
      </c>
      <c r="F8374" s="1" t="str">
        <f>IFERROR(__xludf.DUMMYFUNCTION("GOOGLETRANSLATE(A8374, ""zh-CN"", ""ko"")"),"콘텐츠")</f>
        <v>콘텐츠</v>
      </c>
    </row>
    <row r="8375" ht="15.75" customHeight="1">
      <c r="A8375" s="1" t="s">
        <v>24526</v>
      </c>
      <c r="B8375" s="1">
        <v>7.0</v>
      </c>
      <c r="C8375" s="1" t="s">
        <v>24527</v>
      </c>
      <c r="D8375" s="1" t="s">
        <v>52</v>
      </c>
      <c r="E8375" s="1" t="s">
        <v>24528</v>
      </c>
      <c r="F8375" s="1" t="str">
        <f>IFERROR(__xludf.DUMMYFUNCTION("GOOGLETRANSLATE(A8375, ""zh-CN"", ""ko"")"),"즐거운")</f>
        <v>즐거운</v>
      </c>
    </row>
    <row r="8376" ht="15.75" customHeight="1">
      <c r="A8376" s="1" t="s">
        <v>24529</v>
      </c>
      <c r="B8376" s="1">
        <v>7.0</v>
      </c>
      <c r="C8376" s="1" t="s">
        <v>24530</v>
      </c>
      <c r="E8376" s="1" t="s">
        <v>24531</v>
      </c>
      <c r="F8376" s="1" t="str">
        <f>IFERROR(__xludf.DUMMYFUNCTION("GOOGLETRANSLATE(A8376, ""zh-CN"", ""ko"")"),"아무것도 이루지 못했다")</f>
        <v>아무것도 이루지 못했다</v>
      </c>
    </row>
    <row r="8377" ht="15.75" customHeight="1">
      <c r="A8377" s="1" t="s">
        <v>24532</v>
      </c>
      <c r="B8377" s="1">
        <v>7.0</v>
      </c>
      <c r="C8377" s="1" t="s">
        <v>24533</v>
      </c>
      <c r="D8377" s="1" t="s">
        <v>16</v>
      </c>
      <c r="E8377" s="1" t="s">
        <v>24534</v>
      </c>
      <c r="F8377" s="1" t="str">
        <f>IFERROR(__xludf.DUMMYFUNCTION("GOOGLETRANSLATE(A8377, ""zh-CN"", ""ko"")"),"유적")</f>
        <v>유적</v>
      </c>
    </row>
    <row r="8378" ht="15.75" customHeight="1">
      <c r="A8378" s="1" t="s">
        <v>24535</v>
      </c>
      <c r="B8378" s="1">
        <v>7.0</v>
      </c>
      <c r="C8378" s="1" t="s">
        <v>24536</v>
      </c>
      <c r="D8378" s="1" t="s">
        <v>8</v>
      </c>
      <c r="E8378" s="1" t="s">
        <v>24537</v>
      </c>
      <c r="F8378" s="1" t="str">
        <f>IFERROR(__xludf.DUMMYFUNCTION("GOOGLETRANSLATE(A8378, ""zh-CN"", ""ko"")"),"잊다")</f>
        <v>잊다</v>
      </c>
    </row>
    <row r="8379" ht="15.75" customHeight="1">
      <c r="A8379" s="1" t="s">
        <v>24538</v>
      </c>
      <c r="B8379" s="1">
        <v>7.0</v>
      </c>
      <c r="C8379" s="1" t="s">
        <v>24539</v>
      </c>
      <c r="D8379" s="1" t="s">
        <v>33</v>
      </c>
      <c r="E8379" s="1" t="s">
        <v>24540</v>
      </c>
      <c r="F8379" s="1" t="str">
        <f>IFERROR(__xludf.DUMMYFUNCTION("GOOGLETRANSLATE(A8379, ""zh-CN"", ""ko"")"),"한 가지 맛")</f>
        <v>한 가지 맛</v>
      </c>
    </row>
    <row r="8380" ht="15.75" customHeight="1">
      <c r="A8380" s="1" t="s">
        <v>24541</v>
      </c>
      <c r="B8380" s="1">
        <v>7.0</v>
      </c>
      <c r="C8380" s="1" t="s">
        <v>24542</v>
      </c>
      <c r="D8380" s="1" t="s">
        <v>16</v>
      </c>
      <c r="E8380" s="1" t="s">
        <v>24543</v>
      </c>
      <c r="F8380" s="1" t="str">
        <f>IFERROR(__xludf.DUMMYFUNCTION("GOOGLETRANSLATE(A8380, ""zh-CN"", ""ko"")"),"유물")</f>
        <v>유물</v>
      </c>
    </row>
    <row r="8381" ht="15.75" customHeight="1">
      <c r="A8381" s="1" t="s">
        <v>24544</v>
      </c>
      <c r="B8381" s="1">
        <v>7.0</v>
      </c>
      <c r="C8381" s="1" t="s">
        <v>24545</v>
      </c>
      <c r="D8381" s="1" t="s">
        <v>8</v>
      </c>
      <c r="E8381" s="1" t="s">
        <v>24546</v>
      </c>
      <c r="F8381" s="1" t="str">
        <f>IFERROR(__xludf.DUMMYFUNCTION("GOOGLETRANSLATE(A8381, ""zh-CN"", ""ko"")"),"이식")</f>
        <v>이식</v>
      </c>
    </row>
    <row r="8382" ht="15.75" customHeight="1">
      <c r="A8382" s="1" t="s">
        <v>24547</v>
      </c>
      <c r="B8382" s="1">
        <v>7.0</v>
      </c>
      <c r="C8382" s="1" t="s">
        <v>24548</v>
      </c>
      <c r="D8382" s="1" t="s">
        <v>16</v>
      </c>
      <c r="E8382" s="1" t="s">
        <v>24549</v>
      </c>
      <c r="F8382" s="1" t="str">
        <f>IFERROR(__xludf.DUMMYFUNCTION("GOOGLETRANSLATE(A8382, ""zh-CN"", ""ko"")"),"~ 할 것이다")</f>
        <v>~ 할 것이다</v>
      </c>
    </row>
    <row r="8383" ht="15.75" customHeight="1">
      <c r="A8383" s="1" t="s">
        <v>24550</v>
      </c>
      <c r="B8383" s="1">
        <v>7.0</v>
      </c>
      <c r="C8383" s="1" t="s">
        <v>3276</v>
      </c>
      <c r="D8383" s="1" t="s">
        <v>8</v>
      </c>
      <c r="E8383" s="1" t="s">
        <v>24551</v>
      </c>
      <c r="F8383" s="1" t="str">
        <f>IFERROR(__xludf.DUMMYFUNCTION("GOOGLETRANSLATE(A8383, ""zh-CN"", ""ko"")"),"기대다")</f>
        <v>기대다</v>
      </c>
    </row>
    <row r="8384" ht="15.75" customHeight="1">
      <c r="A8384" s="1" t="s">
        <v>24552</v>
      </c>
      <c r="B8384" s="1">
        <v>7.0</v>
      </c>
      <c r="C8384" s="1" t="s">
        <v>3276</v>
      </c>
      <c r="D8384" s="1" t="s">
        <v>56</v>
      </c>
      <c r="E8384" s="1" t="s">
        <v>24553</v>
      </c>
      <c r="F8384" s="1" t="str">
        <f>IFERROR(__xludf.DUMMYFUNCTION("GOOGLETRANSLATE(A8384, ""zh-CN"", ""ko"")"),"아")</f>
        <v>아</v>
      </c>
    </row>
    <row r="8385" ht="15.75" customHeight="1">
      <c r="A8385" s="1" t="s">
        <v>24554</v>
      </c>
      <c r="B8385" s="1">
        <v>7.0</v>
      </c>
      <c r="C8385" s="1" t="s">
        <v>24555</v>
      </c>
      <c r="E8385" s="1" t="s">
        <v>24556</v>
      </c>
      <c r="F8385" s="1" t="str">
        <f>IFERROR(__xludf.DUMMYFUNCTION("GOOGLETRANSLATE(A8385, ""zh-CN"", ""ko"")"),"본보기를 보이세요")</f>
        <v>본보기를 보이세요</v>
      </c>
    </row>
    <row r="8386" ht="15.75" customHeight="1">
      <c r="A8386" s="1" t="s">
        <v>24557</v>
      </c>
      <c r="B8386" s="1">
        <v>7.0</v>
      </c>
      <c r="C8386" s="1" t="s">
        <v>24558</v>
      </c>
      <c r="D8386" s="1" t="s">
        <v>1473</v>
      </c>
      <c r="E8386" s="1" t="s">
        <v>24559</v>
      </c>
      <c r="F8386" s="1" t="str">
        <f>IFERROR(__xludf.DUMMYFUNCTION("GOOGLETRANSLATE(A8386, ""zh-CN"", ""ko"")"),"너무나 그렇습니다")</f>
        <v>너무나 그렇습니다</v>
      </c>
    </row>
    <row r="8387" ht="15.75" customHeight="1">
      <c r="A8387" s="1" t="s">
        <v>24560</v>
      </c>
      <c r="B8387" s="1">
        <v>7.0</v>
      </c>
      <c r="C8387" s="1" t="s">
        <v>6821</v>
      </c>
      <c r="D8387" s="1" t="s">
        <v>8</v>
      </c>
      <c r="E8387" s="1" t="s">
        <v>24561</v>
      </c>
      <c r="F8387" s="1" t="str">
        <f>IFERROR(__xludf.DUMMYFUNCTION("GOOGLETRANSLATE(A8387, ""zh-CN"", ""ko"")"),"과다")</f>
        <v>과다</v>
      </c>
    </row>
    <row r="8388" ht="15.75" customHeight="1">
      <c r="A8388" s="1" t="s">
        <v>24562</v>
      </c>
      <c r="B8388" s="1">
        <v>7.0</v>
      </c>
      <c r="C8388" s="1" t="s">
        <v>6821</v>
      </c>
      <c r="D8388" s="1" t="s">
        <v>8</v>
      </c>
      <c r="E8388" s="1" t="s">
        <v>24563</v>
      </c>
      <c r="F8388" s="1" t="str">
        <f>IFERROR(__xludf.DUMMYFUNCTION("GOOGLETRANSLATE(A8388, ""zh-CN"", ""ko"")"),"논의")</f>
        <v>논의</v>
      </c>
    </row>
    <row r="8389" ht="15.75" customHeight="1">
      <c r="A8389" s="1" t="s">
        <v>24564</v>
      </c>
      <c r="B8389" s="1">
        <v>7.0</v>
      </c>
      <c r="C8389" s="1" t="s">
        <v>6821</v>
      </c>
      <c r="D8389" s="1" t="s">
        <v>8</v>
      </c>
      <c r="E8389" s="1" t="s">
        <v>24565</v>
      </c>
      <c r="F8389" s="1" t="str">
        <f>IFERROR(__xludf.DUMMYFUNCTION("GOOGLETRANSLATE(A8389, ""zh-CN"", ""ko"")"),"번역")</f>
        <v>번역</v>
      </c>
    </row>
    <row r="8390" ht="15.75" customHeight="1">
      <c r="A8390" s="1" t="s">
        <v>24566</v>
      </c>
      <c r="B8390" s="1">
        <v>7.0</v>
      </c>
      <c r="C8390" s="1" t="s">
        <v>24567</v>
      </c>
      <c r="D8390" s="1" t="s">
        <v>16</v>
      </c>
      <c r="E8390" s="1" t="s">
        <v>24568</v>
      </c>
      <c r="F8390" s="1" t="str">
        <f>IFERROR(__xludf.DUMMYFUNCTION("GOOGLETRANSLATE(A8390, ""zh-CN"", ""ko"")"),"의제")</f>
        <v>의제</v>
      </c>
    </row>
    <row r="8391" ht="15.75" customHeight="1">
      <c r="A8391" s="1" t="s">
        <v>24569</v>
      </c>
      <c r="B8391" s="1">
        <v>7.0</v>
      </c>
      <c r="C8391" s="1" t="s">
        <v>24570</v>
      </c>
      <c r="E8391" s="1" t="s">
        <v>24571</v>
      </c>
      <c r="F8391" s="1" t="str">
        <f>IFERROR(__xludf.DUMMYFUNCTION("GOOGLETRANSLATE(A8391, ""zh-CN"", ""ko"")"),"변하지 않는")</f>
        <v>변하지 않는</v>
      </c>
    </row>
    <row r="8392" ht="15.75" customHeight="1">
      <c r="A8392" s="1" t="s">
        <v>24572</v>
      </c>
      <c r="B8392" s="1">
        <v>7.0</v>
      </c>
      <c r="C8392" s="1" t="s">
        <v>24573</v>
      </c>
      <c r="E8392" s="1" t="s">
        <v>24574</v>
      </c>
      <c r="F8392" s="1" t="str">
        <f>IFERROR(__xludf.DUMMYFUNCTION("GOOGLETRANSLATE(A8392, ""zh-CN"", ""ko"")"),"어찌할 바를 모르겠다")</f>
        <v>어찌할 바를 모르겠다</v>
      </c>
    </row>
    <row r="8393" ht="15.75" customHeight="1">
      <c r="A8393" s="1" t="s">
        <v>24575</v>
      </c>
      <c r="B8393" s="1">
        <v>7.0</v>
      </c>
      <c r="C8393" s="1" t="s">
        <v>24576</v>
      </c>
      <c r="E8393" s="1" t="s">
        <v>24577</v>
      </c>
      <c r="F8393" s="1" t="str">
        <f>IFERROR(__xludf.DUMMYFUNCTION("GOOGLETRANSLATE(A8393, ""zh-CN"", ""ko"")"),"깨끗하고 흠잡을 데 없는")</f>
        <v>깨끗하고 흠잡을 데 없는</v>
      </c>
    </row>
    <row r="8394" ht="15.75" customHeight="1">
      <c r="A8394" s="1" t="s">
        <v>24578</v>
      </c>
      <c r="B8394" s="1">
        <v>7.0</v>
      </c>
      <c r="C8394" s="1" t="s">
        <v>24579</v>
      </c>
      <c r="D8394" s="1" t="s">
        <v>16</v>
      </c>
      <c r="E8394" s="1" t="s">
        <v>24580</v>
      </c>
      <c r="F8394" s="1" t="str">
        <f>IFERROR(__xludf.DUMMYFUNCTION("GOOGLETRANSLATE(A8394, ""zh-CN"", ""ko"")"),"자원봉사자들")</f>
        <v>자원봉사자들</v>
      </c>
    </row>
    <row r="8395" ht="15.75" customHeight="1">
      <c r="A8395" s="1" t="s">
        <v>24581</v>
      </c>
      <c r="B8395" s="1">
        <v>7.0</v>
      </c>
      <c r="C8395" s="1" t="s">
        <v>24582</v>
      </c>
      <c r="E8395" s="1" t="s">
        <v>24583</v>
      </c>
      <c r="F8395" s="1" t="str">
        <f>IFERROR(__xludf.DUMMYFUNCTION("GOOGLETRANSLATE(A8395, ""zh-CN"", ""ko"")"),"모든 힘을 다해라")</f>
        <v>모든 힘을 다해라</v>
      </c>
    </row>
    <row r="8396" ht="15.75" customHeight="1">
      <c r="A8396" s="1" t="s">
        <v>24584</v>
      </c>
      <c r="B8396" s="1">
        <v>7.0</v>
      </c>
      <c r="C8396" s="1" t="s">
        <v>24585</v>
      </c>
      <c r="D8396" s="1" t="s">
        <v>33</v>
      </c>
      <c r="E8396" s="1" t="s">
        <v>24586</v>
      </c>
      <c r="F8396" s="1" t="str">
        <f>IFERROR(__xludf.DUMMYFUNCTION("GOOGLETRANSLATE(A8396, ""zh-CN"", ""ko"")"),"한 번")</f>
        <v>한 번</v>
      </c>
    </row>
    <row r="8397" ht="15.75" customHeight="1">
      <c r="A8397" s="1" t="s">
        <v>24587</v>
      </c>
      <c r="B8397" s="1">
        <v>7.0</v>
      </c>
      <c r="C8397" s="1" t="s">
        <v>24588</v>
      </c>
      <c r="D8397" s="1" t="s">
        <v>17886</v>
      </c>
      <c r="E8397" s="1" t="s">
        <v>24589</v>
      </c>
      <c r="F8397" s="1" t="str">
        <f>IFERROR(__xludf.DUMMYFUNCTION("GOOGLETRANSLATE(A8397, ""zh-CN"", ""ko"")"),"단번에")</f>
        <v>단번에</v>
      </c>
    </row>
    <row r="8398" ht="15.75" customHeight="1">
      <c r="A8398" s="1" t="s">
        <v>24590</v>
      </c>
      <c r="B8398" s="1">
        <v>7.0</v>
      </c>
      <c r="C8398" s="1" t="s">
        <v>24591</v>
      </c>
      <c r="E8398" s="1" t="s">
        <v>24592</v>
      </c>
      <c r="F8398" s="1" t="str">
        <f>IFERROR(__xludf.DUMMYFUNCTION("GOOGLETRANSLATE(A8398, ""zh-CN"", ""ko"")"),"모든 움직임")</f>
        <v>모든 움직임</v>
      </c>
    </row>
    <row r="8399" ht="15.75" customHeight="1">
      <c r="A8399" s="1" t="s">
        <v>24593</v>
      </c>
      <c r="B8399" s="1">
        <v>7.0</v>
      </c>
      <c r="C8399" s="1" t="s">
        <v>24594</v>
      </c>
      <c r="E8399" s="1" t="s">
        <v>24595</v>
      </c>
      <c r="F8399" s="1" t="str">
        <f>IFERROR(__xludf.DUMMYFUNCTION("GOOGLETRANSLATE(A8399, ""zh-CN"", ""ko"")"),"동시에")</f>
        <v>동시에</v>
      </c>
    </row>
    <row r="8400" ht="15.75" customHeight="1">
      <c r="A8400" s="1" t="s">
        <v>24596</v>
      </c>
      <c r="B8400" s="1">
        <v>7.0</v>
      </c>
      <c r="C8400" s="1" t="s">
        <v>24597</v>
      </c>
      <c r="D8400" s="1" t="s">
        <v>16</v>
      </c>
      <c r="E8400" s="1" t="s">
        <v>24598</v>
      </c>
      <c r="F8400" s="1" t="str">
        <f>IFERROR(__xludf.DUMMYFUNCTION("GOOGLETRANSLATE(A8400, ""zh-CN"", ""ko"")"),"알루미늄 캔")</f>
        <v>알루미늄 캔</v>
      </c>
    </row>
    <row r="8401" ht="15.75" customHeight="1">
      <c r="A8401" s="1" t="s">
        <v>24599</v>
      </c>
      <c r="B8401" s="1">
        <v>7.0</v>
      </c>
      <c r="C8401" s="1" t="s">
        <v>24600</v>
      </c>
      <c r="D8401" s="1" t="s">
        <v>52</v>
      </c>
      <c r="E8401" s="1" t="s">
        <v>24601</v>
      </c>
      <c r="F8401" s="1" t="str">
        <f>IFERROR(__xludf.DUMMYFUNCTION("GOOGLETRANSLATE(A8401, ""zh-CN"", ""ko"")"),"패키지")</f>
        <v>패키지</v>
      </c>
    </row>
    <row r="8402" ht="15.75" customHeight="1">
      <c r="A8402" s="1" t="s">
        <v>24602</v>
      </c>
      <c r="B8402" s="1">
        <v>7.0</v>
      </c>
      <c r="C8402" s="1" t="s">
        <v>13711</v>
      </c>
      <c r="D8402" s="1" t="s">
        <v>8</v>
      </c>
      <c r="E8402" s="1" t="s">
        <v>24603</v>
      </c>
      <c r="F8402" s="1" t="str">
        <f>IFERROR(__xludf.DUMMYFUNCTION("GOOGLETRANSLATE(A8402, ""zh-CN"", ""ko"")"),"우뚝 서 있는")</f>
        <v>우뚝 서 있는</v>
      </c>
    </row>
    <row r="8403" ht="15.75" customHeight="1">
      <c r="A8403" s="1" t="s">
        <v>24604</v>
      </c>
      <c r="B8403" s="1">
        <v>7.0</v>
      </c>
      <c r="C8403" s="1" t="s">
        <v>24605</v>
      </c>
      <c r="D8403" s="1" t="s">
        <v>33</v>
      </c>
      <c r="E8403" s="1" t="s">
        <v>24606</v>
      </c>
      <c r="F8403" s="1" t="str">
        <f>IFERROR(__xludf.DUMMYFUNCTION("GOOGLETRANSLATE(A8403, ""zh-CN"", ""ko"")"),"연속으로 하나")</f>
        <v>연속으로 하나</v>
      </c>
    </row>
    <row r="8404" ht="15.75" customHeight="1">
      <c r="A8404" s="1" t="s">
        <v>24607</v>
      </c>
      <c r="B8404" s="1">
        <v>7.0</v>
      </c>
      <c r="C8404" s="1" t="s">
        <v>24608</v>
      </c>
      <c r="D8404" s="1" t="s">
        <v>52</v>
      </c>
      <c r="E8404" s="1" t="s">
        <v>24609</v>
      </c>
      <c r="F8404" s="1" t="str">
        <f>IFERROR(__xludf.DUMMYFUNCTION("GOOGLETRANSLATE(A8404, ""zh-CN"", ""ko"")"),"시리즈")</f>
        <v>시리즈</v>
      </c>
    </row>
    <row r="8405" ht="15.75" customHeight="1">
      <c r="A8405" s="1" t="s">
        <v>24610</v>
      </c>
      <c r="B8405" s="1">
        <v>7.0</v>
      </c>
      <c r="C8405" s="1" t="s">
        <v>24611</v>
      </c>
      <c r="E8405" s="1" t="s">
        <v>24612</v>
      </c>
      <c r="F8405" s="1" t="str">
        <f>IFERROR(__xludf.DUMMYFUNCTION("GOOGLETRANSLATE(A8405, ""zh-CN"", ""ko"")"),"적은")</f>
        <v>적은</v>
      </c>
    </row>
    <row r="8406" ht="15.75" customHeight="1">
      <c r="A8406" s="1" t="s">
        <v>24613</v>
      </c>
      <c r="B8406" s="1">
        <v>7.0</v>
      </c>
      <c r="C8406" s="1" t="s">
        <v>24614</v>
      </c>
      <c r="D8406" s="1" t="s">
        <v>16</v>
      </c>
      <c r="E8406" s="1" t="s">
        <v>24615</v>
      </c>
      <c r="F8406" s="1" t="str">
        <f>IFERROR(__xludf.DUMMYFUNCTION("GOOGLETRANSLATE(A8406, ""zh-CN"", ""ko"")"),"백신")</f>
        <v>백신</v>
      </c>
    </row>
    <row r="8407" ht="15.75" customHeight="1">
      <c r="A8407" s="1" t="s">
        <v>24616</v>
      </c>
      <c r="B8407" s="1">
        <v>7.0</v>
      </c>
      <c r="C8407" s="1" t="s">
        <v>24617</v>
      </c>
      <c r="D8407" s="1" t="s">
        <v>16</v>
      </c>
      <c r="E8407" s="1" t="s">
        <v>24618</v>
      </c>
      <c r="F8407" s="1" t="str">
        <f>IFERROR(__xludf.DUMMYFUNCTION("GOOGLETRANSLATE(A8407, ""zh-CN"", ""ko"")"),"옆에")</f>
        <v>옆에</v>
      </c>
    </row>
    <row r="8408" ht="15.75" customHeight="1">
      <c r="A8408" s="1" t="s">
        <v>24619</v>
      </c>
      <c r="B8408" s="1">
        <v>7.0</v>
      </c>
      <c r="C8408" s="1" t="s">
        <v>24620</v>
      </c>
      <c r="E8408" s="1" t="s">
        <v>24621</v>
      </c>
      <c r="F8408" s="1" t="str">
        <f>IFERROR(__xludf.DUMMYFUNCTION("GOOGLETRANSLATE(A8408, ""zh-CN"", ""ko"")"),"한 마디 말도 없이")</f>
        <v>한 마디 말도 없이</v>
      </c>
    </row>
    <row r="8409" ht="15.75" customHeight="1">
      <c r="A8409" s="1" t="s">
        <v>24622</v>
      </c>
      <c r="B8409" s="1">
        <v>7.0</v>
      </c>
      <c r="C8409" s="1" t="s">
        <v>24623</v>
      </c>
      <c r="D8409" s="1" t="s">
        <v>17886</v>
      </c>
      <c r="E8409" s="1" t="s">
        <v>24624</v>
      </c>
      <c r="F8409" s="1" t="str">
        <f>IFERROR(__xludf.DUMMYFUNCTION("GOOGLETRANSLATE(A8409, ""zh-CN"", ""ko"")"),"척수")</f>
        <v>척수</v>
      </c>
    </row>
    <row r="8410" ht="15.75" customHeight="1">
      <c r="A8410" s="1" t="s">
        <v>24625</v>
      </c>
      <c r="B8410" s="1">
        <v>7.0</v>
      </c>
      <c r="C8410" s="1" t="s">
        <v>24626</v>
      </c>
      <c r="E8410" s="1" t="s">
        <v>24627</v>
      </c>
      <c r="F8410" s="1" t="str">
        <f>IFERROR(__xludf.DUMMYFUNCTION("GOOGLETRANSLATE(A8410, ""zh-CN"", ""ko"")"),"완전 엉망진창")</f>
        <v>완전 엉망진창</v>
      </c>
    </row>
    <row r="8411" ht="15.75" customHeight="1">
      <c r="A8411" s="1" t="s">
        <v>24628</v>
      </c>
      <c r="B8411" s="1">
        <v>7.0</v>
      </c>
      <c r="C8411" s="1" t="s">
        <v>24629</v>
      </c>
      <c r="D8411" s="1" t="s">
        <v>16</v>
      </c>
      <c r="E8411" s="1" t="s">
        <v>23651</v>
      </c>
      <c r="F8411" s="1" t="str">
        <f>IFERROR(__xludf.DUMMYFUNCTION("GOOGLETRANSLATE(A8411, ""zh-CN"", ""ko"")"),"문제")</f>
        <v>문제</v>
      </c>
    </row>
    <row r="8412" ht="15.75" customHeight="1">
      <c r="A8412" s="1" t="s">
        <v>24630</v>
      </c>
      <c r="B8412" s="1">
        <v>7.0</v>
      </c>
      <c r="C8412" s="1" t="s">
        <v>24631</v>
      </c>
      <c r="D8412" s="1" t="s">
        <v>16</v>
      </c>
      <c r="E8412" s="1" t="s">
        <v>24632</v>
      </c>
      <c r="F8412" s="1" t="str">
        <f>IFERROR(__xludf.DUMMYFUNCTION("GOOGLETRANSLATE(A8412, ""zh-CN"", ""ko"")"),"하나")</f>
        <v>하나</v>
      </c>
    </row>
    <row r="8413" ht="15.75" customHeight="1">
      <c r="A8413" s="1" t="s">
        <v>24633</v>
      </c>
      <c r="B8413" s="1">
        <v>7.0</v>
      </c>
      <c r="C8413" s="1" t="s">
        <v>24634</v>
      </c>
      <c r="D8413" s="1" t="s">
        <v>19688</v>
      </c>
      <c r="E8413" s="1" t="s">
        <v>24635</v>
      </c>
      <c r="F8413" s="1" t="str">
        <f>IFERROR(__xludf.DUMMYFUNCTION("GOOGLETRANSLATE(A8413, ""zh-CN"", ""ko"")"),"하나")</f>
        <v>하나</v>
      </c>
    </row>
    <row r="8414" ht="15.75" customHeight="1">
      <c r="A8414" s="1" t="s">
        <v>24636</v>
      </c>
      <c r="B8414" s="1">
        <v>7.0</v>
      </c>
      <c r="C8414" s="1" t="s">
        <v>24637</v>
      </c>
      <c r="D8414" s="1" t="s">
        <v>12</v>
      </c>
      <c r="E8414" s="1" t="s">
        <v>24638</v>
      </c>
      <c r="F8414" s="1" t="str">
        <f>IFERROR(__xludf.DUMMYFUNCTION("GOOGLETRANSLATE(A8414, ""zh-CN"", ""ko"")"),"수억")</f>
        <v>수억</v>
      </c>
    </row>
    <row r="8415" ht="15.75" customHeight="1">
      <c r="A8415" s="1" t="s">
        <v>24639</v>
      </c>
      <c r="B8415" s="1">
        <v>7.0</v>
      </c>
      <c r="C8415" s="1" t="s">
        <v>24640</v>
      </c>
      <c r="D8415" s="1" t="s">
        <v>16</v>
      </c>
      <c r="E8415" s="1" t="s">
        <v>854</v>
      </c>
      <c r="F8415" s="1" t="str">
        <f>IFERROR(__xludf.DUMMYFUNCTION("GOOGLETRANSLATE(A8415, ""zh-CN"", ""ko"")"),"평균")</f>
        <v>평균</v>
      </c>
    </row>
    <row r="8416" ht="15.75" customHeight="1">
      <c r="A8416" s="1" t="s">
        <v>24641</v>
      </c>
      <c r="B8416" s="1">
        <v>7.0</v>
      </c>
      <c r="C8416" s="1" t="s">
        <v>24642</v>
      </c>
      <c r="E8416" s="1" t="s">
        <v>24643</v>
      </c>
      <c r="F8416" s="1" t="str">
        <f>IFERROR(__xludf.DUMMYFUNCTION("GOOGLETRANSLATE(A8416, ""zh-CN"", ""ko"")"),"아무것도 아님")</f>
        <v>아무것도 아님</v>
      </c>
    </row>
    <row r="8417" ht="15.75" customHeight="1">
      <c r="A8417" s="1" t="s">
        <v>24644</v>
      </c>
      <c r="B8417" s="1">
        <v>7.0</v>
      </c>
      <c r="C8417" s="1" t="s">
        <v>24645</v>
      </c>
      <c r="E8417" s="1" t="s">
        <v>24646</v>
      </c>
      <c r="F8417" s="1" t="str">
        <f>IFERROR(__xludf.DUMMYFUNCTION("GOOGLETRANSLATE(A8417, ""zh-CN"", ""ko"")"),"나는 아무것도 모른다")</f>
        <v>나는 아무것도 모른다</v>
      </c>
    </row>
    <row r="8418" ht="15.75" customHeight="1">
      <c r="A8418" s="1" t="s">
        <v>24647</v>
      </c>
      <c r="B8418" s="1">
        <v>7.0</v>
      </c>
      <c r="C8418" s="1" t="s">
        <v>24648</v>
      </c>
      <c r="E8418" s="1" t="s">
        <v>24649</v>
      </c>
      <c r="F8418" s="1" t="str">
        <f>IFERROR(__xludf.DUMMYFUNCTION("GOOGLETRANSLATE(A8418, ""zh-CN"", ""ko"")"),"예기치 않은")</f>
        <v>예기치 않은</v>
      </c>
    </row>
    <row r="8419" ht="15.75" customHeight="1">
      <c r="A8419" s="1" t="s">
        <v>24650</v>
      </c>
      <c r="B8419" s="1">
        <v>7.0</v>
      </c>
      <c r="C8419" s="1" t="s">
        <v>24651</v>
      </c>
      <c r="E8419" s="1" t="s">
        <v>24652</v>
      </c>
      <c r="F8419" s="1" t="str">
        <f>IFERROR(__xludf.DUMMYFUNCTION("GOOGLETRANSLATE(A8419, ""zh-CN"", ""ko"")"),"터무니없는 생각들")</f>
        <v>터무니없는 생각들</v>
      </c>
    </row>
    <row r="8420" ht="15.75" customHeight="1">
      <c r="A8420" s="1" t="s">
        <v>24653</v>
      </c>
      <c r="B8420" s="1">
        <v>7.0</v>
      </c>
      <c r="C8420" s="1" t="s">
        <v>24654</v>
      </c>
      <c r="D8420" s="1" t="s">
        <v>33</v>
      </c>
      <c r="E8420" s="1" t="s">
        <v>24655</v>
      </c>
      <c r="F8420" s="1" t="str">
        <f>IFERROR(__xludf.DUMMYFUNCTION("GOOGLETRANSLATE(A8420, ""zh-CN"", ""ko"")"),"하나의 마음")</f>
        <v>하나의 마음</v>
      </c>
    </row>
    <row r="8421" ht="15.75" customHeight="1">
      <c r="A8421" s="1" t="s">
        <v>24656</v>
      </c>
      <c r="B8421" s="1">
        <v>7.0</v>
      </c>
      <c r="C8421" s="1" t="s">
        <v>24657</v>
      </c>
      <c r="E8421" s="1" t="s">
        <v>24658</v>
      </c>
      <c r="F8421" s="1" t="str">
        <f>IFERROR(__xludf.DUMMYFUNCTION("GOOGLETRANSLATE(A8421, ""zh-CN"", ""ko"")"),"진심으로")</f>
        <v>진심으로</v>
      </c>
    </row>
    <row r="8422" ht="15.75" customHeight="1">
      <c r="A8422" s="1" t="s">
        <v>24659</v>
      </c>
      <c r="B8422" s="1">
        <v>7.0</v>
      </c>
      <c r="C8422" s="1" t="s">
        <v>24660</v>
      </c>
      <c r="D8422" s="1" t="s">
        <v>15352</v>
      </c>
      <c r="E8422" s="1" t="s">
        <v>24661</v>
      </c>
      <c r="F8422" s="1" t="str">
        <f>IFERROR(__xludf.DUMMYFUNCTION("GOOGLETRANSLATE(A8422, ""zh-CN"", ""ko"")"),"이성")</f>
        <v>이성</v>
      </c>
    </row>
    <row r="8423" ht="15.75" customHeight="1">
      <c r="A8423" s="1" t="s">
        <v>24662</v>
      </c>
      <c r="B8423" s="1">
        <v>7.0</v>
      </c>
      <c r="C8423" s="1" t="s">
        <v>24663</v>
      </c>
      <c r="E8423" s="1" t="s">
        <v>24621</v>
      </c>
      <c r="F8423" s="1" t="str">
        <f>IFERROR(__xludf.DUMMYFUNCTION("GOOGLETRANSLATE(A8423, ""zh-CN"", ""ko"")"),"한 마디 말도 없이")</f>
        <v>한 마디 말도 없이</v>
      </c>
    </row>
    <row r="8424" ht="15.75" customHeight="1">
      <c r="A8424" s="1" t="s">
        <v>24664</v>
      </c>
      <c r="B8424" s="1">
        <v>7.0</v>
      </c>
      <c r="C8424" s="1" t="s">
        <v>24665</v>
      </c>
      <c r="E8424" s="1" t="s">
        <v>24666</v>
      </c>
      <c r="F8424" s="1" t="str">
        <f>IFERROR(__xludf.DUMMYFUNCTION("GOOGLETRANSLATE(A8424, ""zh-CN"", ""ko"")"),"모든 말과 행동")</f>
        <v>모든 말과 행동</v>
      </c>
    </row>
    <row r="8425" ht="15.75" customHeight="1">
      <c r="A8425" s="1" t="s">
        <v>24667</v>
      </c>
      <c r="B8425" s="1">
        <v>7.0</v>
      </c>
      <c r="C8425" s="1" t="s">
        <v>24668</v>
      </c>
      <c r="E8425" s="1" t="s">
        <v>24669</v>
      </c>
      <c r="F8425" s="1" t="str">
        <f>IFERROR(__xludf.DUMMYFUNCTION("GOOGLETRANSLATE(A8425, ""zh-CN"", ""ko"")"),"인토네이션")</f>
        <v>인토네이션</v>
      </c>
    </row>
    <row r="8426" ht="15.75" customHeight="1">
      <c r="A8426" s="1" t="s">
        <v>24670</v>
      </c>
      <c r="B8426" s="1">
        <v>7.0</v>
      </c>
      <c r="C8426" s="1" t="s">
        <v>6834</v>
      </c>
      <c r="D8426" s="1" t="s">
        <v>16</v>
      </c>
      <c r="E8426" s="1" t="s">
        <v>24671</v>
      </c>
      <c r="F8426" s="1" t="str">
        <f>IFERROR(__xludf.DUMMYFUNCTION("GOOGLETRANSLATE(A8426, ""zh-CN"", ""ko"")"),"반대")</f>
        <v>반대</v>
      </c>
    </row>
    <row r="8427" ht="15.75" customHeight="1">
      <c r="A8427" s="1" t="s">
        <v>24672</v>
      </c>
      <c r="B8427" s="1">
        <v>7.0</v>
      </c>
      <c r="C8427" s="1" t="s">
        <v>24673</v>
      </c>
      <c r="E8427" s="1" t="s">
        <v>24674</v>
      </c>
      <c r="F8427" s="1" t="str">
        <f>IFERROR(__xludf.DUMMYFUNCTION("GOOGLETRANSLATE(A8427, ""zh-CN"", ""ko"")"),"모두 이용 가능합니다")</f>
        <v>모두 이용 가능합니다</v>
      </c>
    </row>
    <row r="8428" ht="15.75" customHeight="1">
      <c r="A8428" s="1" t="s">
        <v>24675</v>
      </c>
      <c r="B8428" s="1">
        <v>7.0</v>
      </c>
      <c r="C8428" s="1" t="s">
        <v>24676</v>
      </c>
      <c r="D8428" s="1" t="s">
        <v>52</v>
      </c>
      <c r="E8428" s="1" t="s">
        <v>24677</v>
      </c>
      <c r="F8428" s="1" t="str">
        <f>IFERROR(__xludf.DUMMYFUNCTION("GOOGLETRANSLATE(A8428, ""zh-CN"", ""ko"")"),"우울증")</f>
        <v>우울증</v>
      </c>
    </row>
    <row r="8429" ht="15.75" customHeight="1">
      <c r="A8429" s="1" t="s">
        <v>24678</v>
      </c>
      <c r="B8429" s="1">
        <v>7.0</v>
      </c>
      <c r="C8429" s="1" t="s">
        <v>24679</v>
      </c>
      <c r="D8429" s="1" t="s">
        <v>16</v>
      </c>
      <c r="E8429" s="1" t="s">
        <v>23842</v>
      </c>
      <c r="F8429" s="1" t="str">
        <f>IFERROR(__xludf.DUMMYFUNCTION("GOOGLETRANSLATE(A8429, ""zh-CN"", ""ko"")"),"우울증")</f>
        <v>우울증</v>
      </c>
    </row>
    <row r="8430" ht="15.75" customHeight="1">
      <c r="A8430" s="1" t="s">
        <v>24680</v>
      </c>
      <c r="B8430" s="1">
        <v>7.0</v>
      </c>
      <c r="C8430" s="1" t="s">
        <v>24681</v>
      </c>
      <c r="D8430" s="1" t="s">
        <v>16</v>
      </c>
      <c r="E8430" s="1" t="s">
        <v>24682</v>
      </c>
      <c r="F8430" s="1" t="str">
        <f>IFERROR(__xludf.DUMMYFUNCTION("GOOGLETRANSLATE(A8430, ""zh-CN"", ""ko"")"),"할 것이다")</f>
        <v>할 것이다</v>
      </c>
    </row>
    <row r="8431" ht="15.75" customHeight="1">
      <c r="A8431" s="1" t="s">
        <v>24683</v>
      </c>
      <c r="B8431" s="1">
        <v>7.0</v>
      </c>
      <c r="C8431" s="1" t="s">
        <v>24684</v>
      </c>
      <c r="D8431" s="1" t="s">
        <v>16</v>
      </c>
      <c r="E8431" s="1" t="s">
        <v>24685</v>
      </c>
      <c r="F8431" s="1" t="str">
        <f>IFERROR(__xludf.DUMMYFUNCTION("GOOGLETRANSLATE(A8431, ""zh-CN"", ""ko"")"),"이른 아침")</f>
        <v>이른 아침</v>
      </c>
    </row>
    <row r="8432" ht="15.75" customHeight="1">
      <c r="A8432" s="1" t="s">
        <v>24686</v>
      </c>
      <c r="B8432" s="1">
        <v>7.0</v>
      </c>
      <c r="C8432" s="1" t="s">
        <v>24687</v>
      </c>
      <c r="D8432" s="1" t="s">
        <v>52</v>
      </c>
      <c r="E8432" s="1" t="s">
        <v>24688</v>
      </c>
      <c r="F8432" s="1" t="str">
        <f>IFERROR(__xludf.DUMMYFUNCTION("GOOGLETRANSLATE(A8432, ""zh-CN"", ""ko"")"),"어두운")</f>
        <v>어두운</v>
      </c>
    </row>
    <row r="8433" ht="15.75" customHeight="1">
      <c r="A8433" s="1" t="s">
        <v>24689</v>
      </c>
      <c r="B8433" s="1">
        <v>7.0</v>
      </c>
      <c r="C8433" s="1" t="s">
        <v>24690</v>
      </c>
      <c r="E8433" s="1" t="s">
        <v>24691</v>
      </c>
      <c r="F8433" s="1" t="str">
        <f>IFERROR(__xludf.DUMMYFUNCTION("GOOGLETRANSLATE(A8433, ""zh-CN"", ""ko"")"),"현지 상황에 적응하세요")</f>
        <v>현지 상황에 적응하세요</v>
      </c>
    </row>
    <row r="8434" ht="15.75" customHeight="1">
      <c r="A8434" s="1" t="s">
        <v>24692</v>
      </c>
      <c r="B8434" s="1">
        <v>7.0</v>
      </c>
      <c r="C8434" s="1" t="s">
        <v>24693</v>
      </c>
      <c r="D8434" s="1" t="s">
        <v>16</v>
      </c>
      <c r="E8434" s="1" t="s">
        <v>24694</v>
      </c>
      <c r="F8434" s="1" t="str">
        <f>IFERROR(__xludf.DUMMYFUNCTION("GOOGLETRANSLATE(A8434, ""zh-CN"", ""ko"")"),"음력")</f>
        <v>음력</v>
      </c>
    </row>
    <row r="8435" ht="15.75" customHeight="1">
      <c r="A8435" s="1" t="s">
        <v>24695</v>
      </c>
      <c r="B8435" s="1">
        <v>7.0</v>
      </c>
      <c r="C8435" s="1" t="s">
        <v>24696</v>
      </c>
      <c r="D8435" s="1" t="s">
        <v>52</v>
      </c>
      <c r="E8435" s="1" t="s">
        <v>24697</v>
      </c>
      <c r="F8435" s="1" t="str">
        <f>IFERROR(__xludf.DUMMYFUNCTION("GOOGLETRANSLATE(A8435, ""zh-CN"", ""ko"")"),"친절한")</f>
        <v>친절한</v>
      </c>
    </row>
    <row r="8436" ht="15.75" customHeight="1">
      <c r="A8436" s="1" t="s">
        <v>24698</v>
      </c>
      <c r="B8436" s="1">
        <v>7.0</v>
      </c>
      <c r="C8436" s="1" t="s">
        <v>24699</v>
      </c>
      <c r="E8436" s="1" t="s">
        <v>24700</v>
      </c>
      <c r="F8436" s="1" t="str">
        <f>IFERROR(__xludf.DUMMYFUNCTION("GOOGLETRANSLATE(A8436, ""zh-CN"", ""ko"")"),"사람마다 다릅니다.")</f>
        <v>사람마다 다릅니다.</v>
      </c>
    </row>
    <row r="8437" ht="15.75" customHeight="1">
      <c r="A8437" s="1" t="s">
        <v>24701</v>
      </c>
      <c r="B8437" s="1">
        <v>7.0</v>
      </c>
      <c r="C8437" s="1" t="s">
        <v>24702</v>
      </c>
      <c r="D8437" s="1" t="s">
        <v>16</v>
      </c>
      <c r="E8437" s="1" t="s">
        <v>24703</v>
      </c>
      <c r="F8437" s="1" t="str">
        <f>IFERROR(__xludf.DUMMYFUNCTION("GOOGLETRANSLATE(A8437, ""zh-CN"", ""ko"")"),"부정적인")</f>
        <v>부정적인</v>
      </c>
    </row>
    <row r="8438" ht="15.75" customHeight="1">
      <c r="A8438" s="1" t="s">
        <v>24704</v>
      </c>
      <c r="B8438" s="1">
        <v>7.0</v>
      </c>
      <c r="C8438" s="1" t="s">
        <v>24705</v>
      </c>
      <c r="D8438" s="1" t="s">
        <v>16</v>
      </c>
      <c r="E8438" s="1" t="s">
        <v>24706</v>
      </c>
      <c r="F8438" s="1" t="str">
        <f>IFERROR(__xludf.DUMMYFUNCTION("GOOGLETRANSLATE(A8438, ""zh-CN"", ""ko"")"),"그림자")</f>
        <v>그림자</v>
      </c>
    </row>
    <row r="8439" ht="15.75" customHeight="1">
      <c r="A8439" s="1" t="s">
        <v>24707</v>
      </c>
      <c r="B8439" s="1">
        <v>7.0</v>
      </c>
      <c r="C8439" s="1" t="s">
        <v>24708</v>
      </c>
      <c r="D8439" s="1" t="s">
        <v>16</v>
      </c>
      <c r="E8439" s="1" t="s">
        <v>24709</v>
      </c>
      <c r="F8439" s="1" t="str">
        <f>IFERROR(__xludf.DUMMYFUNCTION("GOOGLETRANSLATE(A8439, ""zh-CN"", ""ko"")"),"화면")</f>
        <v>화면</v>
      </c>
    </row>
    <row r="8440" ht="15.75" customHeight="1">
      <c r="A8440" s="1" t="s">
        <v>24710</v>
      </c>
      <c r="B8440" s="1">
        <v>7.0</v>
      </c>
      <c r="C8440" s="1" t="s">
        <v>24711</v>
      </c>
      <c r="D8440" s="1" t="s">
        <v>16</v>
      </c>
      <c r="E8440" s="1" t="s">
        <v>24712</v>
      </c>
      <c r="F8440" s="1" t="str">
        <f>IFERROR(__xludf.DUMMYFUNCTION("GOOGLETRANSLATE(A8440, ""zh-CN"", ""ko"")"),"탐닉")</f>
        <v>탐닉</v>
      </c>
    </row>
    <row r="8441" ht="15.75" customHeight="1">
      <c r="A8441" s="1" t="s">
        <v>24713</v>
      </c>
      <c r="B8441" s="1">
        <v>7.0</v>
      </c>
      <c r="C8441" s="1" t="s">
        <v>24714</v>
      </c>
      <c r="D8441" s="1" t="s">
        <v>8</v>
      </c>
      <c r="E8441" s="1" t="s">
        <v>24715</v>
      </c>
      <c r="F8441" s="1" t="str">
        <f>IFERROR(__xludf.DUMMYFUNCTION("GOOGLETRANSLATE(A8441, ""zh-CN"", ""ko"")"),"절대적인")</f>
        <v>절대적인</v>
      </c>
    </row>
    <row r="8442" ht="15.75" customHeight="1">
      <c r="A8442" s="1" t="s">
        <v>24716</v>
      </c>
      <c r="B8442" s="1">
        <v>7.0</v>
      </c>
      <c r="C8442" s="1" t="s">
        <v>24717</v>
      </c>
      <c r="D8442" s="1" t="s">
        <v>8</v>
      </c>
      <c r="E8442" s="1" t="s">
        <v>6348</v>
      </c>
      <c r="F8442" s="1" t="str">
        <f>IFERROR(__xludf.DUMMYFUNCTION("GOOGLETRANSLATE(A8442, ""zh-CN"", ""ko"")"),"추천")</f>
        <v>추천</v>
      </c>
    </row>
    <row r="8443" ht="15.75" customHeight="1">
      <c r="A8443" s="1" t="s">
        <v>24718</v>
      </c>
      <c r="B8443" s="1">
        <v>7.0</v>
      </c>
      <c r="C8443" s="1" t="s">
        <v>24719</v>
      </c>
      <c r="E8443" s="1" t="s">
        <v>24720</v>
      </c>
      <c r="F8443" s="1" t="str">
        <f>IFERROR(__xludf.DUMMYFUNCTION("GOOGLETRANSLATE(A8443, ""zh-CN"", ""ko"")"),"고전을 인용하며")</f>
        <v>고전을 인용하며</v>
      </c>
    </row>
    <row r="8444" ht="15.75" customHeight="1">
      <c r="A8444" s="1" t="s">
        <v>24721</v>
      </c>
      <c r="B8444" s="1">
        <v>7.0</v>
      </c>
      <c r="C8444" s="1" t="s">
        <v>24722</v>
      </c>
      <c r="D8444" s="1" t="s">
        <v>8</v>
      </c>
      <c r="E8444" s="1" t="s">
        <v>24723</v>
      </c>
      <c r="F8444" s="1" t="str">
        <f>IFERROR(__xludf.DUMMYFUNCTION("GOOGLETRANSLATE(A8444, ""zh-CN"", ""ko"")"),"주요한")</f>
        <v>주요한</v>
      </c>
    </row>
    <row r="8445" ht="15.75" customHeight="1">
      <c r="A8445" s="1" t="s">
        <v>24724</v>
      </c>
      <c r="B8445" s="1">
        <v>7.0</v>
      </c>
      <c r="C8445" s="1" t="s">
        <v>13756</v>
      </c>
      <c r="D8445" s="1" t="s">
        <v>16</v>
      </c>
      <c r="E8445" s="1" t="s">
        <v>24725</v>
      </c>
      <c r="F8445" s="1" t="str">
        <f>IFERROR(__xludf.DUMMYFUNCTION("GOOGLETRANSLATE(A8445, ""zh-CN"", ""ko"")"),"숨겨진 이야기")</f>
        <v>숨겨진 이야기</v>
      </c>
    </row>
    <row r="8446" ht="15.75" customHeight="1">
      <c r="A8446" s="1" t="s">
        <v>24726</v>
      </c>
      <c r="B8446" s="1">
        <v>7.0</v>
      </c>
      <c r="C8446" s="1" t="s">
        <v>24727</v>
      </c>
      <c r="E8446" s="1" t="s">
        <v>24728</v>
      </c>
      <c r="F8446" s="1" t="str">
        <f>IFERROR(__xludf.DUMMYFUNCTION("GOOGLETRANSLATE(A8446, ""zh-CN"", ""ko"")"),"매력적인")</f>
        <v>매력적인</v>
      </c>
    </row>
    <row r="8447" ht="15.75" customHeight="1">
      <c r="A8447" s="1" t="s">
        <v>24729</v>
      </c>
      <c r="B8447" s="1">
        <v>7.0</v>
      </c>
      <c r="C8447" s="1" t="s">
        <v>24730</v>
      </c>
      <c r="E8447" s="1" t="s">
        <v>24731</v>
      </c>
      <c r="F8447" s="1" t="str">
        <f>IFERROR(__xludf.DUMMYFUNCTION("GOOGLETRANSLATE(A8447, ""zh-CN"", ""ko"")"),"치는")</f>
        <v>치는</v>
      </c>
    </row>
    <row r="8448" ht="15.75" customHeight="1">
      <c r="A8448" s="1" t="s">
        <v>24732</v>
      </c>
      <c r="B8448" s="1">
        <v>7.0</v>
      </c>
      <c r="C8448" s="1" t="s">
        <v>24733</v>
      </c>
      <c r="D8448" s="1" t="s">
        <v>52</v>
      </c>
      <c r="E8448" s="1" t="s">
        <v>24734</v>
      </c>
      <c r="F8448" s="1" t="str">
        <f>IFERROR(__xludf.DUMMYFUNCTION("GOOGLETRANSLATE(A8448, ""zh-CN"", ""ko"")"),"보이지 않는")</f>
        <v>보이지 않는</v>
      </c>
    </row>
    <row r="8449" ht="15.75" customHeight="1">
      <c r="A8449" s="1" t="s">
        <v>24735</v>
      </c>
      <c r="B8449" s="1">
        <v>7.0</v>
      </c>
      <c r="C8449" s="1" t="s">
        <v>24736</v>
      </c>
      <c r="D8449" s="1" t="s">
        <v>52</v>
      </c>
      <c r="E8449" s="1" t="s">
        <v>24737</v>
      </c>
      <c r="F8449" s="1" t="str">
        <f>IFERROR(__xludf.DUMMYFUNCTION("GOOGLETRANSLATE(A8449, ""zh-CN"", ""ko"")"),"숨어 있는")</f>
        <v>숨어 있는</v>
      </c>
    </row>
    <row r="8450" ht="15.75" customHeight="1">
      <c r="A8450" s="1" t="s">
        <v>24738</v>
      </c>
      <c r="B8450" s="1">
        <v>7.0</v>
      </c>
      <c r="C8450" s="1" t="s">
        <v>24739</v>
      </c>
      <c r="D8450" s="1" t="s">
        <v>8</v>
      </c>
      <c r="E8450" s="1" t="s">
        <v>24740</v>
      </c>
      <c r="F8450" s="1" t="str">
        <f>IFERROR(__xludf.DUMMYFUNCTION("GOOGLETRANSLATE(A8450, ""zh-CN"", ""ko"")"),"유혹")</f>
        <v>유혹</v>
      </c>
    </row>
    <row r="8451" ht="15.75" customHeight="1">
      <c r="A8451" s="1" t="s">
        <v>24741</v>
      </c>
      <c r="B8451" s="1">
        <v>7.0</v>
      </c>
      <c r="C8451" s="1" t="s">
        <v>24742</v>
      </c>
      <c r="D8451" s="1" t="s">
        <v>16</v>
      </c>
      <c r="E8451" s="1" t="s">
        <v>24743</v>
      </c>
      <c r="F8451" s="1" t="str">
        <f>IFERROR(__xludf.DUMMYFUNCTION("GOOGLETRANSLATE(A8451, ""zh-CN"", ""ko"")"),"밀봉하다")</f>
        <v>밀봉하다</v>
      </c>
    </row>
    <row r="8452" ht="15.75" customHeight="1">
      <c r="A8452" s="1" t="s">
        <v>24744</v>
      </c>
      <c r="B8452" s="1">
        <v>7.0</v>
      </c>
      <c r="C8452" s="1" t="s">
        <v>24745</v>
      </c>
      <c r="D8452" s="1" t="s">
        <v>14870</v>
      </c>
      <c r="E8452" s="1" t="s">
        <v>24746</v>
      </c>
      <c r="F8452" s="1" t="str">
        <f>IFERROR(__xludf.DUMMYFUNCTION("GOOGLETRANSLATE(A8452, ""zh-CN"", ""ko"")"),"확인")</f>
        <v>확인</v>
      </c>
    </row>
    <row r="8453" ht="15.75" customHeight="1">
      <c r="A8453" s="1" t="s">
        <v>24747</v>
      </c>
      <c r="B8453" s="1">
        <v>7.0</v>
      </c>
      <c r="C8453" s="1" t="s">
        <v>24748</v>
      </c>
      <c r="D8453" s="1" t="s">
        <v>16</v>
      </c>
      <c r="E8453" s="1" t="s">
        <v>24749</v>
      </c>
      <c r="F8453" s="1" t="str">
        <f>IFERROR(__xludf.DUMMYFUNCTION("GOOGLETRANSLATE(A8453, ""zh-CN"", ""ko"")"),"독수리")</f>
        <v>독수리</v>
      </c>
    </row>
    <row r="8454" ht="15.75" customHeight="1">
      <c r="A8454" s="1" t="s">
        <v>24750</v>
      </c>
      <c r="B8454" s="1">
        <v>7.0</v>
      </c>
      <c r="C8454" s="1" t="s">
        <v>24748</v>
      </c>
      <c r="D8454" s="1" t="s">
        <v>8</v>
      </c>
      <c r="E8454" s="1" t="s">
        <v>24751</v>
      </c>
      <c r="F8454" s="1" t="str">
        <f>IFERROR(__xludf.DUMMYFUNCTION("GOOGLETRANSLATE(A8454, ""zh-CN"", ""ko"")"),"답변")</f>
        <v>답변</v>
      </c>
    </row>
    <row r="8455" ht="15.75" customHeight="1">
      <c r="A8455" s="1" t="s">
        <v>24752</v>
      </c>
      <c r="B8455" s="1">
        <v>7.0</v>
      </c>
      <c r="C8455" s="1" t="s">
        <v>24753</v>
      </c>
      <c r="E8455" s="1" t="s">
        <v>24754</v>
      </c>
      <c r="F8455" s="1" t="str">
        <f>IFERROR(__xludf.DUMMYFUNCTION("GOOGLETRANSLATE(A8455, ""zh-CN"", ""ko"")"),"당신이 원하는 모든 것")</f>
        <v>당신이 원하는 모든 것</v>
      </c>
    </row>
    <row r="8456" ht="15.75" customHeight="1">
      <c r="A8456" s="1" t="s">
        <v>24755</v>
      </c>
      <c r="B8456" s="1">
        <v>7.0</v>
      </c>
      <c r="C8456" s="1" t="s">
        <v>24756</v>
      </c>
      <c r="D8456" s="1" t="s">
        <v>16</v>
      </c>
      <c r="E8456" s="1" t="s">
        <v>24757</v>
      </c>
      <c r="F8456" s="1" t="str">
        <f>IFERROR(__xludf.DUMMYFUNCTION("GOOGLETRANSLATE(A8456, ""zh-CN"", ""ko"")"),"형광")</f>
        <v>형광</v>
      </c>
    </row>
    <row r="8457" ht="15.75" customHeight="1">
      <c r="A8457" s="1" t="s">
        <v>24758</v>
      </c>
      <c r="B8457" s="1">
        <v>7.0</v>
      </c>
      <c r="C8457" s="1" t="s">
        <v>24759</v>
      </c>
      <c r="D8457" s="1" t="s">
        <v>8</v>
      </c>
      <c r="E8457" s="1" t="s">
        <v>24760</v>
      </c>
      <c r="F8457" s="1" t="str">
        <f>IFERROR(__xludf.DUMMYFUNCTION("GOOGLETRANSLATE(A8457, ""zh-CN"", ""ko"")"),"네 끗패")</f>
        <v>네 끗패</v>
      </c>
    </row>
    <row r="8458" ht="15.75" customHeight="1">
      <c r="A8458" s="1" t="s">
        <v>24761</v>
      </c>
      <c r="B8458" s="1">
        <v>7.0</v>
      </c>
      <c r="C8458" s="1" t="s">
        <v>24762</v>
      </c>
      <c r="D8458" s="1" t="s">
        <v>16</v>
      </c>
      <c r="E8458" s="1" t="s">
        <v>24763</v>
      </c>
      <c r="F8458" s="1" t="str">
        <f>IFERROR(__xludf.DUMMYFUNCTION("GOOGLETRANSLATE(A8458, ""zh-CN"", ""ko"")"),"우승자")</f>
        <v>우승자</v>
      </c>
    </row>
    <row r="8459" ht="15.75" customHeight="1">
      <c r="A8459" s="1" t="s">
        <v>24764</v>
      </c>
      <c r="B8459" s="1">
        <v>7.0</v>
      </c>
      <c r="C8459" s="1" t="s">
        <v>24765</v>
      </c>
      <c r="D8459" s="1" t="s">
        <v>8</v>
      </c>
      <c r="E8459" s="1" t="s">
        <v>18938</v>
      </c>
      <c r="F8459" s="1" t="str">
        <f>IFERROR(__xludf.DUMMYFUNCTION("GOOGLETRANSLATE(A8459, ""zh-CN"", ""ko"")"),"구조하다")</f>
        <v>구조하다</v>
      </c>
    </row>
    <row r="8460" ht="15.75" customHeight="1">
      <c r="A8460" s="1" t="s">
        <v>24766</v>
      </c>
      <c r="B8460" s="1">
        <v>7.0</v>
      </c>
      <c r="C8460" s="1" t="s">
        <v>13780</v>
      </c>
      <c r="D8460" s="1" t="s">
        <v>8</v>
      </c>
      <c r="E8460" s="1" t="s">
        <v>24767</v>
      </c>
      <c r="F8460" s="1" t="str">
        <f>IFERROR(__xludf.DUMMYFUNCTION("GOOGLETRANSLATE(A8460, ""zh-CN"", ""ko"")"),"이익")</f>
        <v>이익</v>
      </c>
    </row>
    <row r="8461" ht="15.75" customHeight="1">
      <c r="A8461" s="1" t="s">
        <v>24768</v>
      </c>
      <c r="B8461" s="1">
        <v>7.0</v>
      </c>
      <c r="C8461" s="1" t="s">
        <v>24769</v>
      </c>
      <c r="D8461" s="1" t="s">
        <v>8</v>
      </c>
      <c r="E8461" s="1" t="s">
        <v>6070</v>
      </c>
      <c r="F8461" s="1" t="str">
        <f>IFERROR(__xludf.DUMMYFUNCTION("GOOGLETRANSLATE(A8461, ""zh-CN"", ""ko"")"),"마케팅")</f>
        <v>마케팅</v>
      </c>
    </row>
    <row r="8462" ht="15.75" customHeight="1">
      <c r="A8462" s="1" t="s">
        <v>24770</v>
      </c>
      <c r="B8462" s="1">
        <v>7.0</v>
      </c>
      <c r="C8462" s="1" t="s">
        <v>24771</v>
      </c>
      <c r="D8462" s="1" t="s">
        <v>8</v>
      </c>
      <c r="E8462" s="1" t="s">
        <v>24772</v>
      </c>
      <c r="F8462" s="1" t="str">
        <f>IFERROR(__xludf.DUMMYFUNCTION("GOOGLETRANSLATE(A8462, ""zh-CN"", ""ko"")"),"건설")</f>
        <v>건설</v>
      </c>
    </row>
    <row r="8463" ht="15.75" customHeight="1">
      <c r="A8463" s="1" t="s">
        <v>24773</v>
      </c>
      <c r="B8463" s="1">
        <v>7.0</v>
      </c>
      <c r="C8463" s="1" t="s">
        <v>24774</v>
      </c>
      <c r="D8463" s="1" t="s">
        <v>16</v>
      </c>
      <c r="E8463" s="1" t="s">
        <v>24775</v>
      </c>
      <c r="F8463" s="1" t="str">
        <f>IFERROR(__xludf.DUMMYFUNCTION("GOOGLETRANSLATE(A8463, ""zh-CN"", ""ko"")"),"영상")</f>
        <v>영상</v>
      </c>
    </row>
    <row r="8464" ht="15.75" customHeight="1">
      <c r="A8464" s="1" t="s">
        <v>24776</v>
      </c>
      <c r="B8464" s="1">
        <v>7.0</v>
      </c>
      <c r="C8464" s="1" t="s">
        <v>24777</v>
      </c>
      <c r="D8464" s="1" t="s">
        <v>16</v>
      </c>
      <c r="E8464" s="1" t="s">
        <v>24778</v>
      </c>
      <c r="F8464" s="1" t="str">
        <f>IFERROR(__xludf.DUMMYFUNCTION("GOOGLETRANSLATE(A8464, ""zh-CN"", ""ko"")"),"동전")</f>
        <v>동전</v>
      </c>
    </row>
    <row r="8465" ht="15.75" customHeight="1">
      <c r="A8465" s="1" t="s">
        <v>24779</v>
      </c>
      <c r="B8465" s="1">
        <v>7.0</v>
      </c>
      <c r="C8465" s="1" t="s">
        <v>24780</v>
      </c>
      <c r="D8465" s="1" t="s">
        <v>8</v>
      </c>
      <c r="E8465" s="1" t="s">
        <v>24781</v>
      </c>
      <c r="F8465" s="1" t="str">
        <f>IFERROR(__xludf.DUMMYFUNCTION("GOOGLETRANSLATE(A8465, ""zh-CN"", ""ko"")"),"비상")</f>
        <v>비상</v>
      </c>
    </row>
    <row r="8466" ht="15.75" customHeight="1">
      <c r="A8466" s="1" t="s">
        <v>24782</v>
      </c>
      <c r="B8466" s="1">
        <v>7.0</v>
      </c>
      <c r="C8466" s="1" t="s">
        <v>24783</v>
      </c>
      <c r="D8466" s="1" t="s">
        <v>52</v>
      </c>
      <c r="E8466" s="1" t="s">
        <v>24784</v>
      </c>
      <c r="F8466" s="1" t="str">
        <f>IFERROR(__xludf.DUMMYFUNCTION("GOOGLETRANSLATE(A8466, ""zh-CN"", ""ko"")"),"힘든")</f>
        <v>힘든</v>
      </c>
    </row>
    <row r="8467" ht="15.75" customHeight="1">
      <c r="A8467" s="1" t="s">
        <v>24785</v>
      </c>
      <c r="B8467" s="1">
        <v>7.0</v>
      </c>
      <c r="C8467" s="1" t="s">
        <v>24786</v>
      </c>
      <c r="D8467" s="1" t="s">
        <v>16</v>
      </c>
      <c r="E8467" s="1" t="s">
        <v>24787</v>
      </c>
      <c r="F8467" s="1" t="str">
        <f>IFERROR(__xludf.DUMMYFUNCTION("GOOGLETRANSLATE(A8467, ""zh-CN"", ""ko"")"),"하드디스크")</f>
        <v>하드디스크</v>
      </c>
    </row>
    <row r="8468" ht="15.75" customHeight="1">
      <c r="A8468" s="1" t="s">
        <v>24788</v>
      </c>
      <c r="B8468" s="1">
        <v>7.0</v>
      </c>
      <c r="C8468" s="1" t="s">
        <v>24789</v>
      </c>
      <c r="D8468" s="1" t="s">
        <v>8</v>
      </c>
      <c r="E8468" s="1" t="s">
        <v>24790</v>
      </c>
      <c r="F8468" s="1" t="str">
        <f>IFERROR(__xludf.DUMMYFUNCTION("GOOGLETRANSLATE(A8468, ""zh-CN"", ""ko"")"),"급등하다")</f>
        <v>급등하다</v>
      </c>
    </row>
    <row r="8469" ht="15.75" customHeight="1">
      <c r="A8469" s="1" t="s">
        <v>24791</v>
      </c>
      <c r="B8469" s="1">
        <v>7.0</v>
      </c>
      <c r="C8469" s="1" t="s">
        <v>24792</v>
      </c>
      <c r="D8469" s="1" t="s">
        <v>52</v>
      </c>
      <c r="E8469" s="1" t="s">
        <v>24793</v>
      </c>
      <c r="F8469" s="1" t="str">
        <f>IFERROR(__xludf.DUMMYFUNCTION("GOOGLETRANSLATE(A8469, ""zh-CN"", ""ko"")"),"영구적인")</f>
        <v>영구적인</v>
      </c>
    </row>
    <row r="8470" ht="15.75" customHeight="1">
      <c r="A8470" s="1" t="s">
        <v>24794</v>
      </c>
      <c r="B8470" s="1">
        <v>7.0</v>
      </c>
      <c r="C8470" s="1" t="s">
        <v>24795</v>
      </c>
      <c r="E8470" s="1" t="s">
        <v>24796</v>
      </c>
      <c r="F8470" s="1" t="str">
        <f>IFERROR(__xludf.DUMMYFUNCTION("GOOGLETRANSLATE(A8470, ""zh-CN"", ""ko"")"),"용감하게 앞으로 나아가라")</f>
        <v>용감하게 앞으로 나아가라</v>
      </c>
    </row>
    <row r="8471" ht="15.75" customHeight="1">
      <c r="A8471" s="1" t="s">
        <v>24797</v>
      </c>
      <c r="B8471" s="1">
        <v>7.0</v>
      </c>
      <c r="C8471" s="1" t="s">
        <v>24798</v>
      </c>
      <c r="D8471" s="1" t="s">
        <v>16</v>
      </c>
      <c r="E8471" s="1" t="s">
        <v>24799</v>
      </c>
      <c r="F8471" s="1" t="str">
        <f>IFERROR(__xludf.DUMMYFUNCTION("GOOGLETRANSLATE(A8471, ""zh-CN"", ""ko"")"),"의도")</f>
        <v>의도</v>
      </c>
    </row>
    <row r="8472" ht="15.75" customHeight="1">
      <c r="A8472" s="1" t="s">
        <v>24800</v>
      </c>
      <c r="B8472" s="1">
        <v>7.0</v>
      </c>
      <c r="C8472" s="1" t="s">
        <v>24801</v>
      </c>
      <c r="D8472" s="1" t="s">
        <v>52</v>
      </c>
      <c r="E8472" s="1" t="s">
        <v>24802</v>
      </c>
      <c r="F8472" s="1" t="str">
        <f>IFERROR(__xludf.DUMMYFUNCTION("GOOGLETRANSLATE(A8472, ""zh-CN"", ""ko"")"),"슬픈")</f>
        <v>슬픈</v>
      </c>
    </row>
    <row r="8473" ht="15.75" customHeight="1">
      <c r="A8473" s="1" t="s">
        <v>24803</v>
      </c>
      <c r="B8473" s="1">
        <v>7.0</v>
      </c>
      <c r="C8473" s="1" t="s">
        <v>24804</v>
      </c>
      <c r="D8473" s="1" t="s">
        <v>8</v>
      </c>
      <c r="E8473" s="1" t="s">
        <v>24805</v>
      </c>
      <c r="F8473" s="1" t="str">
        <f>IFERROR(__xludf.DUMMYFUNCTION("GOOGLETRANSLATE(A8473, ""zh-CN"", ""ko"")"),"우려")</f>
        <v>우려</v>
      </c>
    </row>
    <row r="8474" ht="15.75" customHeight="1">
      <c r="A8474" s="1" t="s">
        <v>24806</v>
      </c>
      <c r="B8474" s="1">
        <v>7.0</v>
      </c>
      <c r="C8474" s="1" t="s">
        <v>24807</v>
      </c>
      <c r="D8474" s="1" t="s">
        <v>52</v>
      </c>
      <c r="E8474" s="1" t="s">
        <v>24808</v>
      </c>
      <c r="F8474" s="1" t="str">
        <f>IFERROR(__xludf.DUMMYFUNCTION("GOOGLETRANSLATE(A8474, ""zh-CN"", ""ko"")"),"느긋한")</f>
        <v>느긋한</v>
      </c>
    </row>
    <row r="8475" ht="15.75" customHeight="1">
      <c r="A8475" s="1" t="s">
        <v>24809</v>
      </c>
      <c r="B8475" s="1">
        <v>7.0</v>
      </c>
      <c r="C8475" s="1" t="s">
        <v>24810</v>
      </c>
      <c r="D8475" s="1" t="s">
        <v>16</v>
      </c>
      <c r="E8475" s="1" t="s">
        <v>24811</v>
      </c>
      <c r="F8475" s="1" t="str">
        <f>IFERROR(__xludf.DUMMYFUNCTION("GOOGLETRANSLATE(A8475, ""zh-CN"", ""ko"")"),"우편번호")</f>
        <v>우편번호</v>
      </c>
    </row>
    <row r="8476" ht="15.75" customHeight="1">
      <c r="A8476" s="1" t="s">
        <v>24812</v>
      </c>
      <c r="B8476" s="1">
        <v>7.0</v>
      </c>
      <c r="C8476" s="1" t="s">
        <v>24813</v>
      </c>
      <c r="D8476" s="1" t="s">
        <v>16</v>
      </c>
      <c r="E8476" s="1" t="s">
        <v>24814</v>
      </c>
      <c r="F8476" s="1" t="str">
        <f>IFERROR(__xludf.DUMMYFUNCTION("GOOGLETRANSLATE(A8476, ""zh-CN"", ""ko"")"),"크루즈선")</f>
        <v>크루즈선</v>
      </c>
    </row>
    <row r="8477" ht="15.75" customHeight="1">
      <c r="A8477" s="1" t="s">
        <v>24815</v>
      </c>
      <c r="B8477" s="1">
        <v>7.0</v>
      </c>
      <c r="C8477" s="1" t="s">
        <v>24816</v>
      </c>
      <c r="D8477" s="1" t="s">
        <v>16</v>
      </c>
      <c r="E8477" s="1" t="s">
        <v>24817</v>
      </c>
      <c r="F8477" s="1" t="str">
        <f>IFERROR(__xludf.DUMMYFUNCTION("GOOGLETRANSLATE(A8477, ""zh-CN"", ""ko"")"),"그림")</f>
        <v>그림</v>
      </c>
    </row>
    <row r="8478" ht="15.75" customHeight="1">
      <c r="A8478" s="1" t="s">
        <v>24818</v>
      </c>
      <c r="B8478" s="1">
        <v>7.0</v>
      </c>
      <c r="C8478" s="1" t="s">
        <v>24819</v>
      </c>
      <c r="D8478" s="1" t="s">
        <v>33</v>
      </c>
      <c r="E8478" s="1" t="s">
        <v>24820</v>
      </c>
      <c r="F8478" s="1" t="str">
        <f>IFERROR(__xludf.DUMMYFUNCTION("GOOGLETRANSLATE(A8478, ""zh-CN"", ""ko"")"),"특히")</f>
        <v>특히</v>
      </c>
    </row>
    <row r="8479" ht="15.75" customHeight="1">
      <c r="A8479" s="1" t="s">
        <v>24821</v>
      </c>
      <c r="B8479" s="1">
        <v>7.0</v>
      </c>
      <c r="C8479" s="1" t="s">
        <v>24822</v>
      </c>
      <c r="D8479" s="1" t="s">
        <v>8</v>
      </c>
      <c r="E8479" s="1" t="s">
        <v>24823</v>
      </c>
      <c r="F8479" s="1" t="str">
        <f>IFERROR(__xludf.DUMMYFUNCTION("GOOGLETRANSLATE(A8479, ""zh-CN"", ""ko"")"),"행렬")</f>
        <v>행렬</v>
      </c>
    </row>
    <row r="8480" ht="15.75" customHeight="1">
      <c r="A8480" s="1" t="s">
        <v>24824</v>
      </c>
      <c r="B8480" s="1">
        <v>7.0</v>
      </c>
      <c r="C8480" s="1" t="s">
        <v>24825</v>
      </c>
      <c r="E8480" s="1" t="s">
        <v>24826</v>
      </c>
      <c r="F8480" s="1" t="str">
        <f>IFERROR(__xludf.DUMMYFUNCTION("GOOGLETRANSLATE(A8480, ""zh-CN"", ""ko"")"),"주저")</f>
        <v>주저</v>
      </c>
    </row>
    <row r="8481" ht="15.75" customHeight="1">
      <c r="A8481" s="1" t="s">
        <v>24827</v>
      </c>
      <c r="B8481" s="1">
        <v>7.0</v>
      </c>
      <c r="C8481" s="1" t="s">
        <v>24828</v>
      </c>
      <c r="D8481" s="1" t="s">
        <v>16</v>
      </c>
      <c r="E8481" s="1" t="s">
        <v>24829</v>
      </c>
      <c r="F8481" s="1" t="str">
        <f>IFERROR(__xludf.DUMMYFUNCTION("GOOGLETRANSLATE(A8481, ""zh-CN"", ""ko"")"),"우편 엽서")</f>
        <v>우편 엽서</v>
      </c>
    </row>
    <row r="8482" ht="15.75" customHeight="1">
      <c r="A8482" s="1" t="s">
        <v>24830</v>
      </c>
      <c r="B8482" s="1">
        <v>7.0</v>
      </c>
      <c r="C8482" s="1" t="s">
        <v>24831</v>
      </c>
      <c r="D8482" s="1" t="s">
        <v>8</v>
      </c>
      <c r="E8482" s="1" t="s">
        <v>24832</v>
      </c>
      <c r="F8482" s="1" t="str">
        <f>IFERROR(__xludf.DUMMYFUNCTION("GOOGLETRANSLATE(A8482, ""zh-CN"", ""ko"")"),"진실된")</f>
        <v>진실된</v>
      </c>
    </row>
    <row r="8483" ht="15.75" customHeight="1">
      <c r="A8483" s="1" t="s">
        <v>24833</v>
      </c>
      <c r="B8483" s="1">
        <v>7.0</v>
      </c>
      <c r="C8483" s="1" t="s">
        <v>24834</v>
      </c>
      <c r="D8483" s="1" t="s">
        <v>8</v>
      </c>
      <c r="E8483" s="1" t="s">
        <v>24835</v>
      </c>
      <c r="F8483" s="1" t="str">
        <f>IFERROR(__xludf.DUMMYFUNCTION("GOOGLETRANSLATE(A8483, ""zh-CN"", ""ko"")"),"계속됩니다")</f>
        <v>계속됩니다</v>
      </c>
    </row>
    <row r="8484" ht="15.75" customHeight="1">
      <c r="A8484" s="1" t="s">
        <v>24836</v>
      </c>
      <c r="B8484" s="1">
        <v>7.0</v>
      </c>
      <c r="C8484" s="1" t="s">
        <v>24837</v>
      </c>
      <c r="E8484" s="1" t="s">
        <v>24838</v>
      </c>
      <c r="F8484" s="1" t="str">
        <f>IFERROR(__xludf.DUMMYFUNCTION("GOOGLETRANSLATE(A8484, ""zh-CN"", ""ko"")"),"타겟팅")</f>
        <v>타겟팅</v>
      </c>
    </row>
    <row r="8485" ht="15.75" customHeight="1">
      <c r="A8485" s="1" t="s">
        <v>24839</v>
      </c>
      <c r="B8485" s="1">
        <v>7.0</v>
      </c>
      <c r="C8485" s="1" t="s">
        <v>24840</v>
      </c>
      <c r="D8485" s="1" t="s">
        <v>16</v>
      </c>
      <c r="E8485" s="1" t="s">
        <v>24841</v>
      </c>
      <c r="F8485" s="1" t="str">
        <f>IFERROR(__xludf.DUMMYFUNCTION("GOOGLETRANSLATE(A8485, ""zh-CN"", ""ko"")"),"친구")</f>
        <v>친구</v>
      </c>
    </row>
    <row r="8486" ht="15.75" customHeight="1">
      <c r="A8486" s="1" t="s">
        <v>24842</v>
      </c>
      <c r="B8486" s="1">
        <v>7.0</v>
      </c>
      <c r="C8486" s="1" t="s">
        <v>24843</v>
      </c>
      <c r="D8486" s="1" t="s">
        <v>52</v>
      </c>
      <c r="E8486" s="1" t="s">
        <v>24844</v>
      </c>
      <c r="F8486" s="1" t="str">
        <f>IFERROR(__xludf.DUMMYFUNCTION("GOOGLETRANSLATE(A8486, ""zh-CN"", ""ko"")"),"친숙한")</f>
        <v>친숙한</v>
      </c>
    </row>
    <row r="8487" ht="15.75" customHeight="1">
      <c r="A8487" s="1" t="s">
        <v>24845</v>
      </c>
      <c r="B8487" s="1">
        <v>7.0</v>
      </c>
      <c r="C8487" s="1" t="s">
        <v>24846</v>
      </c>
      <c r="E8487" s="1" t="s">
        <v>24847</v>
      </c>
      <c r="F8487" s="1" t="str">
        <f>IFERROR(__xludf.DUMMYFUNCTION("GOOGLETRANSLATE(A8487, ""zh-CN"", ""ko"")"),"인상적인")</f>
        <v>인상적인</v>
      </c>
    </row>
    <row r="8488" ht="15.75" customHeight="1">
      <c r="A8488" s="1" t="s">
        <v>24848</v>
      </c>
      <c r="B8488" s="1">
        <v>7.0</v>
      </c>
      <c r="C8488" s="1" t="s">
        <v>24849</v>
      </c>
      <c r="D8488" s="1" t="s">
        <v>8</v>
      </c>
      <c r="E8488" s="1" t="s">
        <v>24850</v>
      </c>
      <c r="F8488" s="1" t="str">
        <f>IFERROR(__xludf.DUMMYFUNCTION("GOOGLETRANSLATE(A8488, ""zh-CN"", ""ko"")"),"예상되는")</f>
        <v>예상되는</v>
      </c>
    </row>
    <row r="8489" ht="15.75" customHeight="1">
      <c r="A8489" s="1" t="s">
        <v>24851</v>
      </c>
      <c r="B8489" s="1">
        <v>7.0</v>
      </c>
      <c r="C8489" s="1" t="s">
        <v>24852</v>
      </c>
      <c r="D8489" s="1" t="s">
        <v>52</v>
      </c>
      <c r="E8489" s="1" t="s">
        <v>24853</v>
      </c>
      <c r="F8489" s="1" t="str">
        <f>IFERROR(__xludf.DUMMYFUNCTION("GOOGLETRANSLATE(A8489, ""zh-CN"", ""ko"")"),"다행스럽게도")</f>
        <v>다행스럽게도</v>
      </c>
    </row>
    <row r="8490" ht="15.75" customHeight="1">
      <c r="A8490" s="1" t="s">
        <v>24854</v>
      </c>
      <c r="B8490" s="1">
        <v>7.0</v>
      </c>
      <c r="C8490" s="1" t="s">
        <v>3337</v>
      </c>
      <c r="D8490" s="1" t="s">
        <v>14992</v>
      </c>
      <c r="E8490" s="1" t="s">
        <v>24855</v>
      </c>
      <c r="F8490" s="1" t="str">
        <f>IFERROR(__xludf.DUMMYFUNCTION("GOOGLETRANSLATE(A8490, ""zh-CN"", ""ko"")"),"의도")</f>
        <v>의도</v>
      </c>
    </row>
    <row r="8491" ht="15.75" customHeight="1">
      <c r="A8491" s="1" t="s">
        <v>24856</v>
      </c>
      <c r="B8491" s="1">
        <v>7.0</v>
      </c>
      <c r="C8491" s="1" t="s">
        <v>24857</v>
      </c>
      <c r="E8491" s="1" t="s">
        <v>24858</v>
      </c>
      <c r="F8491" s="1" t="str">
        <f>IFERROR(__xludf.DUMMYFUNCTION("GOOGLETRANSLATE(A8491, ""zh-CN"", ""ko"")"),"어느 날")</f>
        <v>어느 날</v>
      </c>
    </row>
    <row r="8492" ht="15.75" customHeight="1">
      <c r="A8492" s="1" t="s">
        <v>24859</v>
      </c>
      <c r="B8492" s="1">
        <v>7.0</v>
      </c>
      <c r="C8492" s="1" t="s">
        <v>24860</v>
      </c>
      <c r="D8492" s="1" t="s">
        <v>16</v>
      </c>
      <c r="E8492" s="1" t="s">
        <v>24861</v>
      </c>
      <c r="F8492" s="1" t="str">
        <f>IFERROR(__xludf.DUMMYFUNCTION("GOOGLETRANSLATE(A8492, ""zh-CN"", ""ko"")"),"미끼")</f>
        <v>미끼</v>
      </c>
    </row>
    <row r="8493" ht="15.75" customHeight="1">
      <c r="A8493" s="1" t="s">
        <v>24862</v>
      </c>
      <c r="B8493" s="1">
        <v>7.0</v>
      </c>
      <c r="C8493" s="1" t="s">
        <v>24863</v>
      </c>
      <c r="D8493" s="1" t="s">
        <v>8</v>
      </c>
      <c r="E8493" s="1" t="s">
        <v>24864</v>
      </c>
      <c r="F8493" s="1" t="str">
        <f>IFERROR(__xludf.DUMMYFUNCTION("GOOGLETRANSLATE(A8493, ""zh-CN"", ""ko"")"),"유도된")</f>
        <v>유도된</v>
      </c>
    </row>
    <row r="8494" ht="15.75" customHeight="1">
      <c r="A8494" s="1" t="s">
        <v>24865</v>
      </c>
      <c r="B8494" s="1">
        <v>7.0</v>
      </c>
      <c r="C8494" s="1" t="s">
        <v>24866</v>
      </c>
      <c r="D8494" s="1" t="s">
        <v>52</v>
      </c>
      <c r="E8494" s="1" t="s">
        <v>24867</v>
      </c>
      <c r="F8494" s="1" t="str">
        <f>IFERROR(__xludf.DUMMYFUNCTION("GOOGLETRANSLATE(A8494, ""zh-CN"", ""ko"")"),"유혹적인")</f>
        <v>유혹적인</v>
      </c>
    </row>
    <row r="8495" ht="15.75" customHeight="1">
      <c r="A8495" s="1" t="s">
        <v>24868</v>
      </c>
      <c r="B8495" s="1">
        <v>7.0</v>
      </c>
      <c r="C8495" s="1" t="s">
        <v>24869</v>
      </c>
      <c r="D8495" s="1" t="s">
        <v>52</v>
      </c>
      <c r="E8495" s="1" t="s">
        <v>24870</v>
      </c>
      <c r="F8495" s="1" t="str">
        <f>IFERROR(__xludf.DUMMYFUNCTION("GOOGLETRANSLATE(A8495, ""zh-CN"", ""ko"")"),"우아함")</f>
        <v>우아함</v>
      </c>
    </row>
    <row r="8496" ht="15.75" customHeight="1">
      <c r="A8496" s="1" t="s">
        <v>24871</v>
      </c>
      <c r="B8496" s="1">
        <v>7.0</v>
      </c>
      <c r="C8496" s="1" t="s">
        <v>24872</v>
      </c>
      <c r="D8496" s="1" t="s">
        <v>16</v>
      </c>
      <c r="E8496" s="1" t="s">
        <v>24873</v>
      </c>
      <c r="F8496" s="1" t="str">
        <f>IFERROR(__xludf.DUMMYFUNCTION("GOOGLETRANSLATE(A8496, ""zh-CN"", ""ko"")"),"미사")</f>
        <v>미사</v>
      </c>
    </row>
    <row r="8497" ht="15.75" customHeight="1">
      <c r="A8497" s="1" t="s">
        <v>24874</v>
      </c>
      <c r="B8497" s="1">
        <v>7.0</v>
      </c>
      <c r="C8497" s="1" t="s">
        <v>868</v>
      </c>
      <c r="D8497" s="1" t="s">
        <v>24875</v>
      </c>
      <c r="E8497" s="1" t="s">
        <v>24876</v>
      </c>
      <c r="F8497" s="1" t="str">
        <f>IFERROR(__xludf.DUMMYFUNCTION("GOOGLETRANSLATE(A8497, ""zh-CN"", ""ko"")"),"유지하다")</f>
        <v>유지하다</v>
      </c>
    </row>
    <row r="8498" ht="15.75" customHeight="1">
      <c r="A8498" s="1" t="s">
        <v>24877</v>
      </c>
      <c r="B8498" s="1">
        <v>7.0</v>
      </c>
      <c r="C8498" s="1" t="s">
        <v>24878</v>
      </c>
      <c r="D8498" s="1" t="s">
        <v>16</v>
      </c>
      <c r="E8498" s="1" t="s">
        <v>24879</v>
      </c>
      <c r="F8498" s="1" t="str">
        <f>IFERROR(__xludf.DUMMYFUNCTION("GOOGLETRANSLATE(A8498, ""zh-CN"", ""ko"")"),"낚시배")</f>
        <v>낚시배</v>
      </c>
    </row>
    <row r="8499" ht="15.75" customHeight="1">
      <c r="A8499" s="1" t="s">
        <v>24880</v>
      </c>
      <c r="B8499" s="1">
        <v>7.0</v>
      </c>
      <c r="C8499" s="1" t="s">
        <v>24881</v>
      </c>
      <c r="D8499" s="1" t="s">
        <v>16</v>
      </c>
      <c r="E8499" s="1" t="s">
        <v>24882</v>
      </c>
      <c r="F8499" s="1" t="str">
        <f>IFERROR(__xludf.DUMMYFUNCTION("GOOGLETRANSLATE(A8499, ""zh-CN"", ""ko"")"),"방")</f>
        <v>방</v>
      </c>
    </row>
    <row r="8500" ht="15.75" customHeight="1">
      <c r="A8500" s="1" t="s">
        <v>24883</v>
      </c>
      <c r="B8500" s="1">
        <v>7.0</v>
      </c>
      <c r="C8500" s="1" t="s">
        <v>24884</v>
      </c>
      <c r="E8500" s="1" t="s">
        <v>24885</v>
      </c>
      <c r="F8500" s="1" t="str">
        <f>IFERROR(__xludf.DUMMYFUNCTION("GOOGLETRANSLATE(A8500, ""zh-CN"", ""ko"")"),"어리석은 노인이 산을 옮긴다")</f>
        <v>어리석은 노인이 산을 옮긴다</v>
      </c>
    </row>
    <row r="8501" ht="15.75" customHeight="1">
      <c r="A8501" s="1" t="s">
        <v>24886</v>
      </c>
      <c r="B8501" s="1">
        <v>7.0</v>
      </c>
      <c r="C8501" s="1" t="s">
        <v>24887</v>
      </c>
      <c r="D8501" s="1" t="s">
        <v>8</v>
      </c>
      <c r="E8501" s="1" t="s">
        <v>24888</v>
      </c>
      <c r="F8501" s="1" t="str">
        <f>IFERROR(__xludf.DUMMYFUNCTION("GOOGLETRANSLATE(A8501, ""zh-CN"", ""ko"")"),"기한 초과")</f>
        <v>기한 초과</v>
      </c>
    </row>
    <row r="8502" ht="15.75" customHeight="1">
      <c r="A8502" s="1" t="s">
        <v>24889</v>
      </c>
      <c r="B8502" s="1">
        <v>7.0</v>
      </c>
      <c r="C8502" s="1" t="s">
        <v>24890</v>
      </c>
      <c r="D8502" s="1" t="s">
        <v>52</v>
      </c>
      <c r="E8502" s="1" t="s">
        <v>24891</v>
      </c>
      <c r="F8502" s="1" t="str">
        <f>IFERROR(__xludf.DUMMYFUNCTION("GOOGLETRANSLATE(A8502, ""zh-CN"", ""ko"")"),"기쁨")</f>
        <v>기쁨</v>
      </c>
    </row>
    <row r="8503" ht="15.75" customHeight="1">
      <c r="A8503" s="1" t="s">
        <v>24892</v>
      </c>
      <c r="B8503" s="1">
        <v>7.0</v>
      </c>
      <c r="C8503" s="1" t="s">
        <v>24893</v>
      </c>
      <c r="D8503" s="1" t="s">
        <v>33</v>
      </c>
      <c r="E8503" s="1" t="s">
        <v>24894</v>
      </c>
      <c r="F8503" s="1" t="str">
        <f>IFERROR(__xludf.DUMMYFUNCTION("GOOGLETRANSLATE(A8503, ""zh-CN"", ""ko"")"),"혹은 그렇지 않다")</f>
        <v>혹은 그렇지 않다</v>
      </c>
    </row>
    <row r="8504" ht="15.75" customHeight="1">
      <c r="A8504" s="1" t="s">
        <v>24895</v>
      </c>
      <c r="B8504" s="1">
        <v>7.0</v>
      </c>
      <c r="C8504" s="1" t="s">
        <v>24896</v>
      </c>
      <c r="E8504" s="1" t="s">
        <v>24897</v>
      </c>
      <c r="F8504" s="1" t="str">
        <f>IFERROR(__xludf.DUMMYFUNCTION("GOOGLETRANSLATE(A8504, ""zh-CN"", ""ko"")"),"시대의 흐름에 발맞춰 나가세요")</f>
        <v>시대의 흐름에 발맞춰 나가세요</v>
      </c>
    </row>
    <row r="8505" ht="15.75" customHeight="1">
      <c r="A8505" s="1" t="s">
        <v>24898</v>
      </c>
      <c r="B8505" s="1">
        <v>7.0</v>
      </c>
      <c r="C8505" s="1" t="s">
        <v>24899</v>
      </c>
      <c r="D8505" s="1" t="s">
        <v>8</v>
      </c>
      <c r="E8505" s="1" t="s">
        <v>24900</v>
      </c>
      <c r="F8505" s="1" t="str">
        <f>IFERROR(__xludf.DUMMYFUNCTION("GOOGLETRANSLATE(A8505, ""zh-CN"", ""ko"")"),"주다")</f>
        <v>주다</v>
      </c>
    </row>
    <row r="8506" ht="15.75" customHeight="1">
      <c r="A8506" s="1" t="s">
        <v>24901</v>
      </c>
      <c r="B8506" s="1">
        <v>7.0</v>
      </c>
      <c r="C8506" s="1" t="s">
        <v>24902</v>
      </c>
      <c r="E8506" s="1" t="s">
        <v>24903</v>
      </c>
      <c r="F8506" s="1" t="str">
        <f>IFERROR(__xludf.DUMMYFUNCTION("GOOGLETRANSLATE(A8506, ""zh-CN"", ""ko"")"),"다른")</f>
        <v>다른</v>
      </c>
    </row>
    <row r="8507" ht="15.75" customHeight="1">
      <c r="A8507" s="1" t="s">
        <v>24904</v>
      </c>
      <c r="B8507" s="1">
        <v>7.0</v>
      </c>
      <c r="C8507" s="1" t="s">
        <v>24905</v>
      </c>
      <c r="D8507" s="1" t="s">
        <v>8</v>
      </c>
      <c r="E8507" s="1" t="s">
        <v>14993</v>
      </c>
      <c r="F8507" s="1" t="str">
        <f>IFERROR(__xludf.DUMMYFUNCTION("GOOGLETRANSLATE(A8507, ""zh-CN"", ""ko"")"),"준비")</f>
        <v>준비</v>
      </c>
    </row>
    <row r="8508" ht="15.75" customHeight="1">
      <c r="A8508" s="1" t="s">
        <v>24906</v>
      </c>
      <c r="B8508" s="1">
        <v>7.0</v>
      </c>
      <c r="C8508" s="1" t="s">
        <v>24907</v>
      </c>
      <c r="D8508" s="1" t="s">
        <v>14870</v>
      </c>
      <c r="E8508" s="1" t="s">
        <v>24908</v>
      </c>
      <c r="F8508" s="1" t="str">
        <f>IFERROR(__xludf.DUMMYFUNCTION("GOOGLETRANSLATE(A8508, ""zh-CN"", ""ko"")"),"예고")</f>
        <v>예고</v>
      </c>
    </row>
    <row r="8509" ht="15.75" customHeight="1">
      <c r="A8509" s="1" t="s">
        <v>24909</v>
      </c>
      <c r="B8509" s="1">
        <v>7.0</v>
      </c>
      <c r="C8509" s="1" t="s">
        <v>24910</v>
      </c>
      <c r="D8509" s="1" t="s">
        <v>14870</v>
      </c>
      <c r="E8509" s="1" t="s">
        <v>24911</v>
      </c>
      <c r="F8509" s="1" t="str">
        <f>IFERROR(__xludf.DUMMYFUNCTION("GOOGLETRANSLATE(A8509, ""zh-CN"", ""ko"")"),"트레일러")</f>
        <v>트레일러</v>
      </c>
    </row>
    <row r="8510" ht="15.75" customHeight="1">
      <c r="A8510" s="1" t="s">
        <v>24912</v>
      </c>
      <c r="B8510" s="1">
        <v>7.0</v>
      </c>
      <c r="C8510" s="1" t="s">
        <v>24913</v>
      </c>
      <c r="D8510" s="1" t="s">
        <v>8</v>
      </c>
      <c r="E8510" s="1" t="s">
        <v>24914</v>
      </c>
      <c r="F8510" s="1" t="str">
        <f>IFERROR(__xludf.DUMMYFUNCTION("GOOGLETRANSLATE(A8510, ""zh-CN"", ""ko"")"),"치유하다")</f>
        <v>치유하다</v>
      </c>
    </row>
    <row r="8511" ht="15.75" customHeight="1">
      <c r="A8511" s="1" t="s">
        <v>24915</v>
      </c>
      <c r="B8511" s="1">
        <v>7.0</v>
      </c>
      <c r="C8511" s="1" t="s">
        <v>24916</v>
      </c>
      <c r="D8511" s="1" t="s">
        <v>33</v>
      </c>
      <c r="E8511" s="1" t="s">
        <v>24917</v>
      </c>
      <c r="F8511" s="1" t="str">
        <f>IFERROR(__xludf.DUMMYFUNCTION("GOOGLETRANSLATE(A8511, ""zh-CN"", ""ko"")"),"점점 더")</f>
        <v>점점 더</v>
      </c>
    </row>
    <row r="8512" ht="15.75" customHeight="1">
      <c r="A8512" s="1" t="s">
        <v>24918</v>
      </c>
      <c r="B8512" s="1">
        <v>7.0</v>
      </c>
      <c r="C8512" s="1" t="s">
        <v>24919</v>
      </c>
      <c r="D8512" s="1" t="s">
        <v>14870</v>
      </c>
      <c r="E8512" s="1" t="s">
        <v>24920</v>
      </c>
      <c r="F8512" s="1" t="str">
        <f>IFERROR(__xludf.DUMMYFUNCTION("GOOGLETRANSLATE(A8512, ""zh-CN"", ""ko"")"),"선견")</f>
        <v>선견</v>
      </c>
    </row>
    <row r="8513" ht="15.75" customHeight="1">
      <c r="A8513" s="1" t="s">
        <v>24921</v>
      </c>
      <c r="B8513" s="1">
        <v>7.0</v>
      </c>
      <c r="C8513" s="1" t="s">
        <v>24922</v>
      </c>
      <c r="D8513" s="1" t="s">
        <v>8</v>
      </c>
      <c r="E8513" s="1" t="s">
        <v>24923</v>
      </c>
      <c r="F8513" s="1" t="str">
        <f>IFERROR(__xludf.DUMMYFUNCTION("GOOGLETRANSLATE(A8513, ""zh-CN"", ""ko"")"),"경고")</f>
        <v>경고</v>
      </c>
    </row>
    <row r="8514" ht="15.75" customHeight="1">
      <c r="A8514" s="1" t="s">
        <v>24924</v>
      </c>
      <c r="B8514" s="1">
        <v>7.0</v>
      </c>
      <c r="C8514" s="1" t="s">
        <v>24925</v>
      </c>
      <c r="D8514" s="1" t="s">
        <v>52</v>
      </c>
      <c r="E8514" s="1" t="s">
        <v>24926</v>
      </c>
      <c r="F8514" s="1" t="str">
        <f>IFERROR(__xludf.DUMMYFUNCTION("GOOGLETRANSLATE(A8514, ""zh-CN"", ""ko"")"),"우울한")</f>
        <v>우울한</v>
      </c>
    </row>
    <row r="8515" ht="15.75" customHeight="1">
      <c r="A8515" s="1" t="s">
        <v>24927</v>
      </c>
      <c r="B8515" s="1">
        <v>7.0</v>
      </c>
      <c r="C8515" s="1" t="s">
        <v>24928</v>
      </c>
      <c r="D8515" s="1" t="s">
        <v>8</v>
      </c>
      <c r="E8515" s="1" t="s">
        <v>24929</v>
      </c>
      <c r="F8515" s="1" t="str">
        <f>IFERROR(__xludf.DUMMYFUNCTION("GOOGLETRANSLATE(A8515, ""zh-CN"", ""ko"")"),"죽음")</f>
        <v>죽음</v>
      </c>
    </row>
    <row r="8516" ht="15.75" customHeight="1">
      <c r="A8516" s="1" t="s">
        <v>24930</v>
      </c>
      <c r="B8516" s="1">
        <v>7.0</v>
      </c>
      <c r="C8516" s="1" t="s">
        <v>24931</v>
      </c>
      <c r="D8516" s="1" t="s">
        <v>14870</v>
      </c>
      <c r="E8516" s="1" t="s">
        <v>24932</v>
      </c>
      <c r="F8516" s="1" t="str">
        <f>IFERROR(__xludf.DUMMYFUNCTION("GOOGLETRANSLATE(A8516, ""zh-CN"", ""ko"")"),"예비의")</f>
        <v>예비의</v>
      </c>
    </row>
    <row r="8517" ht="15.75" customHeight="1">
      <c r="A8517" s="1" t="s">
        <v>24933</v>
      </c>
      <c r="B8517" s="1">
        <v>7.0</v>
      </c>
      <c r="C8517" s="1" t="s">
        <v>24934</v>
      </c>
      <c r="D8517" s="1" t="s">
        <v>8</v>
      </c>
      <c r="E8517" s="1" t="s">
        <v>24935</v>
      </c>
      <c r="F8517" s="1" t="str">
        <f>IFERROR(__xludf.DUMMYFUNCTION("GOOGLETRANSLATE(A8517, ""zh-CN"", ""ko"")"),"예고")</f>
        <v>예고</v>
      </c>
    </row>
    <row r="8518" ht="15.75" customHeight="1">
      <c r="A8518" s="1" t="s">
        <v>24936</v>
      </c>
      <c r="B8518" s="1">
        <v>7.0</v>
      </c>
      <c r="C8518" s="1" t="s">
        <v>24937</v>
      </c>
      <c r="D8518" s="1" t="s">
        <v>8</v>
      </c>
      <c r="E8518" s="1" t="s">
        <v>24938</v>
      </c>
      <c r="F8518" s="1" t="str">
        <f>IFERROR(__xludf.DUMMYFUNCTION("GOOGLETRANSLATE(A8518, ""zh-CN"", ""ko"")"),"사전 판매")</f>
        <v>사전 판매</v>
      </c>
    </row>
    <row r="8519" ht="15.75" customHeight="1">
      <c r="A8519" s="1" t="s">
        <v>24939</v>
      </c>
      <c r="B8519" s="1">
        <v>7.0</v>
      </c>
      <c r="C8519" s="1" t="s">
        <v>24940</v>
      </c>
      <c r="D8519" s="1" t="s">
        <v>8</v>
      </c>
      <c r="E8519" s="1" t="s">
        <v>24941</v>
      </c>
      <c r="F8519" s="1" t="str">
        <f>IFERROR(__xludf.DUMMYFUNCTION("GOOGLETRANSLATE(A8519, ""zh-CN"", ""ko"")"),"고통")</f>
        <v>고통</v>
      </c>
    </row>
    <row r="8520" ht="15.75" customHeight="1">
      <c r="A8520" s="1" t="s">
        <v>24942</v>
      </c>
      <c r="B8520" s="1">
        <v>7.0</v>
      </c>
      <c r="C8520" s="1" t="s">
        <v>24943</v>
      </c>
      <c r="E8520" s="1" t="s">
        <v>24944</v>
      </c>
      <c r="F8520" s="1" t="str">
        <f>IFERROR(__xludf.DUMMYFUNCTION("GOOGLETRANSLATE(A8520, ""zh-CN"", ""ko"")"),"차츰 오르는")</f>
        <v>차츰 오르는</v>
      </c>
    </row>
    <row r="8521" ht="15.75" customHeight="1">
      <c r="A8521" s="1" t="s">
        <v>24945</v>
      </c>
      <c r="B8521" s="1">
        <v>7.0</v>
      </c>
      <c r="C8521" s="1" t="s">
        <v>24946</v>
      </c>
      <c r="D8521" s="1" t="s">
        <v>16</v>
      </c>
      <c r="E8521" s="1" t="s">
        <v>24947</v>
      </c>
      <c r="F8521" s="1" t="str">
        <f>IFERROR(__xludf.DUMMYFUNCTION("GOOGLETRANSLATE(A8521, ""zh-CN"", ""ko"")"),"의미")</f>
        <v>의미</v>
      </c>
    </row>
    <row r="8522" ht="15.75" customHeight="1">
      <c r="A8522" s="1" t="s">
        <v>24948</v>
      </c>
      <c r="B8522" s="1">
        <v>7.0</v>
      </c>
      <c r="C8522" s="1" t="s">
        <v>24949</v>
      </c>
      <c r="D8522" s="1" t="s">
        <v>15011</v>
      </c>
      <c r="E8522" s="1" t="s">
        <v>24950</v>
      </c>
      <c r="F8522" s="1" t="str">
        <f>IFERROR(__xludf.DUMMYFUNCTION("GOOGLETRANSLATE(A8522, ""zh-CN"", ""ko"")"),"부당")</f>
        <v>부당</v>
      </c>
    </row>
    <row r="8523" ht="15.75" customHeight="1">
      <c r="A8523" s="1" t="s">
        <v>24951</v>
      </c>
      <c r="B8523" s="1">
        <v>7.0</v>
      </c>
      <c r="C8523" s="1" t="s">
        <v>24952</v>
      </c>
      <c r="D8523" s="1" t="s">
        <v>16</v>
      </c>
      <c r="E8523" s="1" t="s">
        <v>24953</v>
      </c>
      <c r="F8523" s="1" t="str">
        <f>IFERROR(__xludf.DUMMYFUNCTION("GOOGLETRANSLATE(A8523, ""zh-CN"", ""ko"")"),"기원")</f>
        <v>기원</v>
      </c>
    </row>
    <row r="8524" ht="15.75" customHeight="1">
      <c r="A8524" s="1" t="s">
        <v>24954</v>
      </c>
      <c r="B8524" s="1">
        <v>7.0</v>
      </c>
      <c r="C8524" s="1" t="s">
        <v>24955</v>
      </c>
      <c r="D8524" s="1" t="s">
        <v>8</v>
      </c>
      <c r="E8524" s="1" t="s">
        <v>24956</v>
      </c>
      <c r="F8524" s="1" t="str">
        <f>IFERROR(__xludf.DUMMYFUNCTION("GOOGLETRANSLATE(A8524, ""zh-CN"", ""ko"")"),"원래의")</f>
        <v>원래의</v>
      </c>
    </row>
    <row r="8525" ht="15.75" customHeight="1">
      <c r="A8525" s="1" t="s">
        <v>24957</v>
      </c>
      <c r="B8525" s="1">
        <v>7.0</v>
      </c>
      <c r="C8525" s="1" t="s">
        <v>24958</v>
      </c>
      <c r="D8525" s="1" t="s">
        <v>16</v>
      </c>
      <c r="E8525" s="1" t="s">
        <v>24959</v>
      </c>
      <c r="F8525" s="1" t="str">
        <f>IFERROR(__xludf.DUMMYFUNCTION("GOOGLETRANSLATE(A8525, ""zh-CN"", ""ko"")"),"운명")</f>
        <v>운명</v>
      </c>
    </row>
    <row r="8526" ht="15.75" customHeight="1">
      <c r="A8526" s="1" t="s">
        <v>24960</v>
      </c>
      <c r="B8526" s="1">
        <v>7.0</v>
      </c>
      <c r="C8526" s="1" t="s">
        <v>24961</v>
      </c>
      <c r="D8526" s="1" t="s">
        <v>16</v>
      </c>
      <c r="E8526" s="1" t="s">
        <v>24962</v>
      </c>
      <c r="F8526" s="1" t="str">
        <f>IFERROR(__xludf.DUMMYFUNCTION("GOOGLETRANSLATE(A8526, ""zh-CN"", ""ko"")"),"연상")</f>
        <v>연상</v>
      </c>
    </row>
    <row r="8527" ht="15.75" customHeight="1">
      <c r="A8527" s="1" t="s">
        <v>24963</v>
      </c>
      <c r="B8527" s="1">
        <v>7.0</v>
      </c>
      <c r="C8527" s="1" t="s">
        <v>24964</v>
      </c>
      <c r="D8527" s="1" t="s">
        <v>16</v>
      </c>
      <c r="E8527" s="1" t="s">
        <v>1159</v>
      </c>
      <c r="F8527" s="1" t="str">
        <f>IFERROR(__xludf.DUMMYFUNCTION("GOOGLETRANSLATE(A8527, ""zh-CN"", ""ko"")"),"공원")</f>
        <v>공원</v>
      </c>
    </row>
    <row r="8528" ht="15.75" customHeight="1">
      <c r="A8528" s="1" t="s">
        <v>24965</v>
      </c>
      <c r="B8528" s="1">
        <v>7.0</v>
      </c>
      <c r="C8528" s="1" t="s">
        <v>24966</v>
      </c>
      <c r="D8528" s="1" t="s">
        <v>16</v>
      </c>
      <c r="E8528" s="1" t="s">
        <v>24967</v>
      </c>
      <c r="F8528" s="1" t="str">
        <f>IFERROR(__xludf.DUMMYFUNCTION("GOOGLETRANSLATE(A8528, ""zh-CN"", ""ko"")"),"원천")</f>
        <v>원천</v>
      </c>
    </row>
    <row r="8529" ht="15.75" customHeight="1">
      <c r="A8529" s="1" t="s">
        <v>24968</v>
      </c>
      <c r="B8529" s="1">
        <v>7.0</v>
      </c>
      <c r="C8529" s="1" t="s">
        <v>24969</v>
      </c>
      <c r="D8529" s="1" t="s">
        <v>16</v>
      </c>
      <c r="E8529" s="1" t="s">
        <v>24970</v>
      </c>
      <c r="F8529" s="1" t="str">
        <f>IFERROR(__xludf.DUMMYFUNCTION("GOOGLETRANSLATE(A8529, ""zh-CN"", ""ko"")"),"원기")</f>
        <v>원기</v>
      </c>
    </row>
    <row r="8530" ht="15.75" customHeight="1">
      <c r="A8530" s="1" t="s">
        <v>24971</v>
      </c>
      <c r="B8530" s="1">
        <v>7.0</v>
      </c>
      <c r="C8530" s="1" t="s">
        <v>24972</v>
      </c>
      <c r="E8530" s="1" t="s">
        <v>24973</v>
      </c>
      <c r="F8530" s="1" t="str">
        <f>IFERROR(__xludf.DUMMYFUNCTION("GOOGLETRANSLATE(A8530, ""zh-CN"", ""ko"")"),"끝없는")</f>
        <v>끝없는</v>
      </c>
    </row>
    <row r="8531" ht="15.75" customHeight="1">
      <c r="A8531" s="1" t="s">
        <v>24974</v>
      </c>
      <c r="B8531" s="1">
        <v>7.0</v>
      </c>
      <c r="C8531" s="1" t="s">
        <v>24975</v>
      </c>
      <c r="E8531" s="1" t="s">
        <v>24976</v>
      </c>
      <c r="F8531" s="1" t="str">
        <f>IFERROR(__xludf.DUMMYFUNCTION("GOOGLETRANSLATE(A8531, ""zh-CN"", ""ko"")"),"오랜 역사")</f>
        <v>오랜 역사</v>
      </c>
    </row>
    <row r="8532" ht="15.75" customHeight="1">
      <c r="A8532" s="1" t="s">
        <v>24977</v>
      </c>
      <c r="B8532" s="1">
        <v>7.0</v>
      </c>
      <c r="C8532" s="1" t="s">
        <v>24978</v>
      </c>
      <c r="E8532" s="1" t="s">
        <v>24979</v>
      </c>
      <c r="F8532" s="1" t="str">
        <f>IFERROR(__xludf.DUMMYFUNCTION("GOOGLETRANSLATE(A8532, ""zh-CN"", ""ko"")"),"오리지널 맛")</f>
        <v>오리지널 맛</v>
      </c>
    </row>
    <row r="8533" ht="15.75" customHeight="1">
      <c r="A8533" s="1" t="s">
        <v>24980</v>
      </c>
      <c r="B8533" s="1">
        <v>7.0</v>
      </c>
      <c r="C8533" s="1" t="s">
        <v>24981</v>
      </c>
      <c r="D8533" s="1" t="s">
        <v>8</v>
      </c>
      <c r="E8533" s="1" t="s">
        <v>24982</v>
      </c>
      <c r="F8533" s="1" t="str">
        <f>IFERROR(__xludf.DUMMYFUNCTION("GOOGLETRANSLATE(A8533, ""zh-CN"", ""ko"")"),"보조")</f>
        <v>보조</v>
      </c>
    </row>
    <row r="8534" ht="15.75" customHeight="1">
      <c r="A8534" s="1" t="s">
        <v>24983</v>
      </c>
      <c r="B8534" s="1">
        <v>7.0</v>
      </c>
      <c r="C8534" s="1" t="s">
        <v>24984</v>
      </c>
      <c r="D8534" s="1" t="s">
        <v>52</v>
      </c>
      <c r="E8534" s="1" t="s">
        <v>24985</v>
      </c>
      <c r="F8534" s="1" t="str">
        <f>IFERROR(__xludf.DUMMYFUNCTION("GOOGLETRANSLATE(A8534, ""zh-CN"", ""ko"")"),"원래의")</f>
        <v>원래의</v>
      </c>
    </row>
    <row r="8535" ht="15.75" customHeight="1">
      <c r="A8535" s="1" t="s">
        <v>24986</v>
      </c>
      <c r="B8535" s="1">
        <v>7.0</v>
      </c>
      <c r="C8535" s="1" t="s">
        <v>24987</v>
      </c>
      <c r="D8535" s="1" t="s">
        <v>16</v>
      </c>
      <c r="E8535" s="1" t="s">
        <v>24988</v>
      </c>
      <c r="F8535" s="1" t="str">
        <f>IFERROR(__xludf.DUMMYFUNCTION("GOOGLETRANSLATE(A8535, ""zh-CN"", ""ko"")"),"선견")</f>
        <v>선견</v>
      </c>
    </row>
    <row r="8536" ht="15.75" customHeight="1">
      <c r="A8536" s="1" t="s">
        <v>24989</v>
      </c>
      <c r="B8536" s="1">
        <v>7.0</v>
      </c>
      <c r="C8536" s="1" t="s">
        <v>24990</v>
      </c>
      <c r="E8536" s="1" t="s">
        <v>24991</v>
      </c>
      <c r="F8536" s="1" t="str">
        <f>IFERROR(__xludf.DUMMYFUNCTION("GOOGLETRANSLATE(A8536, ""zh-CN"", ""ko"")"),"유명한")</f>
        <v>유명한</v>
      </c>
    </row>
    <row r="8537" ht="15.75" customHeight="1">
      <c r="A8537" s="1" t="s">
        <v>24992</v>
      </c>
      <c r="B8537" s="1">
        <v>7.0</v>
      </c>
      <c r="C8537" s="1" t="s">
        <v>24993</v>
      </c>
      <c r="D8537" s="1" t="s">
        <v>8</v>
      </c>
      <c r="E8537" s="1" t="s">
        <v>24994</v>
      </c>
      <c r="F8537" s="1" t="str">
        <f>IFERROR(__xludf.DUMMYFUNCTION("GOOGLETRANSLATE(A8537, ""zh-CN"", ""ko"")"),"탓하다")</f>
        <v>탓하다</v>
      </c>
    </row>
    <row r="8538" ht="15.75" customHeight="1">
      <c r="A8538" s="1" t="s">
        <v>24995</v>
      </c>
      <c r="B8538" s="1">
        <v>7.0</v>
      </c>
      <c r="C8538" s="1" t="s">
        <v>24996</v>
      </c>
      <c r="D8538" s="1" t="s">
        <v>14870</v>
      </c>
      <c r="E8538" s="1" t="s">
        <v>24997</v>
      </c>
      <c r="F8538" s="1" t="str">
        <f>IFERROR(__xludf.DUMMYFUNCTION("GOOGLETRANSLATE(A8538, ""zh-CN"", ""ko"")"),"원한")</f>
        <v>원한</v>
      </c>
    </row>
    <row r="8539" ht="15.75" customHeight="1">
      <c r="A8539" s="1" t="s">
        <v>24998</v>
      </c>
      <c r="B8539" s="1">
        <v>7.0</v>
      </c>
      <c r="C8539" s="1" t="s">
        <v>24999</v>
      </c>
      <c r="D8539" s="1" t="s">
        <v>16</v>
      </c>
      <c r="E8539" s="1" t="s">
        <v>25000</v>
      </c>
      <c r="F8539" s="1" t="str">
        <f>IFERROR(__xludf.DUMMYFUNCTION("GOOGLETRANSLATE(A8539, ""zh-CN"", ""ko"")"),"원한")</f>
        <v>원한</v>
      </c>
    </row>
    <row r="8540" ht="15.75" customHeight="1">
      <c r="A8540" s="1" t="s">
        <v>25001</v>
      </c>
      <c r="B8540" s="1">
        <v>7.0</v>
      </c>
      <c r="C8540" s="1" t="s">
        <v>25002</v>
      </c>
      <c r="D8540" s="1" t="s">
        <v>16</v>
      </c>
      <c r="E8540" s="1" t="s">
        <v>25003</v>
      </c>
      <c r="F8540" s="1" t="str">
        <f>IFERROR(__xludf.DUMMYFUNCTION("GOOGLETRANSLATE(A8540, ""zh-CN"", ""ko"")"),"아카데미 회원")</f>
        <v>아카데미 회원</v>
      </c>
    </row>
    <row r="8541" ht="15.75" customHeight="1">
      <c r="A8541" s="1" t="s">
        <v>25004</v>
      </c>
      <c r="B8541" s="1">
        <v>7.0</v>
      </c>
      <c r="C8541" s="1" t="s">
        <v>25005</v>
      </c>
      <c r="D8541" s="1" t="s">
        <v>16</v>
      </c>
      <c r="E8541" s="1" t="s">
        <v>25006</v>
      </c>
      <c r="F8541" s="1" t="str">
        <f>IFERROR(__xludf.DUMMYFUNCTION("GOOGLETRANSLATE(A8541, ""zh-CN"", ""ko"")"),"불만사항")</f>
        <v>불만사항</v>
      </c>
    </row>
    <row r="8542" ht="15.75" customHeight="1">
      <c r="A8542" s="1" t="s">
        <v>25007</v>
      </c>
      <c r="B8542" s="1">
        <v>7.0</v>
      </c>
      <c r="C8542" s="1" t="s">
        <v>25008</v>
      </c>
      <c r="D8542" s="1" t="s">
        <v>8</v>
      </c>
      <c r="E8542" s="1" t="s">
        <v>25009</v>
      </c>
      <c r="F8542" s="1" t="str">
        <f>IFERROR(__xludf.DUMMYFUNCTION("GOOGLETRANSLATE(A8542, ""zh-CN"", ""ko"")"),"말하다")</f>
        <v>말하다</v>
      </c>
    </row>
    <row r="8543" ht="15.75" customHeight="1">
      <c r="A8543" s="1" t="s">
        <v>25010</v>
      </c>
      <c r="B8543" s="1">
        <v>7.0</v>
      </c>
      <c r="C8543" s="1" t="s">
        <v>25011</v>
      </c>
      <c r="E8543" s="1" t="s">
        <v>25012</v>
      </c>
      <c r="F8543" s="1" t="str">
        <f>IFERROR(__xludf.DUMMYFUNCTION("GOOGLETRANSLATE(A8543, ""zh-CN"", ""ko"")"),"협약")</f>
        <v>협약</v>
      </c>
    </row>
    <row r="8544" ht="15.75" customHeight="1">
      <c r="A8544" s="1" t="s">
        <v>25013</v>
      </c>
      <c r="B8544" s="1">
        <v>7.0</v>
      </c>
      <c r="C8544" s="1" t="s">
        <v>25014</v>
      </c>
      <c r="D8544" s="1" t="s">
        <v>16</v>
      </c>
      <c r="E8544" s="1" t="s">
        <v>25015</v>
      </c>
      <c r="F8544" s="1" t="str">
        <f>IFERROR(__xludf.DUMMYFUNCTION("GOOGLETRANSLATE(A8544, ""zh-CN"", ""ko"")"),"밴드")</f>
        <v>밴드</v>
      </c>
    </row>
    <row r="8545" ht="15.75" customHeight="1">
      <c r="A8545" s="1" t="s">
        <v>25016</v>
      </c>
      <c r="B8545" s="1">
        <v>7.0</v>
      </c>
      <c r="C8545" s="1" t="s">
        <v>25017</v>
      </c>
      <c r="D8545" s="1" t="s">
        <v>52</v>
      </c>
      <c r="E8545" s="1" t="s">
        <v>25018</v>
      </c>
      <c r="F8545" s="1" t="str">
        <f>IFERROR(__xludf.DUMMYFUNCTION("GOOGLETRANSLATE(A8545, ""zh-CN"", ""ko"")"),"귀에 즐거운")</f>
        <v>귀에 즐거운</v>
      </c>
    </row>
    <row r="8546" ht="15.75" customHeight="1">
      <c r="A8546" s="1" t="s">
        <v>25019</v>
      </c>
      <c r="B8546" s="1">
        <v>7.0</v>
      </c>
      <c r="C8546" s="1" t="s">
        <v>25020</v>
      </c>
      <c r="D8546" s="1" t="s">
        <v>33</v>
      </c>
      <c r="E8546" s="1" t="s">
        <v>25021</v>
      </c>
      <c r="F8546" s="1" t="str">
        <f>IFERROR(__xludf.DUMMYFUNCTION("GOOGLETRANSLATE(A8546, ""zh-CN"", ""ko"")"),"더욱 더")</f>
        <v>더욱 더</v>
      </c>
    </row>
    <row r="8547" ht="15.75" customHeight="1">
      <c r="A8547" s="1" t="s">
        <v>25022</v>
      </c>
      <c r="B8547" s="1">
        <v>7.0</v>
      </c>
      <c r="C8547" s="1" t="s">
        <v>25023</v>
      </c>
      <c r="D8547" s="1" t="s">
        <v>16</v>
      </c>
      <c r="E8547" s="1" t="s">
        <v>25024</v>
      </c>
      <c r="F8547" s="1" t="str">
        <f>IFERROR(__xludf.DUMMYFUNCTION("GOOGLETRANSLATE(A8547, ""zh-CN"", ""ko"")"),"시아버지")</f>
        <v>시아버지</v>
      </c>
    </row>
    <row r="8548" ht="15.75" customHeight="1">
      <c r="A8548" s="1" t="s">
        <v>25025</v>
      </c>
      <c r="B8548" s="1">
        <v>7.0</v>
      </c>
      <c r="C8548" s="1" t="s">
        <v>25026</v>
      </c>
      <c r="D8548" s="1" t="s">
        <v>8</v>
      </c>
      <c r="E8548" s="1" t="s">
        <v>25027</v>
      </c>
      <c r="F8548" s="1" t="str">
        <f>IFERROR(__xludf.DUMMYFUNCTION("GOOGLETRANSLATE(A8548, ""zh-CN"", ""ko"")"),"십자가")</f>
        <v>십자가</v>
      </c>
    </row>
    <row r="8549" ht="15.75" customHeight="1">
      <c r="A8549" s="1" t="s">
        <v>25028</v>
      </c>
      <c r="B8549" s="1">
        <v>7.0</v>
      </c>
      <c r="C8549" s="1" t="s">
        <v>25029</v>
      </c>
      <c r="D8549" s="1" t="s">
        <v>8</v>
      </c>
      <c r="E8549" s="1" t="s">
        <v>25030</v>
      </c>
      <c r="F8549" s="1" t="str">
        <f>IFERROR(__xludf.DUMMYFUNCTION("GOOGLETRANSLATE(A8549, ""zh-CN"", ""ko"")"),"독서")</f>
        <v>독서</v>
      </c>
    </row>
    <row r="8550" ht="15.75" customHeight="1">
      <c r="A8550" s="1" t="s">
        <v>25031</v>
      </c>
      <c r="B8550" s="1">
        <v>7.0</v>
      </c>
      <c r="C8550" s="1" t="s">
        <v>25032</v>
      </c>
      <c r="D8550" s="1" t="s">
        <v>14870</v>
      </c>
      <c r="E8550" s="1" t="s">
        <v>25033</v>
      </c>
      <c r="F8550" s="1" t="str">
        <f>IFERROR(__xludf.DUMMYFUNCTION("GOOGLETRANSLATE(A8550, ""zh-CN"", ""ko"")"),"경험")</f>
        <v>경험</v>
      </c>
    </row>
    <row r="8551" ht="15.75" customHeight="1">
      <c r="A8551" s="1" t="s">
        <v>25034</v>
      </c>
      <c r="B8551" s="1">
        <v>7.0</v>
      </c>
      <c r="C8551" s="1" t="s">
        <v>25035</v>
      </c>
      <c r="E8551" s="1" t="s">
        <v>25036</v>
      </c>
      <c r="F8551" s="1" t="str">
        <f>IFERROR(__xludf.DUMMYFUNCTION("GOOGLETRANSLATE(A8551, ""zh-CN"", ""ko"")"),"어지러운")</f>
        <v>어지러운</v>
      </c>
    </row>
    <row r="8552" ht="15.75" customHeight="1">
      <c r="A8552" s="1" t="s">
        <v>25037</v>
      </c>
      <c r="B8552" s="1">
        <v>7.0</v>
      </c>
      <c r="C8552" s="1" t="s">
        <v>25038</v>
      </c>
      <c r="D8552" s="1" t="s">
        <v>16</v>
      </c>
      <c r="E8552" s="1" t="s">
        <v>25039</v>
      </c>
      <c r="F8552" s="1" t="str">
        <f>IFERROR(__xludf.DUMMYFUNCTION("GOOGLETRANSLATE(A8552, ""zh-CN"", ""ko"")"),"운석")</f>
        <v>운석</v>
      </c>
    </row>
    <row r="8553" ht="15.75" customHeight="1">
      <c r="A8553" s="1" t="s">
        <v>25040</v>
      </c>
      <c r="B8553" s="1">
        <v>7.0</v>
      </c>
      <c r="C8553" s="1" t="s">
        <v>25041</v>
      </c>
      <c r="E8553" s="1" t="s">
        <v>25042</v>
      </c>
      <c r="F8553" s="1" t="str">
        <f>IFERROR(__xludf.DUMMYFUNCTION("GOOGLETRANSLATE(A8553, ""zh-CN"", ""ko"")"),"전략 수립")</f>
        <v>전략 수립</v>
      </c>
    </row>
    <row r="8554" ht="15.75" customHeight="1">
      <c r="A8554" s="1" t="s">
        <v>25043</v>
      </c>
      <c r="B8554" s="1">
        <v>7.0</v>
      </c>
      <c r="C8554" s="1" t="s">
        <v>25044</v>
      </c>
      <c r="D8554" s="1" t="s">
        <v>16</v>
      </c>
      <c r="E8554" s="1" t="s">
        <v>25045</v>
      </c>
      <c r="F8554" s="1" t="str">
        <f>IFERROR(__xludf.DUMMYFUNCTION("GOOGLETRANSLATE(A8554, ""zh-CN"", ""ko"")"),"임산부")</f>
        <v>임산부</v>
      </c>
    </row>
    <row r="8555" ht="15.75" customHeight="1">
      <c r="A8555" s="1" t="s">
        <v>25046</v>
      </c>
      <c r="B8555" s="1">
        <v>7.0</v>
      </c>
      <c r="C8555" s="1" t="s">
        <v>25047</v>
      </c>
      <c r="D8555" s="1" t="s">
        <v>8</v>
      </c>
      <c r="E8555" s="1" t="s">
        <v>25048</v>
      </c>
      <c r="F8555" s="1" t="str">
        <f>IFERROR(__xludf.DUMMYFUNCTION("GOOGLETRANSLATE(A8555, ""zh-CN"", ""ko"")"),"포함됨")</f>
        <v>포함됨</v>
      </c>
    </row>
    <row r="8556" ht="15.75" customHeight="1">
      <c r="A8556" s="1" t="s">
        <v>25049</v>
      </c>
      <c r="B8556" s="1">
        <v>7.0</v>
      </c>
      <c r="C8556" s="1" t="s">
        <v>25050</v>
      </c>
      <c r="D8556" s="1" t="s">
        <v>16</v>
      </c>
      <c r="E8556" s="1" t="s">
        <v>25051</v>
      </c>
      <c r="F8556" s="1" t="str">
        <f>IFERROR(__xludf.DUMMYFUNCTION("GOOGLETRANSLATE(A8556, ""zh-CN"", ""ko"")"),"운하")</f>
        <v>운하</v>
      </c>
    </row>
    <row r="8557" ht="15.75" customHeight="1">
      <c r="A8557" s="1" t="s">
        <v>25052</v>
      </c>
      <c r="B8557" s="1">
        <v>7.0</v>
      </c>
      <c r="C8557" s="1" t="s">
        <v>25053</v>
      </c>
      <c r="D8557" s="1" t="s">
        <v>16</v>
      </c>
      <c r="E8557" s="1" t="s">
        <v>25054</v>
      </c>
      <c r="F8557" s="1" t="str">
        <f>IFERROR(__xludf.DUMMYFUNCTION("GOOGLETRANSLATE(A8557, ""zh-CN"", ""ko"")"),"매력")</f>
        <v>매력</v>
      </c>
    </row>
    <row r="8558" ht="15.75" customHeight="1">
      <c r="A8558" s="1" t="s">
        <v>25055</v>
      </c>
      <c r="B8558" s="1">
        <v>7.0</v>
      </c>
      <c r="C8558" s="1" t="s">
        <v>25056</v>
      </c>
      <c r="D8558" s="1" t="s">
        <v>8</v>
      </c>
      <c r="E8558" s="1" t="s">
        <v>25057</v>
      </c>
      <c r="F8558" s="1" t="str">
        <f>IFERROR(__xludf.DUMMYFUNCTION("GOOGLETRANSLATE(A8558, ""zh-CN"", ""ko"")"),"작업")</f>
        <v>작업</v>
      </c>
    </row>
    <row r="8559" ht="15.75" customHeight="1">
      <c r="A8559" s="1" t="s">
        <v>25058</v>
      </c>
      <c r="B8559" s="1">
        <v>7.0</v>
      </c>
      <c r="C8559" s="1" t="s">
        <v>25059</v>
      </c>
      <c r="D8559" s="1" t="s">
        <v>8</v>
      </c>
      <c r="E8559" s="1" t="s">
        <v>25060</v>
      </c>
      <c r="F8559" s="1" t="str">
        <f>IFERROR(__xludf.DUMMYFUNCTION("GOOGLETRANSLATE(A8559, ""zh-CN"", ""ko"")"),"작업")</f>
        <v>작업</v>
      </c>
    </row>
    <row r="8560" ht="15.75" customHeight="1">
      <c r="A8560" s="1" t="s">
        <v>25061</v>
      </c>
      <c r="B8560" s="1">
        <v>7.0</v>
      </c>
      <c r="C8560" s="1" t="s">
        <v>25062</v>
      </c>
      <c r="E8560" s="1" t="s">
        <v>25063</v>
      </c>
      <c r="F8560" s="1" t="str">
        <f>IFERROR(__xludf.DUMMYFUNCTION("GOOGLETRANSLATE(A8560, ""zh-CN"", ""ko"")"),"무질서")</f>
        <v>무질서</v>
      </c>
    </row>
    <row r="8561" ht="15.75" customHeight="1">
      <c r="A8561" s="1" t="s">
        <v>25064</v>
      </c>
      <c r="B8561" s="1">
        <v>7.0</v>
      </c>
      <c r="C8561" s="1" t="s">
        <v>25065</v>
      </c>
      <c r="D8561" s="1" t="s">
        <v>8</v>
      </c>
      <c r="E8561" s="1" t="s">
        <v>25066</v>
      </c>
      <c r="F8561" s="1" t="str">
        <f>IFERROR(__xludf.DUMMYFUNCTION("GOOGLETRANSLATE(A8561, ""zh-CN"", ""ko"")"),"식물")</f>
        <v>식물</v>
      </c>
    </row>
    <row r="8562" ht="15.75" customHeight="1">
      <c r="A8562" s="1" t="s">
        <v>25067</v>
      </c>
      <c r="B8562" s="1">
        <v>7.0</v>
      </c>
      <c r="C8562" s="1" t="s">
        <v>25068</v>
      </c>
      <c r="D8562" s="1" t="s">
        <v>8</v>
      </c>
      <c r="E8562" s="1" t="s">
        <v>10615</v>
      </c>
      <c r="F8562" s="1" t="str">
        <f>IFERROR(__xludf.DUMMYFUNCTION("GOOGLETRANSLATE(A8562, ""zh-CN"", ""ko"")"),"액자")</f>
        <v>액자</v>
      </c>
    </row>
    <row r="8563" ht="15.75" customHeight="1">
      <c r="A8563" s="1" t="s">
        <v>25069</v>
      </c>
      <c r="B8563" s="1">
        <v>7.0</v>
      </c>
      <c r="C8563" s="1" t="s">
        <v>25070</v>
      </c>
      <c r="D8563" s="1" t="s">
        <v>33</v>
      </c>
      <c r="E8563" s="1" t="s">
        <v>25071</v>
      </c>
      <c r="F8563" s="1" t="str">
        <f>IFERROR(__xludf.DUMMYFUNCTION("GOOGLETRANSLATE(A8563, ""zh-CN"", ""ko"")"),"다시 한번")</f>
        <v>다시 한번</v>
      </c>
    </row>
    <row r="8564" ht="15.75" customHeight="1">
      <c r="A8564" s="1" t="s">
        <v>25072</v>
      </c>
      <c r="B8564" s="1">
        <v>7.0</v>
      </c>
      <c r="C8564" s="1" t="s">
        <v>25073</v>
      </c>
      <c r="E8564" s="1" t="s">
        <v>25074</v>
      </c>
      <c r="F8564" s="1" t="str">
        <f>IFERROR(__xludf.DUMMYFUNCTION("GOOGLETRANSLATE(A8564, ""zh-CN"", ""ko"")"),"그것은 불가피하다")</f>
        <v>그것은 불가피하다</v>
      </c>
    </row>
    <row r="8565" ht="15.75" customHeight="1">
      <c r="A8565" s="1" t="s">
        <v>25075</v>
      </c>
      <c r="B8565" s="1">
        <v>7.0</v>
      </c>
      <c r="C8565" s="1" t="s">
        <v>25076</v>
      </c>
      <c r="D8565" s="1" t="s">
        <v>16</v>
      </c>
      <c r="E8565" s="1" t="s">
        <v>25077</v>
      </c>
      <c r="F8565" s="1" t="str">
        <f>IFERROR(__xludf.DUMMYFUNCTION("GOOGLETRANSLATE(A8565, ""zh-CN"", ""ko"")"),"담체")</f>
        <v>담체</v>
      </c>
    </row>
    <row r="8566" ht="15.75" customHeight="1">
      <c r="A8566" s="1" t="s">
        <v>25078</v>
      </c>
      <c r="B8566" s="1">
        <v>7.0</v>
      </c>
      <c r="C8566" s="1" t="s">
        <v>25079</v>
      </c>
      <c r="D8566" s="1" t="s">
        <v>8</v>
      </c>
      <c r="E8566" s="1" t="s">
        <v>25080</v>
      </c>
      <c r="F8566" s="1" t="str">
        <f>IFERROR(__xludf.DUMMYFUNCTION("GOOGLETRANSLATE(A8566, ""zh-CN"", ""ko"")"),"생식")</f>
        <v>생식</v>
      </c>
    </row>
    <row r="8567" ht="15.75" customHeight="1">
      <c r="A8567" s="1" t="s">
        <v>25081</v>
      </c>
      <c r="B8567" s="1">
        <v>7.0</v>
      </c>
      <c r="C8567" s="1" t="s">
        <v>25082</v>
      </c>
      <c r="D8567" s="1" t="s">
        <v>8</v>
      </c>
      <c r="E8567" s="1" t="s">
        <v>25083</v>
      </c>
      <c r="F8567" s="1" t="str">
        <f>IFERROR(__xludf.DUMMYFUNCTION("GOOGLETRANSLATE(A8567, ""zh-CN"", ""ko"")"),"현장 업무")</f>
        <v>현장 업무</v>
      </c>
    </row>
    <row r="8568" ht="15.75" customHeight="1">
      <c r="A8568" s="1" t="s">
        <v>25084</v>
      </c>
      <c r="B8568" s="1">
        <v>7.0</v>
      </c>
      <c r="C8568" s="1" t="s">
        <v>25085</v>
      </c>
      <c r="D8568" s="1" t="s">
        <v>33</v>
      </c>
      <c r="E8568" s="1" t="s">
        <v>25086</v>
      </c>
      <c r="F8568" s="1" t="str">
        <f>IFERROR(__xludf.DUMMYFUNCTION("GOOGLETRANSLATE(A8568, ""zh-CN"", ""ko"")"),"일시적으로")</f>
        <v>일시적으로</v>
      </c>
    </row>
    <row r="8569" ht="15.75" customHeight="1">
      <c r="A8569" s="1" t="s">
        <v>25087</v>
      </c>
      <c r="B8569" s="1">
        <v>7.0</v>
      </c>
      <c r="C8569" s="1" t="s">
        <v>25088</v>
      </c>
      <c r="E8569" s="1" t="s">
        <v>25089</v>
      </c>
      <c r="F8569" s="1" t="str">
        <f>IFERROR(__xludf.DUMMYFUNCTION("GOOGLETRANSLATE(A8569, ""zh-CN"", ""ko"")"),"매우 칭찬받는")</f>
        <v>매우 칭찬받는</v>
      </c>
    </row>
    <row r="8570" ht="15.75" customHeight="1">
      <c r="A8570" s="1" t="s">
        <v>25090</v>
      </c>
      <c r="B8570" s="1">
        <v>7.0</v>
      </c>
      <c r="C8570" s="1" t="s">
        <v>25091</v>
      </c>
      <c r="D8570" s="1" t="s">
        <v>8</v>
      </c>
      <c r="E8570" s="1" t="s">
        <v>25092</v>
      </c>
      <c r="F8570" s="1" t="str">
        <f>IFERROR(__xludf.DUMMYFUNCTION("GOOGLETRANSLATE(A8570, ""zh-CN"", ""ko"")"),"승인")</f>
        <v>승인</v>
      </c>
    </row>
    <row r="8571" ht="15.75" customHeight="1">
      <c r="A8571" s="1" t="s">
        <v>25093</v>
      </c>
      <c r="B8571" s="1">
        <v>7.0</v>
      </c>
      <c r="C8571" s="1" t="s">
        <v>25094</v>
      </c>
      <c r="D8571" s="1" t="s">
        <v>8</v>
      </c>
      <c r="E8571" s="1" t="s">
        <v>25095</v>
      </c>
      <c r="F8571" s="1" t="str">
        <f>IFERROR(__xludf.DUMMYFUNCTION("GOOGLETRANSLATE(A8571, ""zh-CN"", ""ko"")"),"칭찬")</f>
        <v>칭찬</v>
      </c>
    </row>
    <row r="8572" ht="15.75" customHeight="1">
      <c r="A8572" s="1" t="s">
        <v>25096</v>
      </c>
      <c r="B8572" s="1">
        <v>7.0</v>
      </c>
      <c r="C8572" s="1" t="s">
        <v>25097</v>
      </c>
      <c r="D8572" s="1" t="s">
        <v>8</v>
      </c>
      <c r="E8572" s="1" t="s">
        <v>25098</v>
      </c>
      <c r="F8572" s="1" t="str">
        <f>IFERROR(__xludf.DUMMYFUNCTION("GOOGLETRANSLATE(A8572, ""zh-CN"", ""ko"")"),"매장")</f>
        <v>매장</v>
      </c>
    </row>
    <row r="8573" ht="15.75" customHeight="1">
      <c r="A8573" s="1" t="s">
        <v>25099</v>
      </c>
      <c r="B8573" s="1">
        <v>7.0</v>
      </c>
      <c r="C8573" s="1" t="s">
        <v>25100</v>
      </c>
      <c r="D8573" s="1" t="s">
        <v>16</v>
      </c>
      <c r="E8573" s="1" t="s">
        <v>25101</v>
      </c>
      <c r="F8573" s="1" t="str">
        <f>IFERROR(__xludf.DUMMYFUNCTION("GOOGLETRANSLATE(A8573, ""zh-CN"", ""ko"")"),"장례식")</f>
        <v>장례식</v>
      </c>
    </row>
    <row r="8574" ht="15.75" customHeight="1">
      <c r="A8574" s="1" t="s">
        <v>25102</v>
      </c>
      <c r="B8574" s="1">
        <v>7.0</v>
      </c>
      <c r="C8574" s="1" t="s">
        <v>25103</v>
      </c>
      <c r="D8574" s="1" t="s">
        <v>16</v>
      </c>
      <c r="E8574" s="1" t="s">
        <v>25104</v>
      </c>
      <c r="F8574" s="1" t="str">
        <f>IFERROR(__xludf.DUMMYFUNCTION("GOOGLETRANSLATE(A8574, ""zh-CN"", ""ko"")"),"찌꺼기")</f>
        <v>찌꺼기</v>
      </c>
    </row>
    <row r="8575" ht="15.75" customHeight="1">
      <c r="A8575" s="1" t="s">
        <v>25105</v>
      </c>
      <c r="B8575" s="1">
        <v>7.0</v>
      </c>
      <c r="C8575" s="1" t="s">
        <v>25106</v>
      </c>
      <c r="D8575" s="1" t="s">
        <v>8</v>
      </c>
      <c r="E8575" s="1" t="s">
        <v>25107</v>
      </c>
      <c r="F8575" s="1" t="str">
        <f>IFERROR(__xludf.DUMMYFUNCTION("GOOGLETRANSLATE(A8575, ""zh-CN"", ""ko"")"),"속이다")</f>
        <v>속이다</v>
      </c>
    </row>
    <row r="8576" ht="15.75" customHeight="1">
      <c r="A8576" s="1" t="s">
        <v>25108</v>
      </c>
      <c r="B8576" s="1">
        <v>7.0</v>
      </c>
      <c r="C8576" s="1" t="s">
        <v>25109</v>
      </c>
      <c r="D8576" s="1" t="s">
        <v>16</v>
      </c>
      <c r="E8576" s="1" t="s">
        <v>25110</v>
      </c>
      <c r="F8576" s="1" t="str">
        <f>IFERROR(__xludf.DUMMYFUNCTION("GOOGLETRANSLATE(A8576, ""zh-CN"", ""ko"")"),"날짜")</f>
        <v>날짜</v>
      </c>
    </row>
    <row r="8577" ht="15.75" customHeight="1">
      <c r="A8577" s="1" t="s">
        <v>25111</v>
      </c>
      <c r="B8577" s="1">
        <v>7.0</v>
      </c>
      <c r="C8577" s="1" t="s">
        <v>25112</v>
      </c>
      <c r="D8577" s="1" t="s">
        <v>16</v>
      </c>
      <c r="E8577" s="1" t="s">
        <v>25113</v>
      </c>
      <c r="F8577" s="1" t="str">
        <f>IFERROR(__xludf.DUMMYFUNCTION("GOOGLETRANSLATE(A8577, ""zh-CN"", ""ko"")"),"유아기")</f>
        <v>유아기</v>
      </c>
    </row>
    <row r="8578" ht="15.75" customHeight="1">
      <c r="A8578" s="1" t="s">
        <v>25114</v>
      </c>
      <c r="B8578" s="1">
        <v>7.0</v>
      </c>
      <c r="C8578" s="1" t="s">
        <v>25115</v>
      </c>
      <c r="D8578" s="1" t="s">
        <v>19688</v>
      </c>
      <c r="E8578" s="1" t="s">
        <v>25116</v>
      </c>
      <c r="F8578" s="1" t="str">
        <f>IFERROR(__xludf.DUMMYFUNCTION("GOOGLETRANSLATE(A8578, ""zh-CN"", ""ko"")"),"일찍")</f>
        <v>일찍</v>
      </c>
    </row>
    <row r="8579" ht="15.75" customHeight="1">
      <c r="A8579" s="1" t="s">
        <v>25117</v>
      </c>
      <c r="B8579" s="1">
        <v>7.0</v>
      </c>
      <c r="C8579" s="1" t="s">
        <v>25118</v>
      </c>
      <c r="D8579" s="1" t="s">
        <v>16</v>
      </c>
      <c r="E8579" s="1" t="s">
        <v>25119</v>
      </c>
      <c r="F8579" s="1" t="str">
        <f>IFERROR(__xludf.DUMMYFUNCTION("GOOGLETRANSLATE(A8579, ""zh-CN"", ""ko"")"),"주방")</f>
        <v>주방</v>
      </c>
    </row>
    <row r="8580" ht="15.75" customHeight="1">
      <c r="A8580" s="1" t="s">
        <v>25120</v>
      </c>
      <c r="B8580" s="1">
        <v>7.0</v>
      </c>
      <c r="C8580" s="1" t="s">
        <v>25121</v>
      </c>
      <c r="D8580" s="1" t="s">
        <v>8</v>
      </c>
      <c r="E8580" s="1" t="s">
        <v>16320</v>
      </c>
      <c r="F8580" s="1" t="str">
        <f>IFERROR(__xludf.DUMMYFUNCTION("GOOGLETRANSLATE(A8580, ""zh-CN"", ""ko"")"),"혜택")</f>
        <v>혜택</v>
      </c>
    </row>
    <row r="8581" ht="15.75" customHeight="1">
      <c r="A8581" s="1" t="s">
        <v>25122</v>
      </c>
      <c r="B8581" s="1">
        <v>7.0</v>
      </c>
      <c r="C8581" s="1" t="s">
        <v>25123</v>
      </c>
      <c r="D8581" s="1" t="s">
        <v>8</v>
      </c>
      <c r="E8581" s="1" t="s">
        <v>25124</v>
      </c>
      <c r="F8581" s="1" t="str">
        <f>IFERROR(__xludf.DUMMYFUNCTION("GOOGLETRANSLATE(A8581, ""zh-CN"", ""ko"")"),"위조")</f>
        <v>위조</v>
      </c>
    </row>
    <row r="8582" ht="15.75" customHeight="1">
      <c r="A8582" s="1" t="s">
        <v>25125</v>
      </c>
      <c r="B8582" s="1">
        <v>7.0</v>
      </c>
      <c r="C8582" s="1" t="s">
        <v>25126</v>
      </c>
      <c r="D8582" s="1" t="s">
        <v>16</v>
      </c>
      <c r="E8582" s="1" t="s">
        <v>25127</v>
      </c>
      <c r="F8582" s="1" t="str">
        <f>IFERROR(__xludf.DUMMYFUNCTION("GOOGLETRANSLATE(A8582, ""zh-CN"", ""ko"")"),"비용")</f>
        <v>비용</v>
      </c>
    </row>
    <row r="8583" ht="15.75" customHeight="1">
      <c r="A8583" s="1" t="s">
        <v>25128</v>
      </c>
      <c r="B8583" s="1">
        <v>7.0</v>
      </c>
      <c r="C8583" s="1" t="s">
        <v>25129</v>
      </c>
      <c r="D8583" s="1" t="s">
        <v>14870</v>
      </c>
      <c r="E8583" s="1" t="s">
        <v>24772</v>
      </c>
      <c r="F8583" s="1" t="str">
        <f>IFERROR(__xludf.DUMMYFUNCTION("GOOGLETRANSLATE(A8583, ""zh-CN"", ""ko"")"),"만들다")</f>
        <v>만들다</v>
      </c>
    </row>
    <row r="8584" ht="15.75" customHeight="1">
      <c r="A8584" s="1" t="s">
        <v>25130</v>
      </c>
      <c r="B8584" s="1">
        <v>7.0</v>
      </c>
      <c r="C8584" s="1" t="s">
        <v>25131</v>
      </c>
      <c r="D8584" s="1" t="s">
        <v>8</v>
      </c>
      <c r="E8584" s="1" t="s">
        <v>25132</v>
      </c>
      <c r="F8584" s="1" t="str">
        <f>IFERROR(__xludf.DUMMYFUNCTION("GOOGLETRANSLATE(A8584, ""zh-CN"", ""ko"")"),"생산량을 늘리세요")</f>
        <v>생산량을 늘리세요</v>
      </c>
    </row>
    <row r="8585" ht="15.75" customHeight="1">
      <c r="A8585" s="1" t="s">
        <v>25133</v>
      </c>
      <c r="B8585" s="1">
        <v>7.0</v>
      </c>
      <c r="C8585" s="1" t="s">
        <v>25134</v>
      </c>
      <c r="D8585" s="1" t="s">
        <v>8</v>
      </c>
      <c r="E8585" s="1" t="s">
        <v>25135</v>
      </c>
      <c r="F8585" s="1" t="str">
        <f>IFERROR(__xludf.DUMMYFUNCTION("GOOGLETRANSLATE(A8585, ""zh-CN"", ""ko"")"),"소득 증가")</f>
        <v>소득 증가</v>
      </c>
    </row>
    <row r="8586" ht="15.75" customHeight="1">
      <c r="A8586" s="1" t="s">
        <v>25136</v>
      </c>
      <c r="B8586" s="1">
        <v>7.0</v>
      </c>
      <c r="C8586" s="1" t="s">
        <v>25137</v>
      </c>
      <c r="D8586" s="1" t="s">
        <v>8</v>
      </c>
      <c r="E8586" s="1" t="s">
        <v>25138</v>
      </c>
      <c r="F8586" s="1" t="str">
        <f>IFERROR(__xludf.DUMMYFUNCTION("GOOGLETRANSLATE(A8586, ""zh-CN"", ""ko"")"),"성장률")</f>
        <v>성장률</v>
      </c>
    </row>
    <row r="8587" ht="15.75" customHeight="1">
      <c r="A8587" s="1" t="s">
        <v>25139</v>
      </c>
      <c r="B8587" s="1">
        <v>7.0</v>
      </c>
      <c r="C8587" s="1" t="s">
        <v>25140</v>
      </c>
      <c r="D8587" s="1" t="s">
        <v>8</v>
      </c>
      <c r="E8587" s="1" t="s">
        <v>25141</v>
      </c>
      <c r="F8587" s="1" t="str">
        <f>IFERROR(__xludf.DUMMYFUNCTION("GOOGLETRANSLATE(A8587, ""zh-CN"", ""ko"")"),"부가가치")</f>
        <v>부가가치</v>
      </c>
    </row>
    <row r="8588" ht="15.75" customHeight="1">
      <c r="A8588" s="1" t="s">
        <v>25142</v>
      </c>
      <c r="B8588" s="1">
        <v>7.0</v>
      </c>
      <c r="C8588" s="1" t="s">
        <v>25143</v>
      </c>
      <c r="D8588" s="1" t="s">
        <v>8</v>
      </c>
      <c r="E8588" s="1" t="s">
        <v>25144</v>
      </c>
      <c r="F8588" s="1" t="str">
        <f>IFERROR(__xludf.DUMMYFUNCTION("GOOGLETRANSLATE(A8588, ""zh-CN"", ""ko"")"),"뿌리내린")</f>
        <v>뿌리내린</v>
      </c>
    </row>
    <row r="8589" ht="15.75" customHeight="1">
      <c r="A8589" s="1" t="s">
        <v>25145</v>
      </c>
      <c r="B8589" s="1">
        <v>7.0</v>
      </c>
      <c r="C8589" s="1" t="s">
        <v>25146</v>
      </c>
      <c r="D8589" s="1" t="s">
        <v>16</v>
      </c>
      <c r="E8589" s="1" t="s">
        <v>25147</v>
      </c>
      <c r="F8589" s="1" t="str">
        <f>IFERROR(__xludf.DUMMYFUNCTION("GOOGLETRANSLATE(A8589, ""zh-CN"", ""ko"")"),"브레이크")</f>
        <v>브레이크</v>
      </c>
    </row>
    <row r="8590" ht="15.75" customHeight="1">
      <c r="A8590" s="1" t="s">
        <v>25148</v>
      </c>
      <c r="B8590" s="1">
        <v>7.0</v>
      </c>
      <c r="C8590" s="1" t="s">
        <v>25149</v>
      </c>
      <c r="D8590" s="1" t="s">
        <v>8</v>
      </c>
      <c r="E8590" s="1" t="s">
        <v>25150</v>
      </c>
      <c r="F8590" s="1" t="str">
        <f>IFERROR(__xludf.DUMMYFUNCTION("GOOGLETRANSLATE(A8590, ""zh-CN"", ""ko"")"),"깜박거리다")</f>
        <v>깜박거리다</v>
      </c>
    </row>
    <row r="8591" ht="15.75" customHeight="1">
      <c r="A8591" s="1" t="s">
        <v>25151</v>
      </c>
      <c r="B8591" s="1">
        <v>7.0</v>
      </c>
      <c r="C8591" s="1" t="s">
        <v>25152</v>
      </c>
      <c r="D8591" s="1" t="s">
        <v>8</v>
      </c>
      <c r="E8591" s="1" t="s">
        <v>25153</v>
      </c>
      <c r="F8591" s="1" t="str">
        <f>IFERROR(__xludf.DUMMYFUNCTION("GOOGLETRANSLATE(A8591, ""zh-CN"", ""ko"")"),"짜내다")</f>
        <v>짜내다</v>
      </c>
    </row>
    <row r="8592" ht="15.75" customHeight="1">
      <c r="A8592" s="1" t="s">
        <v>25154</v>
      </c>
      <c r="B8592" s="1">
        <v>7.0</v>
      </c>
      <c r="C8592" s="1" t="s">
        <v>25155</v>
      </c>
      <c r="D8592" s="1" t="s">
        <v>16</v>
      </c>
      <c r="E8592" s="1" t="s">
        <v>25156</v>
      </c>
      <c r="F8592" s="1" t="str">
        <f>IFERROR(__xludf.DUMMYFUNCTION("GOOGLETRANSLATE(A8592, ""zh-CN"", ""ko"")"),"폭탄")</f>
        <v>폭탄</v>
      </c>
    </row>
    <row r="8593" ht="15.75" customHeight="1">
      <c r="A8593" s="1" t="s">
        <v>25157</v>
      </c>
      <c r="B8593" s="1">
        <v>7.0</v>
      </c>
      <c r="C8593" s="1" t="s">
        <v>25158</v>
      </c>
      <c r="D8593" s="1" t="s">
        <v>16</v>
      </c>
      <c r="E8593" s="1" t="s">
        <v>25159</v>
      </c>
      <c r="F8593" s="1" t="str">
        <f>IFERROR(__xludf.DUMMYFUNCTION("GOOGLETRANSLATE(A8593, ""zh-CN"", ""ko"")"),"폭발물")</f>
        <v>폭발물</v>
      </c>
    </row>
    <row r="8594" ht="15.75" customHeight="1">
      <c r="A8594" s="1" t="s">
        <v>25160</v>
      </c>
      <c r="B8594" s="1">
        <v>7.0</v>
      </c>
      <c r="C8594" s="1" t="s">
        <v>25161</v>
      </c>
      <c r="D8594" s="1" t="s">
        <v>16</v>
      </c>
      <c r="E8594" s="1" t="s">
        <v>25162</v>
      </c>
      <c r="F8594" s="1" t="str">
        <f>IFERROR(__xludf.DUMMYFUNCTION("GOOGLETRANSLATE(A8594, ""zh-CN"", ""ko"")"),"빚")</f>
        <v>빚</v>
      </c>
    </row>
    <row r="8595" ht="15.75" customHeight="1">
      <c r="A8595" s="1" t="s">
        <v>25163</v>
      </c>
      <c r="B8595" s="1">
        <v>7.0</v>
      </c>
      <c r="C8595" s="1" t="s">
        <v>25164</v>
      </c>
      <c r="D8595" s="1" t="s">
        <v>16</v>
      </c>
      <c r="E8595" s="1" t="s">
        <v>25165</v>
      </c>
      <c r="F8595" s="1" t="str">
        <f>IFERROR(__xludf.DUMMYFUNCTION("GOOGLETRANSLATE(A8595, ""zh-CN"", ""ko"")"),"빚")</f>
        <v>빚</v>
      </c>
    </row>
    <row r="8596" ht="15.75" customHeight="1">
      <c r="A8596" s="1" t="s">
        <v>25166</v>
      </c>
      <c r="B8596" s="1">
        <v>7.0</v>
      </c>
      <c r="C8596" s="1" t="s">
        <v>25167</v>
      </c>
      <c r="D8596" s="1" t="s">
        <v>8</v>
      </c>
      <c r="E8596" s="1" t="s">
        <v>25168</v>
      </c>
      <c r="F8596" s="1" t="str">
        <f>IFERROR(__xludf.DUMMYFUNCTION("GOOGLETRANSLATE(A8596, ""zh-CN"", ""ko"")"),"담그다")</f>
        <v>담그다</v>
      </c>
    </row>
    <row r="8597" ht="15.75" customHeight="1">
      <c r="A8597" s="1" t="s">
        <v>25169</v>
      </c>
      <c r="B8597" s="1">
        <v>7.0</v>
      </c>
      <c r="C8597" s="1" t="s">
        <v>25170</v>
      </c>
      <c r="D8597" s="1" t="s">
        <v>8</v>
      </c>
      <c r="E8597" s="1" t="s">
        <v>25171</v>
      </c>
      <c r="F8597" s="1" t="str">
        <f>IFERROR(__xludf.DUMMYFUNCTION("GOOGLETRANSLATE(A8597, ""zh-CN"", ""ko"")"),"점")</f>
        <v>점</v>
      </c>
    </row>
    <row r="8598" ht="15.75" customHeight="1">
      <c r="A8598" s="1" t="s">
        <v>25172</v>
      </c>
      <c r="B8598" s="1">
        <v>7.0</v>
      </c>
      <c r="C8598" s="1" t="s">
        <v>25173</v>
      </c>
      <c r="D8598" s="1" t="s">
        <v>8</v>
      </c>
      <c r="E8598" s="1" t="s">
        <v>25174</v>
      </c>
      <c r="F8598" s="1" t="str">
        <f>IFERROR(__xludf.DUMMYFUNCTION("GOOGLETRANSLATE(A8598, ""zh-CN"", ""ko"")"),"자르다")</f>
        <v>자르다</v>
      </c>
    </row>
    <row r="8599" ht="15.75" customHeight="1">
      <c r="A8599" s="1" t="s">
        <v>25175</v>
      </c>
      <c r="B8599" s="1">
        <v>7.0</v>
      </c>
      <c r="C8599" s="1" t="s">
        <v>25173</v>
      </c>
      <c r="D8599" s="1" t="s">
        <v>26</v>
      </c>
      <c r="E8599" s="1" t="s">
        <v>25176</v>
      </c>
      <c r="F8599" s="1" t="str">
        <f>IFERROR(__xludf.DUMMYFUNCTION("GOOGLETRANSLATE(A8599, ""zh-CN"", ""ko"")"),"컵")</f>
        <v>컵</v>
      </c>
    </row>
    <row r="8600" ht="15.75" customHeight="1">
      <c r="A8600" s="1" t="s">
        <v>25177</v>
      </c>
      <c r="B8600" s="1">
        <v>7.0</v>
      </c>
      <c r="C8600" s="1" t="s">
        <v>25178</v>
      </c>
      <c r="D8600" s="1" t="s">
        <v>8</v>
      </c>
      <c r="E8600" s="1" t="s">
        <v>25179</v>
      </c>
      <c r="F8600" s="1" t="str">
        <f>IFERROR(__xludf.DUMMYFUNCTION("GOOGLETRANSLATE(A8600, ""zh-CN"", ""ko"")"),"돌아서다")</f>
        <v>돌아서다</v>
      </c>
    </row>
    <row r="8601" ht="15.75" customHeight="1">
      <c r="A8601" s="1" t="s">
        <v>25180</v>
      </c>
      <c r="B8601" s="1">
        <v>7.0</v>
      </c>
      <c r="C8601" s="1" t="s">
        <v>1720</v>
      </c>
      <c r="D8601" s="1" t="s">
        <v>8</v>
      </c>
      <c r="E8601" s="1" t="s">
        <v>25181</v>
      </c>
      <c r="F8601" s="1" t="str">
        <f>IFERROR(__xludf.DUMMYFUNCTION("GOOGLETRANSLATE(A8601, ""zh-CN"", ""ko"")"),"담그다")</f>
        <v>담그다</v>
      </c>
    </row>
    <row r="8602" ht="15.75" customHeight="1">
      <c r="A8602" s="1" t="s">
        <v>25182</v>
      </c>
      <c r="B8602" s="1">
        <v>7.0</v>
      </c>
      <c r="C8602" s="1" t="s">
        <v>25183</v>
      </c>
      <c r="D8602" s="1" t="s">
        <v>16</v>
      </c>
      <c r="E8602" s="1" t="s">
        <v>25184</v>
      </c>
      <c r="F8602" s="1" t="str">
        <f>IFERROR(__xludf.DUMMYFUNCTION("GOOGLETRANSLATE(A8602, ""zh-CN"", ""ko"")"),"싸움터")</f>
        <v>싸움터</v>
      </c>
    </row>
    <row r="8603" ht="15.75" customHeight="1">
      <c r="A8603" s="1" t="s">
        <v>25185</v>
      </c>
      <c r="B8603" s="1">
        <v>7.0</v>
      </c>
      <c r="C8603" s="1" t="s">
        <v>25186</v>
      </c>
      <c r="D8603" s="1" t="s">
        <v>8</v>
      </c>
      <c r="E8603" s="1" t="s">
        <v>25187</v>
      </c>
      <c r="F8603" s="1" t="str">
        <f>IFERROR(__xludf.DUMMYFUNCTION("GOOGLETRANSLATE(A8603, ""zh-CN"", ""ko"")"),"꽃")</f>
        <v>꽃</v>
      </c>
    </row>
    <row r="8604" ht="15.75" customHeight="1">
      <c r="A8604" s="1" t="s">
        <v>25188</v>
      </c>
      <c r="B8604" s="1">
        <v>7.0</v>
      </c>
      <c r="C8604" s="1" t="s">
        <v>25189</v>
      </c>
      <c r="D8604" s="1" t="s">
        <v>8</v>
      </c>
      <c r="E8604" s="1" t="s">
        <v>25190</v>
      </c>
      <c r="F8604" s="1" t="str">
        <f>IFERROR(__xludf.DUMMYFUNCTION("GOOGLETRANSLATE(A8604, ""zh-CN"", ""ko"")"),"서 있는")</f>
        <v>서 있는</v>
      </c>
    </row>
    <row r="8605" ht="15.75" customHeight="1">
      <c r="A8605" s="1" t="s">
        <v>25191</v>
      </c>
      <c r="B8605" s="1">
        <v>7.0</v>
      </c>
      <c r="C8605" s="1" t="s">
        <v>25192</v>
      </c>
      <c r="D8605" s="1" t="s">
        <v>16</v>
      </c>
      <c r="E8605" s="1" t="s">
        <v>25193</v>
      </c>
      <c r="F8605" s="1" t="str">
        <f>IFERROR(__xludf.DUMMYFUNCTION("GOOGLETRANSLATE(A8605, ""zh-CN"", ""ko"")"),"전사")</f>
        <v>전사</v>
      </c>
    </row>
    <row r="8606" ht="15.75" customHeight="1">
      <c r="A8606" s="1" t="s">
        <v>25194</v>
      </c>
      <c r="B8606" s="1">
        <v>7.0</v>
      </c>
      <c r="C8606" s="1" t="s">
        <v>25195</v>
      </c>
      <c r="D8606" s="1" t="s">
        <v>8</v>
      </c>
      <c r="E8606" s="1" t="s">
        <v>25196</v>
      </c>
      <c r="F8606" s="1" t="str">
        <f>IFERROR(__xludf.DUMMYFUNCTION("GOOGLETRANSLATE(A8606, ""zh-CN"", ""ko"")"),"점거하다")</f>
        <v>점거하다</v>
      </c>
    </row>
    <row r="8607" ht="15.75" customHeight="1">
      <c r="A8607" s="1" t="s">
        <v>25197</v>
      </c>
      <c r="B8607" s="1">
        <v>7.0</v>
      </c>
      <c r="C8607" s="1" t="s">
        <v>25198</v>
      </c>
      <c r="D8607" s="1" t="s">
        <v>16</v>
      </c>
      <c r="E8607" s="1" t="s">
        <v>25199</v>
      </c>
      <c r="F8607" s="1" t="str">
        <f>IFERROR(__xludf.DUMMYFUNCTION("GOOGLETRANSLATE(A8607, ""zh-CN"", ""ko"")"),"동지")</f>
        <v>동지</v>
      </c>
    </row>
    <row r="8608" ht="15.75" customHeight="1">
      <c r="A8608" s="1" t="s">
        <v>25200</v>
      </c>
      <c r="B8608" s="1">
        <v>7.0</v>
      </c>
      <c r="C8608" s="1" t="s">
        <v>25201</v>
      </c>
      <c r="E8608" s="1" t="s">
        <v>25202</v>
      </c>
      <c r="F8608" s="1" t="str">
        <f>IFERROR(__xludf.DUMMYFUNCTION("GOOGLETRANSLATE(A8608, ""zh-CN"", ""ko"")"),"등불과 다채로운 장식으로 꾸며져 있습니다.")</f>
        <v>등불과 다채로운 장식으로 꾸며져 있습니다.</v>
      </c>
    </row>
    <row r="8609" ht="15.75" customHeight="1">
      <c r="A8609" s="1" t="s">
        <v>25203</v>
      </c>
      <c r="B8609" s="1">
        <v>7.0</v>
      </c>
      <c r="C8609" s="1" t="s">
        <v>25204</v>
      </c>
      <c r="D8609" s="1" t="s">
        <v>8</v>
      </c>
      <c r="E8609" s="1" t="s">
        <v>25205</v>
      </c>
      <c r="F8609" s="1" t="str">
        <f>IFERROR(__xludf.DUMMYFUNCTION("GOOGLETRANSLATE(A8609, ""zh-CN"", ""ko"")"),"우편")</f>
        <v>우편</v>
      </c>
    </row>
    <row r="8610" ht="15.75" customHeight="1">
      <c r="A8610" s="1" t="s">
        <v>25206</v>
      </c>
      <c r="B8610" s="1">
        <v>7.0</v>
      </c>
      <c r="C8610" s="1" t="s">
        <v>25207</v>
      </c>
      <c r="D8610" s="1" t="s">
        <v>8</v>
      </c>
      <c r="E8610" s="1" t="s">
        <v>25208</v>
      </c>
      <c r="F8610" s="1" t="str">
        <f>IFERROR(__xludf.DUMMYFUNCTION("GOOGLETRANSLATE(A8610, ""zh-CN"", ""ko"")"),"장양")</f>
        <v>장양</v>
      </c>
    </row>
    <row r="8611" ht="15.75" customHeight="1">
      <c r="A8611" s="1" t="s">
        <v>25209</v>
      </c>
      <c r="B8611" s="1">
        <v>7.0</v>
      </c>
      <c r="C8611" s="1" t="s">
        <v>25210</v>
      </c>
      <c r="D8611" s="1" t="s">
        <v>14870</v>
      </c>
      <c r="E8611" s="1" t="s">
        <v>25211</v>
      </c>
      <c r="F8611" s="1" t="str">
        <f>IFERROR(__xludf.DUMMYFUNCTION("GOOGLETRANSLATE(A8611, ""zh-CN"", ""ko"")"),"조종")</f>
        <v>조종</v>
      </c>
    </row>
    <row r="8612" ht="15.75" customHeight="1">
      <c r="A8612" s="1" t="s">
        <v>25212</v>
      </c>
      <c r="B8612" s="1">
        <v>7.0</v>
      </c>
      <c r="C8612" s="1" t="s">
        <v>25213</v>
      </c>
      <c r="D8612" s="1" t="s">
        <v>16</v>
      </c>
      <c r="E8612" s="1" t="s">
        <v>25214</v>
      </c>
      <c r="F8612" s="1" t="str">
        <f>IFERROR(__xludf.DUMMYFUNCTION("GOOGLETRANSLATE(A8612, ""zh-CN"", ""ko"")"),"증가하다")</f>
        <v>증가하다</v>
      </c>
    </row>
    <row r="8613" ht="15.75" customHeight="1">
      <c r="A8613" s="1" t="s">
        <v>25215</v>
      </c>
      <c r="B8613" s="1">
        <v>7.0</v>
      </c>
      <c r="C8613" s="1" t="s">
        <v>25216</v>
      </c>
      <c r="D8613" s="1" t="s">
        <v>8</v>
      </c>
      <c r="E8613" s="1" t="s">
        <v>25217</v>
      </c>
      <c r="F8613" s="1" t="str">
        <f>IFERROR(__xludf.DUMMYFUNCTION("GOOGLETRANSLATE(A8613, ""zh-CN"", ""ko"")"),"담당")</f>
        <v>담당</v>
      </c>
    </row>
    <row r="8614" ht="15.75" customHeight="1">
      <c r="A8614" s="1" t="s">
        <v>25218</v>
      </c>
      <c r="B8614" s="1">
        <v>7.0</v>
      </c>
      <c r="C8614" s="1" t="s">
        <v>25219</v>
      </c>
      <c r="D8614" s="1" t="s">
        <v>16</v>
      </c>
      <c r="E8614" s="1" t="s">
        <v>21621</v>
      </c>
      <c r="F8614" s="1" t="str">
        <f>IFERROR(__xludf.DUMMYFUNCTION("GOOGLETRANSLATE(A8614, ""zh-CN"", ""ko"")"),"모습")</f>
        <v>모습</v>
      </c>
    </row>
    <row r="8615" ht="15.75" customHeight="1">
      <c r="A8615" s="1" t="s">
        <v>25220</v>
      </c>
      <c r="B8615" s="1">
        <v>7.0</v>
      </c>
      <c r="C8615" s="1" t="s">
        <v>25221</v>
      </c>
      <c r="D8615" s="1" t="s">
        <v>8</v>
      </c>
      <c r="E8615" s="1" t="s">
        <v>25222</v>
      </c>
      <c r="F8615" s="1" t="str">
        <f>IFERROR(__xludf.DUMMYFUNCTION("GOOGLETRANSLATE(A8615, ""zh-CN"", ""ko"")"),"복부팽만")</f>
        <v>복부팽만</v>
      </c>
    </row>
    <row r="8616" ht="15.75" customHeight="1">
      <c r="A8616" s="1" t="s">
        <v>25223</v>
      </c>
      <c r="B8616" s="1">
        <v>7.0</v>
      </c>
      <c r="C8616" s="1" t="s">
        <v>25224</v>
      </c>
      <c r="D8616" s="1" t="s">
        <v>8</v>
      </c>
      <c r="E8616" s="1" t="s">
        <v>25225</v>
      </c>
      <c r="F8616" s="1" t="str">
        <f>IFERROR(__xludf.DUMMYFUNCTION("GOOGLETRANSLATE(A8616, ""zh-CN"", ""ko"")"),"모병")</f>
        <v>모병</v>
      </c>
    </row>
    <row r="8617" ht="15.75" customHeight="1">
      <c r="A8617" s="1" t="s">
        <v>25226</v>
      </c>
      <c r="B8617" s="1">
        <v>7.0</v>
      </c>
      <c r="C8617" s="1" t="s">
        <v>25227</v>
      </c>
      <c r="D8617" s="1" t="s">
        <v>8</v>
      </c>
      <c r="E8617" s="1" t="s">
        <v>25228</v>
      </c>
      <c r="F8617" s="1" t="str">
        <f>IFERROR(__xludf.DUMMYFUNCTION("GOOGLETRANSLATE(A8617, ""zh-CN"", ""ko"")"),"모집")</f>
        <v>모집</v>
      </c>
    </row>
    <row r="8618" ht="15.75" customHeight="1">
      <c r="A8618" s="1" t="s">
        <v>25229</v>
      </c>
      <c r="B8618" s="1">
        <v>7.0</v>
      </c>
      <c r="C8618" s="1" t="s">
        <v>25230</v>
      </c>
      <c r="D8618" s="1" t="s">
        <v>16</v>
      </c>
      <c r="E8618" s="1" t="s">
        <v>25231</v>
      </c>
      <c r="F8618" s="1" t="str">
        <f>IFERROR(__xludf.DUMMYFUNCTION("GOOGLETRANSLATE(A8618, ""zh-CN"", ""ko"")"),"가게 간판")</f>
        <v>가게 간판</v>
      </c>
    </row>
    <row r="8619" ht="15.75" customHeight="1">
      <c r="A8619" s="1" t="s">
        <v>25232</v>
      </c>
      <c r="B8619" s="1">
        <v>7.0</v>
      </c>
      <c r="C8619" s="1" t="s">
        <v>25233</v>
      </c>
      <c r="E8619" s="1" t="s">
        <v>25234</v>
      </c>
      <c r="F8619" s="1" t="str">
        <f>IFERROR(__xludf.DUMMYFUNCTION("GOOGLETRANSLATE(A8619, ""zh-CN"", ""ko"")"),"자주 마음을 바꾸는 것")</f>
        <v>자주 마음을 바꾸는 것</v>
      </c>
    </row>
    <row r="8620" ht="15.75" customHeight="1">
      <c r="A8620" s="1" t="s">
        <v>25235</v>
      </c>
      <c r="B8620" s="1">
        <v>7.0</v>
      </c>
      <c r="C8620" s="1" t="s">
        <v>25236</v>
      </c>
      <c r="D8620" s="1" t="s">
        <v>8</v>
      </c>
      <c r="E8620" s="1" t="s">
        <v>25237</v>
      </c>
      <c r="F8620" s="1" t="str">
        <f>IFERROR(__xludf.DUMMYFUNCTION("GOOGLETRANSLATE(A8620, ""zh-CN"", ""ko"")"),"투자 촉진")</f>
        <v>투자 촉진</v>
      </c>
    </row>
    <row r="8621" ht="15.75" customHeight="1">
      <c r="A8621" s="1" t="s">
        <v>25238</v>
      </c>
      <c r="B8621" s="1">
        <v>7.0</v>
      </c>
      <c r="C8621" s="1" t="s">
        <v>25239</v>
      </c>
      <c r="D8621" s="1" t="s">
        <v>16</v>
      </c>
      <c r="E8621" s="1" t="s">
        <v>25240</v>
      </c>
      <c r="F8621" s="1" t="str">
        <f>IFERROR(__xludf.DUMMYFUNCTION("GOOGLETRANSLATE(A8621, ""zh-CN"", ""ko"")"),"트릭")</f>
        <v>트릭</v>
      </c>
    </row>
    <row r="8622" ht="15.75" customHeight="1">
      <c r="A8622" s="1" t="s">
        <v>25241</v>
      </c>
      <c r="B8622" s="1">
        <v>7.0</v>
      </c>
      <c r="C8622" s="1" t="s">
        <v>25242</v>
      </c>
      <c r="E8622" s="1" t="s">
        <v>25243</v>
      </c>
      <c r="F8622" s="1" t="str">
        <f>IFERROR(__xludf.DUMMYFUNCTION("GOOGLETRANSLATE(A8622, ""zh-CN"", ""ko"")"),"밤낮으로 함께 살아가기")</f>
        <v>밤낮으로 함께 살아가기</v>
      </c>
    </row>
    <row r="8623" ht="15.75" customHeight="1">
      <c r="A8623" s="1" t="s">
        <v>25244</v>
      </c>
      <c r="B8623" s="1">
        <v>7.0</v>
      </c>
      <c r="C8623" s="1" t="s">
        <v>3405</v>
      </c>
      <c r="D8623" s="1" t="s">
        <v>14870</v>
      </c>
      <c r="E8623" s="1" t="s">
        <v>25245</v>
      </c>
      <c r="F8623" s="1" t="str">
        <f>IFERROR(__xludf.DUMMYFUNCTION("GOOGLETRANSLATE(A8623, ""zh-CN"", ""ko"")"),"씌우다")</f>
        <v>씌우다</v>
      </c>
    </row>
    <row r="8624" ht="15.75" customHeight="1">
      <c r="A8624" s="1" t="s">
        <v>25246</v>
      </c>
      <c r="B8624" s="1">
        <v>7.0</v>
      </c>
      <c r="C8624" s="1" t="s">
        <v>25247</v>
      </c>
      <c r="D8624" s="1" t="s">
        <v>8</v>
      </c>
      <c r="E8624" s="1" t="s">
        <v>25248</v>
      </c>
      <c r="F8624" s="1" t="str">
        <f>IFERROR(__xludf.DUMMYFUNCTION("GOOGLETRANSLATE(A8624, ""zh-CN"", ""ko"")"),"지시대로 하십시오")</f>
        <v>지시대로 하십시오</v>
      </c>
    </row>
    <row r="8625" ht="15.75" customHeight="1">
      <c r="A8625" s="1" t="s">
        <v>25249</v>
      </c>
      <c r="B8625" s="1">
        <v>7.0</v>
      </c>
      <c r="C8625" s="1" t="s">
        <v>25250</v>
      </c>
      <c r="D8625" s="1" t="s">
        <v>8</v>
      </c>
      <c r="E8625" s="1" t="s">
        <v>25251</v>
      </c>
      <c r="F8625" s="1" t="str">
        <f>IFERROR(__xludf.DUMMYFUNCTION("GOOGLETRANSLATE(A8625, ""zh-CN"", ""ko"")"),"소집하다")</f>
        <v>소집하다</v>
      </c>
    </row>
    <row r="8626" ht="15.75" customHeight="1">
      <c r="A8626" s="1" t="s">
        <v>25252</v>
      </c>
      <c r="B8626" s="1">
        <v>7.0</v>
      </c>
      <c r="C8626" s="1" t="s">
        <v>25253</v>
      </c>
      <c r="D8626" s="1" t="s">
        <v>33</v>
      </c>
      <c r="E8626" s="1" t="s">
        <v>25254</v>
      </c>
      <c r="F8626" s="1" t="str">
        <f>IFERROR(__xludf.DUMMYFUNCTION("GOOGLETRANSLATE(A8626, ""zh-CN"", ""ko"")"),"늘 그렇듯이")</f>
        <v>늘 그렇듯이</v>
      </c>
    </row>
    <row r="8627" ht="15.75" customHeight="1">
      <c r="A8627" s="1" t="s">
        <v>25255</v>
      </c>
      <c r="B8627" s="1">
        <v>7.0</v>
      </c>
      <c r="C8627" s="1" t="s">
        <v>25256</v>
      </c>
      <c r="D8627" s="1" t="s">
        <v>8</v>
      </c>
      <c r="E8627" s="1" t="s">
        <v>25257</v>
      </c>
      <c r="F8627" s="1" t="str">
        <f>IFERROR(__xludf.DUMMYFUNCTION("GOOGLETRANSLATE(A8627, ""zh-CN"", ""ko"")"),"케어")</f>
        <v>케어</v>
      </c>
    </row>
    <row r="8628" ht="15.75" customHeight="1">
      <c r="A8628" s="1" t="s">
        <v>25258</v>
      </c>
      <c r="B8628" s="1">
        <v>7.0</v>
      </c>
      <c r="C8628" s="1" t="s">
        <v>25259</v>
      </c>
      <c r="D8628" s="1" t="s">
        <v>8</v>
      </c>
      <c r="E8628" s="1" t="s">
        <v>25260</v>
      </c>
      <c r="F8628" s="1" t="str">
        <f>IFERROR(__xludf.DUMMYFUNCTION("GOOGLETRANSLATE(A8628, ""zh-CN"", ""ko"")"),"조사")</f>
        <v>조사</v>
      </c>
    </row>
    <row r="8629" ht="15.75" customHeight="1">
      <c r="A8629" s="1" t="s">
        <v>25261</v>
      </c>
      <c r="B8629" s="1">
        <v>7.0</v>
      </c>
      <c r="C8629" s="1" t="s">
        <v>25262</v>
      </c>
      <c r="D8629" s="1" t="s">
        <v>8</v>
      </c>
      <c r="E8629" s="1" t="s">
        <v>25263</v>
      </c>
      <c r="F8629" s="1" t="str">
        <f>IFERROR(__xludf.DUMMYFUNCTION("GOOGLETRANSLATE(A8629, ""zh-CN"", ""ko"")"),"사고")</f>
        <v>사고</v>
      </c>
    </row>
    <row r="8630" ht="15.75" customHeight="1">
      <c r="A8630" s="1" t="s">
        <v>25264</v>
      </c>
      <c r="B8630" s="1">
        <v>7.0</v>
      </c>
      <c r="C8630" s="1" t="s">
        <v>25265</v>
      </c>
      <c r="D8630" s="1" t="s">
        <v>16</v>
      </c>
      <c r="E8630" s="1" t="s">
        <v>25266</v>
      </c>
      <c r="F8630" s="1" t="str">
        <f>IFERROR(__xludf.DUMMYFUNCTION("GOOGLETRANSLATE(A8630, ""zh-CN"", ""ko"")"),"전조")</f>
        <v>전조</v>
      </c>
    </row>
    <row r="8631" ht="15.75" customHeight="1">
      <c r="A8631" s="1" t="s">
        <v>25267</v>
      </c>
      <c r="B8631" s="1">
        <v>7.0</v>
      </c>
      <c r="C8631" s="1" t="s">
        <v>25268</v>
      </c>
      <c r="D8631" s="1" t="s">
        <v>8</v>
      </c>
      <c r="E8631" s="1" t="s">
        <v>25269</v>
      </c>
      <c r="F8631" s="1" t="str">
        <f>IFERROR(__xludf.DUMMYFUNCTION("GOOGLETRANSLATE(A8631, ""zh-CN"", ""ko"")"),"씌우다")</f>
        <v>씌우다</v>
      </c>
    </row>
    <row r="8632" ht="15.75" customHeight="1">
      <c r="A8632" s="1" t="s">
        <v>25270</v>
      </c>
      <c r="B8632" s="1">
        <v>7.0</v>
      </c>
      <c r="C8632" s="1" t="s">
        <v>25271</v>
      </c>
      <c r="D8632" s="1" t="s">
        <v>8</v>
      </c>
      <c r="E8632" s="1" t="s">
        <v>25272</v>
      </c>
      <c r="F8632" s="1" t="str">
        <f>IFERROR(__xludf.DUMMYFUNCTION("GOOGLETRANSLATE(A8632, ""zh-CN"", ""ko"")"),"씌우다")</f>
        <v>씌우다</v>
      </c>
    </row>
    <row r="8633" ht="15.75" customHeight="1">
      <c r="A8633" s="1" t="s">
        <v>25273</v>
      </c>
      <c r="B8633" s="1">
        <v>7.0</v>
      </c>
      <c r="C8633" s="1" t="s">
        <v>25274</v>
      </c>
      <c r="D8633" s="1" t="s">
        <v>8</v>
      </c>
      <c r="E8633" s="1" t="s">
        <v>25275</v>
      </c>
      <c r="F8633" s="1" t="str">
        <f>IFERROR(__xludf.DUMMYFUNCTION("GOOGLETRANSLATE(A8633, ""zh-CN"", ""ko"")"),"겹")</f>
        <v>겹</v>
      </c>
    </row>
    <row r="8634" ht="15.75" customHeight="1">
      <c r="A8634" s="1" t="s">
        <v>25276</v>
      </c>
      <c r="B8634" s="1">
        <v>7.0</v>
      </c>
      <c r="C8634" s="1" t="s">
        <v>25277</v>
      </c>
      <c r="D8634" s="1" t="s">
        <v>8</v>
      </c>
      <c r="E8634" s="1" t="s">
        <v>25278</v>
      </c>
      <c r="F8634" s="1" t="str">
        <f>IFERROR(__xludf.DUMMYFUNCTION("GOOGLETRANSLATE(A8634, ""zh-CN"", ""ko"")"),"변환")</f>
        <v>변환</v>
      </c>
    </row>
    <row r="8635" ht="15.75" customHeight="1">
      <c r="A8635" s="1" t="s">
        <v>25279</v>
      </c>
      <c r="B8635" s="1">
        <v>7.0</v>
      </c>
      <c r="C8635" s="1" t="s">
        <v>25280</v>
      </c>
      <c r="D8635" s="1" t="s">
        <v>16</v>
      </c>
      <c r="E8635" s="1" t="s">
        <v>7047</v>
      </c>
      <c r="F8635" s="1" t="str">
        <f>IFERROR(__xludf.DUMMYFUNCTION("GOOGLETRANSLATE(A8635, ""zh-CN"", ""ko"")"),"철학")</f>
        <v>철학</v>
      </c>
    </row>
    <row r="8636" ht="15.75" customHeight="1">
      <c r="A8636" s="1" t="s">
        <v>25281</v>
      </c>
      <c r="B8636" s="1">
        <v>7.0</v>
      </c>
      <c r="C8636" s="1" t="s">
        <v>25282</v>
      </c>
      <c r="D8636" s="1" t="s">
        <v>8</v>
      </c>
      <c r="E8636" s="1" t="s">
        <v>25283</v>
      </c>
      <c r="F8636" s="1" t="str">
        <f>IFERROR(__xludf.DUMMYFUNCTION("GOOGLETRANSLATE(A8636, ""zh-CN"", ""ko"")"),"굴절")</f>
        <v>굴절</v>
      </c>
    </row>
    <row r="8637" ht="15.75" customHeight="1">
      <c r="A8637" s="1" t="s">
        <v>25284</v>
      </c>
      <c r="B8637" s="1">
        <v>7.0</v>
      </c>
      <c r="C8637" s="1" t="s">
        <v>25285</v>
      </c>
      <c r="D8637" s="1" t="s">
        <v>14870</v>
      </c>
      <c r="E8637" s="1" t="s">
        <v>25286</v>
      </c>
      <c r="F8637" s="1" t="str">
        <f>IFERROR(__xludf.DUMMYFUNCTION("GOOGLETRANSLATE(A8637, ""zh-CN"", ""ko"")"),"수집")</f>
        <v>수집</v>
      </c>
    </row>
    <row r="8638" ht="15.75" customHeight="1">
      <c r="A8638" s="1" t="s">
        <v>25287</v>
      </c>
      <c r="B8638" s="1">
        <v>7.0</v>
      </c>
      <c r="C8638" s="1" t="s">
        <v>25288</v>
      </c>
      <c r="D8638" s="1" t="s">
        <v>8</v>
      </c>
      <c r="E8638" s="1" t="s">
        <v>20756</v>
      </c>
      <c r="F8638" s="1" t="str">
        <f>IFERROR(__xludf.DUMMYFUNCTION("GOOGLETRANSLATE(A8638, ""zh-CN"", ""ko"")"),"조사")</f>
        <v>조사</v>
      </c>
    </row>
    <row r="8639" ht="15.75" customHeight="1">
      <c r="A8639" s="1" t="s">
        <v>25289</v>
      </c>
      <c r="B8639" s="1">
        <v>7.0</v>
      </c>
      <c r="C8639" s="1" t="s">
        <v>25290</v>
      </c>
      <c r="E8639" s="1" t="s">
        <v>25291</v>
      </c>
      <c r="F8639" s="1" t="str">
        <f>IFERROR(__xludf.DUMMYFUNCTION("GOOGLETRANSLATE(A8639, ""zh-CN"", ""ko"")"),"눈에는 눈, 이에는 이")</f>
        <v>눈에는 눈, 이에는 이</v>
      </c>
    </row>
    <row r="8640" ht="15.75" customHeight="1">
      <c r="A8640" s="1" t="s">
        <v>25292</v>
      </c>
      <c r="B8640" s="1">
        <v>7.0</v>
      </c>
      <c r="C8640" s="1" t="s">
        <v>25293</v>
      </c>
      <c r="D8640" s="1" t="s">
        <v>16</v>
      </c>
      <c r="E8640" s="1" t="s">
        <v>25294</v>
      </c>
      <c r="F8640" s="1" t="str">
        <f>IFERROR(__xludf.DUMMYFUNCTION("GOOGLETRANSLATE(A8640, ""zh-CN"", ""ko"")"),"침 요법")</f>
        <v>침 요법</v>
      </c>
    </row>
    <row r="8641" ht="15.75" customHeight="1">
      <c r="A8641" s="1" t="s">
        <v>25295</v>
      </c>
      <c r="B8641" s="1">
        <v>7.0</v>
      </c>
      <c r="C8641" s="1" t="s">
        <v>25296</v>
      </c>
      <c r="D8641" s="1" t="s">
        <v>16</v>
      </c>
      <c r="E8641" s="1" t="s">
        <v>25297</v>
      </c>
      <c r="F8641" s="1" t="str">
        <f>IFERROR(__xludf.DUMMYFUNCTION("GOOGLETRANSLATE(A8641, ""zh-CN"", ""ko"")"),"진공")</f>
        <v>진공</v>
      </c>
    </row>
    <row r="8642" ht="15.75" customHeight="1">
      <c r="A8642" s="1" t="s">
        <v>25298</v>
      </c>
      <c r="B8642" s="1">
        <v>7.0</v>
      </c>
      <c r="C8642" s="1" t="s">
        <v>25299</v>
      </c>
      <c r="D8642" s="1" t="s">
        <v>16</v>
      </c>
      <c r="E8642" s="1" t="s">
        <v>25300</v>
      </c>
      <c r="F8642" s="1" t="str">
        <f>IFERROR(__xludf.DUMMYFUNCTION("GOOGLETRANSLATE(A8642, ""zh-CN"", ""ko"")"),"진실")</f>
        <v>진실</v>
      </c>
    </row>
    <row r="8643" ht="15.75" customHeight="1">
      <c r="A8643" s="1" t="s">
        <v>25301</v>
      </c>
      <c r="B8643" s="1">
        <v>7.0</v>
      </c>
      <c r="C8643" s="1" t="s">
        <v>25302</v>
      </c>
      <c r="D8643" s="1" t="s">
        <v>8</v>
      </c>
      <c r="E8643" s="1" t="s">
        <v>4656</v>
      </c>
      <c r="F8643" s="1" t="str">
        <f>IFERROR(__xludf.DUMMYFUNCTION("GOOGLETRANSLATE(A8643, ""zh-CN"", ""ko"")"),"정말")</f>
        <v>정말</v>
      </c>
    </row>
    <row r="8644" ht="15.75" customHeight="1">
      <c r="A8644" s="1" t="s">
        <v>25303</v>
      </c>
      <c r="B8644" s="1">
        <v>7.0</v>
      </c>
      <c r="C8644" s="1" t="s">
        <v>25302</v>
      </c>
      <c r="D8644" s="1" t="s">
        <v>8</v>
      </c>
      <c r="E8644" s="1" t="s">
        <v>25304</v>
      </c>
      <c r="F8644" s="1" t="str">
        <f>IFERROR(__xludf.DUMMYFUNCTION("GOOGLETRANSLATE(A8644, ""zh-CN"", ""ko"")"),"값")</f>
        <v>값</v>
      </c>
    </row>
    <row r="8645" ht="15.75" customHeight="1">
      <c r="A8645" s="1" t="s">
        <v>25305</v>
      </c>
      <c r="B8645" s="1">
        <v>7.0</v>
      </c>
      <c r="C8645" s="1" t="s">
        <v>25306</v>
      </c>
      <c r="D8645" s="1" t="s">
        <v>16</v>
      </c>
      <c r="E8645" s="1" t="s">
        <v>25307</v>
      </c>
      <c r="F8645" s="1" t="str">
        <f>IFERROR(__xludf.DUMMYFUNCTION("GOOGLETRANSLATE(A8645, ""zh-CN"", ""ko"")"),"진실된")</f>
        <v>진실된</v>
      </c>
    </row>
    <row r="8646" ht="15.75" customHeight="1">
      <c r="A8646" s="1" t="s">
        <v>25308</v>
      </c>
      <c r="B8646" s="1">
        <v>7.0</v>
      </c>
      <c r="C8646" s="1" t="s">
        <v>25309</v>
      </c>
      <c r="D8646" s="1" t="s">
        <v>8</v>
      </c>
      <c r="E8646" s="1" t="s">
        <v>25310</v>
      </c>
      <c r="F8646" s="1" t="str">
        <f>IFERROR(__xludf.DUMMYFUNCTION("GOOGLETRANSLATE(A8646, ""zh-CN"", ""ko"")"),"보물")</f>
        <v>보물</v>
      </c>
    </row>
    <row r="8647" ht="15.75" customHeight="1">
      <c r="A8647" s="1" t="s">
        <v>25311</v>
      </c>
      <c r="B8647" s="1">
        <v>7.0</v>
      </c>
      <c r="C8647" s="1" t="s">
        <v>25312</v>
      </c>
      <c r="D8647" s="1" t="s">
        <v>8</v>
      </c>
      <c r="E8647" s="1" t="s">
        <v>25313</v>
      </c>
      <c r="F8647" s="1" t="str">
        <f>IFERROR(__xludf.DUMMYFUNCTION("GOOGLETRANSLATE(A8647, ""zh-CN"", ""ko"")"),"베개")</f>
        <v>베개</v>
      </c>
    </row>
    <row r="8648" ht="15.75" customHeight="1">
      <c r="A8648" s="1" t="s">
        <v>25314</v>
      </c>
      <c r="B8648" s="1">
        <v>7.0</v>
      </c>
      <c r="C8648" s="1" t="s">
        <v>25315</v>
      </c>
      <c r="D8648" s="1" t="s">
        <v>16</v>
      </c>
      <c r="E8648" s="1" t="s">
        <v>25316</v>
      </c>
      <c r="F8648" s="1" t="str">
        <f>IFERROR(__xludf.DUMMYFUNCTION("GOOGLETRANSLATE(A8648, ""zh-CN"", ""ko"")"),"진료소")</f>
        <v>진료소</v>
      </c>
    </row>
    <row r="8649" ht="15.75" customHeight="1">
      <c r="A8649" s="1" t="s">
        <v>25317</v>
      </c>
      <c r="B8649" s="1">
        <v>7.0</v>
      </c>
      <c r="C8649" s="1" t="s">
        <v>7061</v>
      </c>
      <c r="D8649" s="1" t="s">
        <v>8</v>
      </c>
      <c r="E8649" s="1" t="s">
        <v>25318</v>
      </c>
      <c r="F8649" s="1" t="str">
        <f>IFERROR(__xludf.DUMMYFUNCTION("GOOGLETRANSLATE(A8649, ""zh-CN"", ""ko"")"),"충격")</f>
        <v>충격</v>
      </c>
    </row>
    <row r="8650" ht="15.75" customHeight="1">
      <c r="A8650" s="1" t="s">
        <v>25319</v>
      </c>
      <c r="B8650" s="1">
        <v>7.0</v>
      </c>
      <c r="C8650" s="1" t="s">
        <v>25320</v>
      </c>
      <c r="D8650" s="1" t="s">
        <v>8</v>
      </c>
      <c r="E8650" s="1" t="s">
        <v>25321</v>
      </c>
      <c r="F8650" s="1" t="str">
        <f>IFERROR(__xludf.DUMMYFUNCTION("GOOGLETRANSLATE(A8650, ""zh-CN"", ""ko"")"),"변동")</f>
        <v>변동</v>
      </c>
    </row>
    <row r="8651" ht="15.75" customHeight="1">
      <c r="A8651" s="1" t="s">
        <v>25322</v>
      </c>
      <c r="B8651" s="1">
        <v>7.0</v>
      </c>
      <c r="C8651" s="1" t="s">
        <v>7064</v>
      </c>
      <c r="D8651" s="1" t="s">
        <v>8</v>
      </c>
      <c r="E8651" s="1" t="s">
        <v>25323</v>
      </c>
      <c r="F8651" s="1" t="str">
        <f>IFERROR(__xludf.DUMMYFUNCTION("GOOGLETRANSLATE(A8651, ""zh-CN"", ""ko"")"),"충격")</f>
        <v>충격</v>
      </c>
    </row>
    <row r="8652" ht="15.75" customHeight="1">
      <c r="A8652" s="1" t="s">
        <v>25324</v>
      </c>
      <c r="B8652" s="1">
        <v>7.0</v>
      </c>
      <c r="C8652" s="1" t="s">
        <v>25325</v>
      </c>
      <c r="D8652" s="1" t="s">
        <v>16</v>
      </c>
      <c r="E8652" s="1" t="s">
        <v>25326</v>
      </c>
      <c r="F8652" s="1" t="str">
        <f>IFERROR(__xludf.DUMMYFUNCTION("GOOGLETRANSLATE(A8652, ""zh-CN"", ""ko"")"),"캠프")</f>
        <v>캠프</v>
      </c>
    </row>
    <row r="8653" ht="15.75" customHeight="1">
      <c r="A8653" s="1" t="s">
        <v>25327</v>
      </c>
      <c r="B8653" s="1">
        <v>7.0</v>
      </c>
      <c r="C8653" s="1" t="s">
        <v>25328</v>
      </c>
      <c r="D8653" s="1" t="s">
        <v>14742</v>
      </c>
      <c r="E8653" s="1" t="s">
        <v>25329</v>
      </c>
      <c r="F8653" s="1" t="str">
        <f>IFERROR(__xludf.DUMMYFUNCTION("GOOGLETRANSLATE(A8653, ""zh-CN"", ""ko"")"),"기운을 내다")</f>
        <v>기운을 내다</v>
      </c>
    </row>
    <row r="8654" ht="15.75" customHeight="1">
      <c r="A8654" s="1" t="s">
        <v>25330</v>
      </c>
      <c r="B8654" s="1">
        <v>7.0</v>
      </c>
      <c r="C8654" s="1" t="s">
        <v>7067</v>
      </c>
      <c r="D8654" s="1" t="s">
        <v>8</v>
      </c>
      <c r="E8654" s="1" t="s">
        <v>25331</v>
      </c>
      <c r="F8654" s="1" t="str">
        <f>IFERROR(__xludf.DUMMYFUNCTION("GOOGLETRANSLATE(A8654, ""zh-CN"", ""ko"")"),"정복")</f>
        <v>정복</v>
      </c>
    </row>
    <row r="8655" ht="15.75" customHeight="1">
      <c r="A8655" s="1" t="s">
        <v>25332</v>
      </c>
      <c r="B8655" s="1">
        <v>7.0</v>
      </c>
      <c r="C8655" s="1" t="s">
        <v>7067</v>
      </c>
      <c r="D8655" s="1" t="s">
        <v>8</v>
      </c>
      <c r="E8655" s="1" t="s">
        <v>25333</v>
      </c>
      <c r="F8655" s="1" t="str">
        <f>IFERROR(__xludf.DUMMYFUNCTION("GOOGLETRANSLATE(A8655, ""zh-CN"", ""ko"")"),"증기")</f>
        <v>증기</v>
      </c>
    </row>
    <row r="8656" ht="15.75" customHeight="1">
      <c r="A8656" s="1" t="s">
        <v>25334</v>
      </c>
      <c r="B8656" s="1">
        <v>7.0</v>
      </c>
      <c r="C8656" s="1" t="s">
        <v>25335</v>
      </c>
      <c r="D8656" s="1" t="s">
        <v>8</v>
      </c>
      <c r="E8656" s="1" t="s">
        <v>25336</v>
      </c>
      <c r="F8656" s="1" t="str">
        <f>IFERROR(__xludf.DUMMYFUNCTION("GOOGLETRANSLATE(A8656, ""zh-CN"", ""ko"")"),"다투다")</f>
        <v>다투다</v>
      </c>
    </row>
    <row r="8657" ht="15.75" customHeight="1">
      <c r="A8657" s="1" t="s">
        <v>25337</v>
      </c>
      <c r="B8657" s="1">
        <v>7.0</v>
      </c>
      <c r="C8657" s="1" t="s">
        <v>25338</v>
      </c>
      <c r="E8657" s="1" t="s">
        <v>25339</v>
      </c>
      <c r="F8657" s="1" t="str">
        <f>IFERROR(__xludf.DUMMYFUNCTION("GOOGLETRANSLATE(A8657, ""zh-CN"", ""ko"")"),"시간과의 싸움")</f>
        <v>시간과의 싸움</v>
      </c>
    </row>
    <row r="8658" ht="15.75" customHeight="1">
      <c r="A8658" s="1" t="s">
        <v>25340</v>
      </c>
      <c r="B8658" s="1">
        <v>7.0</v>
      </c>
      <c r="C8658" s="1" t="s">
        <v>25341</v>
      </c>
      <c r="D8658" s="1" t="s">
        <v>52</v>
      </c>
      <c r="E8658" s="1" t="s">
        <v>25342</v>
      </c>
      <c r="F8658" s="1" t="str">
        <f>IFERROR(__xludf.DUMMYFUNCTION("GOOGLETRANSLATE(A8658, ""zh-CN"", ""ko"")"),"영광을 가져오다")</f>
        <v>영광을 가져오다</v>
      </c>
    </row>
    <row r="8659" ht="15.75" customHeight="1">
      <c r="A8659" s="1" t="s">
        <v>25343</v>
      </c>
      <c r="B8659" s="1">
        <v>7.0</v>
      </c>
      <c r="C8659" s="1" t="s">
        <v>25344</v>
      </c>
      <c r="D8659" s="1" t="s">
        <v>8</v>
      </c>
      <c r="E8659" s="1" t="s">
        <v>25345</v>
      </c>
      <c r="F8659" s="1" t="str">
        <f>IFERROR(__xludf.DUMMYFUNCTION("GOOGLETRANSLATE(A8659, ""zh-CN"", ""ko"")"),"간원")</f>
        <v>간원</v>
      </c>
    </row>
    <row r="8660" ht="15.75" customHeight="1">
      <c r="A8660" s="1" t="s">
        <v>25346</v>
      </c>
      <c r="B8660" s="1">
        <v>7.0</v>
      </c>
      <c r="C8660" s="1" t="s">
        <v>25347</v>
      </c>
      <c r="D8660" s="1" t="s">
        <v>16</v>
      </c>
      <c r="E8660" s="1" t="s">
        <v>25348</v>
      </c>
      <c r="F8660" s="1" t="str">
        <f>IFERROR(__xludf.DUMMYFUNCTION("GOOGLETRANSLATE(A8660, ""zh-CN"", ""ko"")"),"요점")</f>
        <v>요점</v>
      </c>
    </row>
    <row r="8661" ht="15.75" customHeight="1">
      <c r="A8661" s="1" t="s">
        <v>25349</v>
      </c>
      <c r="B8661" s="1">
        <v>7.0</v>
      </c>
      <c r="C8661" s="1" t="s">
        <v>25350</v>
      </c>
      <c r="D8661" s="1" t="s">
        <v>33</v>
      </c>
      <c r="E8661" s="1" t="s">
        <v>25351</v>
      </c>
      <c r="F8661" s="1" t="str">
        <f>IFERROR(__xludf.DUMMYFUNCTION("GOOGLETRANSLATE(A8661, ""zh-CN"", ""ko"")"),"다투는")</f>
        <v>다투는</v>
      </c>
    </row>
    <row r="8662" ht="15.75" customHeight="1">
      <c r="A8662" s="1" t="s">
        <v>25352</v>
      </c>
      <c r="B8662" s="1">
        <v>7.0</v>
      </c>
      <c r="C8662" s="1" t="s">
        <v>25353</v>
      </c>
      <c r="D8662" s="1" t="s">
        <v>8</v>
      </c>
      <c r="E8662" s="1" t="s">
        <v>25354</v>
      </c>
      <c r="F8662" s="1" t="str">
        <f>IFERROR(__xludf.DUMMYFUNCTION("GOOGLETRANSLATE(A8662, ""zh-CN"", ""ko"")"),"논쟁")</f>
        <v>논쟁</v>
      </c>
    </row>
    <row r="8663" ht="15.75" customHeight="1">
      <c r="A8663" s="1" t="s">
        <v>25355</v>
      </c>
      <c r="B8663" s="1">
        <v>7.0</v>
      </c>
      <c r="C8663" s="1" t="s">
        <v>25356</v>
      </c>
      <c r="D8663" s="1" t="s">
        <v>8</v>
      </c>
      <c r="E8663" s="1" t="s">
        <v>25357</v>
      </c>
      <c r="F8663" s="1" t="str">
        <f>IFERROR(__xludf.DUMMYFUNCTION("GOOGLETRANSLATE(A8663, ""zh-CN"", ""ko"")"),"완성")</f>
        <v>완성</v>
      </c>
    </row>
    <row r="8664" ht="15.75" customHeight="1">
      <c r="A8664" s="1" t="s">
        <v>25358</v>
      </c>
      <c r="B8664" s="1">
        <v>7.0</v>
      </c>
      <c r="C8664" s="1" t="s">
        <v>25359</v>
      </c>
      <c r="D8664" s="1" t="s">
        <v>52</v>
      </c>
      <c r="E8664" s="1" t="s">
        <v>25360</v>
      </c>
      <c r="F8664" s="1" t="str">
        <f>IFERROR(__xludf.DUMMYFUNCTION("GOOGLETRANSLATE(A8664, ""zh-CN"", ""ko"")"),"정돈하다")</f>
        <v>정돈하다</v>
      </c>
    </row>
    <row r="8665" ht="15.75" customHeight="1">
      <c r="A8665" s="1" t="s">
        <v>25361</v>
      </c>
      <c r="B8665" s="1">
        <v>7.0</v>
      </c>
      <c r="C8665" s="1" t="s">
        <v>25362</v>
      </c>
      <c r="D8665" s="1" t="s">
        <v>8</v>
      </c>
      <c r="E8665" s="1" t="s">
        <v>25363</v>
      </c>
      <c r="F8665" s="1" t="str">
        <f>IFERROR(__xludf.DUMMYFUNCTION("GOOGLETRANSLATE(A8665, ""zh-CN"", ""ko"")"),"구하다")</f>
        <v>구하다</v>
      </c>
    </row>
    <row r="8666" ht="15.75" customHeight="1">
      <c r="A8666" s="1" t="s">
        <v>25364</v>
      </c>
      <c r="B8666" s="1">
        <v>7.0</v>
      </c>
      <c r="C8666" s="1" t="s">
        <v>25365</v>
      </c>
      <c r="D8666" s="1" t="s">
        <v>16</v>
      </c>
      <c r="E8666" s="1" t="s">
        <v>25366</v>
      </c>
      <c r="F8666" s="1" t="str">
        <f>IFERROR(__xludf.DUMMYFUNCTION("GOOGLETRANSLATE(A8666, ""zh-CN"", ""ko"")"),"정수")</f>
        <v>정수</v>
      </c>
    </row>
    <row r="8667" ht="15.75" customHeight="1">
      <c r="A8667" s="1" t="s">
        <v>25367</v>
      </c>
      <c r="B8667" s="1">
        <v>7.0</v>
      </c>
      <c r="C8667" s="1" t="s">
        <v>25368</v>
      </c>
      <c r="D8667" s="1" t="s">
        <v>8</v>
      </c>
      <c r="E8667" s="1" t="s">
        <v>25369</v>
      </c>
      <c r="F8667" s="1" t="str">
        <f>IFERROR(__xludf.DUMMYFUNCTION("GOOGLETRANSLATE(A8667, ""zh-CN"", ""ko"")"),"정류")</f>
        <v>정류</v>
      </c>
    </row>
    <row r="8668" ht="15.75" customHeight="1">
      <c r="A8668" s="1" t="s">
        <v>25370</v>
      </c>
      <c r="B8668" s="1">
        <v>7.0</v>
      </c>
      <c r="C8668" s="1" t="s">
        <v>25371</v>
      </c>
      <c r="D8668" s="1" t="s">
        <v>16</v>
      </c>
      <c r="E8668" s="1" t="s">
        <v>25372</v>
      </c>
      <c r="F8668" s="1" t="str">
        <f>IFERROR(__xludf.DUMMYFUNCTION("GOOGLETRANSLATE(A8668, ""zh-CN"", ""ko"")"),"진본인")</f>
        <v>진본인</v>
      </c>
    </row>
    <row r="8669" ht="15.75" customHeight="1">
      <c r="A8669" s="1" t="s">
        <v>25373</v>
      </c>
      <c r="B8669" s="1">
        <v>7.0</v>
      </c>
      <c r="C8669" s="1" t="s">
        <v>25374</v>
      </c>
      <c r="D8669" s="1" t="s">
        <v>16</v>
      </c>
      <c r="E8669" s="1" t="s">
        <v>25375</v>
      </c>
      <c r="F8669" s="1" t="str">
        <f>IFERROR(__xludf.DUMMYFUNCTION("GOOGLETRANSLATE(A8669, ""zh-CN"", ""ko"")"),"정당")</f>
        <v>정당</v>
      </c>
    </row>
    <row r="8670" ht="15.75" customHeight="1">
      <c r="A8670" s="1" t="s">
        <v>25376</v>
      </c>
      <c r="B8670" s="1">
        <v>7.0</v>
      </c>
      <c r="C8670" s="1" t="s">
        <v>25377</v>
      </c>
      <c r="D8670" s="1" t="s">
        <v>16</v>
      </c>
      <c r="E8670" s="1" t="s">
        <v>25378</v>
      </c>
      <c r="F8670" s="1" t="str">
        <f>IFERROR(__xludf.DUMMYFUNCTION("GOOGLETRANSLATE(A8670, ""zh-CN"", ""ko"")"),"긍정적인 에너지")</f>
        <v>긍정적인 에너지</v>
      </c>
    </row>
    <row r="8671" ht="15.75" customHeight="1">
      <c r="A8671" s="1" t="s">
        <v>25379</v>
      </c>
      <c r="B8671" s="1">
        <v>7.0</v>
      </c>
      <c r="C8671" s="1" t="s">
        <v>25380</v>
      </c>
      <c r="D8671" s="1" t="s">
        <v>16</v>
      </c>
      <c r="E8671" s="1" t="s">
        <v>25381</v>
      </c>
      <c r="F8671" s="1" t="str">
        <f>IFERROR(__xludf.DUMMYFUNCTION("GOOGLETRANSLATE(A8671, ""zh-CN"", ""ko"")"),"증권")</f>
        <v>증권</v>
      </c>
    </row>
    <row r="8672" ht="15.75" customHeight="1">
      <c r="A8672" s="1" t="s">
        <v>25382</v>
      </c>
      <c r="B8672" s="1">
        <v>7.0</v>
      </c>
      <c r="C8672" s="1" t="s">
        <v>25383</v>
      </c>
      <c r="D8672" s="1" t="s">
        <v>16</v>
      </c>
      <c r="E8672" s="1" t="s">
        <v>18738</v>
      </c>
      <c r="F8672" s="1" t="str">
        <f>IFERROR(__xludf.DUMMYFUNCTION("GOOGLETRANSLATE(A8672, ""zh-CN"", ""ko"")"),"증인")</f>
        <v>증인</v>
      </c>
    </row>
    <row r="8673" ht="15.75" customHeight="1">
      <c r="A8673" s="1" t="s">
        <v>25384</v>
      </c>
      <c r="B8673" s="1">
        <v>7.0</v>
      </c>
      <c r="C8673" s="1" t="s">
        <v>3426</v>
      </c>
      <c r="D8673" s="1" t="s">
        <v>8</v>
      </c>
      <c r="E8673" s="1" t="s">
        <v>25385</v>
      </c>
      <c r="F8673" s="1" t="str">
        <f>IFERROR(__xludf.DUMMYFUNCTION("GOOGLETRANSLATE(A8673, ""zh-CN"", ""ko"")"),"얼굴")</f>
        <v>얼굴</v>
      </c>
    </row>
    <row r="8674" ht="15.75" customHeight="1">
      <c r="A8674" s="1" t="s">
        <v>25386</v>
      </c>
      <c r="B8674" s="1">
        <v>7.0</v>
      </c>
      <c r="C8674" s="1" t="s">
        <v>25387</v>
      </c>
      <c r="D8674" s="1" t="s">
        <v>52</v>
      </c>
      <c r="E8674" s="1" t="s">
        <v>25388</v>
      </c>
      <c r="F8674" s="1" t="str">
        <f>IFERROR(__xludf.DUMMYFUNCTION("GOOGLETRANSLATE(A8674, ""zh-CN"", ""ko"")"),"똑바로")</f>
        <v>똑바로</v>
      </c>
    </row>
    <row r="8675" ht="15.75" customHeight="1">
      <c r="A8675" s="1" t="s">
        <v>25389</v>
      </c>
      <c r="B8675" s="1">
        <v>7.0</v>
      </c>
      <c r="C8675" s="1" t="s">
        <v>3429</v>
      </c>
      <c r="D8675" s="1" t="s">
        <v>8</v>
      </c>
      <c r="E8675" s="1" t="s">
        <v>25390</v>
      </c>
      <c r="F8675" s="1" t="str">
        <f>IFERROR(__xludf.DUMMYFUNCTION("GOOGLETRANSLATE(A8675, ""zh-CN"", ""ko"")"),"직조")</f>
        <v>직조</v>
      </c>
    </row>
    <row r="8676" ht="15.75" customHeight="1">
      <c r="A8676" s="1" t="s">
        <v>25391</v>
      </c>
      <c r="B8676" s="1">
        <v>7.0</v>
      </c>
      <c r="C8676" s="1" t="s">
        <v>25392</v>
      </c>
      <c r="D8676" s="1" t="s">
        <v>15352</v>
      </c>
      <c r="E8676" s="1" t="s">
        <v>25393</v>
      </c>
      <c r="F8676" s="1" t="str">
        <f>IFERROR(__xludf.DUMMYFUNCTION("GOOGLETRANSLATE(A8676, ""zh-CN"", ""ko"")"),"절친한 친구")</f>
        <v>절친한 친구</v>
      </c>
    </row>
    <row r="8677" ht="15.75" customHeight="1">
      <c r="A8677" s="1" t="s">
        <v>25394</v>
      </c>
      <c r="B8677" s="1">
        <v>7.0</v>
      </c>
      <c r="C8677" s="1" t="s">
        <v>25395</v>
      </c>
      <c r="D8677" s="1" t="s">
        <v>14917</v>
      </c>
      <c r="E8677" s="1" t="s">
        <v>25396</v>
      </c>
      <c r="F8677" s="1" t="str">
        <f>IFERROR(__xludf.DUMMYFUNCTION("GOOGLETRANSLATE(A8677, ""zh-CN"", ""ko"")"),"지원하다")</f>
        <v>지원하다</v>
      </c>
    </row>
    <row r="8678" ht="15.75" customHeight="1">
      <c r="A8678" s="1" t="s">
        <v>25397</v>
      </c>
      <c r="B8678" s="1">
        <v>7.0</v>
      </c>
      <c r="C8678" s="1" t="s">
        <v>25398</v>
      </c>
      <c r="D8678" s="1" t="s">
        <v>16</v>
      </c>
      <c r="E8678" s="1" t="s">
        <v>25399</v>
      </c>
      <c r="F8678" s="1" t="str">
        <f>IFERROR(__xludf.DUMMYFUNCTION("GOOGLETRANSLATE(A8678, ""zh-CN"", ""ko"")"),"참깨")</f>
        <v>참깨</v>
      </c>
    </row>
    <row r="8679" ht="15.75" customHeight="1">
      <c r="A8679" s="1" t="s">
        <v>25400</v>
      </c>
      <c r="B8679" s="1">
        <v>7.0</v>
      </c>
      <c r="C8679" s="1" t="s">
        <v>25401</v>
      </c>
      <c r="E8679" s="1" t="s">
        <v>25402</v>
      </c>
      <c r="F8679" s="1" t="str">
        <f>IFERROR(__xludf.DUMMYFUNCTION("GOOGLETRANSLATE(A8679, ""zh-CN"", ""ko"")"),"지식인들")</f>
        <v>지식인들</v>
      </c>
    </row>
    <row r="8680" ht="15.75" customHeight="1">
      <c r="A8680" s="1" t="s">
        <v>25403</v>
      </c>
      <c r="B8680" s="1">
        <v>7.0</v>
      </c>
      <c r="C8680" s="1" t="s">
        <v>25404</v>
      </c>
      <c r="D8680" s="1" t="s">
        <v>16</v>
      </c>
      <c r="E8680" s="1" t="s">
        <v>25405</v>
      </c>
      <c r="F8680" s="1" t="str">
        <f>IFERROR(__xludf.DUMMYFUNCTION("GOOGLETRANSLATE(A8680, ""zh-CN"", ""ko"")"),"사지")</f>
        <v>사지</v>
      </c>
    </row>
    <row r="8681" ht="15.75" customHeight="1">
      <c r="A8681" s="1" t="s">
        <v>25406</v>
      </c>
      <c r="B8681" s="1">
        <v>7.0</v>
      </c>
      <c r="C8681" s="1" t="s">
        <v>25407</v>
      </c>
      <c r="D8681" s="1" t="s">
        <v>52</v>
      </c>
      <c r="E8681" s="1" t="s">
        <v>25408</v>
      </c>
      <c r="F8681" s="1" t="str">
        <f>IFERROR(__xludf.DUMMYFUNCTION("GOOGLETRANSLATE(A8681, ""zh-CN"", ""ko"")"),"만족")</f>
        <v>만족</v>
      </c>
    </row>
    <row r="8682" ht="15.75" customHeight="1">
      <c r="A8682" s="1" t="s">
        <v>25409</v>
      </c>
      <c r="B8682" s="1">
        <v>7.0</v>
      </c>
      <c r="C8682" s="1" t="s">
        <v>25410</v>
      </c>
      <c r="D8682" s="1" t="s">
        <v>16</v>
      </c>
      <c r="E8682" s="1" t="s">
        <v>25411</v>
      </c>
      <c r="F8682" s="1" t="str">
        <f>IFERROR(__xludf.DUMMYFUNCTION("GOOGLETRANSLATE(A8682, ""zh-CN"", ""ko"")"),"직책")</f>
        <v>직책</v>
      </c>
    </row>
    <row r="8683" ht="15.75" customHeight="1">
      <c r="A8683" s="1" t="s">
        <v>25412</v>
      </c>
      <c r="B8683" s="1">
        <v>7.0</v>
      </c>
      <c r="C8683" s="1" t="s">
        <v>25413</v>
      </c>
      <c r="D8683" s="1" t="s">
        <v>8</v>
      </c>
      <c r="E8683" s="1" t="s">
        <v>25414</v>
      </c>
      <c r="F8683" s="1" t="str">
        <f>IFERROR(__xludf.DUMMYFUNCTION("GOOGLETRANSLATE(A8683, ""zh-CN"", ""ko"")"),"직접")</f>
        <v>직접</v>
      </c>
    </row>
    <row r="8684" ht="15.75" customHeight="1">
      <c r="A8684" s="1" t="s">
        <v>25415</v>
      </c>
      <c r="B8684" s="1">
        <v>7.0</v>
      </c>
      <c r="C8684" s="1" t="s">
        <v>25416</v>
      </c>
      <c r="D8684" s="1" t="s">
        <v>8</v>
      </c>
      <c r="E8684" s="1" t="s">
        <v>25417</v>
      </c>
      <c r="F8684" s="1" t="str">
        <f>IFERROR(__xludf.DUMMYFUNCTION("GOOGLETRANSLATE(A8684, ""zh-CN"", ""ko"")"),"법 집행 기관")</f>
        <v>법 집행 기관</v>
      </c>
    </row>
    <row r="8685" ht="15.75" customHeight="1">
      <c r="A8685" s="1" t="s">
        <v>25418</v>
      </c>
      <c r="B8685" s="1">
        <v>7.0</v>
      </c>
      <c r="C8685" s="1" t="s">
        <v>25419</v>
      </c>
      <c r="D8685" s="1" t="s">
        <v>52</v>
      </c>
      <c r="E8685" s="1" t="s">
        <v>25420</v>
      </c>
      <c r="F8685" s="1" t="str">
        <f>IFERROR(__xludf.DUMMYFUNCTION("GOOGLETRANSLATE(A8685, ""zh-CN"", ""ko"")"),"직관적인")</f>
        <v>직관적인</v>
      </c>
    </row>
    <row r="8686" ht="15.75" customHeight="1">
      <c r="A8686" s="1" t="s">
        <v>25421</v>
      </c>
      <c r="B8686" s="1">
        <v>7.0</v>
      </c>
      <c r="C8686" s="1" t="s">
        <v>25422</v>
      </c>
      <c r="D8686" s="1" t="s">
        <v>16</v>
      </c>
      <c r="E8686" s="1" t="s">
        <v>25423</v>
      </c>
      <c r="F8686" s="1" t="str">
        <f>IFERROR(__xludf.DUMMYFUNCTION("GOOGLETRANSLATE(A8686, ""zh-CN"", ""ko"")"),"직관")</f>
        <v>직관</v>
      </c>
    </row>
    <row r="8687" ht="15.75" customHeight="1">
      <c r="A8687" s="1" t="s">
        <v>25424</v>
      </c>
      <c r="B8687" s="1">
        <v>7.0</v>
      </c>
      <c r="C8687" s="1" t="s">
        <v>25425</v>
      </c>
      <c r="D8687" s="1" t="s">
        <v>52</v>
      </c>
      <c r="E8687" s="1" t="s">
        <v>25426</v>
      </c>
      <c r="F8687" s="1" t="str">
        <f>IFERROR(__xludf.DUMMYFUNCTION("GOOGLETRANSLATE(A8687, ""zh-CN"", ""ko"")"),"귀중한")</f>
        <v>귀중한</v>
      </c>
    </row>
    <row r="8688" ht="15.75" customHeight="1">
      <c r="A8688" s="1" t="s">
        <v>25427</v>
      </c>
      <c r="B8688" s="1">
        <v>7.0</v>
      </c>
      <c r="C8688" s="1" t="s">
        <v>25428</v>
      </c>
      <c r="D8688" s="1" t="s">
        <v>16</v>
      </c>
      <c r="E8688" s="1" t="s">
        <v>25429</v>
      </c>
      <c r="F8688" s="1" t="str">
        <f>IFERROR(__xludf.DUMMYFUNCTION("GOOGLETRANSLATE(A8688, ""zh-CN"", ""ko"")"),"헬리콥터")</f>
        <v>헬리콥터</v>
      </c>
    </row>
    <row r="8689" ht="15.75" customHeight="1">
      <c r="A8689" s="1" t="s">
        <v>25430</v>
      </c>
      <c r="B8689" s="1">
        <v>7.0</v>
      </c>
      <c r="C8689" s="1" t="s">
        <v>25431</v>
      </c>
      <c r="D8689" s="1" t="s">
        <v>8</v>
      </c>
      <c r="E8689" s="1" t="s">
        <v>25432</v>
      </c>
      <c r="F8689" s="1" t="str">
        <f>IFERROR(__xludf.DUMMYFUNCTION("GOOGLETRANSLATE(A8689, ""zh-CN"", ""ko"")"),"직접적인 시선")</f>
        <v>직접적인 시선</v>
      </c>
    </row>
    <row r="8690" ht="15.75" customHeight="1">
      <c r="A8690" s="1" t="s">
        <v>25433</v>
      </c>
      <c r="B8690" s="1">
        <v>7.0</v>
      </c>
      <c r="C8690" s="1" t="s">
        <v>25434</v>
      </c>
      <c r="D8690" s="1" t="s">
        <v>16</v>
      </c>
      <c r="E8690" s="1" t="s">
        <v>25435</v>
      </c>
      <c r="F8690" s="1" t="str">
        <f>IFERROR(__xludf.DUMMYFUNCTION("GOOGLETRANSLATE(A8690, ""zh-CN"", ""ko"")"),"지자체")</f>
        <v>지자체</v>
      </c>
    </row>
    <row r="8691" ht="15.75" customHeight="1">
      <c r="A8691" s="1" t="s">
        <v>25436</v>
      </c>
      <c r="B8691" s="1">
        <v>7.0</v>
      </c>
      <c r="C8691" s="1" t="s">
        <v>25437</v>
      </c>
      <c r="D8691" s="1" t="s">
        <v>15011</v>
      </c>
      <c r="E8691" s="1" t="s">
        <v>25438</v>
      </c>
      <c r="F8691" s="1" t="str">
        <f>IFERROR(__xludf.DUMMYFUNCTION("GOOGLETRANSLATE(A8691, ""zh-CN"", ""ko"")"),"일직선")</f>
        <v>일직선</v>
      </c>
    </row>
    <row r="8692" ht="15.75" customHeight="1">
      <c r="A8692" s="1" t="s">
        <v>25439</v>
      </c>
      <c r="B8692" s="1">
        <v>7.0</v>
      </c>
      <c r="C8692" s="1" t="s">
        <v>25440</v>
      </c>
      <c r="D8692" s="1" t="s">
        <v>33</v>
      </c>
      <c r="E8692" s="1" t="s">
        <v>25441</v>
      </c>
      <c r="F8692" s="1" t="str">
        <f>IFERROR(__xludf.DUMMYFUNCTION("GOOGLETRANSLATE(A8692, ""zh-CN"", ""ko"")"),"주장하다")</f>
        <v>주장하다</v>
      </c>
    </row>
    <row r="8693" ht="15.75" customHeight="1">
      <c r="A8693" s="1" t="s">
        <v>25442</v>
      </c>
      <c r="B8693" s="1">
        <v>7.0</v>
      </c>
      <c r="C8693" s="1" t="s">
        <v>25443</v>
      </c>
      <c r="D8693" s="1" t="s">
        <v>8</v>
      </c>
      <c r="E8693" s="1" t="s">
        <v>25444</v>
      </c>
      <c r="F8693" s="1" t="str">
        <f>IFERROR(__xludf.DUMMYFUNCTION("GOOGLETRANSLATE(A8693, ""zh-CN"", ""ko"")"),"까지")</f>
        <v>까지</v>
      </c>
    </row>
    <row r="8694" ht="15.75" customHeight="1">
      <c r="A8694" s="1" t="s">
        <v>25445</v>
      </c>
      <c r="B8694" s="1">
        <v>7.0</v>
      </c>
      <c r="C8694" s="1" t="s">
        <v>25446</v>
      </c>
      <c r="D8694" s="1" t="s">
        <v>16</v>
      </c>
      <c r="E8694" s="1" t="s">
        <v>25447</v>
      </c>
      <c r="F8694" s="1" t="str">
        <f>IFERROR(__xludf.DUMMYFUNCTION("GOOGLETRANSLATE(A8694, ""zh-CN"", ""ko"")"),"지폐")</f>
        <v>지폐</v>
      </c>
    </row>
    <row r="8695" ht="15.75" customHeight="1">
      <c r="A8695" s="1" t="s">
        <v>25448</v>
      </c>
      <c r="B8695" s="1">
        <v>7.0</v>
      </c>
      <c r="C8695" s="1" t="s">
        <v>25449</v>
      </c>
      <c r="E8695" s="1" t="s">
        <v>25450</v>
      </c>
      <c r="F8695" s="1" t="str">
        <f>IFERROR(__xludf.DUMMYFUNCTION("GOOGLETRANSLATE(A8695, ""zh-CN"", ""ko"")"),"멈추다")</f>
        <v>멈추다</v>
      </c>
    </row>
    <row r="8696" ht="15.75" customHeight="1">
      <c r="A8696" s="1" t="s">
        <v>25451</v>
      </c>
      <c r="B8696" s="1">
        <v>7.0</v>
      </c>
      <c r="C8696" s="1" t="s">
        <v>25452</v>
      </c>
      <c r="D8696" s="1" t="s">
        <v>8</v>
      </c>
      <c r="E8696" s="1" t="s">
        <v>25453</v>
      </c>
      <c r="F8696" s="1" t="str">
        <f>IFERROR(__xludf.DUMMYFUNCTION("GOOGLETRANSLATE(A8696, ""zh-CN"", ""ko"")"),"안내")</f>
        <v>안내</v>
      </c>
    </row>
    <row r="8697" ht="15.75" customHeight="1">
      <c r="A8697" s="1" t="s">
        <v>25454</v>
      </c>
      <c r="B8697" s="1">
        <v>7.0</v>
      </c>
      <c r="C8697" s="1" t="s">
        <v>25455</v>
      </c>
      <c r="D8697" s="1" t="s">
        <v>33</v>
      </c>
      <c r="E8697" s="1" t="s">
        <v>2177</v>
      </c>
      <c r="F8697" s="1" t="str">
        <f>IFERROR(__xludf.DUMMYFUNCTION("GOOGLETRANSLATE(A8697, ""zh-CN"", ""ko"")"),"단지")</f>
        <v>단지</v>
      </c>
    </row>
    <row r="8698" ht="15.75" customHeight="1">
      <c r="A8698" s="1" t="s">
        <v>25456</v>
      </c>
      <c r="B8698" s="1">
        <v>7.0</v>
      </c>
      <c r="C8698" s="1" t="s">
        <v>25457</v>
      </c>
      <c r="D8698" s="1" t="s">
        <v>8</v>
      </c>
      <c r="E8698" s="1" t="s">
        <v>25458</v>
      </c>
      <c r="F8698" s="1" t="str">
        <f>IFERROR(__xludf.DUMMYFUNCTION("GOOGLETRANSLATE(A8698, ""zh-CN"", ""ko"")"),"조언 부탁드립니다")</f>
        <v>조언 부탁드립니다</v>
      </c>
    </row>
    <row r="8699" ht="15.75" customHeight="1">
      <c r="A8699" s="1" t="s">
        <v>25459</v>
      </c>
      <c r="B8699" s="1">
        <v>7.0</v>
      </c>
      <c r="C8699" s="1" t="s">
        <v>25460</v>
      </c>
      <c r="D8699" s="1" t="s">
        <v>8</v>
      </c>
      <c r="E8699" s="1" t="s">
        <v>25461</v>
      </c>
      <c r="F8699" s="1" t="str">
        <f>IFERROR(__xludf.DUMMYFUNCTION("GOOGLETRANSLATE(A8699, ""zh-CN"", ""ko"")"),"요금")</f>
        <v>요금</v>
      </c>
    </row>
    <row r="8700" ht="15.75" customHeight="1">
      <c r="A8700" s="1" t="s">
        <v>25462</v>
      </c>
      <c r="B8700" s="1">
        <v>7.0</v>
      </c>
      <c r="C8700" s="1" t="s">
        <v>25463</v>
      </c>
      <c r="D8700" s="1" t="s">
        <v>16</v>
      </c>
      <c r="E8700" s="1" t="s">
        <v>25464</v>
      </c>
      <c r="F8700" s="1" t="str">
        <f>IFERROR(__xludf.DUMMYFUNCTION("GOOGLETRANSLATE(A8700, ""zh-CN"", ""ko"")"),"가이드")</f>
        <v>가이드</v>
      </c>
    </row>
    <row r="8701" ht="15.75" customHeight="1">
      <c r="A8701" s="1" t="s">
        <v>25465</v>
      </c>
      <c r="B8701" s="1">
        <v>7.0</v>
      </c>
      <c r="C8701" s="1" t="s">
        <v>25466</v>
      </c>
      <c r="E8701" s="1" t="s">
        <v>25467</v>
      </c>
      <c r="F8701" s="1" t="str">
        <f>IFERROR(__xludf.DUMMYFUNCTION("GOOGLETRANSLATE(A8701, ""zh-CN"", ""ko"")"),"안락의자 전략가")</f>
        <v>안락의자 전략가</v>
      </c>
    </row>
    <row r="8702" ht="15.75" customHeight="1">
      <c r="A8702" s="1" t="s">
        <v>25468</v>
      </c>
      <c r="B8702" s="1">
        <v>7.0</v>
      </c>
      <c r="C8702" s="1" t="s">
        <v>25469</v>
      </c>
      <c r="E8702" s="1" t="s">
        <v>25470</v>
      </c>
      <c r="F8702" s="1" t="str">
        <f>IFERROR(__xludf.DUMMYFUNCTION("GOOGLETRANSLATE(A8702, ""zh-CN"", ""ko"")"),"손짓하며")</f>
        <v>손짓하며</v>
      </c>
    </row>
    <row r="8703" ht="15.75" customHeight="1">
      <c r="A8703" s="1" t="s">
        <v>25471</v>
      </c>
      <c r="B8703" s="1">
        <v>7.0</v>
      </c>
      <c r="C8703" s="1" t="s">
        <v>25472</v>
      </c>
      <c r="D8703" s="1" t="s">
        <v>16</v>
      </c>
      <c r="E8703" s="1" t="s">
        <v>25473</v>
      </c>
      <c r="F8703" s="1" t="str">
        <f>IFERROR(__xludf.DUMMYFUNCTION("GOOGLETRANSLATE(A8703, ""zh-CN"", ""ko"")"),"색인")</f>
        <v>색인</v>
      </c>
    </row>
    <row r="8704" ht="15.75" customHeight="1">
      <c r="A8704" s="1" t="s">
        <v>25474</v>
      </c>
      <c r="B8704" s="1">
        <v>7.0</v>
      </c>
      <c r="C8704" s="1" t="s">
        <v>25475</v>
      </c>
      <c r="D8704" s="1" t="s">
        <v>16</v>
      </c>
      <c r="E8704" s="1" t="s">
        <v>25476</v>
      </c>
      <c r="F8704" s="1" t="str">
        <f>IFERROR(__xludf.DUMMYFUNCTION("GOOGLETRANSLATE(A8704, ""zh-CN"", ""ko"")"),"지문")</f>
        <v>지문</v>
      </c>
    </row>
    <row r="8705" ht="15.75" customHeight="1">
      <c r="A8705" s="1" t="s">
        <v>25477</v>
      </c>
      <c r="B8705" s="1">
        <v>7.0</v>
      </c>
      <c r="C8705" s="1" t="s">
        <v>25478</v>
      </c>
      <c r="D8705" s="1" t="s">
        <v>14870</v>
      </c>
      <c r="E8705" s="1" t="s">
        <v>25479</v>
      </c>
      <c r="F8705" s="1" t="str">
        <f>IFERROR(__xludf.DUMMYFUNCTION("GOOGLETRANSLATE(A8705, ""zh-CN"", ""ko"")"),"가리키다")</f>
        <v>가리키다</v>
      </c>
    </row>
    <row r="8706" ht="15.75" customHeight="1">
      <c r="A8706" s="1" t="s">
        <v>25480</v>
      </c>
      <c r="B8706" s="1">
        <v>7.0</v>
      </c>
      <c r="C8706" s="1" t="s">
        <v>25481</v>
      </c>
      <c r="D8706" s="1" t="s">
        <v>8</v>
      </c>
      <c r="E8706" s="1" t="s">
        <v>24723</v>
      </c>
      <c r="F8706" s="1" t="str">
        <f>IFERROR(__xludf.DUMMYFUNCTION("GOOGLETRANSLATE(A8706, ""zh-CN"", ""ko"")"),"지침")</f>
        <v>지침</v>
      </c>
    </row>
    <row r="8707" ht="15.75" customHeight="1">
      <c r="A8707" s="1" t="s">
        <v>25482</v>
      </c>
      <c r="B8707" s="1">
        <v>7.0</v>
      </c>
      <c r="C8707" s="1" t="s">
        <v>25483</v>
      </c>
      <c r="D8707" s="1" t="s">
        <v>8</v>
      </c>
      <c r="E8707" s="1" t="s">
        <v>25484</v>
      </c>
      <c r="F8707" s="1" t="str">
        <f>IFERROR(__xludf.DUMMYFUNCTION("GOOGLETRANSLATE(A8707, ""zh-CN"", ""ko"")"),"예정된")</f>
        <v>예정된</v>
      </c>
    </row>
    <row r="8708" ht="15.75" customHeight="1">
      <c r="A8708" s="1" t="s">
        <v>25485</v>
      </c>
      <c r="B8708" s="1">
        <v>7.0</v>
      </c>
      <c r="C8708" s="1" t="s">
        <v>25486</v>
      </c>
      <c r="D8708" s="1" t="s">
        <v>8</v>
      </c>
      <c r="E8708" s="1" t="s">
        <v>25487</v>
      </c>
      <c r="F8708" s="1" t="str">
        <f>IFERROR(__xludf.DUMMYFUNCTION("GOOGLETRANSLATE(A8708, ""zh-CN"", ""ko"")"),"장소")</f>
        <v>장소</v>
      </c>
    </row>
    <row r="8709" ht="15.75" customHeight="1">
      <c r="A8709" s="1" t="s">
        <v>25488</v>
      </c>
      <c r="B8709" s="1">
        <v>7.0</v>
      </c>
      <c r="C8709" s="1" t="s">
        <v>25486</v>
      </c>
      <c r="D8709" s="1" t="s">
        <v>8</v>
      </c>
      <c r="E8709" s="1" t="s">
        <v>25489</v>
      </c>
      <c r="F8709" s="1" t="str">
        <f>IFERROR(__xludf.DUMMYFUNCTION("GOOGLETRANSLATE(A8709, ""zh-CN"", ""ko"")"),"에게")</f>
        <v>에게</v>
      </c>
    </row>
    <row r="8710" ht="15.75" customHeight="1">
      <c r="A8710" s="1" t="s">
        <v>25490</v>
      </c>
      <c r="B8710" s="1">
        <v>7.0</v>
      </c>
      <c r="C8710" s="1" t="s">
        <v>25491</v>
      </c>
      <c r="D8710" s="1" t="s">
        <v>8</v>
      </c>
      <c r="E8710" s="1" t="s">
        <v>21084</v>
      </c>
      <c r="F8710" s="1" t="str">
        <f>IFERROR(__xludf.DUMMYFUNCTION("GOOGLETRANSLATE(A8710, ""zh-CN"", ""ko"")"),"이 시점에서")</f>
        <v>이 시점에서</v>
      </c>
    </row>
    <row r="8711" ht="15.75" customHeight="1">
      <c r="A8711" s="1" t="s">
        <v>25492</v>
      </c>
      <c r="B8711" s="1">
        <v>7.0</v>
      </c>
      <c r="C8711" s="1" t="s">
        <v>25493</v>
      </c>
      <c r="D8711" s="1" t="s">
        <v>16</v>
      </c>
      <c r="E8711" s="1" t="s">
        <v>25494</v>
      </c>
      <c r="F8711" s="1" t="str">
        <f>IFERROR(__xludf.DUMMYFUNCTION("GOOGLETRANSLATE(A8711, ""zh-CN"", ""ko"")"),"조직")</f>
        <v>조직</v>
      </c>
    </row>
    <row r="8712" ht="15.75" customHeight="1">
      <c r="A8712" s="1" t="s">
        <v>25495</v>
      </c>
      <c r="B8712" s="1">
        <v>7.0</v>
      </c>
      <c r="C8712" s="1" t="s">
        <v>25496</v>
      </c>
      <c r="D8712" s="1" t="s">
        <v>8</v>
      </c>
      <c r="E8712" s="1" t="s">
        <v>25497</v>
      </c>
      <c r="F8712" s="1" t="str">
        <f>IFERROR(__xludf.DUMMYFUNCTION("GOOGLETRANSLATE(A8712, ""zh-CN"", ""ko"")"),"부자가 되세요")</f>
        <v>부자가 되세요</v>
      </c>
    </row>
    <row r="8713" ht="15.75" customHeight="1">
      <c r="A8713" s="1" t="s">
        <v>25498</v>
      </c>
      <c r="B8713" s="1">
        <v>7.0</v>
      </c>
      <c r="C8713" s="1" t="s">
        <v>25499</v>
      </c>
      <c r="D8713" s="1" t="s">
        <v>8</v>
      </c>
      <c r="E8713" s="1" t="s">
        <v>25500</v>
      </c>
      <c r="F8713" s="1" t="str">
        <f>IFERROR(__xludf.DUMMYFUNCTION("GOOGLETRANSLATE(A8713, ""zh-CN"", ""ko"")"),"지연")</f>
        <v>지연</v>
      </c>
    </row>
    <row r="8714" ht="15.75" customHeight="1">
      <c r="A8714" s="1" t="s">
        <v>25501</v>
      </c>
      <c r="B8714" s="1">
        <v>7.0</v>
      </c>
      <c r="C8714" s="1" t="s">
        <v>25502</v>
      </c>
      <c r="D8714" s="1" t="s">
        <v>8</v>
      </c>
      <c r="E8714" s="1" t="s">
        <v>25503</v>
      </c>
      <c r="F8714" s="1" t="str">
        <f>IFERROR(__xludf.DUMMYFUNCTION("GOOGLETRANSLATE(A8714, ""zh-CN"", ""ko"")"),"경의를 표하다")</f>
        <v>경의를 표하다</v>
      </c>
    </row>
    <row r="8715" ht="15.75" customHeight="1">
      <c r="A8715" s="1" t="s">
        <v>25504</v>
      </c>
      <c r="B8715" s="1">
        <v>7.0</v>
      </c>
      <c r="C8715" s="1" t="s">
        <v>25505</v>
      </c>
      <c r="E8715" s="1" t="s">
        <v>25506</v>
      </c>
      <c r="F8715" s="1" t="str">
        <f>IFERROR(__xludf.DUMMYFUNCTION("GOOGLETRANSLATE(A8715, ""zh-CN"", ""ko"")"),"헌신하다")</f>
        <v>헌신하다</v>
      </c>
    </row>
    <row r="8716" ht="15.75" customHeight="1">
      <c r="A8716" s="1" t="s">
        <v>25507</v>
      </c>
      <c r="B8716" s="1">
        <v>7.0</v>
      </c>
      <c r="C8716" s="1" t="s">
        <v>25508</v>
      </c>
      <c r="D8716" s="1" t="s">
        <v>8</v>
      </c>
      <c r="E8716" s="1" t="s">
        <v>25509</v>
      </c>
      <c r="F8716" s="1" t="str">
        <f>IFERROR(__xludf.DUMMYFUNCTION("GOOGLETRANSLATE(A8716, ""zh-CN"", ""ko"")"),"치명적인")</f>
        <v>치명적인</v>
      </c>
    </row>
    <row r="8717" ht="15.75" customHeight="1">
      <c r="A8717" s="1" t="s">
        <v>25510</v>
      </c>
      <c r="B8717" s="1">
        <v>7.0</v>
      </c>
      <c r="C8717" s="1" t="s">
        <v>25511</v>
      </c>
      <c r="D8717" s="1" t="s">
        <v>52</v>
      </c>
      <c r="E8717" s="1" t="s">
        <v>25512</v>
      </c>
      <c r="F8717" s="1" t="str">
        <f>IFERROR(__xludf.DUMMYFUNCTION("GOOGLETRANSLATE(A8717, ""zh-CN"", ""ko"")"),"미성숙한")</f>
        <v>미성숙한</v>
      </c>
    </row>
    <row r="8718" ht="15.75" customHeight="1">
      <c r="A8718" s="1" t="s">
        <v>25513</v>
      </c>
      <c r="B8718" s="1">
        <v>7.0</v>
      </c>
      <c r="C8718" s="1" t="s">
        <v>25514</v>
      </c>
      <c r="D8718" s="1" t="s">
        <v>52</v>
      </c>
      <c r="E8718" s="1" t="s">
        <v>25515</v>
      </c>
      <c r="F8718" s="1" t="str">
        <f>IFERROR(__xludf.DUMMYFUNCTION("GOOGLETRANSLATE(A8718, ""zh-CN"", ""ko"")"),"단순한")</f>
        <v>단순한</v>
      </c>
    </row>
    <row r="8719" ht="15.75" customHeight="1">
      <c r="A8719" s="1" t="s">
        <v>25516</v>
      </c>
      <c r="B8719" s="1">
        <v>7.0</v>
      </c>
      <c r="C8719" s="1" t="s">
        <v>25517</v>
      </c>
      <c r="D8719" s="1" t="s">
        <v>8</v>
      </c>
      <c r="E8719" s="1" t="s">
        <v>25518</v>
      </c>
      <c r="F8719" s="1" t="str">
        <f>IFERROR(__xludf.DUMMYFUNCTION("GOOGLETRANSLATE(A8719, ""zh-CN"", ""ko"")"),"질문")</f>
        <v>질문</v>
      </c>
    </row>
    <row r="8720" ht="15.75" customHeight="1">
      <c r="A8720" s="1" t="s">
        <v>25519</v>
      </c>
      <c r="B8720" s="1">
        <v>7.0</v>
      </c>
      <c r="C8720" s="1" t="s">
        <v>25520</v>
      </c>
      <c r="D8720" s="1" t="s">
        <v>8</v>
      </c>
      <c r="E8720" s="1" t="s">
        <v>25521</v>
      </c>
      <c r="F8720" s="1" t="str">
        <f>IFERROR(__xludf.DUMMYFUNCTION("GOOGLETRANSLATE(A8720, ""zh-CN"", ""ko"")"),"기절")</f>
        <v>기절</v>
      </c>
    </row>
    <row r="8721" ht="15.75" customHeight="1">
      <c r="A8721" s="1" t="s">
        <v>25522</v>
      </c>
      <c r="B8721" s="1">
        <v>7.0</v>
      </c>
      <c r="C8721" s="1" t="s">
        <v>25523</v>
      </c>
      <c r="D8721" s="1" t="s">
        <v>16</v>
      </c>
      <c r="E8721" s="1" t="s">
        <v>25524</v>
      </c>
      <c r="F8721" s="1" t="str">
        <f>IFERROR(__xludf.DUMMYFUNCTION("GOOGLETRANSLATE(A8721, ""zh-CN"", ""ko"")"),"큰 뜻")</f>
        <v>큰 뜻</v>
      </c>
    </row>
    <row r="8722" ht="15.75" customHeight="1">
      <c r="A8722" s="1" t="s">
        <v>25525</v>
      </c>
      <c r="B8722" s="1">
        <v>7.0</v>
      </c>
      <c r="C8722" s="1" t="s">
        <v>25526</v>
      </c>
      <c r="E8722" s="1" t="s">
        <v>25527</v>
      </c>
      <c r="F8722" s="1" t="str">
        <f>IFERROR(__xludf.DUMMYFUNCTION("GOOGLETRANSLATE(A8722, ""zh-CN"", ""ko"")"),"치유법")</f>
        <v>치유법</v>
      </c>
    </row>
    <row r="8723" ht="15.75" customHeight="1">
      <c r="A8723" s="1" t="s">
        <v>25528</v>
      </c>
      <c r="B8723" s="1">
        <v>7.0</v>
      </c>
      <c r="C8723" s="1" t="s">
        <v>25529</v>
      </c>
      <c r="D8723" s="1" t="s">
        <v>14917</v>
      </c>
      <c r="E8723" s="1" t="s">
        <v>7143</v>
      </c>
      <c r="F8723" s="1" t="str">
        <f>IFERROR(__xludf.DUMMYFUNCTION("GOOGLETRANSLATE(A8723, ""zh-CN"", ""ko"")"),"자원 봉사자")</f>
        <v>자원 봉사자</v>
      </c>
    </row>
    <row r="8724" ht="15.75" customHeight="1">
      <c r="A8724" s="1" t="s">
        <v>25530</v>
      </c>
      <c r="B8724" s="1">
        <v>7.0</v>
      </c>
      <c r="C8724" s="1" t="s">
        <v>25531</v>
      </c>
      <c r="D8724" s="1" t="s">
        <v>16</v>
      </c>
      <c r="E8724" s="1" t="s">
        <v>25532</v>
      </c>
      <c r="F8724" s="1" t="str">
        <f>IFERROR(__xludf.DUMMYFUNCTION("GOOGLETRANSLATE(A8724, ""zh-CN"", ""ko"")"),"벨")</f>
        <v>벨</v>
      </c>
    </row>
    <row r="8725" ht="15.75" customHeight="1">
      <c r="A8725" s="1" t="s">
        <v>25533</v>
      </c>
      <c r="B8725" s="1">
        <v>7.0</v>
      </c>
      <c r="C8725" s="1" t="s">
        <v>25534</v>
      </c>
      <c r="D8725" s="1" t="s">
        <v>16</v>
      </c>
      <c r="E8725" s="1" t="s">
        <v>25535</v>
      </c>
      <c r="F8725" s="1" t="str">
        <f>IFERROR(__xludf.DUMMYFUNCTION("GOOGLETRANSLATE(A8725, ""zh-CN"", ""ko"")"),"단말기")</f>
        <v>단말기</v>
      </c>
    </row>
    <row r="8726" ht="15.75" customHeight="1">
      <c r="A8726" s="1" t="s">
        <v>25536</v>
      </c>
      <c r="B8726" s="1">
        <v>7.0</v>
      </c>
      <c r="C8726" s="1" t="s">
        <v>25537</v>
      </c>
      <c r="D8726" s="1" t="s">
        <v>14870</v>
      </c>
      <c r="E8726" s="1" t="s">
        <v>25538</v>
      </c>
      <c r="F8726" s="1" t="str">
        <f>IFERROR(__xludf.DUMMYFUNCTION("GOOGLETRANSLATE(A8726, ""zh-CN"", ""ko"")"),"조언")</f>
        <v>조언</v>
      </c>
    </row>
    <row r="8727" ht="15.75" customHeight="1">
      <c r="A8727" s="1" t="s">
        <v>25539</v>
      </c>
      <c r="B8727" s="1">
        <v>7.0</v>
      </c>
      <c r="C8727" s="1" t="s">
        <v>25540</v>
      </c>
      <c r="D8727" s="1" t="s">
        <v>16</v>
      </c>
      <c r="E8727" s="1" t="s">
        <v>25541</v>
      </c>
      <c r="F8727" s="1" t="str">
        <f>IFERROR(__xludf.DUMMYFUNCTION("GOOGLETRANSLATE(A8727, ""zh-CN"", ""ko"")"),"궁극적인")</f>
        <v>궁극적인</v>
      </c>
    </row>
    <row r="8728" ht="15.75" customHeight="1">
      <c r="A8728" s="1" t="s">
        <v>25542</v>
      </c>
      <c r="B8728" s="1">
        <v>7.0</v>
      </c>
      <c r="C8728" s="1" t="s">
        <v>25543</v>
      </c>
      <c r="D8728" s="1" t="s">
        <v>8</v>
      </c>
      <c r="E8728" s="1" t="s">
        <v>25544</v>
      </c>
      <c r="F8728" s="1" t="str">
        <f>IFERROR(__xludf.DUMMYFUNCTION("GOOGLETRANSLATE(A8728, ""zh-CN"", ""ko"")"),"끝")</f>
        <v>끝</v>
      </c>
    </row>
    <row r="8729" ht="15.75" customHeight="1">
      <c r="A8729" s="1" t="s">
        <v>25545</v>
      </c>
      <c r="B8729" s="1">
        <v>7.0</v>
      </c>
      <c r="C8729" s="1" t="s">
        <v>25546</v>
      </c>
      <c r="D8729" s="1" t="s">
        <v>16</v>
      </c>
      <c r="E8729" s="1" t="s">
        <v>25547</v>
      </c>
      <c r="F8729" s="1" t="str">
        <f>IFERROR(__xludf.DUMMYFUNCTION("GOOGLETRANSLATE(A8729, ""zh-CN"", ""ko"")"),"평생")</f>
        <v>평생</v>
      </c>
    </row>
    <row r="8730" ht="15.75" customHeight="1">
      <c r="A8730" s="1" t="s">
        <v>25548</v>
      </c>
      <c r="B8730" s="1">
        <v>7.0</v>
      </c>
      <c r="C8730" s="1" t="s">
        <v>25549</v>
      </c>
      <c r="D8730" s="1" t="s">
        <v>16</v>
      </c>
      <c r="E8730" s="1" t="s">
        <v>25550</v>
      </c>
      <c r="F8730" s="1" t="str">
        <f>IFERROR(__xludf.DUMMYFUNCTION("GOOGLETRANSLATE(A8730, ""zh-CN"", ""ko"")"),"중간쯤")</f>
        <v>중간쯤</v>
      </c>
    </row>
    <row r="8731" ht="15.75" customHeight="1">
      <c r="A8731" s="1" t="s">
        <v>25551</v>
      </c>
      <c r="B8731" s="1">
        <v>7.0</v>
      </c>
      <c r="C8731" s="1" t="s">
        <v>7154</v>
      </c>
      <c r="D8731" s="1" t="s">
        <v>16</v>
      </c>
      <c r="E8731" s="1" t="s">
        <v>25552</v>
      </c>
      <c r="F8731" s="1" t="str">
        <f>IFERROR(__xludf.DUMMYFUNCTION("GOOGLETRANSLATE(A8731, ""zh-CN"", ""ko"")"),"충의")</f>
        <v>충의</v>
      </c>
    </row>
    <row r="8732" ht="15.75" customHeight="1">
      <c r="A8732" s="1" t="s">
        <v>25553</v>
      </c>
      <c r="B8732" s="1">
        <v>7.0</v>
      </c>
      <c r="C8732" s="1" t="s">
        <v>25554</v>
      </c>
      <c r="D8732" s="1" t="s">
        <v>15011</v>
      </c>
      <c r="E8732" s="1" t="s">
        <v>25555</v>
      </c>
      <c r="F8732" s="1" t="str">
        <f>IFERROR(__xludf.DUMMYFUNCTION("GOOGLETRANSLATE(A8732, ""zh-CN"", ""ko"")"),"중립적")</f>
        <v>중립적</v>
      </c>
    </row>
    <row r="8733" ht="15.75" customHeight="1">
      <c r="A8733" s="1" t="s">
        <v>25556</v>
      </c>
      <c r="B8733" s="1">
        <v>7.0</v>
      </c>
      <c r="C8733" s="1" t="s">
        <v>25557</v>
      </c>
      <c r="D8733" s="1" t="s">
        <v>16</v>
      </c>
      <c r="E8733" s="1" t="s">
        <v>25558</v>
      </c>
      <c r="F8733" s="1" t="str">
        <f>IFERROR(__xludf.DUMMYFUNCTION("GOOGLETRANSLATE(A8733, ""zh-CN"", ""ko"")"),"가운데")</f>
        <v>가운데</v>
      </c>
    </row>
    <row r="8734" ht="15.75" customHeight="1">
      <c r="A8734" s="1" t="s">
        <v>25559</v>
      </c>
      <c r="B8734" s="1">
        <v>7.0</v>
      </c>
      <c r="C8734" s="1" t="s">
        <v>25560</v>
      </c>
      <c r="D8734" s="1" t="s">
        <v>15011</v>
      </c>
      <c r="E8734" s="1" t="s">
        <v>25561</v>
      </c>
      <c r="F8734" s="1" t="str">
        <f>IFERROR(__xludf.DUMMYFUNCTION("GOOGLETRANSLATE(A8734, ""zh-CN"", ""ko"")"),"중용의 원칙")</f>
        <v>중용의 원칙</v>
      </c>
    </row>
    <row r="8735" ht="15.75" customHeight="1">
      <c r="A8735" s="1" t="s">
        <v>25562</v>
      </c>
      <c r="B8735" s="1">
        <v>7.0</v>
      </c>
      <c r="C8735" s="1" t="s">
        <v>1747</v>
      </c>
      <c r="D8735" s="1" t="s">
        <v>8</v>
      </c>
      <c r="E8735" s="1" t="s">
        <v>25563</v>
      </c>
      <c r="F8735" s="1" t="str">
        <f>IFERROR(__xludf.DUMMYFUNCTION("GOOGLETRANSLATE(A8735, ""zh-CN"", ""ko"")"),"충성스러운")</f>
        <v>충성스러운</v>
      </c>
    </row>
    <row r="8736" ht="15.75" customHeight="1">
      <c r="A8736" s="1" t="s">
        <v>25564</v>
      </c>
      <c r="B8736" s="1">
        <v>7.0</v>
      </c>
      <c r="C8736" s="1" t="s">
        <v>25565</v>
      </c>
      <c r="D8736" s="1" t="s">
        <v>52</v>
      </c>
      <c r="E8736" s="1" t="s">
        <v>25566</v>
      </c>
      <c r="F8736" s="1" t="str">
        <f>IFERROR(__xludf.DUMMYFUNCTION("GOOGLETRANSLATE(A8736, ""zh-CN"", ""ko"")"),"충의")</f>
        <v>충의</v>
      </c>
    </row>
    <row r="8737" ht="15.75" customHeight="1">
      <c r="A8737" s="1" t="s">
        <v>25567</v>
      </c>
      <c r="B8737" s="1">
        <v>7.0</v>
      </c>
      <c r="C8737" s="1" t="s">
        <v>14396</v>
      </c>
      <c r="D8737" s="1" t="s">
        <v>8</v>
      </c>
      <c r="E8737" s="1" t="s">
        <v>25568</v>
      </c>
      <c r="F8737" s="1" t="str">
        <f>IFERROR(__xludf.DUMMYFUNCTION("GOOGLETRANSLATE(A8737, ""zh-CN"", ""ko"")"),"중단하다")</f>
        <v>중단하다</v>
      </c>
    </row>
    <row r="8738" ht="15.75" customHeight="1">
      <c r="A8738" s="1" t="s">
        <v>25569</v>
      </c>
      <c r="B8738" s="1">
        <v>7.0</v>
      </c>
      <c r="C8738" s="1" t="s">
        <v>25570</v>
      </c>
      <c r="D8738" s="1" t="s">
        <v>8</v>
      </c>
      <c r="E8738" s="1" t="s">
        <v>25571</v>
      </c>
      <c r="F8738" s="1" t="str">
        <f>IFERROR(__xludf.DUMMYFUNCTION("GOOGLETRANSLATE(A8738, ""zh-CN"", ""ko"")"),"중재")</f>
        <v>중재</v>
      </c>
    </row>
    <row r="8739" ht="15.75" customHeight="1">
      <c r="A8739" s="1" t="s">
        <v>25572</v>
      </c>
      <c r="B8739" s="1">
        <v>7.0</v>
      </c>
      <c r="C8739" s="1" t="s">
        <v>25573</v>
      </c>
      <c r="D8739" s="1" t="s">
        <v>8</v>
      </c>
      <c r="E8739" s="1" t="s">
        <v>25574</v>
      </c>
      <c r="F8739" s="1" t="str">
        <f>IFERROR(__xludf.DUMMYFUNCTION("GOOGLETRANSLATE(A8739, ""zh-CN"", ""ko"")"),"심각한 손상")</f>
        <v>심각한 손상</v>
      </c>
    </row>
    <row r="8740" ht="15.75" customHeight="1">
      <c r="A8740" s="1" t="s">
        <v>25575</v>
      </c>
      <c r="B8740" s="1">
        <v>7.0</v>
      </c>
      <c r="C8740" s="1" t="s">
        <v>25576</v>
      </c>
      <c r="D8740" s="1" t="s">
        <v>52</v>
      </c>
      <c r="E8740" s="1" t="s">
        <v>25577</v>
      </c>
      <c r="F8740" s="1" t="str">
        <f>IFERROR(__xludf.DUMMYFUNCTION("GOOGLETRANSLATE(A8740, ""zh-CN"", ""ko"")"),"헤비급 선수")</f>
        <v>헤비급 선수</v>
      </c>
    </row>
    <row r="8741" ht="15.75" customHeight="1">
      <c r="A8741" s="1" t="s">
        <v>25578</v>
      </c>
      <c r="B8741" s="1">
        <v>7.0</v>
      </c>
      <c r="C8741" s="1" t="s">
        <v>25579</v>
      </c>
      <c r="D8741" s="1" t="s">
        <v>16</v>
      </c>
      <c r="E8741" s="1" t="s">
        <v>25580</v>
      </c>
      <c r="F8741" s="1" t="str">
        <f>IFERROR(__xludf.DUMMYFUNCTION("GOOGLETRANSLATE(A8741, ""zh-CN"", ""ko"")"),"막중한 책임")</f>
        <v>막중한 책임</v>
      </c>
    </row>
    <row r="8742" ht="15.75" customHeight="1">
      <c r="A8742" s="1" t="s">
        <v>25581</v>
      </c>
      <c r="B8742" s="1">
        <v>7.0</v>
      </c>
      <c r="C8742" s="1" t="s">
        <v>25582</v>
      </c>
      <c r="D8742" s="1" t="s">
        <v>52</v>
      </c>
      <c r="E8742" s="1" t="s">
        <v>25583</v>
      </c>
      <c r="F8742" s="1" t="str">
        <f>IFERROR(__xludf.DUMMYFUNCTION("GOOGLETRANSLATE(A8742, ""zh-CN"", ""ko"")"),"무거운")</f>
        <v>무거운</v>
      </c>
    </row>
    <row r="8743" ht="15.75" customHeight="1">
      <c r="A8743" s="1" t="s">
        <v>25584</v>
      </c>
      <c r="B8743" s="1">
        <v>7.0</v>
      </c>
      <c r="C8743" s="1" t="s">
        <v>25585</v>
      </c>
      <c r="D8743" s="1" t="s">
        <v>8</v>
      </c>
      <c r="E8743" s="1" t="s">
        <v>25586</v>
      </c>
      <c r="F8743" s="1" t="str">
        <f>IFERROR(__xludf.DUMMYFUNCTION("GOOGLETRANSLATE(A8743, ""zh-CN"", ""ko"")"),"재사용")</f>
        <v>재사용</v>
      </c>
    </row>
    <row r="8744" ht="15.75" customHeight="1">
      <c r="A8744" s="1" t="s">
        <v>25587</v>
      </c>
      <c r="B8744" s="1">
        <v>7.0</v>
      </c>
      <c r="C8744" s="1" t="s">
        <v>25588</v>
      </c>
      <c r="E8744" s="1" t="s">
        <v>25589</v>
      </c>
      <c r="F8744" s="1" t="str">
        <f>IFERROR(__xludf.DUMMYFUNCTION("GOOGLETRANSLATE(A8744, ""zh-CN"", ""ko"")"),"하나로 뭉쳐서")</f>
        <v>하나로 뭉쳐서</v>
      </c>
    </row>
    <row r="8745" ht="15.75" customHeight="1">
      <c r="A8745" s="1" t="s">
        <v>25590</v>
      </c>
      <c r="B8745" s="1">
        <v>7.0</v>
      </c>
      <c r="C8745" s="1" t="s">
        <v>25591</v>
      </c>
      <c r="E8745" s="1" t="s">
        <v>25592</v>
      </c>
      <c r="F8745" s="1" t="str">
        <f>IFERROR(__xludf.DUMMYFUNCTION("GOOGLETRANSLATE(A8745, ""zh-CN"", ""ko"")"),"가장 중요한")</f>
        <v>가장 중요한</v>
      </c>
    </row>
    <row r="8746" ht="15.75" customHeight="1">
      <c r="A8746" s="1" t="s">
        <v>25593</v>
      </c>
      <c r="B8746" s="1">
        <v>7.0</v>
      </c>
      <c r="C8746" s="1" t="s">
        <v>25594</v>
      </c>
      <c r="D8746" s="1" t="s">
        <v>16</v>
      </c>
      <c r="E8746" s="1" t="s">
        <v>25595</v>
      </c>
      <c r="F8746" s="1" t="str">
        <f>IFERROR(__xludf.DUMMYFUNCTION("GOOGLETRANSLATE(A8746, ""zh-CN"", ""ko"")"),"첫 번째 생일")</f>
        <v>첫 번째 생일</v>
      </c>
    </row>
    <row r="8747" ht="15.75" customHeight="1">
      <c r="A8747" s="1" t="s">
        <v>25596</v>
      </c>
      <c r="B8747" s="1">
        <v>7.0</v>
      </c>
      <c r="C8747" s="1" t="s">
        <v>25597</v>
      </c>
      <c r="D8747" s="1" t="s">
        <v>8</v>
      </c>
      <c r="E8747" s="1" t="s">
        <v>25598</v>
      </c>
      <c r="F8747" s="1" t="str">
        <f>IFERROR(__xludf.DUMMYFUNCTION("GOOGLETRANSLATE(A8747, ""zh-CN"", ""ko"")"),"처리하다")</f>
        <v>처리하다</v>
      </c>
    </row>
    <row r="8748" ht="15.75" customHeight="1">
      <c r="A8748" s="1" t="s">
        <v>25599</v>
      </c>
      <c r="B8748" s="1">
        <v>7.0</v>
      </c>
      <c r="C8748" s="1" t="s">
        <v>25600</v>
      </c>
      <c r="D8748" s="1" t="s">
        <v>14870</v>
      </c>
      <c r="E8748" s="1" t="s">
        <v>25601</v>
      </c>
      <c r="F8748" s="1" t="str">
        <f>IFERROR(__xludf.DUMMYFUNCTION("GOOGLETRANSLATE(A8748, ""zh-CN"", ""ko"")"),"멋진 생각")</f>
        <v>멋진 생각</v>
      </c>
    </row>
    <row r="8749" ht="15.75" customHeight="1">
      <c r="A8749" s="1" t="s">
        <v>25602</v>
      </c>
      <c r="B8749" s="1">
        <v>7.0</v>
      </c>
      <c r="C8749" s="1" t="s">
        <v>25603</v>
      </c>
      <c r="D8749" s="1" t="s">
        <v>33</v>
      </c>
      <c r="E8749" s="1" t="s">
        <v>25604</v>
      </c>
      <c r="F8749" s="1" t="str">
        <f>IFERROR(__xludf.DUMMYFUNCTION("GOOGLETRANSLATE(A8749, ""zh-CN"", ""ko"")"),"갑자기")</f>
        <v>갑자기</v>
      </c>
    </row>
    <row r="8750" ht="15.75" customHeight="1">
      <c r="A8750" s="1" t="s">
        <v>25605</v>
      </c>
      <c r="B8750" s="1">
        <v>7.0</v>
      </c>
      <c r="C8750" s="1" t="s">
        <v>25606</v>
      </c>
      <c r="D8750" s="1" t="s">
        <v>52</v>
      </c>
      <c r="E8750" s="1" t="s">
        <v>25607</v>
      </c>
      <c r="F8750" s="1" t="str">
        <f>IFERROR(__xludf.DUMMYFUNCTION("GOOGLETRANSLATE(A8750, ""zh-CN"", ""ko"")"),"빨간색")</f>
        <v>빨간색</v>
      </c>
    </row>
    <row r="8751" ht="15.75" customHeight="1">
      <c r="A8751" s="1" t="s">
        <v>25608</v>
      </c>
      <c r="B8751" s="1">
        <v>7.0</v>
      </c>
      <c r="C8751" s="1" t="s">
        <v>25609</v>
      </c>
      <c r="E8751" s="1" t="s">
        <v>25610</v>
      </c>
      <c r="F8751" s="1" t="str">
        <f>IFERROR(__xludf.DUMMYFUNCTION("GOOGLETRANSLATE(A8751, ""zh-CN"", ""ko"")"),"와 같은")</f>
        <v>와 같은</v>
      </c>
    </row>
    <row r="8752" ht="15.75" customHeight="1">
      <c r="A8752" s="1" t="s">
        <v>25611</v>
      </c>
      <c r="B8752" s="1">
        <v>7.0</v>
      </c>
      <c r="C8752" s="1" t="s">
        <v>25612</v>
      </c>
      <c r="D8752" s="1" t="s">
        <v>16</v>
      </c>
      <c r="E8752" s="1" t="s">
        <v>25613</v>
      </c>
      <c r="F8752" s="1" t="str">
        <f>IFERROR(__xludf.DUMMYFUNCTION("GOOGLETRANSLATE(A8752, ""zh-CN"", ""ko"")"),"대나무")</f>
        <v>대나무</v>
      </c>
    </row>
    <row r="8753" ht="15.75" customHeight="1">
      <c r="A8753" s="1" t="s">
        <v>25614</v>
      </c>
      <c r="B8753" s="1">
        <v>7.0</v>
      </c>
      <c r="C8753" s="1" t="s">
        <v>25615</v>
      </c>
      <c r="D8753" s="1" t="s">
        <v>33</v>
      </c>
      <c r="E8753" s="1" t="s">
        <v>25616</v>
      </c>
      <c r="F8753" s="1" t="str">
        <f>IFERROR(__xludf.DUMMYFUNCTION("GOOGLETRANSLATE(A8753, ""zh-CN"", ""ko"")"),"하나씩")</f>
        <v>하나씩</v>
      </c>
    </row>
    <row r="8754" ht="15.75" customHeight="1">
      <c r="A8754" s="1" t="s">
        <v>25617</v>
      </c>
      <c r="B8754" s="1">
        <v>7.0</v>
      </c>
      <c r="C8754" s="1" t="s">
        <v>25618</v>
      </c>
      <c r="D8754" s="1" t="s">
        <v>14917</v>
      </c>
      <c r="E8754" s="1" t="s">
        <v>25619</v>
      </c>
      <c r="F8754" s="1" t="str">
        <f>IFERROR(__xludf.DUMMYFUNCTION("GOOGLETRANSLATE(A8754, ""zh-CN"", ""ko"")"),"편집장")</f>
        <v>편집장</v>
      </c>
    </row>
    <row r="8755" ht="15.75" customHeight="1">
      <c r="A8755" s="1" t="s">
        <v>25620</v>
      </c>
      <c r="B8755" s="1">
        <v>7.0</v>
      </c>
      <c r="C8755" s="1" t="s">
        <v>25621</v>
      </c>
      <c r="D8755" s="1" t="s">
        <v>8</v>
      </c>
      <c r="E8755" s="1" t="s">
        <v>25622</v>
      </c>
      <c r="F8755" s="1" t="str">
        <f>IFERROR(__xludf.DUMMYFUNCTION("GOOGLETRANSLATE(A8755, ""zh-CN"", ""ko"")"),"기본")</f>
        <v>기본</v>
      </c>
    </row>
    <row r="8756" ht="15.75" customHeight="1">
      <c r="A8756" s="1" t="s">
        <v>25623</v>
      </c>
      <c r="B8756" s="1">
        <v>7.0</v>
      </c>
      <c r="C8756" s="1" t="s">
        <v>25624</v>
      </c>
      <c r="D8756" s="1" t="s">
        <v>16</v>
      </c>
      <c r="E8756" s="1" t="s">
        <v>25625</v>
      </c>
      <c r="F8756" s="1" t="str">
        <f>IFERROR(__xludf.DUMMYFUNCTION("GOOGLETRANSLATE(A8756, ""zh-CN"", ""ko"")"),"주력")</f>
        <v>주력</v>
      </c>
    </row>
    <row r="8757" ht="15.75" customHeight="1">
      <c r="A8757" s="1" t="s">
        <v>25626</v>
      </c>
      <c r="B8757" s="1">
        <v>7.0</v>
      </c>
      <c r="C8757" s="1" t="s">
        <v>25627</v>
      </c>
      <c r="D8757" s="1" t="s">
        <v>16</v>
      </c>
      <c r="E8757" s="1" t="s">
        <v>25628</v>
      </c>
      <c r="F8757" s="1" t="str">
        <f>IFERROR(__xludf.DUMMYFUNCTION("GOOGLETRANSLATE(A8757, ""zh-CN"", ""ko"")"),"주역")</f>
        <v>주역</v>
      </c>
    </row>
    <row r="8758" ht="15.75" customHeight="1">
      <c r="A8758" s="1" t="s">
        <v>25629</v>
      </c>
      <c r="B8758" s="1">
        <v>7.0</v>
      </c>
      <c r="C8758" s="1" t="s">
        <v>25630</v>
      </c>
      <c r="D8758" s="1" t="s">
        <v>16</v>
      </c>
      <c r="E8758" s="1" t="s">
        <v>25631</v>
      </c>
      <c r="F8758" s="1" t="str">
        <f>IFERROR(__xludf.DUMMYFUNCTION("GOOGLETRANSLATE(A8758, ""zh-CN"", ""ko"")"),"주제가")</f>
        <v>주제가</v>
      </c>
    </row>
    <row r="8759" ht="15.75" customHeight="1">
      <c r="A8759" s="1" t="s">
        <v>25632</v>
      </c>
      <c r="B8759" s="1">
        <v>7.0</v>
      </c>
      <c r="C8759" s="1" t="s">
        <v>25633</v>
      </c>
      <c r="D8759" s="1" t="s">
        <v>16</v>
      </c>
      <c r="E8759" s="1" t="s">
        <v>25634</v>
      </c>
      <c r="F8759" s="1" t="str">
        <f>IFERROR(__xludf.DUMMYFUNCTION("GOOGLETRANSLATE(A8759, ""zh-CN"", ""ko"")"),"본체")</f>
        <v>본체</v>
      </c>
    </row>
    <row r="8760" ht="15.75" customHeight="1">
      <c r="A8760" s="1" t="s">
        <v>25635</v>
      </c>
      <c r="B8760" s="1">
        <v>7.0</v>
      </c>
      <c r="C8760" s="1" t="s">
        <v>25636</v>
      </c>
      <c r="D8760" s="1" t="s">
        <v>8</v>
      </c>
      <c r="E8760" s="1" t="s">
        <v>25637</v>
      </c>
      <c r="F8760" s="1" t="str">
        <f>IFERROR(__xludf.DUMMYFUNCTION("GOOGLETRANSLATE(A8760, ""zh-CN"", ""ko"")"),"위탁")</f>
        <v>위탁</v>
      </c>
    </row>
    <row r="8761" ht="15.75" customHeight="1">
      <c r="A8761" s="1" t="s">
        <v>25638</v>
      </c>
      <c r="B8761" s="1">
        <v>7.0</v>
      </c>
      <c r="C8761" s="1" t="s">
        <v>25639</v>
      </c>
      <c r="D8761" s="1" t="s">
        <v>16</v>
      </c>
      <c r="E8761" s="1" t="s">
        <v>25640</v>
      </c>
      <c r="F8761" s="1" t="str">
        <f>IFERROR(__xludf.DUMMYFUNCTION("GOOGLETRANSLATE(A8761, ""zh-CN"", ""ko"")"),"홈페이지")</f>
        <v>홈페이지</v>
      </c>
    </row>
    <row r="8762" ht="15.75" customHeight="1">
      <c r="A8762" s="1" t="s">
        <v>25641</v>
      </c>
      <c r="B8762" s="1">
        <v>7.0</v>
      </c>
      <c r="C8762" s="1" t="s">
        <v>25642</v>
      </c>
      <c r="D8762" s="1" t="s">
        <v>14870</v>
      </c>
      <c r="E8762" s="1" t="s">
        <v>25643</v>
      </c>
      <c r="F8762" s="1" t="str">
        <f>IFERROR(__xludf.DUMMYFUNCTION("GOOGLETRANSLATE(A8762, ""zh-CN"", ""ko"")"),"빼어나게 솟다")</f>
        <v>빼어나게 솟다</v>
      </c>
    </row>
    <row r="8763" ht="15.75" customHeight="1">
      <c r="A8763" s="1" t="s">
        <v>25644</v>
      </c>
      <c r="B8763" s="1">
        <v>7.0</v>
      </c>
      <c r="C8763" s="1" t="s">
        <v>453</v>
      </c>
      <c r="D8763" s="1" t="s">
        <v>14917</v>
      </c>
      <c r="E8763" s="1" t="s">
        <v>25645</v>
      </c>
      <c r="F8763" s="1" t="str">
        <f>IFERROR(__xludf.DUMMYFUNCTION("GOOGLETRANSLATE(A8763, ""zh-CN"", ""ko"")"),"메모")</f>
        <v>메모</v>
      </c>
    </row>
    <row r="8764" ht="15.75" customHeight="1">
      <c r="A8764" s="1" t="s">
        <v>25646</v>
      </c>
      <c r="B8764" s="1">
        <v>7.0</v>
      </c>
      <c r="C8764" s="1" t="s">
        <v>453</v>
      </c>
      <c r="D8764" s="1" t="s">
        <v>8</v>
      </c>
      <c r="E8764" s="1" t="s">
        <v>25647</v>
      </c>
      <c r="F8764" s="1" t="str">
        <f>IFERROR(__xludf.DUMMYFUNCTION("GOOGLETRANSLATE(A8764, ""zh-CN"", ""ko"")"),"짓다")</f>
        <v>짓다</v>
      </c>
    </row>
    <row r="8765" ht="15.75" customHeight="1">
      <c r="A8765" s="1" t="s">
        <v>25648</v>
      </c>
      <c r="B8765" s="1">
        <v>7.0</v>
      </c>
      <c r="C8765" s="1" t="s">
        <v>453</v>
      </c>
      <c r="D8765" s="1" t="s">
        <v>8</v>
      </c>
      <c r="E8765" s="1" t="s">
        <v>25649</v>
      </c>
      <c r="F8765" s="1" t="str">
        <f>IFERROR(__xludf.DUMMYFUNCTION("GOOGLETRANSLATE(A8765, ""zh-CN"", ""ko"")"),"거주자")</f>
        <v>거주자</v>
      </c>
    </row>
    <row r="8766" ht="15.75" customHeight="1">
      <c r="A8766" s="1" t="s">
        <v>25650</v>
      </c>
      <c r="B8766" s="1">
        <v>7.0</v>
      </c>
      <c r="C8766" s="1" t="s">
        <v>25651</v>
      </c>
      <c r="D8766" s="1" t="s">
        <v>8</v>
      </c>
      <c r="E8766" s="1" t="s">
        <v>25652</v>
      </c>
      <c r="F8766" s="1" t="str">
        <f>IFERROR(__xludf.DUMMYFUNCTION("GOOGLETRANSLATE(A8766, ""zh-CN"", ""ko"")"),"저장")</f>
        <v>저장</v>
      </c>
    </row>
    <row r="8767" ht="15.75" customHeight="1">
      <c r="A8767" s="1" t="s">
        <v>25653</v>
      </c>
      <c r="B8767" s="1">
        <v>7.0</v>
      </c>
      <c r="C8767" s="1" t="s">
        <v>25654</v>
      </c>
      <c r="D8767" s="1" t="s">
        <v>8</v>
      </c>
      <c r="E8767" s="1" t="s">
        <v>25655</v>
      </c>
      <c r="F8767" s="1" t="str">
        <f>IFERROR(__xludf.DUMMYFUNCTION("GOOGLETRANSLATE(A8767, ""zh-CN"", ""ko"")"),"유명한")</f>
        <v>유명한</v>
      </c>
    </row>
    <row r="8768" ht="15.75" customHeight="1">
      <c r="A8768" s="1" t="s">
        <v>25656</v>
      </c>
      <c r="B8768" s="1">
        <v>7.0</v>
      </c>
      <c r="C8768" s="1" t="s">
        <v>25657</v>
      </c>
      <c r="D8768" s="1" t="s">
        <v>16</v>
      </c>
      <c r="E8768" s="1" t="s">
        <v>25658</v>
      </c>
      <c r="F8768" s="1" t="str">
        <f>IFERROR(__xludf.DUMMYFUNCTION("GOOGLETRANSLATE(A8768, ""zh-CN"", ""ko"")"),"거주")</f>
        <v>거주</v>
      </c>
    </row>
    <row r="8769" ht="15.75" customHeight="1">
      <c r="A8769" s="1" t="s">
        <v>25659</v>
      </c>
      <c r="B8769" s="1">
        <v>7.0</v>
      </c>
      <c r="C8769" s="1" t="s">
        <v>25660</v>
      </c>
      <c r="D8769" s="1" t="s">
        <v>8</v>
      </c>
      <c r="E8769" s="1" t="s">
        <v>25661</v>
      </c>
      <c r="F8769" s="1" t="str">
        <f>IFERROR(__xludf.DUMMYFUNCTION("GOOGLETRANSLATE(A8769, ""zh-CN"", ""ko"")"),"향하는")</f>
        <v>향하는</v>
      </c>
    </row>
    <row r="8770" ht="15.75" customHeight="1">
      <c r="A8770" s="1" t="s">
        <v>25662</v>
      </c>
      <c r="B8770" s="1">
        <v>7.0</v>
      </c>
      <c r="C8770" s="1" t="s">
        <v>25663</v>
      </c>
      <c r="D8770" s="1" t="s">
        <v>16</v>
      </c>
      <c r="E8770" s="1" t="s">
        <v>25664</v>
      </c>
      <c r="F8770" s="1" t="str">
        <f>IFERROR(__xludf.DUMMYFUNCTION("GOOGLETRANSLATE(A8770, ""zh-CN"", ""ko"")"),"주민들")</f>
        <v>주민들</v>
      </c>
    </row>
    <row r="8771" ht="15.75" customHeight="1">
      <c r="A8771" s="1" t="s">
        <v>25665</v>
      </c>
      <c r="B8771" s="1">
        <v>7.0</v>
      </c>
      <c r="C8771" s="1" t="s">
        <v>25666</v>
      </c>
      <c r="D8771" s="1" t="s">
        <v>14870</v>
      </c>
      <c r="E8771" s="1" t="s">
        <v>25667</v>
      </c>
      <c r="F8771" s="1" t="str">
        <f>IFERROR(__xludf.DUMMYFUNCTION("GOOGLETRANSLATE(A8771, ""zh-CN"", ""ko"")"),"보조")</f>
        <v>보조</v>
      </c>
    </row>
    <row r="8772" ht="15.75" customHeight="1">
      <c r="A8772" s="1" t="s">
        <v>25668</v>
      </c>
      <c r="B8772" s="1">
        <v>7.0</v>
      </c>
      <c r="C8772" s="1" t="s">
        <v>25669</v>
      </c>
      <c r="D8772" s="1" t="s">
        <v>8</v>
      </c>
      <c r="E8772" s="1" t="s">
        <v>25670</v>
      </c>
      <c r="F8772" s="1" t="str">
        <f>IFERROR(__xludf.DUMMYFUNCTION("GOOGLETRANSLATE(A8772, ""zh-CN"", ""ko"")"),"환호")</f>
        <v>환호</v>
      </c>
    </row>
    <row r="8773" ht="15.75" customHeight="1">
      <c r="A8773" s="1" t="s">
        <v>25671</v>
      </c>
      <c r="B8773" s="1">
        <v>7.0</v>
      </c>
      <c r="C8773" s="1" t="s">
        <v>25672</v>
      </c>
      <c r="D8773" s="1" t="s">
        <v>8</v>
      </c>
      <c r="E8773" s="1" t="s">
        <v>25673</v>
      </c>
      <c r="F8773" s="1" t="str">
        <f>IFERROR(__xludf.DUMMYFUNCTION("GOOGLETRANSLATE(A8773, ""zh-CN"", ""ko"")"),"해제")</f>
        <v>해제</v>
      </c>
    </row>
    <row r="8774" ht="15.75" customHeight="1">
      <c r="A8774" s="1" t="s">
        <v>25674</v>
      </c>
      <c r="B8774" s="1">
        <v>7.0</v>
      </c>
      <c r="C8774" s="1" t="s">
        <v>25675</v>
      </c>
      <c r="D8774" s="1" t="s">
        <v>16</v>
      </c>
      <c r="E8774" s="1" t="s">
        <v>25676</v>
      </c>
      <c r="F8774" s="1" t="str">
        <f>IFERROR(__xludf.DUMMYFUNCTION("GOOGLETRANSLATE(A8774, ""zh-CN"", ""ko"")"),"충치")</f>
        <v>충치</v>
      </c>
    </row>
    <row r="8775" ht="15.75" customHeight="1">
      <c r="A8775" s="1" t="s">
        <v>25677</v>
      </c>
      <c r="B8775" s="1">
        <v>7.0</v>
      </c>
      <c r="C8775" s="1" t="s">
        <v>25678</v>
      </c>
      <c r="D8775" s="1" t="s">
        <v>16</v>
      </c>
      <c r="E8775" s="1" t="s">
        <v>25679</v>
      </c>
      <c r="F8775" s="1" t="str">
        <f>IFERROR(__xludf.DUMMYFUNCTION("GOOGLETRANSLATE(A8775, ""zh-CN"", ""ko"")"),"기둥")</f>
        <v>기둥</v>
      </c>
    </row>
    <row r="8776" ht="15.75" customHeight="1">
      <c r="A8776" s="1" t="s">
        <v>25680</v>
      </c>
      <c r="B8776" s="1">
        <v>7.0</v>
      </c>
      <c r="C8776" s="1" t="s">
        <v>25681</v>
      </c>
      <c r="D8776" s="1" t="s">
        <v>8</v>
      </c>
      <c r="E8776" s="1" t="s">
        <v>25682</v>
      </c>
      <c r="F8776" s="1" t="str">
        <f>IFERROR(__xludf.DUMMYFUNCTION("GOOGLETRANSLATE(A8776, ""zh-CN"", ""ko"")"),"멈추다")</f>
        <v>멈추다</v>
      </c>
    </row>
    <row r="8777" ht="15.75" customHeight="1">
      <c r="A8777" s="1" t="s">
        <v>25683</v>
      </c>
      <c r="B8777" s="1">
        <v>7.0</v>
      </c>
      <c r="C8777" s="1" t="s">
        <v>25684</v>
      </c>
      <c r="D8777" s="1" t="s">
        <v>16</v>
      </c>
      <c r="E8777" s="1" t="s">
        <v>25685</v>
      </c>
      <c r="F8777" s="1" t="str">
        <f>IFERROR(__xludf.DUMMYFUNCTION("GOOGLETRANSLATE(A8777, ""zh-CN"", ""ko"")"),"발")</f>
        <v>발</v>
      </c>
    </row>
    <row r="8778" ht="15.75" customHeight="1">
      <c r="A8778" s="1" t="s">
        <v>25686</v>
      </c>
      <c r="B8778" s="1">
        <v>7.0</v>
      </c>
      <c r="C8778" s="1" t="s">
        <v>25687</v>
      </c>
      <c r="D8778" s="1" t="s">
        <v>16</v>
      </c>
      <c r="E8778" s="1" t="s">
        <v>25688</v>
      </c>
      <c r="F8778" s="1" t="str">
        <f>IFERROR(__xludf.DUMMYFUNCTION("GOOGLETRANSLATE(A8778, ""zh-CN"", ""ko"")"),"백화점")</f>
        <v>백화점</v>
      </c>
    </row>
    <row r="8779" ht="15.75" customHeight="1">
      <c r="A8779" s="1" t="s">
        <v>25689</v>
      </c>
      <c r="B8779" s="1">
        <v>7.0</v>
      </c>
      <c r="C8779" s="1" t="s">
        <v>25690</v>
      </c>
      <c r="D8779" s="1" t="s">
        <v>16</v>
      </c>
      <c r="E8779" s="1" t="s">
        <v>25691</v>
      </c>
      <c r="F8779" s="1" t="str">
        <f>IFERROR(__xludf.DUMMYFUNCTION("GOOGLETRANSLATE(A8779, ""zh-CN"", ""ko"")"),"앨범")</f>
        <v>앨범</v>
      </c>
    </row>
    <row r="8780" ht="15.75" customHeight="1">
      <c r="A8780" s="1" t="s">
        <v>25692</v>
      </c>
      <c r="B8780" s="1">
        <v>7.0</v>
      </c>
      <c r="C8780" s="1" t="s">
        <v>25693</v>
      </c>
      <c r="D8780" s="1" t="s">
        <v>16</v>
      </c>
      <c r="E8780" s="1" t="s">
        <v>25694</v>
      </c>
      <c r="F8780" s="1" t="str">
        <f>IFERROR(__xludf.DUMMYFUNCTION("GOOGLETRANSLATE(A8780, ""zh-CN"", ""ko"")"),"열")</f>
        <v>열</v>
      </c>
    </row>
    <row r="8781" ht="15.75" customHeight="1">
      <c r="A8781" s="1" t="s">
        <v>25695</v>
      </c>
      <c r="B8781" s="1">
        <v>7.0</v>
      </c>
      <c r="C8781" s="1" t="s">
        <v>25696</v>
      </c>
      <c r="D8781" s="1" t="s">
        <v>8</v>
      </c>
      <c r="E8781" s="1" t="s">
        <v>25697</v>
      </c>
      <c r="F8781" s="1" t="str">
        <f>IFERROR(__xludf.DUMMYFUNCTION("GOOGLETRANSLATE(A8781, ""zh-CN"", ""ko"")"),"전매권")</f>
        <v>전매권</v>
      </c>
    </row>
    <row r="8782" ht="15.75" customHeight="1">
      <c r="A8782" s="1" t="s">
        <v>25698</v>
      </c>
      <c r="B8782" s="1">
        <v>7.0</v>
      </c>
      <c r="C8782" s="1" t="s">
        <v>25699</v>
      </c>
      <c r="D8782" s="1" t="s">
        <v>16</v>
      </c>
      <c r="E8782" s="1" t="s">
        <v>25700</v>
      </c>
      <c r="F8782" s="1" t="str">
        <f>IFERROR(__xludf.DUMMYFUNCTION("GOOGLETRANSLATE(A8782, ""zh-CN"", ""ko"")"),"헌신적인 인력")</f>
        <v>헌신적인 인력</v>
      </c>
    </row>
    <row r="8783" ht="15.75" customHeight="1">
      <c r="A8783" s="1" t="s">
        <v>25701</v>
      </c>
      <c r="B8783" s="1">
        <v>7.0</v>
      </c>
      <c r="C8783" s="1" t="s">
        <v>25702</v>
      </c>
      <c r="D8783" s="1" t="s">
        <v>16</v>
      </c>
      <c r="E8783" s="1" t="s">
        <v>25703</v>
      </c>
      <c r="F8783" s="1" t="str">
        <f>IFERROR(__xludf.DUMMYFUNCTION("GOOGLETRANSLATE(A8783, ""zh-CN"", ""ko"")"),"특별 프로젝트")</f>
        <v>특별 프로젝트</v>
      </c>
    </row>
    <row r="8784" ht="15.75" customHeight="1">
      <c r="A8784" s="1" t="s">
        <v>25704</v>
      </c>
      <c r="B8784" s="1">
        <v>7.0</v>
      </c>
      <c r="C8784" s="1" t="s">
        <v>25705</v>
      </c>
      <c r="D8784" s="1" t="s">
        <v>16</v>
      </c>
      <c r="E8784" s="1" t="s">
        <v>25706</v>
      </c>
      <c r="F8784" s="1" t="str">
        <f>IFERROR(__xludf.DUMMYFUNCTION("GOOGLETRANSLATE(A8784, ""zh-CN"", ""ko"")"),"정규직")</f>
        <v>정규직</v>
      </c>
    </row>
    <row r="8785" ht="15.75" customHeight="1">
      <c r="A8785" s="1" t="s">
        <v>25707</v>
      </c>
      <c r="B8785" s="1">
        <v>7.0</v>
      </c>
      <c r="C8785" s="1" t="s">
        <v>25708</v>
      </c>
      <c r="D8785" s="1" t="s">
        <v>8</v>
      </c>
      <c r="E8785" s="1" t="s">
        <v>25709</v>
      </c>
      <c r="F8785" s="1" t="str">
        <f>IFERROR(__xludf.DUMMYFUNCTION("GOOGLETRANSLATE(A8785, ""zh-CN"", ""ko"")"),"독재적인")</f>
        <v>독재적인</v>
      </c>
    </row>
    <row r="8786" ht="15.75" customHeight="1">
      <c r="A8786" s="1" t="s">
        <v>25710</v>
      </c>
      <c r="B8786" s="1">
        <v>7.0</v>
      </c>
      <c r="C8786" s="1" t="s">
        <v>25711</v>
      </c>
      <c r="D8786" s="1" t="s">
        <v>16</v>
      </c>
      <c r="E8786" s="1" t="s">
        <v>25712</v>
      </c>
      <c r="F8786" s="1" t="str">
        <f>IFERROR(__xludf.DUMMYFUNCTION("GOOGLETRANSLATE(A8786, ""zh-CN"", ""ko"")"),"단행본")</f>
        <v>단행본</v>
      </c>
    </row>
    <row r="8787" ht="15.75" customHeight="1">
      <c r="A8787" s="1" t="s">
        <v>25713</v>
      </c>
      <c r="B8787" s="1">
        <v>7.0</v>
      </c>
      <c r="C8787" s="1" t="s">
        <v>25714</v>
      </c>
      <c r="D8787" s="1" t="s">
        <v>8</v>
      </c>
      <c r="E8787" s="1" t="s">
        <v>25715</v>
      </c>
      <c r="F8787" s="1" t="str">
        <f>IFERROR(__xludf.DUMMYFUNCTION("GOOGLETRANSLATE(A8787, ""zh-CN"", ""ko"")"),"방송")</f>
        <v>방송</v>
      </c>
    </row>
    <row r="8788" ht="15.75" customHeight="1">
      <c r="A8788" s="1" t="s">
        <v>25716</v>
      </c>
      <c r="B8788" s="1">
        <v>7.0</v>
      </c>
      <c r="C8788" s="1" t="s">
        <v>25717</v>
      </c>
      <c r="D8788" s="1" t="s">
        <v>8</v>
      </c>
      <c r="E8788" s="1" t="s">
        <v>25718</v>
      </c>
      <c r="F8788" s="1" t="str">
        <f>IFERROR(__xludf.DUMMYFUNCTION("GOOGLETRANSLATE(A8788, ""zh-CN"", ""ko"")"),"변환")</f>
        <v>변환</v>
      </c>
    </row>
    <row r="8789" ht="15.75" customHeight="1">
      <c r="A8789" s="1" t="s">
        <v>25719</v>
      </c>
      <c r="B8789" s="1">
        <v>7.0</v>
      </c>
      <c r="C8789" s="1" t="s">
        <v>25720</v>
      </c>
      <c r="D8789" s="1" t="s">
        <v>16</v>
      </c>
      <c r="E8789" s="1" t="s">
        <v>25721</v>
      </c>
      <c r="F8789" s="1" t="str">
        <f>IFERROR(__xludf.DUMMYFUNCTION("GOOGLETRANSLATE(A8789, ""zh-CN"", ""ko"")"),"전환점")</f>
        <v>전환점</v>
      </c>
    </row>
    <row r="8790" ht="15.75" customHeight="1">
      <c r="A8790" s="1" t="s">
        <v>25722</v>
      </c>
      <c r="B8790" s="1">
        <v>7.0</v>
      </c>
      <c r="C8790" s="1" t="s">
        <v>25723</v>
      </c>
      <c r="D8790" s="1" t="s">
        <v>8</v>
      </c>
      <c r="E8790" s="1" t="s">
        <v>15124</v>
      </c>
      <c r="F8790" s="1" t="str">
        <f>IFERROR(__xludf.DUMMYFUNCTION("GOOGLETRANSLATE(A8790, ""zh-CN"", ""ko"")"),"변환")</f>
        <v>변환</v>
      </c>
    </row>
    <row r="8791" ht="15.75" customHeight="1">
      <c r="A8791" s="1" t="s">
        <v>25724</v>
      </c>
      <c r="B8791" s="1">
        <v>7.0</v>
      </c>
      <c r="C8791" s="1" t="s">
        <v>25725</v>
      </c>
      <c r="D8791" s="1" t="s">
        <v>8</v>
      </c>
      <c r="E8791" s="1" t="s">
        <v>25726</v>
      </c>
      <c r="F8791" s="1" t="str">
        <f>IFERROR(__xludf.DUMMYFUNCTION("GOOGLETRANSLATE(A8791, ""zh-CN"", ""ko"")"),"눈 깜짝할 사이에")</f>
        <v>눈 깜짝할 사이에</v>
      </c>
    </row>
    <row r="8792" ht="15.75" customHeight="1">
      <c r="A8792" s="1" t="s">
        <v>25727</v>
      </c>
      <c r="B8792" s="1">
        <v>7.0</v>
      </c>
      <c r="C8792" s="1" t="s">
        <v>25728</v>
      </c>
      <c r="D8792" s="1" t="s">
        <v>8</v>
      </c>
      <c r="E8792" s="1" t="s">
        <v>25729</v>
      </c>
      <c r="F8792" s="1" t="str">
        <f>IFERROR(__xludf.DUMMYFUNCTION("GOOGLETRANSLATE(A8792, ""zh-CN"", ""ko"")"),"재인쇄됨")</f>
        <v>재인쇄됨</v>
      </c>
    </row>
    <row r="8793" ht="15.75" customHeight="1">
      <c r="A8793" s="1" t="s">
        <v>25730</v>
      </c>
      <c r="B8793" s="1">
        <v>7.0</v>
      </c>
      <c r="C8793" s="1" t="s">
        <v>25731</v>
      </c>
      <c r="D8793" s="1" t="s">
        <v>16</v>
      </c>
      <c r="E8793" s="1" t="s">
        <v>25732</v>
      </c>
      <c r="F8793" s="1" t="str">
        <f>IFERROR(__xludf.DUMMYFUNCTION("GOOGLETRANSLATE(A8793, ""zh-CN"", ""ko"")"),"전환점")</f>
        <v>전환점</v>
      </c>
    </row>
    <row r="8794" ht="15.75" customHeight="1">
      <c r="A8794" s="1" t="s">
        <v>25733</v>
      </c>
      <c r="B8794" s="1">
        <v>7.0</v>
      </c>
      <c r="C8794" s="1" t="s">
        <v>3492</v>
      </c>
      <c r="D8794" s="1" t="s">
        <v>16</v>
      </c>
      <c r="E8794" s="1" t="s">
        <v>25734</v>
      </c>
      <c r="F8794" s="1" t="str">
        <f>IFERROR(__xludf.DUMMYFUNCTION("GOOGLETRANSLATE(A8794, ""zh-CN"", ""ko"")"),"통과하다")</f>
        <v>통과하다</v>
      </c>
    </row>
    <row r="8795" ht="15.75" customHeight="1">
      <c r="A8795" s="1" t="s">
        <v>25735</v>
      </c>
      <c r="B8795" s="1">
        <v>7.0</v>
      </c>
      <c r="C8795" s="1" t="s">
        <v>25736</v>
      </c>
      <c r="D8795" s="1" t="s">
        <v>8</v>
      </c>
      <c r="E8795" s="1" t="s">
        <v>25737</v>
      </c>
      <c r="F8795" s="1" t="str">
        <f>IFERROR(__xludf.DUMMYFUNCTION("GOOGLETRANSLATE(A8795, ""zh-CN"", ""ko"")"),"쓰다")</f>
        <v>쓰다</v>
      </c>
    </row>
    <row r="8796" ht="15.75" customHeight="1">
      <c r="A8796" s="1" t="s">
        <v>25738</v>
      </c>
      <c r="B8796" s="1">
        <v>7.0</v>
      </c>
      <c r="C8796" s="1" t="s">
        <v>25739</v>
      </c>
      <c r="D8796" s="1" t="s">
        <v>8</v>
      </c>
      <c r="E8796" s="1" t="s">
        <v>25740</v>
      </c>
      <c r="F8796" s="1" t="str">
        <f>IFERROR(__xludf.DUMMYFUNCTION("GOOGLETRANSLATE(A8796, ""zh-CN"", ""ko"")"),"방랑")</f>
        <v>방랑</v>
      </c>
    </row>
    <row r="8797" ht="15.75" customHeight="1">
      <c r="A8797" s="1" t="s">
        <v>25741</v>
      </c>
      <c r="B8797" s="1">
        <v>7.0</v>
      </c>
      <c r="C8797" s="1" t="s">
        <v>7232</v>
      </c>
      <c r="D8797" s="1" t="s">
        <v>17233</v>
      </c>
      <c r="E8797" s="1" t="s">
        <v>25742</v>
      </c>
      <c r="F8797" s="1" t="str">
        <f>IFERROR(__xludf.DUMMYFUNCTION("GOOGLETRANSLATE(A8797, ""zh-CN"", ""ko"")"),"말뚝")</f>
        <v>말뚝</v>
      </c>
    </row>
    <row r="8798" ht="15.75" customHeight="1">
      <c r="A8798" s="1" t="s">
        <v>25743</v>
      </c>
      <c r="B8798" s="1">
        <v>7.0</v>
      </c>
      <c r="C8798" s="1" t="s">
        <v>25744</v>
      </c>
      <c r="D8798" s="1" t="s">
        <v>8</v>
      </c>
      <c r="E8798" s="1" t="s">
        <v>25745</v>
      </c>
      <c r="F8798" s="1" t="str">
        <f>IFERROR(__xludf.DUMMYFUNCTION("GOOGLETRANSLATE(A8798, ""zh-CN"", ""ko"")"),"옷을 입다")</f>
        <v>옷을 입다</v>
      </c>
    </row>
    <row r="8799" ht="15.75" customHeight="1">
      <c r="A8799" s="1" t="s">
        <v>25746</v>
      </c>
      <c r="B8799" s="1">
        <v>7.0</v>
      </c>
      <c r="C8799" s="1" t="s">
        <v>25747</v>
      </c>
      <c r="D8799" s="1" t="s">
        <v>16</v>
      </c>
      <c r="E8799" s="1" t="s">
        <v>25748</v>
      </c>
      <c r="F8799" s="1" t="str">
        <f>IFERROR(__xludf.DUMMYFUNCTION("GOOGLETRANSLATE(A8799, ""zh-CN"", ""ko"")"),"장원")</f>
        <v>장원</v>
      </c>
    </row>
    <row r="8800" ht="15.75" customHeight="1">
      <c r="A8800" s="1" t="s">
        <v>25749</v>
      </c>
      <c r="B8800" s="1">
        <v>7.0</v>
      </c>
      <c r="C8800" s="1" t="s">
        <v>25750</v>
      </c>
      <c r="D8800" s="1" t="s">
        <v>14870</v>
      </c>
      <c r="E8800" s="1" t="s">
        <v>25751</v>
      </c>
      <c r="F8800" s="1" t="str">
        <f>IFERROR(__xludf.DUMMYFUNCTION("GOOGLETRANSLATE(A8800, ""zh-CN"", ""ko"")"),"장치")</f>
        <v>장치</v>
      </c>
    </row>
    <row r="8801" ht="15.75" customHeight="1">
      <c r="A8801" s="1" t="s">
        <v>25752</v>
      </c>
      <c r="B8801" s="1">
        <v>7.0</v>
      </c>
      <c r="C8801" s="1" t="s">
        <v>7241</v>
      </c>
      <c r="D8801" s="1" t="s">
        <v>14742</v>
      </c>
      <c r="E8801" s="1" t="s">
        <v>25753</v>
      </c>
      <c r="F8801" s="1" t="str">
        <f>IFERROR(__xludf.DUMMYFUNCTION("GOOGLETRANSLATE(A8801, ""zh-CN"", ""ko"")"),"강한")</f>
        <v>강한</v>
      </c>
    </row>
    <row r="8802" ht="15.75" customHeight="1">
      <c r="A8802" s="1" t="s">
        <v>25754</v>
      </c>
      <c r="B8802" s="1">
        <v>7.0</v>
      </c>
      <c r="C8802" s="1" t="s">
        <v>25755</v>
      </c>
      <c r="D8802" s="1" t="s">
        <v>14735</v>
      </c>
      <c r="E8802" s="1" t="s">
        <v>25756</v>
      </c>
      <c r="F8802" s="1" t="str">
        <f>IFERROR(__xludf.DUMMYFUNCTION("GOOGLETRANSLATE(A8802, ""zh-CN"", ""ko"")"),"자라다")</f>
        <v>자라다</v>
      </c>
    </row>
    <row r="8803" ht="15.75" customHeight="1">
      <c r="A8803" s="1" t="s">
        <v>25757</v>
      </c>
      <c r="B8803" s="1">
        <v>7.0</v>
      </c>
      <c r="C8803" s="1" t="s">
        <v>25758</v>
      </c>
      <c r="D8803" s="1" t="s">
        <v>8</v>
      </c>
      <c r="E8803" s="1" t="s">
        <v>25759</v>
      </c>
      <c r="F8803" s="1" t="str">
        <f>IFERROR(__xludf.DUMMYFUNCTION("GOOGLETRANSLATE(A8803, ""zh-CN"", ""ko"")"),"영향")</f>
        <v>영향</v>
      </c>
    </row>
    <row r="8804" ht="15.75" customHeight="1">
      <c r="A8804" s="1" t="s">
        <v>25760</v>
      </c>
      <c r="B8804" s="1">
        <v>7.0</v>
      </c>
      <c r="C8804" s="1" t="s">
        <v>25761</v>
      </c>
      <c r="D8804" s="1" t="s">
        <v>16</v>
      </c>
      <c r="E8804" s="1" t="s">
        <v>25762</v>
      </c>
      <c r="F8804" s="1" t="str">
        <f>IFERROR(__xludf.DUMMYFUNCTION("GOOGLETRANSLATE(A8804, ""zh-CN"", ""ko"")"),"최우수 학생")</f>
        <v>최우수 학생</v>
      </c>
    </row>
    <row r="8805" ht="15.75" customHeight="1">
      <c r="A8805" s="1" t="s">
        <v>25763</v>
      </c>
      <c r="B8805" s="1">
        <v>7.0</v>
      </c>
      <c r="C8805" s="1" t="s">
        <v>25764</v>
      </c>
      <c r="D8805" s="1" t="s">
        <v>8</v>
      </c>
      <c r="E8805" s="1" t="s">
        <v>25765</v>
      </c>
      <c r="F8805" s="1" t="str">
        <f>IFERROR(__xludf.DUMMYFUNCTION("GOOGLETRANSLATE(A8805, ""zh-CN"", ""ko"")"),"뒤쫓다다")</f>
        <v>뒤쫓다다</v>
      </c>
    </row>
    <row r="8806" ht="15.75" customHeight="1">
      <c r="A8806" s="1" t="s">
        <v>25766</v>
      </c>
      <c r="B8806" s="1">
        <v>7.0</v>
      </c>
      <c r="C8806" s="1" t="s">
        <v>25767</v>
      </c>
      <c r="D8806" s="1" t="s">
        <v>8</v>
      </c>
      <c r="E8806" s="1" t="s">
        <v>25768</v>
      </c>
      <c r="F8806" s="1" t="str">
        <f>IFERROR(__xludf.DUMMYFUNCTION("GOOGLETRANSLATE(A8806, ""zh-CN"", ""ko"")"),"인기 있는")</f>
        <v>인기 있는</v>
      </c>
    </row>
    <row r="8807" ht="15.75" customHeight="1">
      <c r="A8807" s="1" t="s">
        <v>25769</v>
      </c>
      <c r="B8807" s="1">
        <v>7.0</v>
      </c>
      <c r="C8807" s="1" t="s">
        <v>25770</v>
      </c>
      <c r="D8807" s="1" t="s">
        <v>8</v>
      </c>
      <c r="E8807" s="1" t="s">
        <v>25771</v>
      </c>
      <c r="F8807" s="1" t="str">
        <f>IFERROR(__xludf.DUMMYFUNCTION("GOOGLETRANSLATE(A8807, ""zh-CN"", ""ko"")"),"트레이싱")</f>
        <v>트레이싱</v>
      </c>
    </row>
    <row r="8808" ht="15.75" customHeight="1">
      <c r="A8808" s="1" t="s">
        <v>25772</v>
      </c>
      <c r="B8808" s="1">
        <v>7.0</v>
      </c>
      <c r="C8808" s="1" t="s">
        <v>25773</v>
      </c>
      <c r="D8808" s="1" t="s">
        <v>8</v>
      </c>
      <c r="E8808" s="1" t="s">
        <v>25774</v>
      </c>
      <c r="F8808" s="1" t="str">
        <f>IFERROR(__xludf.DUMMYFUNCTION("GOOGLETRANSLATE(A8808, ""zh-CN"", ""ko"")"),"따르다")</f>
        <v>따르다</v>
      </c>
    </row>
    <row r="8809" ht="15.75" customHeight="1">
      <c r="A8809" s="1" t="s">
        <v>25775</v>
      </c>
      <c r="B8809" s="1">
        <v>7.0</v>
      </c>
      <c r="C8809" s="1" t="s">
        <v>25776</v>
      </c>
      <c r="D8809" s="1" t="s">
        <v>8</v>
      </c>
      <c r="E8809" s="1" t="s">
        <v>25777</v>
      </c>
      <c r="F8809" s="1" t="str">
        <f>IFERROR(__xludf.DUMMYFUNCTION("GOOGLETRANSLATE(A8809, ""zh-CN"", ""ko"")"),"후방 추돌 사고")</f>
        <v>후방 추돌 사고</v>
      </c>
    </row>
    <row r="8810" ht="15.75" customHeight="1">
      <c r="A8810" s="1" t="s">
        <v>25778</v>
      </c>
      <c r="B8810" s="1">
        <v>7.0</v>
      </c>
      <c r="C8810" s="1" t="s">
        <v>25779</v>
      </c>
      <c r="D8810" s="1" t="s">
        <v>8</v>
      </c>
      <c r="E8810" s="1" t="s">
        <v>25780</v>
      </c>
      <c r="F8810" s="1" t="str">
        <f>IFERROR(__xludf.DUMMYFUNCTION("GOOGLETRANSLATE(A8810, ""zh-CN"", ""ko"")"),"추가 질문")</f>
        <v>추가 질문</v>
      </c>
    </row>
    <row r="8811" ht="15.75" customHeight="1">
      <c r="A8811" s="1" t="s">
        <v>25781</v>
      </c>
      <c r="B8811" s="1">
        <v>7.0</v>
      </c>
      <c r="C8811" s="1" t="s">
        <v>25782</v>
      </c>
      <c r="D8811" s="1" t="s">
        <v>8</v>
      </c>
      <c r="E8811" s="1" t="s">
        <v>25783</v>
      </c>
      <c r="F8811" s="1" t="str">
        <f>IFERROR(__xludf.DUMMYFUNCTION("GOOGLETRANSLATE(A8811, ""zh-CN"", ""ko"")"),"뒤쫓다다")</f>
        <v>뒤쫓다다</v>
      </c>
    </row>
    <row r="8812" ht="15.75" customHeight="1">
      <c r="A8812" s="1" t="s">
        <v>25784</v>
      </c>
      <c r="B8812" s="1">
        <v>7.0</v>
      </c>
      <c r="C8812" s="1" t="s">
        <v>25785</v>
      </c>
      <c r="D8812" s="1" t="s">
        <v>8</v>
      </c>
      <c r="E8812" s="1" t="s">
        <v>25786</v>
      </c>
      <c r="F8812" s="1" t="str">
        <f>IFERROR(__xludf.DUMMYFUNCTION("GOOGLETRANSLATE(A8812, ""zh-CN"", ""ko"")"),"길")</f>
        <v>길</v>
      </c>
    </row>
    <row r="8813" ht="15.75" customHeight="1">
      <c r="A8813" s="1" t="s">
        <v>25787</v>
      </c>
      <c r="B8813" s="1">
        <v>7.0</v>
      </c>
      <c r="C8813" s="1" t="s">
        <v>25788</v>
      </c>
      <c r="D8813" s="1" t="s">
        <v>8</v>
      </c>
      <c r="E8813" s="1" t="s">
        <v>25789</v>
      </c>
      <c r="F8813" s="1" t="str">
        <f>IFERROR(__xludf.DUMMYFUNCTION("GOOGLETRANSLATE(A8813, ""zh-CN"", ""ko"")"),"내려오다")</f>
        <v>내려오다</v>
      </c>
    </row>
    <row r="8814" ht="15.75" customHeight="1">
      <c r="A8814" s="1" t="s">
        <v>25790</v>
      </c>
      <c r="B8814" s="1">
        <v>7.0</v>
      </c>
      <c r="C8814" s="1" t="s">
        <v>25791</v>
      </c>
      <c r="D8814" s="1" t="s">
        <v>8</v>
      </c>
      <c r="E8814" s="1" t="s">
        <v>25792</v>
      </c>
      <c r="F8814" s="1" t="str">
        <f>IFERROR(__xludf.DUMMYFUNCTION("GOOGLETRANSLATE(A8814, ""zh-CN"", ""ko"")"),"허용하다")</f>
        <v>허용하다</v>
      </c>
    </row>
    <row r="8815" ht="15.75" customHeight="1">
      <c r="A8815" s="1" t="s">
        <v>25793</v>
      </c>
      <c r="B8815" s="1">
        <v>7.0</v>
      </c>
      <c r="C8815" s="1" t="s">
        <v>25794</v>
      </c>
      <c r="D8815" s="1" t="s">
        <v>52</v>
      </c>
      <c r="E8815" s="1" t="s">
        <v>25795</v>
      </c>
      <c r="F8815" s="1" t="str">
        <f>IFERROR(__xludf.DUMMYFUNCTION("GOOGLETRANSLATE(A8815, ""zh-CN"", ""ko"")"),"어설픈")</f>
        <v>어설픈</v>
      </c>
    </row>
    <row r="8816" ht="15.75" customHeight="1">
      <c r="A8816" s="1" t="s">
        <v>25796</v>
      </c>
      <c r="B8816" s="1">
        <v>7.0</v>
      </c>
      <c r="C8816" s="1" t="s">
        <v>25797</v>
      </c>
      <c r="E8816" s="1" t="s">
        <v>25798</v>
      </c>
      <c r="F8816" s="1" t="str">
        <f>IFERROR(__xludf.DUMMYFUNCTION("GOOGLETRANSLATE(A8816, ""zh-CN"", ""ko"")"),"숨바꼭질")</f>
        <v>숨바꼭질</v>
      </c>
    </row>
    <row r="8817" ht="15.75" customHeight="1">
      <c r="A8817" s="1" t="s">
        <v>25799</v>
      </c>
      <c r="B8817" s="1">
        <v>7.0</v>
      </c>
      <c r="C8817" s="1" t="s">
        <v>25800</v>
      </c>
      <c r="D8817" s="1" t="s">
        <v>8</v>
      </c>
      <c r="E8817" s="1" t="s">
        <v>25801</v>
      </c>
      <c r="F8817" s="1" t="str">
        <f>IFERROR(__xludf.DUMMYFUNCTION("GOOGLETRANSLATE(A8817, ""zh-CN"", ""ko"")"),"집중하다")</f>
        <v>집중하다</v>
      </c>
    </row>
    <row r="8818" ht="15.75" customHeight="1">
      <c r="A8818" s="1" t="s">
        <v>25802</v>
      </c>
      <c r="B8818" s="1">
        <v>7.0</v>
      </c>
      <c r="C8818" s="1" t="s">
        <v>25803</v>
      </c>
      <c r="D8818" s="1" t="s">
        <v>16</v>
      </c>
      <c r="E8818" s="1" t="s">
        <v>25804</v>
      </c>
      <c r="F8818" s="1" t="str">
        <f>IFERROR(__xludf.DUMMYFUNCTION("GOOGLETRANSLATE(A8818, ""zh-CN"", ""ko"")"),"착륙")</f>
        <v>착륙</v>
      </c>
    </row>
    <row r="8819" ht="15.75" customHeight="1">
      <c r="A8819" s="1" t="s">
        <v>25805</v>
      </c>
      <c r="B8819" s="1">
        <v>7.0</v>
      </c>
      <c r="C8819" s="1" t="s">
        <v>25806</v>
      </c>
      <c r="D8819" s="1" t="s">
        <v>8</v>
      </c>
      <c r="E8819" s="1" t="s">
        <v>25807</v>
      </c>
      <c r="F8819" s="1" t="str">
        <f>IFERROR(__xludf.DUMMYFUNCTION("GOOGLETRANSLATE(A8819, ""zh-CN"", ""ko"")"),"적절한 경우")</f>
        <v>적절한 경우</v>
      </c>
    </row>
    <row r="8820" ht="15.75" customHeight="1">
      <c r="A8820" s="1" t="s">
        <v>25808</v>
      </c>
      <c r="B8820" s="1">
        <v>7.0</v>
      </c>
      <c r="C8820" s="1" t="s">
        <v>25809</v>
      </c>
      <c r="D8820" s="1" t="s">
        <v>52</v>
      </c>
      <c r="E8820" s="1" t="s">
        <v>25810</v>
      </c>
      <c r="F8820" s="1" t="str">
        <f>IFERROR(__xludf.DUMMYFUNCTION("GOOGLETRANSLATE(A8820, ""zh-CN"", ""ko"")"),"맹렬한")</f>
        <v>맹렬한</v>
      </c>
    </row>
    <row r="8821" ht="15.75" customHeight="1">
      <c r="A8821" s="1" t="s">
        <v>25811</v>
      </c>
      <c r="B8821" s="1">
        <v>7.0</v>
      </c>
      <c r="C8821" s="1" t="s">
        <v>25812</v>
      </c>
      <c r="D8821" s="1" t="s">
        <v>33</v>
      </c>
      <c r="E8821" s="1" t="s">
        <v>25813</v>
      </c>
      <c r="F8821" s="1" t="str">
        <f>IFERROR(__xludf.DUMMYFUNCTION("GOOGLETRANSLATE(A8821, ""zh-CN"", ""ko"")"),"물론")</f>
        <v>물론</v>
      </c>
    </row>
    <row r="8822" ht="15.75" customHeight="1">
      <c r="A8822" s="1" t="s">
        <v>25814</v>
      </c>
      <c r="B8822" s="1">
        <v>7.0</v>
      </c>
      <c r="C8822" s="1" t="s">
        <v>25815</v>
      </c>
      <c r="D8822" s="1" t="s">
        <v>8</v>
      </c>
      <c r="E8822" s="1" t="s">
        <v>25816</v>
      </c>
      <c r="F8822" s="1" t="str">
        <f>IFERROR(__xludf.DUMMYFUNCTION("GOOGLETRANSLATE(A8822, ""zh-CN"", ""ko"")"),"집중하세요")</f>
        <v>집중하세요</v>
      </c>
    </row>
    <row r="8823" ht="15.75" customHeight="1">
      <c r="A8823" s="1" t="s">
        <v>25817</v>
      </c>
      <c r="B8823" s="1">
        <v>7.0</v>
      </c>
      <c r="C8823" s="1" t="s">
        <v>25818</v>
      </c>
      <c r="D8823" s="1" t="s">
        <v>52</v>
      </c>
      <c r="E8823" s="1" t="s">
        <v>25819</v>
      </c>
      <c r="F8823" s="1" t="str">
        <f>IFERROR(__xludf.DUMMYFUNCTION("GOOGLETRANSLATE(A8823, ""zh-CN"", ""ko"")"),"번성하는")</f>
        <v>번성하는</v>
      </c>
    </row>
    <row r="8824" ht="15.75" customHeight="1">
      <c r="A8824" s="1" t="s">
        <v>25820</v>
      </c>
      <c r="B8824" s="1">
        <v>7.0</v>
      </c>
      <c r="C8824" s="1" t="s">
        <v>25821</v>
      </c>
      <c r="D8824" s="1" t="s">
        <v>88</v>
      </c>
      <c r="E8824" s="1" t="s">
        <v>25822</v>
      </c>
      <c r="F8824" s="1" t="str">
        <f>IFERROR(__xludf.DUMMYFUNCTION("GOOGLETRANSLATE(A8824, ""zh-CN"", ""ko"")"),"여기")</f>
        <v>여기</v>
      </c>
    </row>
    <row r="8825" ht="15.75" customHeight="1">
      <c r="A8825" s="1" t="s">
        <v>25823</v>
      </c>
      <c r="B8825" s="1">
        <v>7.0</v>
      </c>
      <c r="C8825" s="1" t="s">
        <v>25824</v>
      </c>
      <c r="E8825" s="1" t="s">
        <v>25825</v>
      </c>
      <c r="F8825" s="1" t="str">
        <f>IFERROR(__xludf.DUMMYFUNCTION("GOOGLETRANSLATE(A8825, ""zh-CN"", ""ko"")"),"자본주의")</f>
        <v>자본주의</v>
      </c>
    </row>
    <row r="8826" ht="15.75" customHeight="1">
      <c r="A8826" s="1" t="s">
        <v>25826</v>
      </c>
      <c r="B8826" s="1">
        <v>7.0</v>
      </c>
      <c r="C8826" s="1" t="s">
        <v>25827</v>
      </c>
      <c r="D8826" s="1" t="s">
        <v>16</v>
      </c>
      <c r="E8826" s="1" t="s">
        <v>25828</v>
      </c>
      <c r="F8826" s="1" t="str">
        <f>IFERROR(__xludf.DUMMYFUNCTION("GOOGLETRANSLATE(A8826, ""zh-CN"", ""ko"")"),"자격")</f>
        <v>자격</v>
      </c>
    </row>
    <row r="8827" ht="15.75" customHeight="1">
      <c r="A8827" s="1" t="s">
        <v>25829</v>
      </c>
      <c r="B8827" s="1">
        <v>7.0</v>
      </c>
      <c r="C8827" s="1" t="s">
        <v>25830</v>
      </c>
      <c r="D8827" s="1" t="s">
        <v>8</v>
      </c>
      <c r="E8827" s="1" t="s">
        <v>25831</v>
      </c>
      <c r="F8827" s="1" t="str">
        <f>IFERROR(__xludf.DUMMYFUNCTION("GOOGLETRANSLATE(A8827, ""zh-CN"", ""ko"")"),"증식하다")</f>
        <v>증식하다</v>
      </c>
    </row>
    <row r="8828" ht="15.75" customHeight="1">
      <c r="A8828" s="1" t="s">
        <v>25832</v>
      </c>
      <c r="B8828" s="1">
        <v>7.0</v>
      </c>
      <c r="C8828" s="1" t="s">
        <v>25833</v>
      </c>
      <c r="D8828" s="1" t="s">
        <v>16</v>
      </c>
      <c r="E8828" s="1" t="s">
        <v>25834</v>
      </c>
      <c r="F8828" s="1" t="str">
        <f>IFERROR(__xludf.DUMMYFUNCTION("GOOGLETRANSLATE(A8828, ""zh-CN"", ""ko"")"),"정보")</f>
        <v>정보</v>
      </c>
    </row>
    <row r="8829" ht="15.75" customHeight="1">
      <c r="A8829" s="1" t="s">
        <v>25835</v>
      </c>
      <c r="B8829" s="1">
        <v>7.0</v>
      </c>
      <c r="C8829" s="1" t="s">
        <v>25836</v>
      </c>
      <c r="D8829" s="1" t="s">
        <v>16</v>
      </c>
      <c r="E8829" s="1" t="s">
        <v>25837</v>
      </c>
      <c r="F8829" s="1" t="str">
        <f>IFERROR(__xludf.DUMMYFUNCTION("GOOGLETRANSLATE(A8829, ""zh-CN"", ""ko"")"),"자격")</f>
        <v>자격</v>
      </c>
    </row>
    <row r="8830" ht="15.75" customHeight="1">
      <c r="A8830" s="1" t="s">
        <v>25838</v>
      </c>
      <c r="B8830" s="1">
        <v>7.0</v>
      </c>
      <c r="C8830" s="1" t="s">
        <v>7273</v>
      </c>
      <c r="D8830" s="1" t="s">
        <v>16</v>
      </c>
      <c r="E8830" s="1" t="s">
        <v>25839</v>
      </c>
      <c r="F8830" s="1" t="str">
        <f>IFERROR(__xludf.DUMMYFUNCTION("GOOGLETRANSLATE(A8830, ""zh-CN"", ""ko"")"),"씨앗")</f>
        <v>씨앗</v>
      </c>
    </row>
    <row r="8831" ht="15.75" customHeight="1">
      <c r="A8831" s="1" t="s">
        <v>25840</v>
      </c>
      <c r="B8831" s="1">
        <v>7.0</v>
      </c>
      <c r="C8831" s="1" t="s">
        <v>25841</v>
      </c>
      <c r="D8831" s="1" t="s">
        <v>16</v>
      </c>
      <c r="E8831" s="1" t="s">
        <v>25842</v>
      </c>
      <c r="F8831" s="1" t="str">
        <f>IFERROR(__xludf.DUMMYFUNCTION("GOOGLETRANSLATE(A8831, ""zh-CN"", ""ko"")"),"어린이들")</f>
        <v>어린이들</v>
      </c>
    </row>
    <row r="8832" ht="15.75" customHeight="1">
      <c r="A8832" s="1" t="s">
        <v>25843</v>
      </c>
      <c r="B8832" s="1">
        <v>7.0</v>
      </c>
      <c r="C8832" s="1" t="s">
        <v>25844</v>
      </c>
      <c r="D8832" s="1" t="s">
        <v>16</v>
      </c>
      <c r="E8832" s="1" t="s">
        <v>25845</v>
      </c>
      <c r="F8832" s="1" t="str">
        <f>IFERROR(__xludf.DUMMYFUNCTION("GOOGLETRANSLATE(A8832, ""zh-CN"", ""ko"")"),"자손")</f>
        <v>자손</v>
      </c>
    </row>
    <row r="8833" ht="15.75" customHeight="1">
      <c r="A8833" s="1" t="s">
        <v>25846</v>
      </c>
      <c r="B8833" s="1">
        <v>7.0</v>
      </c>
      <c r="C8833" s="1" t="s">
        <v>25847</v>
      </c>
      <c r="D8833" s="1" t="s">
        <v>8</v>
      </c>
      <c r="E8833" s="1" t="s">
        <v>25848</v>
      </c>
      <c r="F8833" s="1" t="str">
        <f>IFERROR(__xludf.DUMMYFUNCTION("GOOGLETRANSLATE(A8833, ""zh-CN"", ""ko"")"),"스스로를 자칭하는")</f>
        <v>스스로를 자칭하는</v>
      </c>
    </row>
    <row r="8834" ht="15.75" customHeight="1">
      <c r="A8834" s="1" t="s">
        <v>25849</v>
      </c>
      <c r="B8834" s="1">
        <v>7.0</v>
      </c>
      <c r="C8834" s="1" t="s">
        <v>25850</v>
      </c>
      <c r="D8834" s="1" t="s">
        <v>8</v>
      </c>
      <c r="E8834" s="1" t="s">
        <v>25851</v>
      </c>
      <c r="F8834" s="1" t="str">
        <f>IFERROR(__xludf.DUMMYFUNCTION("GOOGLETRANSLATE(A8834, ""zh-CN"", ""ko"")"),"자비 부담")</f>
        <v>자비 부담</v>
      </c>
    </row>
    <row r="8835" ht="15.75" customHeight="1">
      <c r="A8835" s="1" t="s">
        <v>25852</v>
      </c>
      <c r="B8835" s="1">
        <v>7.0</v>
      </c>
      <c r="C8835" s="1" t="s">
        <v>25853</v>
      </c>
      <c r="D8835" s="1" t="s">
        <v>52</v>
      </c>
      <c r="E8835" s="1" t="s">
        <v>25854</v>
      </c>
      <c r="F8835" s="1" t="str">
        <f>IFERROR(__xludf.DUMMYFUNCTION("GOOGLETRANSLATE(A8835, ""zh-CN"", ""ko"")"),"자만심이 강한")</f>
        <v>자만심이 강한</v>
      </c>
    </row>
    <row r="8836" ht="15.75" customHeight="1">
      <c r="A8836" s="1" t="s">
        <v>25855</v>
      </c>
      <c r="B8836" s="1">
        <v>7.0</v>
      </c>
      <c r="C8836" s="1" t="s">
        <v>25856</v>
      </c>
      <c r="D8836" s="1" t="s">
        <v>16</v>
      </c>
      <c r="E8836" s="1" t="s">
        <v>25857</v>
      </c>
      <c r="F8836" s="1" t="str">
        <f>IFERROR(__xludf.DUMMYFUNCTION("GOOGLETRANSLATE(A8836, ""zh-CN"", ""ko"")"),"필적")</f>
        <v>필적</v>
      </c>
    </row>
    <row r="8837" ht="15.75" customHeight="1">
      <c r="A8837" s="1" t="s">
        <v>25858</v>
      </c>
      <c r="B8837" s="1">
        <v>7.0</v>
      </c>
      <c r="C8837" s="1" t="s">
        <v>25859</v>
      </c>
      <c r="D8837" s="1" t="s">
        <v>8</v>
      </c>
      <c r="E8837" s="1" t="s">
        <v>25860</v>
      </c>
      <c r="F8837" s="1" t="str">
        <f>IFERROR(__xludf.DUMMYFUNCTION("GOOGLETRANSLATE(A8837, ""zh-CN"", ""ko"")"),"자가 관리")</f>
        <v>자가 관리</v>
      </c>
    </row>
    <row r="8838" ht="15.75" customHeight="1">
      <c r="A8838" s="1" t="s">
        <v>25861</v>
      </c>
      <c r="B8838" s="1">
        <v>7.0</v>
      </c>
      <c r="C8838" s="1" t="s">
        <v>25862</v>
      </c>
      <c r="D8838" s="1" t="s">
        <v>8</v>
      </c>
      <c r="E8838" s="1" t="s">
        <v>25863</v>
      </c>
      <c r="F8838" s="1" t="str">
        <f>IFERROR(__xludf.DUMMYFUNCTION("GOOGLETRANSLATE(A8838, ""zh-CN"", ""ko"")"),"자립심")</f>
        <v>자립심</v>
      </c>
    </row>
    <row r="8839" ht="15.75" customHeight="1">
      <c r="A8839" s="1" t="s">
        <v>25864</v>
      </c>
      <c r="B8839" s="1">
        <v>7.0</v>
      </c>
      <c r="C8839" s="1" t="s">
        <v>25865</v>
      </c>
      <c r="E8839" s="1" t="s">
        <v>25866</v>
      </c>
      <c r="F8839" s="1" t="str">
        <f>IFERROR(__xludf.DUMMYFUNCTION("GOOGLETRANSLATE(A8839, ""zh-CN"", ""ko"")"),"자기계발을 위해 노력하십시오")</f>
        <v>자기계발을 위해 노력하십시오</v>
      </c>
    </row>
    <row r="8840" ht="15.75" customHeight="1">
      <c r="A8840" s="1" t="s">
        <v>25867</v>
      </c>
      <c r="B8840" s="1">
        <v>7.0</v>
      </c>
      <c r="C8840" s="1" t="s">
        <v>25868</v>
      </c>
      <c r="E8840" s="1" t="s">
        <v>25869</v>
      </c>
      <c r="F8840" s="1" t="str">
        <f>IFERROR(__xludf.DUMMYFUNCTION("GOOGLETRANSLATE(A8840, ""zh-CN"", ""ko"")"),"당연히")</f>
        <v>당연히</v>
      </c>
    </row>
    <row r="8841" ht="15.75" customHeight="1">
      <c r="A8841" s="1" t="s">
        <v>25870</v>
      </c>
      <c r="B8841" s="1">
        <v>7.0</v>
      </c>
      <c r="C8841" s="1" t="s">
        <v>25871</v>
      </c>
      <c r="D8841" s="1" t="s">
        <v>16</v>
      </c>
      <c r="E8841" s="1" t="s">
        <v>25872</v>
      </c>
      <c r="F8841" s="1" t="str">
        <f>IFERROR(__xludf.DUMMYFUNCTION("GOOGLETRANSLATE(A8841, ""zh-CN"", ""ko"")"),"자연")</f>
        <v>자연</v>
      </c>
    </row>
    <row r="8842" ht="15.75" customHeight="1">
      <c r="A8842" s="1" t="s">
        <v>25873</v>
      </c>
      <c r="B8842" s="1">
        <v>7.0</v>
      </c>
      <c r="C8842" s="1" t="s">
        <v>25874</v>
      </c>
      <c r="D8842" s="1" t="s">
        <v>52</v>
      </c>
      <c r="E8842" s="1" t="s">
        <v>25875</v>
      </c>
      <c r="F8842" s="1" t="str">
        <f>IFERROR(__xludf.DUMMYFUNCTION("GOOGLETRANSLATE(A8842, ""zh-CN"", ""ko"")"),"자유로이")</f>
        <v>자유로이</v>
      </c>
    </row>
    <row r="8843" ht="15.75" customHeight="1">
      <c r="A8843" s="1" t="s">
        <v>25876</v>
      </c>
      <c r="B8843" s="1">
        <v>7.0</v>
      </c>
      <c r="C8843" s="1" t="s">
        <v>25877</v>
      </c>
      <c r="E8843" s="1" t="s">
        <v>25878</v>
      </c>
      <c r="F8843" s="1" t="str">
        <f>IFERROR(__xludf.DUMMYFUNCTION("GOOGLETRANSLATE(A8843, ""zh-CN"", ""ko"")"),"처음부터 끝까지")</f>
        <v>처음부터 끝까지</v>
      </c>
    </row>
    <row r="8844" ht="15.75" customHeight="1">
      <c r="A8844" s="1" t="s">
        <v>25879</v>
      </c>
      <c r="B8844" s="1">
        <v>7.0</v>
      </c>
      <c r="C8844" s="1" t="s">
        <v>25880</v>
      </c>
      <c r="D8844" s="1" t="s">
        <v>8</v>
      </c>
      <c r="E8844" s="1" t="s">
        <v>25881</v>
      </c>
      <c r="F8844" s="1" t="str">
        <f>IFERROR(__xludf.DUMMYFUNCTION("GOOGLETRANSLATE(A8844, ""zh-CN"", ""ko"")"),"항복")</f>
        <v>항복</v>
      </c>
    </row>
    <row r="8845" ht="15.75" customHeight="1">
      <c r="A8845" s="1" t="s">
        <v>25882</v>
      </c>
      <c r="B8845" s="1">
        <v>7.0</v>
      </c>
      <c r="C8845" s="1" t="s">
        <v>25883</v>
      </c>
      <c r="D8845" s="1" t="s">
        <v>16</v>
      </c>
      <c r="E8845" s="1" t="s">
        <v>25884</v>
      </c>
      <c r="F8845" s="1" t="str">
        <f>IFERROR(__xludf.DUMMYFUNCTION("GOOGLETRANSLATE(A8845, ""zh-CN"", ""ko"")"),"세례반")</f>
        <v>세례반</v>
      </c>
    </row>
    <row r="8846" ht="15.75" customHeight="1">
      <c r="A8846" s="1" t="s">
        <v>25885</v>
      </c>
      <c r="B8846" s="1">
        <v>7.0</v>
      </c>
      <c r="C8846" s="1" t="s">
        <v>25886</v>
      </c>
      <c r="D8846" s="1" t="s">
        <v>8</v>
      </c>
      <c r="E8846" s="1" t="s">
        <v>25887</v>
      </c>
      <c r="F8846" s="1" t="str">
        <f>IFERROR(__xludf.DUMMYFUNCTION("GOOGLETRANSLATE(A8846, ""zh-CN"", ""ko"")"),"자기방어")</f>
        <v>자기방어</v>
      </c>
    </row>
    <row r="8847" ht="15.75" customHeight="1">
      <c r="A8847" s="1" t="s">
        <v>25888</v>
      </c>
      <c r="B8847" s="1">
        <v>7.0</v>
      </c>
      <c r="C8847" s="1" t="s">
        <v>25889</v>
      </c>
      <c r="E8847" s="1" t="s">
        <v>25890</v>
      </c>
      <c r="F8847" s="1" t="str">
        <f>IFERROR(__xludf.DUMMYFUNCTION("GOOGLETRANSLATE(A8847, ""zh-CN"", ""ko"")"),"자기모순적인")</f>
        <v>자기모순적인</v>
      </c>
    </row>
    <row r="8848" ht="15.75" customHeight="1">
      <c r="A8848" s="1" t="s">
        <v>25891</v>
      </c>
      <c r="B8848" s="1">
        <v>7.0</v>
      </c>
      <c r="C8848" s="1" t="s">
        <v>25892</v>
      </c>
      <c r="D8848" s="1" t="s">
        <v>33</v>
      </c>
      <c r="E8848" s="1" t="s">
        <v>25893</v>
      </c>
      <c r="F8848" s="1" t="str">
        <f>IFERROR(__xludf.DUMMYFUNCTION("GOOGLETRANSLATE(A8848, ""zh-CN"", ""ko"")"),"본인")</f>
        <v>본인</v>
      </c>
    </row>
    <row r="8849" ht="15.75" customHeight="1">
      <c r="A8849" s="1" t="s">
        <v>25894</v>
      </c>
      <c r="B8849" s="1">
        <v>7.0</v>
      </c>
      <c r="C8849" s="1" t="s">
        <v>25895</v>
      </c>
      <c r="D8849" s="1" t="s">
        <v>16</v>
      </c>
      <c r="E8849" s="1" t="s">
        <v>25896</v>
      </c>
      <c r="F8849" s="1" t="str">
        <f>IFERROR(__xludf.DUMMYFUNCTION("GOOGLETRANSLATE(A8849, ""zh-CN"", ""ko"")"),"단어")</f>
        <v>단어</v>
      </c>
    </row>
    <row r="8850" ht="15.75" customHeight="1">
      <c r="A8850" s="1" t="s">
        <v>25897</v>
      </c>
      <c r="B8850" s="1">
        <v>7.0</v>
      </c>
      <c r="C8850" s="1" t="s">
        <v>25898</v>
      </c>
      <c r="E8850" s="1" t="s">
        <v>25899</v>
      </c>
      <c r="F8850" s="1" t="str">
        <f>IFERROR(__xludf.DUMMYFUNCTION("GOOGLETRANSLATE(A8850, ""zh-CN"", ""ko"")"),"독단적인")</f>
        <v>독단적인</v>
      </c>
    </row>
    <row r="8851" ht="15.75" customHeight="1">
      <c r="A8851" s="1" t="s">
        <v>25900</v>
      </c>
      <c r="B8851" s="1">
        <v>7.0</v>
      </c>
      <c r="C8851" s="1" t="s">
        <v>25901</v>
      </c>
      <c r="D8851" s="1" t="s">
        <v>52</v>
      </c>
      <c r="E8851" s="1" t="s">
        <v>25902</v>
      </c>
      <c r="F8851" s="1" t="str">
        <f>IFERROR(__xludf.DUMMYFUNCTION("GOOGLETRANSLATE(A8851, ""zh-CN"", ""ko"")"),"편안한")</f>
        <v>편안한</v>
      </c>
    </row>
    <row r="8852" ht="15.75" customHeight="1">
      <c r="A8852" s="1" t="s">
        <v>25903</v>
      </c>
      <c r="B8852" s="1">
        <v>7.0</v>
      </c>
      <c r="C8852" s="1" t="s">
        <v>25904</v>
      </c>
      <c r="D8852" s="1" t="s">
        <v>8</v>
      </c>
      <c r="E8852" s="1" t="s">
        <v>25905</v>
      </c>
      <c r="F8852" s="1" t="str">
        <f>IFERROR(__xludf.DUMMYFUNCTION("GOOGLETRANSLATE(A8852, ""zh-CN"", ""ko"")"),"자책")</f>
        <v>자책</v>
      </c>
    </row>
    <row r="8853" ht="15.75" customHeight="1">
      <c r="A8853" s="1" t="s">
        <v>25906</v>
      </c>
      <c r="B8853" s="1">
        <v>7.0</v>
      </c>
      <c r="C8853" s="1" t="s">
        <v>25907</v>
      </c>
      <c r="D8853" s="1" t="s">
        <v>16</v>
      </c>
      <c r="E8853" s="1" t="s">
        <v>25908</v>
      </c>
      <c r="F8853" s="1" t="str">
        <f>IFERROR(__xludf.DUMMYFUNCTION("GOOGLETRANSLATE(A8853, ""zh-CN"", ""ko"")"),"자치 지역")</f>
        <v>자치 지역</v>
      </c>
    </row>
    <row r="8854" ht="15.75" customHeight="1">
      <c r="A8854" s="1" t="s">
        <v>25909</v>
      </c>
      <c r="B8854" s="1">
        <v>7.0</v>
      </c>
      <c r="C8854" s="1" t="s">
        <v>25910</v>
      </c>
      <c r="D8854" s="1" t="s">
        <v>8</v>
      </c>
      <c r="E8854" s="1" t="s">
        <v>25911</v>
      </c>
      <c r="F8854" s="1" t="str">
        <f>IFERROR(__xludf.DUMMYFUNCTION("GOOGLETRANSLATE(A8854, ""zh-CN"", ""ko"")"),"자존감")</f>
        <v>자존감</v>
      </c>
    </row>
    <row r="8855" ht="15.75" customHeight="1">
      <c r="A8855" s="1" t="s">
        <v>25912</v>
      </c>
      <c r="B8855" s="1">
        <v>7.0</v>
      </c>
      <c r="C8855" s="1" t="s">
        <v>25913</v>
      </c>
      <c r="D8855" s="1" t="s">
        <v>26</v>
      </c>
      <c r="E8855" s="1" t="s">
        <v>25914</v>
      </c>
      <c r="F8855" s="1" t="str">
        <f>IFERROR(__xludf.DUMMYFUNCTION("GOOGLETRANSLATE(A8855, ""zh-CN"", ""ko"")"),"종")</f>
        <v>종</v>
      </c>
    </row>
    <row r="8856" ht="15.75" customHeight="1">
      <c r="A8856" s="1" t="s">
        <v>25915</v>
      </c>
      <c r="B8856" s="1">
        <v>7.0</v>
      </c>
      <c r="C8856" s="1" t="s">
        <v>25916</v>
      </c>
      <c r="D8856" s="1" t="s">
        <v>16</v>
      </c>
      <c r="E8856" s="1" t="s">
        <v>25917</v>
      </c>
      <c r="F8856" s="1" t="str">
        <f>IFERROR(__xludf.DUMMYFUNCTION("GOOGLETRANSLATE(A8856, ""zh-CN"", ""ko"")"),"버라이어티 쇼")</f>
        <v>버라이어티 쇼</v>
      </c>
    </row>
    <row r="8857" ht="15.75" customHeight="1">
      <c r="A8857" s="1" t="s">
        <v>25918</v>
      </c>
      <c r="B8857" s="1">
        <v>7.0</v>
      </c>
      <c r="C8857" s="1" t="s">
        <v>25919</v>
      </c>
      <c r="D8857" s="1" t="s">
        <v>16</v>
      </c>
      <c r="E8857" s="1" t="s">
        <v>25920</v>
      </c>
      <c r="F8857" s="1" t="str">
        <f>IFERROR(__xludf.DUMMYFUNCTION("GOOGLETRANSLATE(A8857, ""zh-CN"", ""ko"")"),"일시불")</f>
        <v>일시불</v>
      </c>
    </row>
    <row r="8858" ht="15.75" customHeight="1">
      <c r="A8858" s="1" t="s">
        <v>25921</v>
      </c>
      <c r="B8858" s="1">
        <v>7.0</v>
      </c>
      <c r="C8858" s="1" t="s">
        <v>25922</v>
      </c>
      <c r="D8858" s="1" t="s">
        <v>8</v>
      </c>
      <c r="E8858" s="1" t="s">
        <v>25923</v>
      </c>
      <c r="F8858" s="1" t="str">
        <f>IFERROR(__xludf.DUMMYFUNCTION("GOOGLETRANSLATE(A8858, ""zh-CN"", ""ko"")"),"전반적인")</f>
        <v>전반적인</v>
      </c>
    </row>
    <row r="8859" ht="15.75" customHeight="1">
      <c r="A8859" s="1" t="s">
        <v>25924</v>
      </c>
      <c r="B8859" s="1">
        <v>7.0</v>
      </c>
      <c r="C8859" s="1" t="s">
        <v>25925</v>
      </c>
      <c r="D8859" s="1" t="s">
        <v>1473</v>
      </c>
      <c r="E8859" s="1" t="s">
        <v>25926</v>
      </c>
      <c r="F8859" s="1" t="str">
        <f>IFERROR(__xludf.DUMMYFUNCTION("GOOGLETRANSLATE(A8859, ""zh-CN"", ""ko"")"),"일지라도")</f>
        <v>일지라도</v>
      </c>
    </row>
    <row r="8860" ht="15.75" customHeight="1">
      <c r="A8860" s="1" t="s">
        <v>25927</v>
      </c>
      <c r="B8860" s="1">
        <v>7.0</v>
      </c>
      <c r="C8860" s="1" t="s">
        <v>25928</v>
      </c>
      <c r="D8860" s="1" t="s">
        <v>8</v>
      </c>
      <c r="E8860" s="1" t="s">
        <v>25929</v>
      </c>
      <c r="F8860" s="1" t="str">
        <f>IFERROR(__xludf.DUMMYFUNCTION("GOOGLETRANSLATE(A8860, ""zh-CN"", ""ko"")"),"대사")</f>
        <v>대사</v>
      </c>
    </row>
    <row r="8861" ht="15.75" customHeight="1">
      <c r="A8861" s="1" t="s">
        <v>25930</v>
      </c>
      <c r="B8861" s="1">
        <v>7.0</v>
      </c>
      <c r="C8861" s="1" t="s">
        <v>25931</v>
      </c>
      <c r="D8861" s="1" t="s">
        <v>16</v>
      </c>
      <c r="E8861" s="1" t="s">
        <v>25932</v>
      </c>
      <c r="F8861" s="1" t="str">
        <f>IFERROR(__xludf.DUMMYFUNCTION("GOOGLETRANSLATE(A8861, ""zh-CN"", ""ko"")"),"깊이")</f>
        <v>깊이</v>
      </c>
    </row>
    <row r="8862" ht="15.75" customHeight="1">
      <c r="A8862" s="1" t="s">
        <v>25933</v>
      </c>
      <c r="B8862" s="1">
        <v>7.0</v>
      </c>
      <c r="C8862" s="1" t="s">
        <v>25934</v>
      </c>
      <c r="E8862" s="1" t="s">
        <v>25935</v>
      </c>
      <c r="F8862" s="1" t="str">
        <f>IFERROR(__xludf.DUMMYFUNCTION("GOOGLETRANSLATE(A8862, ""zh-CN"", ""ko"")"),"형식적인 절차를 밟는 것")</f>
        <v>형식적인 절차를 밟는 것</v>
      </c>
    </row>
    <row r="8863" ht="15.75" customHeight="1">
      <c r="A8863" s="1" t="s">
        <v>25936</v>
      </c>
      <c r="B8863" s="1">
        <v>7.0</v>
      </c>
      <c r="C8863" s="1" t="s">
        <v>25937</v>
      </c>
      <c r="D8863" s="1" t="s">
        <v>16</v>
      </c>
      <c r="E8863" s="1" t="s">
        <v>25938</v>
      </c>
      <c r="F8863" s="1" t="str">
        <f>IFERROR(__xludf.DUMMYFUNCTION("GOOGLETRANSLATE(A8863, ""zh-CN"", ""ko"")"),"경향")</f>
        <v>경향</v>
      </c>
    </row>
    <row r="8864" ht="15.75" customHeight="1">
      <c r="A8864" s="1" t="s">
        <v>25939</v>
      </c>
      <c r="B8864" s="1">
        <v>7.0</v>
      </c>
      <c r="C8864" s="1" t="s">
        <v>25940</v>
      </c>
      <c r="E8864" s="1" t="s">
        <v>25941</v>
      </c>
      <c r="F8864" s="1" t="str">
        <f>IFERROR(__xludf.DUMMYFUNCTION("GOOGLETRANSLATE(A8864, ""zh-CN"", ""ko"")"),"자포자기한")</f>
        <v>자포자기한</v>
      </c>
    </row>
    <row r="8865" ht="15.75" customHeight="1">
      <c r="A8865" s="1" t="s">
        <v>25942</v>
      </c>
      <c r="B8865" s="1">
        <v>7.0</v>
      </c>
      <c r="C8865" s="1" t="s">
        <v>25943</v>
      </c>
      <c r="E8865" s="1" t="s">
        <v>25944</v>
      </c>
      <c r="F8865" s="1" t="str">
        <f>IFERROR(__xludf.DUMMYFUNCTION("GOOGLETRANSLATE(A8865, ""zh-CN"", ""ko"")"),"우회로를 택하다")</f>
        <v>우회로를 택하다</v>
      </c>
    </row>
    <row r="8866" ht="15.75" customHeight="1">
      <c r="A8866" s="1" t="s">
        <v>25945</v>
      </c>
      <c r="B8866" s="1">
        <v>7.0</v>
      </c>
      <c r="C8866" s="1" t="s">
        <v>25946</v>
      </c>
      <c r="D8866" s="1" t="s">
        <v>16</v>
      </c>
      <c r="E8866" s="1" t="s">
        <v>2108</v>
      </c>
      <c r="F8866" s="1" t="str">
        <f>IFERROR(__xludf.DUMMYFUNCTION("GOOGLETRANSLATE(A8866, ""zh-CN"", ""ko"")"),"~을 향해 가고 있습니다")</f>
        <v>~을 향해 가고 있습니다</v>
      </c>
    </row>
    <row r="8867" ht="15.75" customHeight="1">
      <c r="A8867" s="1" t="s">
        <v>25947</v>
      </c>
      <c r="B8867" s="1">
        <v>7.0</v>
      </c>
      <c r="C8867" s="1" t="s">
        <v>25948</v>
      </c>
      <c r="D8867" s="1" t="s">
        <v>8</v>
      </c>
      <c r="E8867" s="1" t="s">
        <v>25949</v>
      </c>
      <c r="F8867" s="1" t="str">
        <f>IFERROR(__xludf.DUMMYFUNCTION("GOOGLETRANSLATE(A8867, ""zh-CN"", ""ko"")"),"효과적인")</f>
        <v>효과적인</v>
      </c>
    </row>
    <row r="8868" ht="15.75" customHeight="1">
      <c r="A8868" s="1" t="s">
        <v>25950</v>
      </c>
      <c r="B8868" s="1">
        <v>7.0</v>
      </c>
      <c r="C8868" s="1" t="s">
        <v>25951</v>
      </c>
      <c r="E8868" s="1" t="s">
        <v>25952</v>
      </c>
      <c r="F8868" s="1" t="str">
        <f>IFERROR(__xludf.DUMMYFUNCTION("GOOGLETRANSLATE(A8868, ""zh-CN"", ""ko"")"),"집에서 나가지 않고")</f>
        <v>집에서 나가지 않고</v>
      </c>
    </row>
    <row r="8869" ht="15.75" customHeight="1">
      <c r="A8869" s="1" t="s">
        <v>25953</v>
      </c>
      <c r="B8869" s="1">
        <v>7.0</v>
      </c>
      <c r="C8869" s="1" t="s">
        <v>25954</v>
      </c>
      <c r="D8869" s="1" t="s">
        <v>16</v>
      </c>
      <c r="E8869" s="1" t="s">
        <v>25955</v>
      </c>
      <c r="F8869" s="1" t="str">
        <f>IFERROR(__xludf.DUMMYFUNCTION("GOOGLETRANSLATE(A8869, ""zh-CN"", ""ko"")"),"발자취")</f>
        <v>발자취</v>
      </c>
    </row>
    <row r="8870" ht="15.75" customHeight="1">
      <c r="A8870" s="1" t="s">
        <v>25956</v>
      </c>
      <c r="B8870" s="1">
        <v>7.0</v>
      </c>
      <c r="C8870" s="1" t="s">
        <v>25957</v>
      </c>
      <c r="E8870" s="1" t="s">
        <v>25958</v>
      </c>
      <c r="F8870" s="1" t="str">
        <f>IFERROR(__xludf.DUMMYFUNCTION("GOOGLETRANSLATE(A8870, ""zh-CN"", ""ko"")"),"수완이 좋은")</f>
        <v>수완이 좋은</v>
      </c>
    </row>
    <row r="8871" ht="15.75" customHeight="1">
      <c r="A8871" s="1" t="s">
        <v>25959</v>
      </c>
      <c r="B8871" s="1">
        <v>7.0</v>
      </c>
      <c r="C8871" s="1" t="s">
        <v>25960</v>
      </c>
      <c r="D8871" s="1" t="s">
        <v>8</v>
      </c>
      <c r="E8871" s="1" t="s">
        <v>25961</v>
      </c>
      <c r="F8871" s="1" t="str">
        <f>IFERROR(__xludf.DUMMYFUNCTION("GOOGLETRANSLATE(A8871, ""zh-CN"", ""ko"")"),"조상의")</f>
        <v>조상의</v>
      </c>
    </row>
    <row r="8872" ht="15.75" customHeight="1">
      <c r="A8872" s="1" t="s">
        <v>25962</v>
      </c>
      <c r="B8872" s="1">
        <v>7.0</v>
      </c>
      <c r="C8872" s="1" t="s">
        <v>25963</v>
      </c>
      <c r="D8872" s="1" t="s">
        <v>16</v>
      </c>
      <c r="E8872" s="1" t="s">
        <v>25964</v>
      </c>
      <c r="F8872" s="1" t="str">
        <f>IFERROR(__xludf.DUMMYFUNCTION("GOOGLETRANSLATE(A8872, ""zh-CN"", ""ko"")"),"관")</f>
        <v>관</v>
      </c>
    </row>
    <row r="8873" ht="15.75" customHeight="1">
      <c r="A8873" s="1" t="s">
        <v>25965</v>
      </c>
      <c r="B8873" s="1">
        <v>7.0</v>
      </c>
      <c r="C8873" s="1" t="s">
        <v>25966</v>
      </c>
      <c r="D8873" s="1" t="s">
        <v>8</v>
      </c>
      <c r="E8873" s="1" t="s">
        <v>25967</v>
      </c>
      <c r="F8873" s="1" t="str">
        <f>IFERROR(__xludf.DUMMYFUNCTION("GOOGLETRANSLATE(A8873, ""zh-CN"", ""ko"")"),"형태")</f>
        <v>형태</v>
      </c>
    </row>
    <row r="8874" ht="15.75" customHeight="1">
      <c r="A8874" s="1" t="s">
        <v>25968</v>
      </c>
      <c r="B8874" s="1">
        <v>7.0</v>
      </c>
      <c r="C8874" s="1" t="s">
        <v>25969</v>
      </c>
      <c r="D8874" s="1" t="s">
        <v>16</v>
      </c>
      <c r="E8874" s="1" t="s">
        <v>25970</v>
      </c>
      <c r="F8874" s="1" t="str">
        <f>IFERROR(__xludf.DUMMYFUNCTION("GOOGLETRANSLATE(A8874, ""zh-CN"", ""ko"")"),"저항")</f>
        <v>저항</v>
      </c>
    </row>
    <row r="8875" ht="15.75" customHeight="1">
      <c r="A8875" s="1" t="s">
        <v>25971</v>
      </c>
      <c r="B8875" s="1">
        <v>7.0</v>
      </c>
      <c r="C8875" s="1" t="s">
        <v>25972</v>
      </c>
      <c r="D8875" s="1" t="s">
        <v>16</v>
      </c>
      <c r="E8875" s="1" t="s">
        <v>25973</v>
      </c>
      <c r="F8875" s="1" t="str">
        <f>IFERROR(__xludf.DUMMYFUNCTION("GOOGLETRANSLATE(A8875, ""zh-CN"", ""ko"")"),"할머니")</f>
        <v>할머니</v>
      </c>
    </row>
    <row r="8876" ht="15.75" customHeight="1">
      <c r="A8876" s="1" t="s">
        <v>25974</v>
      </c>
      <c r="B8876" s="1">
        <v>7.0</v>
      </c>
      <c r="C8876" s="1" t="s">
        <v>25975</v>
      </c>
      <c r="D8876" s="1" t="s">
        <v>8</v>
      </c>
      <c r="E8876" s="1" t="s">
        <v>25976</v>
      </c>
      <c r="F8876" s="1" t="str">
        <f>IFERROR(__xludf.DUMMYFUNCTION("GOOGLETRANSLATE(A8876, ""zh-CN"", ""ko"")"),"집회")</f>
        <v>집회</v>
      </c>
    </row>
    <row r="8877" ht="15.75" customHeight="1">
      <c r="A8877" s="1" t="s">
        <v>25977</v>
      </c>
      <c r="B8877" s="1">
        <v>7.0</v>
      </c>
      <c r="C8877" s="1" t="s">
        <v>25978</v>
      </c>
      <c r="D8877" s="1" t="s">
        <v>16</v>
      </c>
      <c r="E8877" s="1" t="s">
        <v>25979</v>
      </c>
      <c r="F8877" s="1" t="str">
        <f>IFERROR(__xludf.DUMMYFUNCTION("GOOGLETRANSLATE(A8877, ""zh-CN"", ""ko"")"),"부조")</f>
        <v>부조</v>
      </c>
    </row>
    <row r="8878" ht="15.75" customHeight="1">
      <c r="A8878" s="1" t="s">
        <v>25980</v>
      </c>
      <c r="B8878" s="1">
        <v>7.0</v>
      </c>
      <c r="C8878" s="1" t="s">
        <v>25981</v>
      </c>
      <c r="E8878" s="1" t="s">
        <v>25982</v>
      </c>
      <c r="F8878" s="1" t="str">
        <f>IFERROR(__xludf.DUMMYFUNCTION("GOOGLETRANSLATE(A8878, ""zh-CN"", ""ko"")"),"허점을 악용하다")</f>
        <v>허점을 악용하다</v>
      </c>
    </row>
    <row r="8879" ht="15.75" customHeight="1">
      <c r="A8879" s="1" t="s">
        <v>25983</v>
      </c>
      <c r="B8879" s="1">
        <v>7.0</v>
      </c>
      <c r="C8879" s="1" t="s">
        <v>25984</v>
      </c>
      <c r="E8879" s="1" t="s">
        <v>25985</v>
      </c>
      <c r="F8879" s="1" t="str">
        <f>IFERROR(__xludf.DUMMYFUNCTION("GOOGLETRANSLATE(A8879, ""zh-CN"", ""ko"")"),"범인")</f>
        <v>범인</v>
      </c>
    </row>
    <row r="8880" ht="15.75" customHeight="1">
      <c r="A8880" s="1" t="s">
        <v>25986</v>
      </c>
      <c r="B8880" s="1">
        <v>7.0</v>
      </c>
      <c r="C8880" s="1" t="s">
        <v>25987</v>
      </c>
      <c r="D8880" s="1" t="s">
        <v>52</v>
      </c>
      <c r="E8880" s="1" t="s">
        <v>25988</v>
      </c>
      <c r="F8880" s="1" t="str">
        <f>IFERROR(__xludf.DUMMYFUNCTION("GOOGLETRANSLATE(A8880, ""zh-CN"", ""ko"")"),"고귀한")</f>
        <v>고귀한</v>
      </c>
    </row>
    <row r="8881" ht="15.75" customHeight="1">
      <c r="A8881" s="1" t="s">
        <v>25989</v>
      </c>
      <c r="B8881" s="1">
        <v>7.0</v>
      </c>
      <c r="C8881" s="1" t="s">
        <v>25990</v>
      </c>
      <c r="D8881" s="1" t="s">
        <v>8</v>
      </c>
      <c r="E8881" s="1" t="s">
        <v>25774</v>
      </c>
      <c r="F8881" s="1" t="str">
        <f>IFERROR(__xludf.DUMMYFUNCTION("GOOGLETRANSLATE(A8881, ""zh-CN"", ""ko"")"),"~에 따라")</f>
        <v>~에 따라</v>
      </c>
    </row>
    <row r="8882" ht="15.75" customHeight="1">
      <c r="A8882" s="1" t="s">
        <v>25991</v>
      </c>
      <c r="B8882" s="1">
        <v>7.0</v>
      </c>
      <c r="C8882" s="1" t="s">
        <v>25992</v>
      </c>
      <c r="D8882" s="1" t="s">
        <v>16</v>
      </c>
      <c r="E8882" s="1" t="s">
        <v>25993</v>
      </c>
      <c r="F8882" s="1" t="str">
        <f>IFERROR(__xludf.DUMMYFUNCTION("GOOGLETRANSLATE(A8882, ""zh-CN"", ""ko"")"),"양념")</f>
        <v>양념</v>
      </c>
    </row>
    <row r="8883" ht="15.75" customHeight="1">
      <c r="A8883" s="1" t="s">
        <v>25994</v>
      </c>
      <c r="B8883" s="1">
        <v>7.0</v>
      </c>
      <c r="C8883" s="1" t="s">
        <v>25995</v>
      </c>
      <c r="E8883" s="1" t="s">
        <v>25996</v>
      </c>
      <c r="F8883" s="1" t="str">
        <f>IFERROR(__xludf.DUMMYFUNCTION("GOOGLETRANSLATE(A8883, ""zh-CN"", ""ko"")"),"오른쪽과 왼쪽을 흘끗 봐요")</f>
        <v>오른쪽과 왼쪽을 흘끗 봐요</v>
      </c>
    </row>
    <row r="8884" ht="15.75" customHeight="1">
      <c r="A8884" s="1" t="s">
        <v>25997</v>
      </c>
      <c r="B8884" s="1">
        <v>7.0</v>
      </c>
      <c r="C8884" s="1" t="s">
        <v>25998</v>
      </c>
      <c r="D8884" s="1" t="s">
        <v>8</v>
      </c>
      <c r="E8884" s="1" t="s">
        <v>25999</v>
      </c>
      <c r="F8884" s="1" t="str">
        <f>IFERROR(__xludf.DUMMYFUNCTION("GOOGLETRANSLATE(A8884, ""zh-CN"", ""ko"")"),"반대하는")</f>
        <v>반대하는</v>
      </c>
    </row>
    <row r="8885" ht="15.75" customHeight="1">
      <c r="A8885" s="1" t="s">
        <v>26000</v>
      </c>
      <c r="B8885" s="1">
        <v>7.0</v>
      </c>
      <c r="C8885" s="1" t="s">
        <v>26001</v>
      </c>
      <c r="D8885" s="1" t="s">
        <v>8</v>
      </c>
      <c r="E8885" s="1" t="s">
        <v>26002</v>
      </c>
      <c r="F8885" s="1" t="str">
        <f>IFERROR(__xludf.DUMMYFUNCTION("GOOGLETRANSLATE(A8885, ""zh-CN"", ""ko"")"),"방문")</f>
        <v>방문</v>
      </c>
    </row>
    <row r="8886" ht="15.75" customHeight="1">
      <c r="A8886" s="1" t="s">
        <v>26003</v>
      </c>
      <c r="B8886" s="1">
        <v>7.0</v>
      </c>
      <c r="C8886" s="1" t="s">
        <v>26004</v>
      </c>
      <c r="D8886" s="1" t="s">
        <v>8</v>
      </c>
      <c r="E8886" s="1" t="s">
        <v>26005</v>
      </c>
      <c r="F8886" s="1" t="str">
        <f>IFERROR(__xludf.DUMMYFUNCTION("GOOGLETRANSLATE(A8886, ""zh-CN"", ""ko"")"),"위치")</f>
        <v>위치</v>
      </c>
    </row>
    <row r="8887" ht="15.75" customHeight="1">
      <c r="A8887" s="1" t="s">
        <v>26006</v>
      </c>
      <c r="B8887" s="1">
        <v>7.0</v>
      </c>
      <c r="C8887" s="1" t="s">
        <v>26007</v>
      </c>
      <c r="D8887" s="1" t="s">
        <v>8</v>
      </c>
      <c r="E8887" s="1" t="s">
        <v>26008</v>
      </c>
      <c r="F8887" s="1" t="str">
        <f>IFERROR(__xludf.DUMMYFUNCTION("GOOGLETRANSLATE(A8887, ""zh-CN"", ""ko"")"),"심포지엄")</f>
        <v>심포지엄</v>
      </c>
    </row>
    <row r="8888" ht="15.75" customHeight="1">
      <c r="A8888" s="1" t="s">
        <v>26009</v>
      </c>
      <c r="B8888" s="1">
        <v>7.0</v>
      </c>
      <c r="C8888" s="1" t="s">
        <v>26010</v>
      </c>
      <c r="D8888" s="1" t="s">
        <v>16</v>
      </c>
      <c r="E8888" s="1" t="s">
        <v>26011</v>
      </c>
      <c r="F8888" s="1" t="str">
        <f>IFERROR(__xludf.DUMMYFUNCTION("GOOGLETRANSLATE(A8888, ""zh-CN"", ""ko"")"),"수확고")</f>
        <v>수확고</v>
      </c>
    </row>
    <row r="8889" ht="15.75" customHeight="1">
      <c r="A8889" s="1" t="s">
        <v>26012</v>
      </c>
      <c r="B8889" s="1">
        <v>7.0</v>
      </c>
      <c r="C8889" s="1" t="s">
        <v>26013</v>
      </c>
      <c r="D8889" s="1" t="s">
        <v>8</v>
      </c>
      <c r="E8889" s="1" t="s">
        <v>26014</v>
      </c>
      <c r="F8889" s="1" t="str">
        <f>IFERROR(__xludf.DUMMYFUNCTION("GOOGLETRANSLATE(A8889, ""zh-CN"", ""ko"")"),"전투")</f>
        <v>전투</v>
      </c>
    </row>
    <row r="8890" ht="15.75" customHeight="1">
      <c r="A8890" s="1" t="s">
        <v>26015</v>
      </c>
      <c r="B8890" s="1">
        <v>7.0</v>
      </c>
      <c r="C8890" s="1" t="s">
        <v>26016</v>
      </c>
      <c r="D8890" s="1" t="s">
        <v>8</v>
      </c>
      <c r="E8890" s="1" t="s">
        <v>26017</v>
      </c>
      <c r="F8890" s="1" t="str">
        <f>IFERROR(__xludf.DUMMYFUNCTION("GOOGLETRANSLATE(A8890, ""zh-CN"", ""ko"")"),"인증서를 만드세요")</f>
        <v>인증서를 만드세요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2026-08-14T04:26:47Z</dcterms:created>
  <dc:creator>openpyxl</dc:creator>
</cp:coreProperties>
</file>